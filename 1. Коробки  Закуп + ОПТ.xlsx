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G:\Мой диск\Прайс Коробки 2026\"/>
    </mc:Choice>
  </mc:AlternateContent>
  <xr:revisionPtr revIDLastSave="0" documentId="13_ncr:1_{DA2FCD87-24E8-481A-ACBB-DC64E6764219}" xr6:coauthVersionLast="45" xr6:coauthVersionMax="45" xr10:uidLastSave="{00000000-0000-0000-0000-000000000000}"/>
  <bookViews>
    <workbookView xWindow="38280" yWindow="7575" windowWidth="38640" windowHeight="15840" activeTab="2" xr2:uid="{00000000-000D-0000-FFFF-FFFF00000000}"/>
  </bookViews>
  <sheets>
    <sheet name="Закуп" sheetId="1" r:id="rId1"/>
    <sheet name="Calc" sheetId="5" r:id="rId2"/>
    <sheet name="Массив" sheetId="15" r:id="rId3"/>
    <sheet name="Опт" sheetId="7" r:id="rId4"/>
    <sheet name="нет в наличии" sheetId="13" r:id="rId5"/>
    <sheet name="Листы гк" sheetId="11" r:id="rId6"/>
    <sheet name="Диапазоны" sheetId="12" r:id="rId7"/>
    <sheet name="Kr173" sheetId="8" r:id="rId8"/>
  </sheets>
  <definedNames>
    <definedName name="_xlnm._FilterDatabase" localSheetId="1" hidden="1">Calc!$A$1:$AB$1746</definedName>
    <definedName name="_xlnm._FilterDatabase" localSheetId="0" hidden="1">Закуп!$A$1:$AC$348</definedName>
    <definedName name="_xlnm._FilterDatabase" localSheetId="2" hidden="1">Массив!$A$1:$Q$502</definedName>
    <definedName name="_xlnm._FilterDatabase" localSheetId="3" hidden="1">Опт!$A$1:$R$349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341" i="1" l="1"/>
  <c r="O341" i="1" s="1"/>
  <c r="S341" i="1"/>
  <c r="T341" i="1"/>
  <c r="V341" i="1" s="1"/>
  <c r="X341" i="1"/>
  <c r="Y341" i="1"/>
  <c r="Z341" i="1"/>
  <c r="AA341" i="1"/>
  <c r="P341" i="1" l="1"/>
  <c r="Q341" i="1"/>
  <c r="U341" i="1"/>
  <c r="W341" i="1"/>
  <c r="R340" i="1"/>
  <c r="V340" i="1" s="1"/>
  <c r="S340" i="1"/>
  <c r="T340" i="1"/>
  <c r="AA340" i="1"/>
  <c r="AA342" i="1"/>
  <c r="AA343" i="1"/>
  <c r="AA344" i="1"/>
  <c r="AA345" i="1"/>
  <c r="AA346" i="1"/>
  <c r="AA347" i="1"/>
  <c r="Y340" i="1" l="1"/>
  <c r="Z340" i="1"/>
  <c r="X340" i="1"/>
  <c r="O340" i="1"/>
  <c r="P340" i="1" s="1"/>
  <c r="U340" i="1"/>
  <c r="W340" i="1"/>
  <c r="Q348" i="7"/>
  <c r="Q340" i="7"/>
  <c r="Q341" i="7"/>
  <c r="Q342" i="7"/>
  <c r="Q343" i="7"/>
  <c r="Q344" i="7"/>
  <c r="Q345" i="7"/>
  <c r="Q346" i="7"/>
  <c r="Q347"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2" i="7"/>
  <c r="Q340" i="1" l="1"/>
  <c r="B340" i="1"/>
  <c r="B341" i="1"/>
  <c r="B342" i="1"/>
  <c r="B343" i="1"/>
  <c r="B344" i="1"/>
  <c r="B345" i="1"/>
  <c r="B346" i="1"/>
  <c r="B347" i="1"/>
  <c r="F157" i="5"/>
  <c r="N201" i="1" l="1"/>
  <c r="B346" i="15" l="1"/>
  <c r="C346" i="15"/>
  <c r="D346" i="15"/>
  <c r="F346" i="15"/>
  <c r="G346" i="15"/>
  <c r="H346" i="15"/>
  <c r="I346" i="15"/>
  <c r="J346" i="15"/>
  <c r="L346" i="15"/>
  <c r="N346" i="15"/>
  <c r="P346" i="15"/>
  <c r="B347" i="15"/>
  <c r="C347" i="15"/>
  <c r="D347" i="15"/>
  <c r="F347" i="15"/>
  <c r="G347" i="15"/>
  <c r="H347" i="15"/>
  <c r="I347" i="15"/>
  <c r="J347" i="15"/>
  <c r="L347" i="15"/>
  <c r="N347" i="15"/>
  <c r="P347" i="15"/>
  <c r="B348" i="15"/>
  <c r="C348" i="15"/>
  <c r="D348" i="15"/>
  <c r="F348" i="15"/>
  <c r="G348" i="15"/>
  <c r="H348" i="15"/>
  <c r="I348" i="15"/>
  <c r="J348" i="15"/>
  <c r="L348" i="15"/>
  <c r="N348" i="15"/>
  <c r="P348" i="15"/>
  <c r="B349" i="15"/>
  <c r="C349" i="15"/>
  <c r="D349" i="15"/>
  <c r="F349" i="15"/>
  <c r="G349" i="15"/>
  <c r="H349" i="15"/>
  <c r="I349" i="15"/>
  <c r="J349" i="15"/>
  <c r="L349" i="15"/>
  <c r="N349" i="15"/>
  <c r="P349" i="15"/>
  <c r="B350" i="15"/>
  <c r="C350" i="15"/>
  <c r="D350" i="15"/>
  <c r="F350" i="15"/>
  <c r="G350" i="15"/>
  <c r="H350" i="15"/>
  <c r="I350" i="15"/>
  <c r="J350" i="15"/>
  <c r="L350" i="15"/>
  <c r="N350" i="15"/>
  <c r="P350" i="15"/>
  <c r="B351" i="15"/>
  <c r="C351" i="15"/>
  <c r="D351" i="15"/>
  <c r="F351" i="15"/>
  <c r="G351" i="15"/>
  <c r="H351" i="15"/>
  <c r="I351" i="15"/>
  <c r="J351" i="15"/>
  <c r="L351" i="15"/>
  <c r="N351" i="15"/>
  <c r="P351" i="15"/>
  <c r="B352" i="15"/>
  <c r="C352" i="15"/>
  <c r="D352" i="15"/>
  <c r="F352" i="15"/>
  <c r="G352" i="15"/>
  <c r="H352" i="15"/>
  <c r="I352" i="15"/>
  <c r="J352" i="15"/>
  <c r="L352" i="15"/>
  <c r="N352" i="15"/>
  <c r="P352" i="15"/>
  <c r="B353" i="15"/>
  <c r="C353" i="15"/>
  <c r="D353" i="15"/>
  <c r="F353" i="15"/>
  <c r="G353" i="15"/>
  <c r="H353" i="15"/>
  <c r="I353" i="15"/>
  <c r="J353" i="15"/>
  <c r="L353" i="15"/>
  <c r="N353" i="15"/>
  <c r="P353" i="15"/>
  <c r="B354" i="15"/>
  <c r="C354" i="15"/>
  <c r="D354" i="15"/>
  <c r="F354" i="15"/>
  <c r="G354" i="15"/>
  <c r="H354" i="15"/>
  <c r="I354" i="15"/>
  <c r="J354" i="15"/>
  <c r="L354" i="15"/>
  <c r="N354" i="15"/>
  <c r="P354" i="15"/>
  <c r="B355" i="15"/>
  <c r="C355" i="15"/>
  <c r="D355" i="15"/>
  <c r="F355" i="15"/>
  <c r="G355" i="15"/>
  <c r="H355" i="15"/>
  <c r="I355" i="15"/>
  <c r="J355" i="15"/>
  <c r="L355" i="15"/>
  <c r="N355" i="15"/>
  <c r="P355" i="15"/>
  <c r="B356" i="15"/>
  <c r="C356" i="15"/>
  <c r="D356" i="15"/>
  <c r="F356" i="15"/>
  <c r="G356" i="15"/>
  <c r="H356" i="15"/>
  <c r="I356" i="15"/>
  <c r="J356" i="15"/>
  <c r="L356" i="15"/>
  <c r="N356" i="15"/>
  <c r="P356" i="15"/>
  <c r="B357" i="15"/>
  <c r="C357" i="15"/>
  <c r="D357" i="15"/>
  <c r="F357" i="15"/>
  <c r="G357" i="15"/>
  <c r="H357" i="15"/>
  <c r="I357" i="15"/>
  <c r="J357" i="15"/>
  <c r="L357" i="15"/>
  <c r="N357" i="15"/>
  <c r="P357" i="15"/>
  <c r="B358" i="15"/>
  <c r="C358" i="15"/>
  <c r="D358" i="15"/>
  <c r="F358" i="15"/>
  <c r="G358" i="15"/>
  <c r="H358" i="15"/>
  <c r="I358" i="15"/>
  <c r="J358" i="15"/>
  <c r="L358" i="15"/>
  <c r="N358" i="15"/>
  <c r="P358" i="15"/>
  <c r="B359" i="15"/>
  <c r="C359" i="15"/>
  <c r="D359" i="15"/>
  <c r="F359" i="15"/>
  <c r="G359" i="15"/>
  <c r="H359" i="15"/>
  <c r="I359" i="15"/>
  <c r="J359" i="15"/>
  <c r="L359" i="15"/>
  <c r="N359" i="15"/>
  <c r="P359" i="15"/>
  <c r="B360" i="15"/>
  <c r="C360" i="15"/>
  <c r="D360" i="15"/>
  <c r="F360" i="15"/>
  <c r="G360" i="15"/>
  <c r="H360" i="15"/>
  <c r="I360" i="15"/>
  <c r="J360" i="15"/>
  <c r="L360" i="15"/>
  <c r="N360" i="15"/>
  <c r="P360" i="15"/>
  <c r="B361" i="15"/>
  <c r="C361" i="15"/>
  <c r="D361" i="15"/>
  <c r="F361" i="15"/>
  <c r="G361" i="15"/>
  <c r="H361" i="15"/>
  <c r="I361" i="15"/>
  <c r="J361" i="15"/>
  <c r="L361" i="15"/>
  <c r="N361" i="15"/>
  <c r="P361" i="15"/>
  <c r="B362" i="15"/>
  <c r="C362" i="15"/>
  <c r="D362" i="15"/>
  <c r="F362" i="15"/>
  <c r="G362" i="15"/>
  <c r="H362" i="15"/>
  <c r="I362" i="15"/>
  <c r="J362" i="15"/>
  <c r="L362" i="15"/>
  <c r="N362" i="15"/>
  <c r="P362" i="15"/>
  <c r="B363" i="15"/>
  <c r="C363" i="15"/>
  <c r="D363" i="15"/>
  <c r="F363" i="15"/>
  <c r="G363" i="15"/>
  <c r="H363" i="15"/>
  <c r="I363" i="15"/>
  <c r="J363" i="15"/>
  <c r="L363" i="15"/>
  <c r="N363" i="15"/>
  <c r="P363" i="15"/>
  <c r="B364" i="15"/>
  <c r="C364" i="15"/>
  <c r="D364" i="15"/>
  <c r="F364" i="15"/>
  <c r="G364" i="15"/>
  <c r="H364" i="15"/>
  <c r="I364" i="15"/>
  <c r="J364" i="15"/>
  <c r="L364" i="15"/>
  <c r="N364" i="15"/>
  <c r="P364" i="15"/>
  <c r="B365" i="15"/>
  <c r="C365" i="15"/>
  <c r="D365" i="15"/>
  <c r="F365" i="15"/>
  <c r="G365" i="15"/>
  <c r="H365" i="15"/>
  <c r="I365" i="15"/>
  <c r="J365" i="15"/>
  <c r="L365" i="15"/>
  <c r="N365" i="15"/>
  <c r="P365" i="15"/>
  <c r="B366" i="15"/>
  <c r="C366" i="15"/>
  <c r="D366" i="15"/>
  <c r="F366" i="15"/>
  <c r="G366" i="15"/>
  <c r="H366" i="15"/>
  <c r="I366" i="15"/>
  <c r="J366" i="15"/>
  <c r="L366" i="15"/>
  <c r="N366" i="15"/>
  <c r="P366" i="15"/>
  <c r="B367" i="15"/>
  <c r="C367" i="15"/>
  <c r="D367" i="15"/>
  <c r="F367" i="15"/>
  <c r="G367" i="15"/>
  <c r="H367" i="15"/>
  <c r="I367" i="15"/>
  <c r="J367" i="15"/>
  <c r="L367" i="15"/>
  <c r="N367" i="15"/>
  <c r="P367" i="15"/>
  <c r="B368" i="15"/>
  <c r="C368" i="15"/>
  <c r="D368" i="15"/>
  <c r="F368" i="15"/>
  <c r="G368" i="15"/>
  <c r="H368" i="15"/>
  <c r="I368" i="15"/>
  <c r="J368" i="15"/>
  <c r="L368" i="15"/>
  <c r="N368" i="15"/>
  <c r="P368" i="15"/>
  <c r="B369" i="15"/>
  <c r="C369" i="15"/>
  <c r="D369" i="15"/>
  <c r="F369" i="15"/>
  <c r="G369" i="15"/>
  <c r="H369" i="15"/>
  <c r="I369" i="15"/>
  <c r="J369" i="15"/>
  <c r="L369" i="15"/>
  <c r="N369" i="15"/>
  <c r="P369" i="15"/>
  <c r="B370" i="15"/>
  <c r="C370" i="15"/>
  <c r="D370" i="15"/>
  <c r="F370" i="15"/>
  <c r="G370" i="15"/>
  <c r="H370" i="15"/>
  <c r="I370" i="15"/>
  <c r="J370" i="15"/>
  <c r="L370" i="15"/>
  <c r="N370" i="15"/>
  <c r="P370" i="15"/>
  <c r="B371" i="15"/>
  <c r="C371" i="15"/>
  <c r="D371" i="15"/>
  <c r="F371" i="15"/>
  <c r="G371" i="15"/>
  <c r="H371" i="15"/>
  <c r="I371" i="15"/>
  <c r="J371" i="15"/>
  <c r="L371" i="15"/>
  <c r="N371" i="15"/>
  <c r="P371" i="15"/>
  <c r="B372" i="15"/>
  <c r="C372" i="15"/>
  <c r="D372" i="15"/>
  <c r="F372" i="15"/>
  <c r="G372" i="15"/>
  <c r="H372" i="15"/>
  <c r="I372" i="15"/>
  <c r="J372" i="15"/>
  <c r="L372" i="15"/>
  <c r="N372" i="15"/>
  <c r="P372" i="15"/>
  <c r="B373" i="15"/>
  <c r="C373" i="15"/>
  <c r="D373" i="15"/>
  <c r="F373" i="15"/>
  <c r="G373" i="15"/>
  <c r="H373" i="15"/>
  <c r="I373" i="15"/>
  <c r="J373" i="15"/>
  <c r="L373" i="15"/>
  <c r="N373" i="15"/>
  <c r="P373" i="15"/>
  <c r="B374" i="15"/>
  <c r="C374" i="15"/>
  <c r="D374" i="15"/>
  <c r="F374" i="15"/>
  <c r="G374" i="15"/>
  <c r="H374" i="15"/>
  <c r="I374" i="15"/>
  <c r="J374" i="15"/>
  <c r="L374" i="15"/>
  <c r="N374" i="15"/>
  <c r="P374" i="15"/>
  <c r="B375" i="15"/>
  <c r="C375" i="15"/>
  <c r="D375" i="15"/>
  <c r="F375" i="15"/>
  <c r="G375" i="15"/>
  <c r="H375" i="15"/>
  <c r="I375" i="15"/>
  <c r="J375" i="15"/>
  <c r="L375" i="15"/>
  <c r="N375" i="15"/>
  <c r="P375" i="15"/>
  <c r="B376" i="15"/>
  <c r="C376" i="15"/>
  <c r="D376" i="15"/>
  <c r="F376" i="15"/>
  <c r="G376" i="15"/>
  <c r="H376" i="15"/>
  <c r="I376" i="15"/>
  <c r="J376" i="15"/>
  <c r="L376" i="15"/>
  <c r="N376" i="15"/>
  <c r="P376" i="15"/>
  <c r="B377" i="15"/>
  <c r="C377" i="15"/>
  <c r="D377" i="15"/>
  <c r="F377" i="15"/>
  <c r="G377" i="15"/>
  <c r="H377" i="15"/>
  <c r="I377" i="15"/>
  <c r="J377" i="15"/>
  <c r="L377" i="15"/>
  <c r="N377" i="15"/>
  <c r="P377" i="15"/>
  <c r="B378" i="15"/>
  <c r="C378" i="15"/>
  <c r="D378" i="15"/>
  <c r="F378" i="15"/>
  <c r="G378" i="15"/>
  <c r="H378" i="15"/>
  <c r="I378" i="15"/>
  <c r="J378" i="15"/>
  <c r="L378" i="15"/>
  <c r="N378" i="15"/>
  <c r="P378" i="15"/>
  <c r="B379" i="15"/>
  <c r="C379" i="15"/>
  <c r="D379" i="15"/>
  <c r="F379" i="15"/>
  <c r="G379" i="15"/>
  <c r="H379" i="15"/>
  <c r="I379" i="15"/>
  <c r="J379" i="15"/>
  <c r="L379" i="15"/>
  <c r="N379" i="15"/>
  <c r="P379" i="15"/>
  <c r="B380" i="15"/>
  <c r="C380" i="15"/>
  <c r="D380" i="15"/>
  <c r="F380" i="15"/>
  <c r="G380" i="15"/>
  <c r="H380" i="15"/>
  <c r="I380" i="15"/>
  <c r="J380" i="15"/>
  <c r="L380" i="15"/>
  <c r="N380" i="15"/>
  <c r="P380" i="15"/>
  <c r="B381" i="15"/>
  <c r="C381" i="15"/>
  <c r="D381" i="15"/>
  <c r="F381" i="15"/>
  <c r="G381" i="15"/>
  <c r="H381" i="15"/>
  <c r="I381" i="15"/>
  <c r="J381" i="15"/>
  <c r="L381" i="15"/>
  <c r="N381" i="15"/>
  <c r="P381" i="15"/>
  <c r="B382" i="15"/>
  <c r="C382" i="15"/>
  <c r="D382" i="15"/>
  <c r="F382" i="15"/>
  <c r="G382" i="15"/>
  <c r="H382" i="15"/>
  <c r="I382" i="15"/>
  <c r="J382" i="15"/>
  <c r="L382" i="15"/>
  <c r="N382" i="15"/>
  <c r="P382" i="15"/>
  <c r="B383" i="15"/>
  <c r="C383" i="15"/>
  <c r="D383" i="15"/>
  <c r="F383" i="15"/>
  <c r="G383" i="15"/>
  <c r="H383" i="15"/>
  <c r="I383" i="15"/>
  <c r="J383" i="15"/>
  <c r="L383" i="15"/>
  <c r="N383" i="15"/>
  <c r="P383" i="15"/>
  <c r="B384" i="15"/>
  <c r="C384" i="15"/>
  <c r="D384" i="15"/>
  <c r="F384" i="15"/>
  <c r="G384" i="15"/>
  <c r="H384" i="15"/>
  <c r="I384" i="15"/>
  <c r="J384" i="15"/>
  <c r="L384" i="15"/>
  <c r="N384" i="15"/>
  <c r="P384" i="15"/>
  <c r="B385" i="15"/>
  <c r="C385" i="15"/>
  <c r="D385" i="15"/>
  <c r="F385" i="15"/>
  <c r="G385" i="15"/>
  <c r="H385" i="15"/>
  <c r="I385" i="15"/>
  <c r="J385" i="15"/>
  <c r="L385" i="15"/>
  <c r="N385" i="15"/>
  <c r="P385" i="15"/>
  <c r="B386" i="15"/>
  <c r="C386" i="15"/>
  <c r="D386" i="15"/>
  <c r="F386" i="15"/>
  <c r="G386" i="15"/>
  <c r="H386" i="15"/>
  <c r="I386" i="15"/>
  <c r="J386" i="15"/>
  <c r="L386" i="15"/>
  <c r="N386" i="15"/>
  <c r="P386" i="15"/>
  <c r="B387" i="15"/>
  <c r="C387" i="15"/>
  <c r="D387" i="15"/>
  <c r="F387" i="15"/>
  <c r="G387" i="15"/>
  <c r="H387" i="15"/>
  <c r="I387" i="15"/>
  <c r="J387" i="15"/>
  <c r="L387" i="15"/>
  <c r="N387" i="15"/>
  <c r="P387" i="15"/>
  <c r="B388" i="15"/>
  <c r="C388" i="15"/>
  <c r="D388" i="15"/>
  <c r="F388" i="15"/>
  <c r="G388" i="15"/>
  <c r="H388" i="15"/>
  <c r="I388" i="15"/>
  <c r="J388" i="15"/>
  <c r="L388" i="15"/>
  <c r="N388" i="15"/>
  <c r="P388" i="15"/>
  <c r="B389" i="15"/>
  <c r="C389" i="15"/>
  <c r="D389" i="15"/>
  <c r="F389" i="15"/>
  <c r="G389" i="15"/>
  <c r="H389" i="15"/>
  <c r="I389" i="15"/>
  <c r="J389" i="15"/>
  <c r="L389" i="15"/>
  <c r="N389" i="15"/>
  <c r="P389" i="15"/>
  <c r="B390" i="15"/>
  <c r="C390" i="15"/>
  <c r="D390" i="15"/>
  <c r="F390" i="15"/>
  <c r="G390" i="15"/>
  <c r="H390" i="15"/>
  <c r="I390" i="15"/>
  <c r="J390" i="15"/>
  <c r="L390" i="15"/>
  <c r="N390" i="15"/>
  <c r="P390" i="15"/>
  <c r="B391" i="15"/>
  <c r="C391" i="15"/>
  <c r="D391" i="15"/>
  <c r="F391" i="15"/>
  <c r="G391" i="15"/>
  <c r="H391" i="15"/>
  <c r="I391" i="15"/>
  <c r="J391" i="15"/>
  <c r="L391" i="15"/>
  <c r="N391" i="15"/>
  <c r="P391" i="15"/>
  <c r="B392" i="15"/>
  <c r="C392" i="15"/>
  <c r="D392" i="15"/>
  <c r="F392" i="15"/>
  <c r="G392" i="15"/>
  <c r="H392" i="15"/>
  <c r="I392" i="15"/>
  <c r="J392" i="15"/>
  <c r="L392" i="15"/>
  <c r="N392" i="15"/>
  <c r="P392" i="15"/>
  <c r="B393" i="15"/>
  <c r="C393" i="15"/>
  <c r="D393" i="15"/>
  <c r="F393" i="15"/>
  <c r="G393" i="15"/>
  <c r="H393" i="15"/>
  <c r="I393" i="15"/>
  <c r="J393" i="15"/>
  <c r="L393" i="15"/>
  <c r="N393" i="15"/>
  <c r="P393" i="15"/>
  <c r="B394" i="15"/>
  <c r="C394" i="15"/>
  <c r="D394" i="15"/>
  <c r="F394" i="15"/>
  <c r="G394" i="15"/>
  <c r="H394" i="15"/>
  <c r="I394" i="15"/>
  <c r="J394" i="15"/>
  <c r="L394" i="15"/>
  <c r="N394" i="15"/>
  <c r="P394" i="15"/>
  <c r="B395" i="15"/>
  <c r="C395" i="15"/>
  <c r="D395" i="15"/>
  <c r="F395" i="15"/>
  <c r="G395" i="15"/>
  <c r="H395" i="15"/>
  <c r="I395" i="15"/>
  <c r="J395" i="15"/>
  <c r="L395" i="15"/>
  <c r="N395" i="15"/>
  <c r="P395" i="15"/>
  <c r="B396" i="15"/>
  <c r="C396" i="15"/>
  <c r="D396" i="15"/>
  <c r="F396" i="15"/>
  <c r="G396" i="15"/>
  <c r="H396" i="15"/>
  <c r="I396" i="15"/>
  <c r="J396" i="15"/>
  <c r="L396" i="15"/>
  <c r="N396" i="15"/>
  <c r="P396" i="15"/>
  <c r="B397" i="15"/>
  <c r="C397" i="15"/>
  <c r="D397" i="15"/>
  <c r="F397" i="15"/>
  <c r="G397" i="15"/>
  <c r="H397" i="15"/>
  <c r="I397" i="15"/>
  <c r="J397" i="15"/>
  <c r="L397" i="15"/>
  <c r="N397" i="15"/>
  <c r="P397" i="15"/>
  <c r="B398" i="15"/>
  <c r="C398" i="15"/>
  <c r="D398" i="15"/>
  <c r="F398" i="15"/>
  <c r="G398" i="15"/>
  <c r="H398" i="15"/>
  <c r="I398" i="15"/>
  <c r="J398" i="15"/>
  <c r="L398" i="15"/>
  <c r="N398" i="15"/>
  <c r="P398" i="15"/>
  <c r="B399" i="15"/>
  <c r="C399" i="15"/>
  <c r="D399" i="15"/>
  <c r="F399" i="15"/>
  <c r="G399" i="15"/>
  <c r="H399" i="15"/>
  <c r="I399" i="15"/>
  <c r="J399" i="15"/>
  <c r="L399" i="15"/>
  <c r="N399" i="15"/>
  <c r="P399" i="15"/>
  <c r="B400" i="15"/>
  <c r="C400" i="15"/>
  <c r="D400" i="15"/>
  <c r="F400" i="15"/>
  <c r="G400" i="15"/>
  <c r="H400" i="15"/>
  <c r="I400" i="15"/>
  <c r="J400" i="15"/>
  <c r="L400" i="15"/>
  <c r="N400" i="15"/>
  <c r="P400" i="15"/>
  <c r="B401" i="15"/>
  <c r="C401" i="15"/>
  <c r="D401" i="15"/>
  <c r="F401" i="15"/>
  <c r="G401" i="15"/>
  <c r="H401" i="15"/>
  <c r="I401" i="15"/>
  <c r="J401" i="15"/>
  <c r="L401" i="15"/>
  <c r="N401" i="15"/>
  <c r="P401" i="15"/>
  <c r="B402" i="15"/>
  <c r="C402" i="15"/>
  <c r="D402" i="15"/>
  <c r="F402" i="15"/>
  <c r="G402" i="15"/>
  <c r="H402" i="15"/>
  <c r="I402" i="15"/>
  <c r="J402" i="15"/>
  <c r="L402" i="15"/>
  <c r="N402" i="15"/>
  <c r="P402" i="15"/>
  <c r="B403" i="15"/>
  <c r="C403" i="15"/>
  <c r="D403" i="15"/>
  <c r="F403" i="15"/>
  <c r="G403" i="15"/>
  <c r="H403" i="15"/>
  <c r="I403" i="15"/>
  <c r="J403" i="15"/>
  <c r="L403" i="15"/>
  <c r="N403" i="15"/>
  <c r="P403" i="15"/>
  <c r="B404" i="15"/>
  <c r="C404" i="15"/>
  <c r="D404" i="15"/>
  <c r="F404" i="15"/>
  <c r="G404" i="15"/>
  <c r="H404" i="15"/>
  <c r="I404" i="15"/>
  <c r="J404" i="15"/>
  <c r="L404" i="15"/>
  <c r="N404" i="15"/>
  <c r="P404" i="15"/>
  <c r="B405" i="15"/>
  <c r="C405" i="15"/>
  <c r="D405" i="15"/>
  <c r="F405" i="15"/>
  <c r="G405" i="15"/>
  <c r="H405" i="15"/>
  <c r="I405" i="15"/>
  <c r="J405" i="15"/>
  <c r="L405" i="15"/>
  <c r="N405" i="15"/>
  <c r="P405" i="15"/>
  <c r="B406" i="15"/>
  <c r="C406" i="15"/>
  <c r="D406" i="15"/>
  <c r="F406" i="15"/>
  <c r="G406" i="15"/>
  <c r="H406" i="15"/>
  <c r="I406" i="15"/>
  <c r="J406" i="15"/>
  <c r="L406" i="15"/>
  <c r="N406" i="15"/>
  <c r="P406" i="15"/>
  <c r="B407" i="15"/>
  <c r="C407" i="15"/>
  <c r="D407" i="15"/>
  <c r="F407" i="15"/>
  <c r="G407" i="15"/>
  <c r="H407" i="15"/>
  <c r="I407" i="15"/>
  <c r="J407" i="15"/>
  <c r="L407" i="15"/>
  <c r="N407" i="15"/>
  <c r="P407" i="15"/>
  <c r="B408" i="15"/>
  <c r="C408" i="15"/>
  <c r="D408" i="15"/>
  <c r="F408" i="15"/>
  <c r="G408" i="15"/>
  <c r="H408" i="15"/>
  <c r="I408" i="15"/>
  <c r="J408" i="15"/>
  <c r="L408" i="15"/>
  <c r="N408" i="15"/>
  <c r="P408" i="15"/>
  <c r="B409" i="15"/>
  <c r="C409" i="15"/>
  <c r="D409" i="15"/>
  <c r="F409" i="15"/>
  <c r="G409" i="15"/>
  <c r="H409" i="15"/>
  <c r="I409" i="15"/>
  <c r="J409" i="15"/>
  <c r="L409" i="15"/>
  <c r="N409" i="15"/>
  <c r="P409" i="15"/>
  <c r="B410" i="15"/>
  <c r="C410" i="15"/>
  <c r="D410" i="15"/>
  <c r="F410" i="15"/>
  <c r="G410" i="15"/>
  <c r="H410" i="15"/>
  <c r="I410" i="15"/>
  <c r="J410" i="15"/>
  <c r="L410" i="15"/>
  <c r="N410" i="15"/>
  <c r="P410" i="15"/>
  <c r="B411" i="15"/>
  <c r="C411" i="15"/>
  <c r="D411" i="15"/>
  <c r="F411" i="15"/>
  <c r="G411" i="15"/>
  <c r="H411" i="15"/>
  <c r="I411" i="15"/>
  <c r="J411" i="15"/>
  <c r="L411" i="15"/>
  <c r="N411" i="15"/>
  <c r="P411" i="15"/>
  <c r="B412" i="15"/>
  <c r="C412" i="15"/>
  <c r="D412" i="15"/>
  <c r="F412" i="15"/>
  <c r="G412" i="15"/>
  <c r="H412" i="15"/>
  <c r="I412" i="15"/>
  <c r="J412" i="15"/>
  <c r="L412" i="15"/>
  <c r="N412" i="15"/>
  <c r="P412" i="15"/>
  <c r="B413" i="15"/>
  <c r="C413" i="15"/>
  <c r="D413" i="15"/>
  <c r="F413" i="15"/>
  <c r="G413" i="15"/>
  <c r="H413" i="15"/>
  <c r="I413" i="15"/>
  <c r="J413" i="15"/>
  <c r="L413" i="15"/>
  <c r="N413" i="15"/>
  <c r="P413" i="15"/>
  <c r="B414" i="15"/>
  <c r="C414" i="15"/>
  <c r="D414" i="15"/>
  <c r="F414" i="15"/>
  <c r="G414" i="15"/>
  <c r="H414" i="15"/>
  <c r="I414" i="15"/>
  <c r="J414" i="15"/>
  <c r="L414" i="15"/>
  <c r="N414" i="15"/>
  <c r="P414" i="15"/>
  <c r="B415" i="15"/>
  <c r="C415" i="15"/>
  <c r="D415" i="15"/>
  <c r="F415" i="15"/>
  <c r="G415" i="15"/>
  <c r="H415" i="15"/>
  <c r="I415" i="15"/>
  <c r="J415" i="15"/>
  <c r="L415" i="15"/>
  <c r="N415" i="15"/>
  <c r="P415" i="15"/>
  <c r="B416" i="15"/>
  <c r="C416" i="15"/>
  <c r="D416" i="15"/>
  <c r="F416" i="15"/>
  <c r="G416" i="15"/>
  <c r="H416" i="15"/>
  <c r="I416" i="15"/>
  <c r="J416" i="15"/>
  <c r="L416" i="15"/>
  <c r="N416" i="15"/>
  <c r="P416" i="15"/>
  <c r="B417" i="15"/>
  <c r="C417" i="15"/>
  <c r="D417" i="15"/>
  <c r="F417" i="15"/>
  <c r="G417" i="15"/>
  <c r="H417" i="15"/>
  <c r="I417" i="15"/>
  <c r="J417" i="15"/>
  <c r="L417" i="15"/>
  <c r="N417" i="15"/>
  <c r="P417" i="15"/>
  <c r="B418" i="15"/>
  <c r="C418" i="15"/>
  <c r="D418" i="15"/>
  <c r="F418" i="15"/>
  <c r="G418" i="15"/>
  <c r="H418" i="15"/>
  <c r="I418" i="15"/>
  <c r="J418" i="15"/>
  <c r="L418" i="15"/>
  <c r="N418" i="15"/>
  <c r="P418" i="15"/>
  <c r="B419" i="15"/>
  <c r="C419" i="15"/>
  <c r="D419" i="15"/>
  <c r="F419" i="15"/>
  <c r="G419" i="15"/>
  <c r="H419" i="15"/>
  <c r="I419" i="15"/>
  <c r="J419" i="15"/>
  <c r="L419" i="15"/>
  <c r="N419" i="15"/>
  <c r="P419" i="15"/>
  <c r="B420" i="15"/>
  <c r="C420" i="15"/>
  <c r="D420" i="15"/>
  <c r="F420" i="15"/>
  <c r="G420" i="15"/>
  <c r="H420" i="15"/>
  <c r="I420" i="15"/>
  <c r="J420" i="15"/>
  <c r="L420" i="15"/>
  <c r="N420" i="15"/>
  <c r="P420" i="15"/>
  <c r="B421" i="15"/>
  <c r="C421" i="15"/>
  <c r="D421" i="15"/>
  <c r="F421" i="15"/>
  <c r="G421" i="15"/>
  <c r="H421" i="15"/>
  <c r="I421" i="15"/>
  <c r="J421" i="15"/>
  <c r="L421" i="15"/>
  <c r="N421" i="15"/>
  <c r="P421" i="15"/>
  <c r="B422" i="15"/>
  <c r="C422" i="15"/>
  <c r="D422" i="15"/>
  <c r="F422" i="15"/>
  <c r="G422" i="15"/>
  <c r="H422" i="15"/>
  <c r="I422" i="15"/>
  <c r="J422" i="15"/>
  <c r="L422" i="15"/>
  <c r="N422" i="15"/>
  <c r="P422" i="15"/>
  <c r="B423" i="15"/>
  <c r="C423" i="15"/>
  <c r="D423" i="15"/>
  <c r="F423" i="15"/>
  <c r="G423" i="15"/>
  <c r="H423" i="15"/>
  <c r="I423" i="15"/>
  <c r="J423" i="15"/>
  <c r="L423" i="15"/>
  <c r="N423" i="15"/>
  <c r="P423" i="15"/>
  <c r="B424" i="15"/>
  <c r="C424" i="15"/>
  <c r="D424" i="15"/>
  <c r="F424" i="15"/>
  <c r="G424" i="15"/>
  <c r="H424" i="15"/>
  <c r="I424" i="15"/>
  <c r="J424" i="15"/>
  <c r="L424" i="15"/>
  <c r="N424" i="15"/>
  <c r="P424" i="15"/>
  <c r="B425" i="15"/>
  <c r="C425" i="15"/>
  <c r="D425" i="15"/>
  <c r="F425" i="15"/>
  <c r="G425" i="15"/>
  <c r="H425" i="15"/>
  <c r="I425" i="15"/>
  <c r="J425" i="15"/>
  <c r="L425" i="15"/>
  <c r="N425" i="15"/>
  <c r="P425" i="15"/>
  <c r="B426" i="15"/>
  <c r="C426" i="15"/>
  <c r="D426" i="15"/>
  <c r="F426" i="15"/>
  <c r="G426" i="15"/>
  <c r="H426" i="15"/>
  <c r="I426" i="15"/>
  <c r="J426" i="15"/>
  <c r="L426" i="15"/>
  <c r="N426" i="15"/>
  <c r="P426" i="15"/>
  <c r="B427" i="15"/>
  <c r="C427" i="15"/>
  <c r="D427" i="15"/>
  <c r="F427" i="15"/>
  <c r="G427" i="15"/>
  <c r="H427" i="15"/>
  <c r="I427" i="15"/>
  <c r="J427" i="15"/>
  <c r="L427" i="15"/>
  <c r="N427" i="15"/>
  <c r="P427" i="15"/>
  <c r="B428" i="15"/>
  <c r="C428" i="15"/>
  <c r="D428" i="15"/>
  <c r="F428" i="15"/>
  <c r="G428" i="15"/>
  <c r="H428" i="15"/>
  <c r="I428" i="15"/>
  <c r="J428" i="15"/>
  <c r="L428" i="15"/>
  <c r="N428" i="15"/>
  <c r="P428" i="15"/>
  <c r="B429" i="15"/>
  <c r="C429" i="15"/>
  <c r="D429" i="15"/>
  <c r="F429" i="15"/>
  <c r="G429" i="15"/>
  <c r="H429" i="15"/>
  <c r="I429" i="15"/>
  <c r="J429" i="15"/>
  <c r="L429" i="15"/>
  <c r="N429" i="15"/>
  <c r="P429" i="15"/>
  <c r="B430" i="15"/>
  <c r="C430" i="15"/>
  <c r="D430" i="15"/>
  <c r="F430" i="15"/>
  <c r="G430" i="15"/>
  <c r="H430" i="15"/>
  <c r="I430" i="15"/>
  <c r="J430" i="15"/>
  <c r="L430" i="15"/>
  <c r="N430" i="15"/>
  <c r="P430" i="15"/>
  <c r="B431" i="15"/>
  <c r="C431" i="15"/>
  <c r="D431" i="15"/>
  <c r="F431" i="15"/>
  <c r="G431" i="15"/>
  <c r="H431" i="15"/>
  <c r="I431" i="15"/>
  <c r="J431" i="15"/>
  <c r="L431" i="15"/>
  <c r="N431" i="15"/>
  <c r="P431" i="15"/>
  <c r="B432" i="15"/>
  <c r="C432" i="15"/>
  <c r="D432" i="15"/>
  <c r="F432" i="15"/>
  <c r="G432" i="15"/>
  <c r="H432" i="15"/>
  <c r="I432" i="15"/>
  <c r="J432" i="15"/>
  <c r="L432" i="15"/>
  <c r="N432" i="15"/>
  <c r="P432" i="15"/>
  <c r="B433" i="15"/>
  <c r="C433" i="15"/>
  <c r="D433" i="15"/>
  <c r="F433" i="15"/>
  <c r="G433" i="15"/>
  <c r="H433" i="15"/>
  <c r="I433" i="15"/>
  <c r="J433" i="15"/>
  <c r="L433" i="15"/>
  <c r="N433" i="15"/>
  <c r="P433" i="15"/>
  <c r="B434" i="15"/>
  <c r="C434" i="15"/>
  <c r="D434" i="15"/>
  <c r="F434" i="15"/>
  <c r="G434" i="15"/>
  <c r="H434" i="15"/>
  <c r="I434" i="15"/>
  <c r="J434" i="15"/>
  <c r="L434" i="15"/>
  <c r="N434" i="15"/>
  <c r="P434" i="15"/>
  <c r="B435" i="15"/>
  <c r="C435" i="15"/>
  <c r="D435" i="15"/>
  <c r="F435" i="15"/>
  <c r="G435" i="15"/>
  <c r="H435" i="15"/>
  <c r="I435" i="15"/>
  <c r="J435" i="15"/>
  <c r="L435" i="15"/>
  <c r="N435" i="15"/>
  <c r="P435" i="15"/>
  <c r="B436" i="15"/>
  <c r="C436" i="15"/>
  <c r="D436" i="15"/>
  <c r="F436" i="15"/>
  <c r="G436" i="15"/>
  <c r="H436" i="15"/>
  <c r="I436" i="15"/>
  <c r="J436" i="15"/>
  <c r="L436" i="15"/>
  <c r="N436" i="15"/>
  <c r="P436" i="15"/>
  <c r="B437" i="15"/>
  <c r="C437" i="15"/>
  <c r="D437" i="15"/>
  <c r="F437" i="15"/>
  <c r="G437" i="15"/>
  <c r="H437" i="15"/>
  <c r="I437" i="15"/>
  <c r="J437" i="15"/>
  <c r="L437" i="15"/>
  <c r="N437" i="15"/>
  <c r="P437" i="15"/>
  <c r="B438" i="15"/>
  <c r="C438" i="15"/>
  <c r="D438" i="15"/>
  <c r="F438" i="15"/>
  <c r="G438" i="15"/>
  <c r="H438" i="15"/>
  <c r="I438" i="15"/>
  <c r="J438" i="15"/>
  <c r="L438" i="15"/>
  <c r="N438" i="15"/>
  <c r="P438" i="15"/>
  <c r="B439" i="15"/>
  <c r="C439" i="15"/>
  <c r="D439" i="15"/>
  <c r="F439" i="15"/>
  <c r="G439" i="15"/>
  <c r="H439" i="15"/>
  <c r="I439" i="15"/>
  <c r="J439" i="15"/>
  <c r="L439" i="15"/>
  <c r="N439" i="15"/>
  <c r="P439" i="15"/>
  <c r="B440" i="15"/>
  <c r="C440" i="15"/>
  <c r="D440" i="15"/>
  <c r="F440" i="15"/>
  <c r="G440" i="15"/>
  <c r="H440" i="15"/>
  <c r="I440" i="15"/>
  <c r="J440" i="15"/>
  <c r="L440" i="15"/>
  <c r="N440" i="15"/>
  <c r="P440" i="15"/>
  <c r="B441" i="15"/>
  <c r="C441" i="15"/>
  <c r="D441" i="15"/>
  <c r="F441" i="15"/>
  <c r="G441" i="15"/>
  <c r="H441" i="15"/>
  <c r="I441" i="15"/>
  <c r="J441" i="15"/>
  <c r="L441" i="15"/>
  <c r="N441" i="15"/>
  <c r="P441" i="15"/>
  <c r="B442" i="15"/>
  <c r="C442" i="15"/>
  <c r="D442" i="15"/>
  <c r="F442" i="15"/>
  <c r="G442" i="15"/>
  <c r="H442" i="15"/>
  <c r="I442" i="15"/>
  <c r="J442" i="15"/>
  <c r="L442" i="15"/>
  <c r="N442" i="15"/>
  <c r="P442" i="15"/>
  <c r="B443" i="15"/>
  <c r="C443" i="15"/>
  <c r="D443" i="15"/>
  <c r="F443" i="15"/>
  <c r="G443" i="15"/>
  <c r="H443" i="15"/>
  <c r="I443" i="15"/>
  <c r="J443" i="15"/>
  <c r="L443" i="15"/>
  <c r="N443" i="15"/>
  <c r="P443" i="15"/>
  <c r="B444" i="15"/>
  <c r="C444" i="15"/>
  <c r="D444" i="15"/>
  <c r="F444" i="15"/>
  <c r="G444" i="15"/>
  <c r="H444" i="15"/>
  <c r="I444" i="15"/>
  <c r="J444" i="15"/>
  <c r="L444" i="15"/>
  <c r="N444" i="15"/>
  <c r="P444" i="15"/>
  <c r="B445" i="15"/>
  <c r="C445" i="15"/>
  <c r="D445" i="15"/>
  <c r="F445" i="15"/>
  <c r="G445" i="15"/>
  <c r="H445" i="15"/>
  <c r="I445" i="15"/>
  <c r="J445" i="15"/>
  <c r="L445" i="15"/>
  <c r="N445" i="15"/>
  <c r="P445" i="15"/>
  <c r="B446" i="15"/>
  <c r="C446" i="15"/>
  <c r="D446" i="15"/>
  <c r="F446" i="15"/>
  <c r="G446" i="15"/>
  <c r="H446" i="15"/>
  <c r="I446" i="15"/>
  <c r="J446" i="15"/>
  <c r="L446" i="15"/>
  <c r="N446" i="15"/>
  <c r="P446" i="15"/>
  <c r="B447" i="15"/>
  <c r="C447" i="15"/>
  <c r="D447" i="15"/>
  <c r="F447" i="15"/>
  <c r="G447" i="15"/>
  <c r="H447" i="15"/>
  <c r="I447" i="15"/>
  <c r="J447" i="15"/>
  <c r="L447" i="15"/>
  <c r="N447" i="15"/>
  <c r="P447" i="15"/>
  <c r="B448" i="15"/>
  <c r="C448" i="15"/>
  <c r="D448" i="15"/>
  <c r="F448" i="15"/>
  <c r="G448" i="15"/>
  <c r="H448" i="15"/>
  <c r="I448" i="15"/>
  <c r="J448" i="15"/>
  <c r="L448" i="15"/>
  <c r="N448" i="15"/>
  <c r="P448" i="15"/>
  <c r="B449" i="15"/>
  <c r="C449" i="15"/>
  <c r="D449" i="15"/>
  <c r="F449" i="15"/>
  <c r="G449" i="15"/>
  <c r="H449" i="15"/>
  <c r="I449" i="15"/>
  <c r="J449" i="15"/>
  <c r="L449" i="15"/>
  <c r="N449" i="15"/>
  <c r="P449" i="15"/>
  <c r="B450" i="15"/>
  <c r="C450" i="15"/>
  <c r="D450" i="15"/>
  <c r="F450" i="15"/>
  <c r="G450" i="15"/>
  <c r="H450" i="15"/>
  <c r="I450" i="15"/>
  <c r="J450" i="15"/>
  <c r="L450" i="15"/>
  <c r="N450" i="15"/>
  <c r="P450" i="15"/>
  <c r="B451" i="15"/>
  <c r="C451" i="15"/>
  <c r="D451" i="15"/>
  <c r="F451" i="15"/>
  <c r="G451" i="15"/>
  <c r="H451" i="15"/>
  <c r="I451" i="15"/>
  <c r="J451" i="15"/>
  <c r="L451" i="15"/>
  <c r="N451" i="15"/>
  <c r="P451" i="15"/>
  <c r="B452" i="15"/>
  <c r="C452" i="15"/>
  <c r="D452" i="15"/>
  <c r="F452" i="15"/>
  <c r="G452" i="15"/>
  <c r="H452" i="15"/>
  <c r="I452" i="15"/>
  <c r="J452" i="15"/>
  <c r="L452" i="15"/>
  <c r="N452" i="15"/>
  <c r="P452" i="15"/>
  <c r="B453" i="15"/>
  <c r="C453" i="15"/>
  <c r="D453" i="15"/>
  <c r="F453" i="15"/>
  <c r="G453" i="15"/>
  <c r="H453" i="15"/>
  <c r="I453" i="15"/>
  <c r="J453" i="15"/>
  <c r="L453" i="15"/>
  <c r="N453" i="15"/>
  <c r="P453" i="15"/>
  <c r="B454" i="15"/>
  <c r="C454" i="15"/>
  <c r="D454" i="15"/>
  <c r="F454" i="15"/>
  <c r="G454" i="15"/>
  <c r="H454" i="15"/>
  <c r="I454" i="15"/>
  <c r="J454" i="15"/>
  <c r="L454" i="15"/>
  <c r="N454" i="15"/>
  <c r="P454" i="15"/>
  <c r="B455" i="15"/>
  <c r="C455" i="15"/>
  <c r="D455" i="15"/>
  <c r="F455" i="15"/>
  <c r="G455" i="15"/>
  <c r="H455" i="15"/>
  <c r="I455" i="15"/>
  <c r="J455" i="15"/>
  <c r="L455" i="15"/>
  <c r="N455" i="15"/>
  <c r="P455" i="15"/>
  <c r="B456" i="15"/>
  <c r="C456" i="15"/>
  <c r="D456" i="15"/>
  <c r="F456" i="15"/>
  <c r="G456" i="15"/>
  <c r="H456" i="15"/>
  <c r="I456" i="15"/>
  <c r="J456" i="15"/>
  <c r="L456" i="15"/>
  <c r="N456" i="15"/>
  <c r="P456" i="15"/>
  <c r="B457" i="15"/>
  <c r="C457" i="15"/>
  <c r="D457" i="15"/>
  <c r="F457" i="15"/>
  <c r="G457" i="15"/>
  <c r="H457" i="15"/>
  <c r="I457" i="15"/>
  <c r="J457" i="15"/>
  <c r="L457" i="15"/>
  <c r="N457" i="15"/>
  <c r="P457" i="15"/>
  <c r="B458" i="15"/>
  <c r="C458" i="15"/>
  <c r="D458" i="15"/>
  <c r="F458" i="15"/>
  <c r="G458" i="15"/>
  <c r="H458" i="15"/>
  <c r="I458" i="15"/>
  <c r="J458" i="15"/>
  <c r="L458" i="15"/>
  <c r="N458" i="15"/>
  <c r="P458" i="15"/>
  <c r="B459" i="15"/>
  <c r="C459" i="15"/>
  <c r="D459" i="15"/>
  <c r="F459" i="15"/>
  <c r="G459" i="15"/>
  <c r="H459" i="15"/>
  <c r="I459" i="15"/>
  <c r="J459" i="15"/>
  <c r="L459" i="15"/>
  <c r="N459" i="15"/>
  <c r="P459" i="15"/>
  <c r="B460" i="15"/>
  <c r="C460" i="15"/>
  <c r="D460" i="15"/>
  <c r="F460" i="15"/>
  <c r="G460" i="15"/>
  <c r="H460" i="15"/>
  <c r="I460" i="15"/>
  <c r="J460" i="15"/>
  <c r="L460" i="15"/>
  <c r="N460" i="15"/>
  <c r="P460" i="15"/>
  <c r="B461" i="15"/>
  <c r="C461" i="15"/>
  <c r="D461" i="15"/>
  <c r="F461" i="15"/>
  <c r="G461" i="15"/>
  <c r="H461" i="15"/>
  <c r="I461" i="15"/>
  <c r="J461" i="15"/>
  <c r="L461" i="15"/>
  <c r="N461" i="15"/>
  <c r="P461" i="15"/>
  <c r="B462" i="15"/>
  <c r="C462" i="15"/>
  <c r="D462" i="15"/>
  <c r="F462" i="15"/>
  <c r="G462" i="15"/>
  <c r="H462" i="15"/>
  <c r="I462" i="15"/>
  <c r="J462" i="15"/>
  <c r="L462" i="15"/>
  <c r="N462" i="15"/>
  <c r="P462" i="15"/>
  <c r="B463" i="15"/>
  <c r="C463" i="15"/>
  <c r="D463" i="15"/>
  <c r="F463" i="15"/>
  <c r="G463" i="15"/>
  <c r="H463" i="15"/>
  <c r="I463" i="15"/>
  <c r="J463" i="15"/>
  <c r="L463" i="15"/>
  <c r="N463" i="15"/>
  <c r="P463" i="15"/>
  <c r="B464" i="15"/>
  <c r="C464" i="15"/>
  <c r="D464" i="15"/>
  <c r="F464" i="15"/>
  <c r="G464" i="15"/>
  <c r="H464" i="15"/>
  <c r="I464" i="15"/>
  <c r="J464" i="15"/>
  <c r="L464" i="15"/>
  <c r="N464" i="15"/>
  <c r="P464" i="15"/>
  <c r="B465" i="15"/>
  <c r="C465" i="15"/>
  <c r="D465" i="15"/>
  <c r="F465" i="15"/>
  <c r="G465" i="15"/>
  <c r="H465" i="15"/>
  <c r="I465" i="15"/>
  <c r="J465" i="15"/>
  <c r="L465" i="15"/>
  <c r="N465" i="15"/>
  <c r="P465" i="15"/>
  <c r="B466" i="15"/>
  <c r="C466" i="15"/>
  <c r="D466" i="15"/>
  <c r="F466" i="15"/>
  <c r="G466" i="15"/>
  <c r="H466" i="15"/>
  <c r="I466" i="15"/>
  <c r="J466" i="15"/>
  <c r="L466" i="15"/>
  <c r="N466" i="15"/>
  <c r="P466" i="15"/>
  <c r="B467" i="15"/>
  <c r="C467" i="15"/>
  <c r="D467" i="15"/>
  <c r="F467" i="15"/>
  <c r="G467" i="15"/>
  <c r="H467" i="15"/>
  <c r="I467" i="15"/>
  <c r="J467" i="15"/>
  <c r="L467" i="15"/>
  <c r="N467" i="15"/>
  <c r="P467" i="15"/>
  <c r="B468" i="15"/>
  <c r="C468" i="15"/>
  <c r="D468" i="15"/>
  <c r="F468" i="15"/>
  <c r="G468" i="15"/>
  <c r="H468" i="15"/>
  <c r="I468" i="15"/>
  <c r="J468" i="15"/>
  <c r="L468" i="15"/>
  <c r="N468" i="15"/>
  <c r="P468" i="15"/>
  <c r="B469" i="15"/>
  <c r="C469" i="15"/>
  <c r="D469" i="15"/>
  <c r="F469" i="15"/>
  <c r="G469" i="15"/>
  <c r="H469" i="15"/>
  <c r="I469" i="15"/>
  <c r="J469" i="15"/>
  <c r="L469" i="15"/>
  <c r="N469" i="15"/>
  <c r="P469" i="15"/>
  <c r="B470" i="15"/>
  <c r="C470" i="15"/>
  <c r="D470" i="15"/>
  <c r="F470" i="15"/>
  <c r="G470" i="15"/>
  <c r="H470" i="15"/>
  <c r="I470" i="15"/>
  <c r="J470" i="15"/>
  <c r="L470" i="15"/>
  <c r="N470" i="15"/>
  <c r="P470" i="15"/>
  <c r="B471" i="15"/>
  <c r="C471" i="15"/>
  <c r="D471" i="15"/>
  <c r="F471" i="15"/>
  <c r="G471" i="15"/>
  <c r="H471" i="15"/>
  <c r="I471" i="15"/>
  <c r="J471" i="15"/>
  <c r="L471" i="15"/>
  <c r="N471" i="15"/>
  <c r="P471" i="15"/>
  <c r="B472" i="15"/>
  <c r="C472" i="15"/>
  <c r="D472" i="15"/>
  <c r="F472" i="15"/>
  <c r="G472" i="15"/>
  <c r="H472" i="15"/>
  <c r="I472" i="15"/>
  <c r="J472" i="15"/>
  <c r="L472" i="15"/>
  <c r="N472" i="15"/>
  <c r="P472" i="15"/>
  <c r="B473" i="15"/>
  <c r="C473" i="15"/>
  <c r="D473" i="15"/>
  <c r="F473" i="15"/>
  <c r="G473" i="15"/>
  <c r="H473" i="15"/>
  <c r="I473" i="15"/>
  <c r="J473" i="15"/>
  <c r="L473" i="15"/>
  <c r="N473" i="15"/>
  <c r="P473" i="15"/>
  <c r="B474" i="15"/>
  <c r="C474" i="15"/>
  <c r="D474" i="15"/>
  <c r="F474" i="15"/>
  <c r="G474" i="15"/>
  <c r="H474" i="15"/>
  <c r="I474" i="15"/>
  <c r="J474" i="15"/>
  <c r="L474" i="15"/>
  <c r="N474" i="15"/>
  <c r="P474" i="15"/>
  <c r="B475" i="15"/>
  <c r="C475" i="15"/>
  <c r="D475" i="15"/>
  <c r="F475" i="15"/>
  <c r="G475" i="15"/>
  <c r="H475" i="15"/>
  <c r="I475" i="15"/>
  <c r="J475" i="15"/>
  <c r="L475" i="15"/>
  <c r="N475" i="15"/>
  <c r="P475" i="15"/>
  <c r="B476" i="15"/>
  <c r="C476" i="15"/>
  <c r="D476" i="15"/>
  <c r="F476" i="15"/>
  <c r="G476" i="15"/>
  <c r="H476" i="15"/>
  <c r="I476" i="15"/>
  <c r="J476" i="15"/>
  <c r="L476" i="15"/>
  <c r="N476" i="15"/>
  <c r="P476" i="15"/>
  <c r="B477" i="15"/>
  <c r="C477" i="15"/>
  <c r="D477" i="15"/>
  <c r="F477" i="15"/>
  <c r="G477" i="15"/>
  <c r="H477" i="15"/>
  <c r="I477" i="15"/>
  <c r="J477" i="15"/>
  <c r="L477" i="15"/>
  <c r="N477" i="15"/>
  <c r="P477" i="15"/>
  <c r="B478" i="15"/>
  <c r="C478" i="15"/>
  <c r="D478" i="15"/>
  <c r="F478" i="15"/>
  <c r="G478" i="15"/>
  <c r="H478" i="15"/>
  <c r="I478" i="15"/>
  <c r="J478" i="15"/>
  <c r="L478" i="15"/>
  <c r="N478" i="15"/>
  <c r="P478" i="15"/>
  <c r="B479" i="15"/>
  <c r="C479" i="15"/>
  <c r="D479" i="15"/>
  <c r="F479" i="15"/>
  <c r="G479" i="15"/>
  <c r="H479" i="15"/>
  <c r="I479" i="15"/>
  <c r="J479" i="15"/>
  <c r="L479" i="15"/>
  <c r="N479" i="15"/>
  <c r="P479" i="15"/>
  <c r="B480" i="15"/>
  <c r="C480" i="15"/>
  <c r="D480" i="15"/>
  <c r="F480" i="15"/>
  <c r="G480" i="15"/>
  <c r="H480" i="15"/>
  <c r="I480" i="15"/>
  <c r="J480" i="15"/>
  <c r="L480" i="15"/>
  <c r="N480" i="15"/>
  <c r="P480" i="15"/>
  <c r="B481" i="15"/>
  <c r="C481" i="15"/>
  <c r="D481" i="15"/>
  <c r="F481" i="15"/>
  <c r="G481" i="15"/>
  <c r="H481" i="15"/>
  <c r="I481" i="15"/>
  <c r="J481" i="15"/>
  <c r="L481" i="15"/>
  <c r="N481" i="15"/>
  <c r="P481" i="15"/>
  <c r="B482" i="15"/>
  <c r="C482" i="15"/>
  <c r="D482" i="15"/>
  <c r="F482" i="15"/>
  <c r="G482" i="15"/>
  <c r="H482" i="15"/>
  <c r="I482" i="15"/>
  <c r="J482" i="15"/>
  <c r="L482" i="15"/>
  <c r="N482" i="15"/>
  <c r="P482" i="15"/>
  <c r="B483" i="15"/>
  <c r="C483" i="15"/>
  <c r="D483" i="15"/>
  <c r="F483" i="15"/>
  <c r="G483" i="15"/>
  <c r="H483" i="15"/>
  <c r="I483" i="15"/>
  <c r="J483" i="15"/>
  <c r="L483" i="15"/>
  <c r="N483" i="15"/>
  <c r="P483" i="15"/>
  <c r="B484" i="15"/>
  <c r="C484" i="15"/>
  <c r="D484" i="15"/>
  <c r="F484" i="15"/>
  <c r="G484" i="15"/>
  <c r="H484" i="15"/>
  <c r="I484" i="15"/>
  <c r="J484" i="15"/>
  <c r="L484" i="15"/>
  <c r="N484" i="15"/>
  <c r="P484" i="15"/>
  <c r="B485" i="15"/>
  <c r="C485" i="15"/>
  <c r="D485" i="15"/>
  <c r="F485" i="15"/>
  <c r="G485" i="15"/>
  <c r="H485" i="15"/>
  <c r="I485" i="15"/>
  <c r="J485" i="15"/>
  <c r="L485" i="15"/>
  <c r="N485" i="15"/>
  <c r="P485" i="15"/>
  <c r="B486" i="15"/>
  <c r="C486" i="15"/>
  <c r="D486" i="15"/>
  <c r="F486" i="15"/>
  <c r="G486" i="15"/>
  <c r="H486" i="15"/>
  <c r="I486" i="15"/>
  <c r="J486" i="15"/>
  <c r="L486" i="15"/>
  <c r="N486" i="15"/>
  <c r="P486" i="15"/>
  <c r="B487" i="15"/>
  <c r="C487" i="15"/>
  <c r="D487" i="15"/>
  <c r="F487" i="15"/>
  <c r="G487" i="15"/>
  <c r="H487" i="15"/>
  <c r="I487" i="15"/>
  <c r="J487" i="15"/>
  <c r="L487" i="15"/>
  <c r="N487" i="15"/>
  <c r="P487" i="15"/>
  <c r="B488" i="15"/>
  <c r="C488" i="15"/>
  <c r="D488" i="15"/>
  <c r="F488" i="15"/>
  <c r="G488" i="15"/>
  <c r="H488" i="15"/>
  <c r="I488" i="15"/>
  <c r="J488" i="15"/>
  <c r="L488" i="15"/>
  <c r="N488" i="15"/>
  <c r="P488" i="15"/>
  <c r="B489" i="15"/>
  <c r="C489" i="15"/>
  <c r="D489" i="15"/>
  <c r="F489" i="15"/>
  <c r="G489" i="15"/>
  <c r="H489" i="15"/>
  <c r="I489" i="15"/>
  <c r="J489" i="15"/>
  <c r="L489" i="15"/>
  <c r="N489" i="15"/>
  <c r="P489" i="15"/>
  <c r="B490" i="15"/>
  <c r="C490" i="15"/>
  <c r="D490" i="15"/>
  <c r="F490" i="15"/>
  <c r="G490" i="15"/>
  <c r="H490" i="15"/>
  <c r="I490" i="15"/>
  <c r="J490" i="15"/>
  <c r="L490" i="15"/>
  <c r="N490" i="15"/>
  <c r="P490" i="15"/>
  <c r="B491" i="15"/>
  <c r="C491" i="15"/>
  <c r="D491" i="15"/>
  <c r="F491" i="15"/>
  <c r="G491" i="15"/>
  <c r="H491" i="15"/>
  <c r="I491" i="15"/>
  <c r="J491" i="15"/>
  <c r="L491" i="15"/>
  <c r="N491" i="15"/>
  <c r="P491" i="15"/>
  <c r="B492" i="15"/>
  <c r="C492" i="15"/>
  <c r="D492" i="15"/>
  <c r="F492" i="15"/>
  <c r="G492" i="15"/>
  <c r="H492" i="15"/>
  <c r="I492" i="15"/>
  <c r="J492" i="15"/>
  <c r="L492" i="15"/>
  <c r="N492" i="15"/>
  <c r="P492" i="15"/>
  <c r="B493" i="15"/>
  <c r="C493" i="15"/>
  <c r="D493" i="15"/>
  <c r="F493" i="15"/>
  <c r="G493" i="15"/>
  <c r="H493" i="15"/>
  <c r="I493" i="15"/>
  <c r="J493" i="15"/>
  <c r="L493" i="15"/>
  <c r="N493" i="15"/>
  <c r="P493" i="15"/>
  <c r="B494" i="15"/>
  <c r="C494" i="15"/>
  <c r="D494" i="15"/>
  <c r="F494" i="15"/>
  <c r="G494" i="15"/>
  <c r="H494" i="15"/>
  <c r="I494" i="15"/>
  <c r="J494" i="15"/>
  <c r="L494" i="15"/>
  <c r="N494" i="15"/>
  <c r="P494" i="15"/>
  <c r="B495" i="15"/>
  <c r="C495" i="15"/>
  <c r="D495" i="15"/>
  <c r="F495" i="15"/>
  <c r="G495" i="15"/>
  <c r="H495" i="15"/>
  <c r="I495" i="15"/>
  <c r="J495" i="15"/>
  <c r="L495" i="15"/>
  <c r="N495" i="15"/>
  <c r="P495" i="15"/>
  <c r="B496" i="15"/>
  <c r="C496" i="15"/>
  <c r="D496" i="15"/>
  <c r="F496" i="15"/>
  <c r="G496" i="15"/>
  <c r="H496" i="15"/>
  <c r="I496" i="15"/>
  <c r="J496" i="15"/>
  <c r="L496" i="15"/>
  <c r="N496" i="15"/>
  <c r="P496" i="15"/>
  <c r="B497" i="15"/>
  <c r="C497" i="15"/>
  <c r="D497" i="15"/>
  <c r="F497" i="15"/>
  <c r="G497" i="15"/>
  <c r="H497" i="15"/>
  <c r="I497" i="15"/>
  <c r="J497" i="15"/>
  <c r="L497" i="15"/>
  <c r="N497" i="15"/>
  <c r="P497" i="15"/>
  <c r="B498" i="15"/>
  <c r="C498" i="15"/>
  <c r="D498" i="15"/>
  <c r="F498" i="15"/>
  <c r="G498" i="15"/>
  <c r="H498" i="15"/>
  <c r="I498" i="15"/>
  <c r="J498" i="15"/>
  <c r="L498" i="15"/>
  <c r="N498" i="15"/>
  <c r="P498" i="15"/>
  <c r="B499" i="15"/>
  <c r="C499" i="15"/>
  <c r="D499" i="15"/>
  <c r="F499" i="15"/>
  <c r="G499" i="15"/>
  <c r="H499" i="15"/>
  <c r="I499" i="15"/>
  <c r="J499" i="15"/>
  <c r="L499" i="15"/>
  <c r="N499" i="15"/>
  <c r="P499" i="15"/>
  <c r="B500" i="15"/>
  <c r="C500" i="15"/>
  <c r="D500" i="15"/>
  <c r="F500" i="15"/>
  <c r="G500" i="15"/>
  <c r="H500" i="15"/>
  <c r="I500" i="15"/>
  <c r="J500" i="15"/>
  <c r="L500" i="15"/>
  <c r="N500" i="15"/>
  <c r="P500" i="15"/>
  <c r="B501" i="15"/>
  <c r="C501" i="15"/>
  <c r="D501" i="15"/>
  <c r="F501" i="15"/>
  <c r="G501" i="15"/>
  <c r="H501" i="15"/>
  <c r="I501" i="15"/>
  <c r="J501" i="15"/>
  <c r="L501" i="15"/>
  <c r="N501" i="15"/>
  <c r="P501" i="15"/>
  <c r="B502" i="15"/>
  <c r="C502" i="15"/>
  <c r="D502" i="15"/>
  <c r="F502" i="15"/>
  <c r="G502" i="15"/>
  <c r="H502" i="15"/>
  <c r="I502" i="15"/>
  <c r="J502" i="15"/>
  <c r="L502" i="15"/>
  <c r="N502" i="15"/>
  <c r="P502" i="15"/>
  <c r="F331" i="15"/>
  <c r="G331" i="15"/>
  <c r="H331" i="15"/>
  <c r="I331" i="15"/>
  <c r="J331" i="15"/>
  <c r="N331" i="15"/>
  <c r="F332" i="15"/>
  <c r="G332" i="15"/>
  <c r="H332" i="15"/>
  <c r="I332" i="15"/>
  <c r="J332" i="15"/>
  <c r="N332" i="15"/>
  <c r="F333" i="15"/>
  <c r="G333" i="15"/>
  <c r="H333" i="15"/>
  <c r="I333" i="15"/>
  <c r="J333" i="15"/>
  <c r="N333" i="15"/>
  <c r="F334" i="15"/>
  <c r="G334" i="15"/>
  <c r="H334" i="15"/>
  <c r="I334" i="15"/>
  <c r="J334" i="15"/>
  <c r="N334" i="15"/>
  <c r="F335" i="15"/>
  <c r="G335" i="15"/>
  <c r="H335" i="15"/>
  <c r="I335" i="15"/>
  <c r="J335" i="15"/>
  <c r="N335" i="15"/>
  <c r="F336" i="15"/>
  <c r="G336" i="15"/>
  <c r="H336" i="15"/>
  <c r="I336" i="15"/>
  <c r="J336" i="15"/>
  <c r="N336" i="15"/>
  <c r="F337" i="15"/>
  <c r="G337" i="15"/>
  <c r="H337" i="15"/>
  <c r="I337" i="15"/>
  <c r="J337" i="15"/>
  <c r="N337" i="15"/>
  <c r="F338" i="15"/>
  <c r="G338" i="15"/>
  <c r="H338" i="15"/>
  <c r="I338" i="15"/>
  <c r="J338" i="15"/>
  <c r="N338" i="15"/>
  <c r="F339" i="15"/>
  <c r="G339" i="15"/>
  <c r="H339" i="15"/>
  <c r="I339" i="15"/>
  <c r="J339" i="15"/>
  <c r="N339" i="15"/>
  <c r="B340" i="15"/>
  <c r="C340" i="15"/>
  <c r="D340" i="15"/>
  <c r="F340" i="15"/>
  <c r="G340" i="15"/>
  <c r="H340" i="15"/>
  <c r="I340" i="15"/>
  <c r="J340" i="15"/>
  <c r="L340" i="15"/>
  <c r="N340" i="15"/>
  <c r="B341" i="15"/>
  <c r="C341" i="15"/>
  <c r="D341" i="15"/>
  <c r="F341" i="15"/>
  <c r="G341" i="15"/>
  <c r="H341" i="15"/>
  <c r="I341" i="15"/>
  <c r="J341" i="15"/>
  <c r="L341" i="15"/>
  <c r="N341" i="15"/>
  <c r="B342" i="15"/>
  <c r="C342" i="15"/>
  <c r="D342" i="15"/>
  <c r="F342" i="15"/>
  <c r="G342" i="15"/>
  <c r="H342" i="15"/>
  <c r="I342" i="15"/>
  <c r="J342" i="15"/>
  <c r="L342" i="15"/>
  <c r="N342" i="15"/>
  <c r="B343" i="15"/>
  <c r="C343" i="15"/>
  <c r="D343" i="15"/>
  <c r="F343" i="15"/>
  <c r="G343" i="15"/>
  <c r="H343" i="15"/>
  <c r="I343" i="15"/>
  <c r="J343" i="15"/>
  <c r="L343" i="15"/>
  <c r="N343" i="15"/>
  <c r="B344" i="15"/>
  <c r="C344" i="15"/>
  <c r="D344" i="15"/>
  <c r="F344" i="15"/>
  <c r="G344" i="15"/>
  <c r="H344" i="15"/>
  <c r="I344" i="15"/>
  <c r="J344" i="15"/>
  <c r="L344" i="15"/>
  <c r="N344" i="15"/>
  <c r="B345" i="15"/>
  <c r="C345" i="15"/>
  <c r="D345" i="15"/>
  <c r="F345" i="15"/>
  <c r="G345" i="15"/>
  <c r="H345" i="15"/>
  <c r="I345" i="15"/>
  <c r="J345" i="15"/>
  <c r="L345" i="15"/>
  <c r="N345" i="15"/>
  <c r="N340" i="1"/>
  <c r="P340" i="15" s="1"/>
  <c r="N341" i="1"/>
  <c r="P341" i="15" s="1"/>
  <c r="N342" i="1"/>
  <c r="P342" i="15" s="1"/>
  <c r="N343" i="1"/>
  <c r="P343" i="15" s="1"/>
  <c r="N344" i="1"/>
  <c r="P344" i="15" s="1"/>
  <c r="N345" i="1"/>
  <c r="P345" i="15"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P331" i="15" s="1"/>
  <c r="N332" i="1"/>
  <c r="P332" i="15" s="1"/>
  <c r="N333" i="1"/>
  <c r="P333" i="15" s="1"/>
  <c r="N335" i="1"/>
  <c r="P335" i="15" s="1"/>
  <c r="N336" i="1"/>
  <c r="P336" i="15" s="1"/>
  <c r="N337" i="1"/>
  <c r="P337" i="15" s="1"/>
  <c r="N338" i="1"/>
  <c r="P338" i="15" s="1"/>
  <c r="N339" i="1"/>
  <c r="P339" i="15" s="1"/>
  <c r="N334" i="1"/>
  <c r="P334" i="15" s="1"/>
  <c r="N330" i="15"/>
  <c r="Q366" i="15" l="1"/>
  <c r="Q496" i="15"/>
  <c r="Q480" i="15"/>
  <c r="Q472" i="15"/>
  <c r="Q468" i="15"/>
  <c r="Q460" i="15"/>
  <c r="Q456" i="15"/>
  <c r="Q448" i="15"/>
  <c r="Q444" i="15"/>
  <c r="Q436" i="15"/>
  <c r="Q432" i="15"/>
  <c r="Q424" i="15"/>
  <c r="Q420" i="15"/>
  <c r="Q412" i="15"/>
  <c r="Q408" i="15"/>
  <c r="Q400" i="15"/>
  <c r="Q396" i="15"/>
  <c r="Q388" i="15"/>
  <c r="Q376" i="15"/>
  <c r="Q372" i="15"/>
  <c r="Q360" i="15"/>
  <c r="Q348" i="15"/>
  <c r="Q384" i="15"/>
  <c r="Q364" i="15"/>
  <c r="Q352" i="15"/>
  <c r="Q343" i="15"/>
  <c r="Q482" i="15"/>
  <c r="Q488" i="15"/>
  <c r="Q464" i="15"/>
  <c r="Q452" i="15"/>
  <c r="Q450" i="15"/>
  <c r="Q440" i="15"/>
  <c r="Q428" i="15"/>
  <c r="Q416" i="15"/>
  <c r="Q404" i="15"/>
  <c r="Q392" i="15"/>
  <c r="Q380" i="15"/>
  <c r="Q368" i="15"/>
  <c r="Q356" i="15"/>
  <c r="Q498" i="15"/>
  <c r="Q362" i="15"/>
  <c r="Q490" i="15"/>
  <c r="Q346" i="15"/>
  <c r="Q446" i="15"/>
  <c r="Q438" i="15"/>
  <c r="Q418" i="15"/>
  <c r="Q410" i="15"/>
  <c r="Q350" i="15"/>
  <c r="Q358" i="15"/>
  <c r="Q402" i="15"/>
  <c r="Q354" i="15"/>
  <c r="Q470" i="15"/>
  <c r="Q422" i="15"/>
  <c r="Q386" i="15"/>
  <c r="Q462" i="15"/>
  <c r="Q454" i="15"/>
  <c r="Q390" i="15"/>
  <c r="Q500" i="15"/>
  <c r="Q492" i="15"/>
  <c r="Q484" i="15"/>
  <c r="Q476" i="15"/>
  <c r="Q430" i="15"/>
  <c r="Q394" i="15"/>
  <c r="Q502" i="15"/>
  <c r="Q483" i="15"/>
  <c r="Q478" i="15"/>
  <c r="Q475" i="15"/>
  <c r="Q459" i="15"/>
  <c r="Q453" i="15"/>
  <c r="Q445" i="15"/>
  <c r="Q425" i="15"/>
  <c r="Q423" i="15"/>
  <c r="Q419" i="15"/>
  <c r="Q415" i="15"/>
  <c r="Q401" i="15"/>
  <c r="Q398" i="15"/>
  <c r="Q397" i="15"/>
  <c r="Q391" i="15"/>
  <c r="Q385" i="15"/>
  <c r="Q382" i="15"/>
  <c r="Q381" i="15"/>
  <c r="Q379" i="15"/>
  <c r="Q378" i="15"/>
  <c r="Q377" i="15"/>
  <c r="Q375" i="15"/>
  <c r="Q374" i="15"/>
  <c r="Q373" i="15"/>
  <c r="Q371" i="15"/>
  <c r="Q370" i="15"/>
  <c r="Q369" i="15"/>
  <c r="Q367" i="15"/>
  <c r="Q365" i="15"/>
  <c r="Q363" i="15"/>
  <c r="Q361" i="15"/>
  <c r="Q359" i="15"/>
  <c r="Q357" i="15"/>
  <c r="Q355" i="15"/>
  <c r="Q353" i="15"/>
  <c r="Q351" i="15"/>
  <c r="Q349" i="15"/>
  <c r="Q347" i="15"/>
  <c r="Q344" i="15"/>
  <c r="Q342" i="15"/>
  <c r="Q340" i="15"/>
  <c r="Q495" i="15"/>
  <c r="Q486" i="15"/>
  <c r="Q466" i="15"/>
  <c r="Q463" i="15"/>
  <c r="Q442" i="15"/>
  <c r="Q441" i="15"/>
  <c r="Q437" i="15"/>
  <c r="Q434" i="15"/>
  <c r="Q433" i="15"/>
  <c r="Q426" i="15"/>
  <c r="Q409" i="15"/>
  <c r="Q407" i="15"/>
  <c r="Q403" i="15"/>
  <c r="Q393" i="15"/>
  <c r="Q387" i="15"/>
  <c r="Q345" i="15"/>
  <c r="Q341" i="15"/>
  <c r="Q501" i="15"/>
  <c r="Q497" i="15"/>
  <c r="Q493" i="15"/>
  <c r="Q489" i="15"/>
  <c r="Q485" i="15"/>
  <c r="Q481" i="15"/>
  <c r="Q477" i="15"/>
  <c r="Q473" i="15"/>
  <c r="Q469" i="15"/>
  <c r="Q465" i="15"/>
  <c r="Q499" i="15"/>
  <c r="Q494" i="15"/>
  <c r="Q491" i="15"/>
  <c r="Q487" i="15"/>
  <c r="Q479" i="15"/>
  <c r="Q474" i="15"/>
  <c r="Q471" i="15"/>
  <c r="Q467" i="15"/>
  <c r="Q461" i="15"/>
  <c r="Q458" i="15"/>
  <c r="Q457" i="15"/>
  <c r="Q455" i="15"/>
  <c r="Q451" i="15"/>
  <c r="Q449" i="15"/>
  <c r="Q447" i="15"/>
  <c r="Q443" i="15"/>
  <c r="Q439" i="15"/>
  <c r="Q435" i="15"/>
  <c r="Q431" i="15"/>
  <c r="Q429" i="15"/>
  <c r="Q427" i="15"/>
  <c r="Q421" i="15"/>
  <c r="Q417" i="15"/>
  <c r="Q414" i="15"/>
  <c r="Q413" i="15"/>
  <c r="Q411" i="15"/>
  <c r="Q406" i="15"/>
  <c r="Q405" i="15"/>
  <c r="Q399" i="15"/>
  <c r="Q395" i="15"/>
  <c r="Q389" i="15"/>
  <c r="Q383" i="15"/>
  <c r="A344" i="7"/>
  <c r="B344" i="7"/>
  <c r="C344" i="7"/>
  <c r="D344" i="7"/>
  <c r="E344" i="7"/>
  <c r="F344" i="7"/>
  <c r="G344" i="7"/>
  <c r="H344" i="7"/>
  <c r="I344" i="7"/>
  <c r="J344" i="7"/>
  <c r="K344" i="7"/>
  <c r="L344" i="7"/>
  <c r="M344" i="7"/>
  <c r="N344" i="7"/>
  <c r="O344" i="7"/>
  <c r="P344" i="7"/>
  <c r="R344" i="7"/>
  <c r="A345" i="7"/>
  <c r="B345" i="7"/>
  <c r="C345" i="7"/>
  <c r="D345" i="7"/>
  <c r="E345" i="7"/>
  <c r="F345" i="7"/>
  <c r="G345" i="7"/>
  <c r="H345" i="7"/>
  <c r="I345" i="7"/>
  <c r="J345" i="7"/>
  <c r="K345" i="7"/>
  <c r="L345" i="7"/>
  <c r="M345" i="7"/>
  <c r="N345" i="7"/>
  <c r="O345" i="7"/>
  <c r="P345" i="7"/>
  <c r="R345" i="7"/>
  <c r="A346" i="7"/>
  <c r="B346" i="7"/>
  <c r="C346" i="7"/>
  <c r="D346" i="7"/>
  <c r="E346" i="7"/>
  <c r="F346" i="7"/>
  <c r="G346" i="7"/>
  <c r="H346" i="7"/>
  <c r="I346" i="7"/>
  <c r="J346" i="7"/>
  <c r="K346" i="7"/>
  <c r="L346" i="7"/>
  <c r="M346" i="7"/>
  <c r="N346" i="7"/>
  <c r="O346" i="7"/>
  <c r="P346" i="7"/>
  <c r="R346" i="7"/>
  <c r="A347" i="7"/>
  <c r="B347" i="7"/>
  <c r="C347" i="7"/>
  <c r="D347" i="7"/>
  <c r="E347" i="7"/>
  <c r="F347" i="7"/>
  <c r="G347" i="7"/>
  <c r="H347" i="7"/>
  <c r="I347" i="7"/>
  <c r="J347" i="7"/>
  <c r="K347" i="7"/>
  <c r="L347" i="7"/>
  <c r="M347" i="7"/>
  <c r="N347" i="7"/>
  <c r="O347" i="7"/>
  <c r="P347" i="7"/>
  <c r="R347" i="7"/>
  <c r="A348" i="7"/>
  <c r="B348" i="7"/>
  <c r="C348" i="7"/>
  <c r="D348" i="7"/>
  <c r="E348" i="7"/>
  <c r="F348" i="7"/>
  <c r="G348" i="7"/>
  <c r="H348" i="7"/>
  <c r="I348" i="7"/>
  <c r="J348" i="7"/>
  <c r="K348" i="7"/>
  <c r="L348" i="7"/>
  <c r="M348" i="7"/>
  <c r="N348" i="7"/>
  <c r="O348" i="7"/>
  <c r="P348" i="7"/>
  <c r="R348" i="7"/>
  <c r="A349" i="7"/>
  <c r="B349" i="7"/>
  <c r="C349" i="7"/>
  <c r="D349" i="7"/>
  <c r="E349" i="7"/>
  <c r="F349" i="7"/>
  <c r="G349" i="7"/>
  <c r="H349" i="7"/>
  <c r="I349" i="7"/>
  <c r="J349" i="7"/>
  <c r="K349" i="7"/>
  <c r="L349" i="7"/>
  <c r="M349" i="7"/>
  <c r="N349" i="7"/>
  <c r="O349" i="7"/>
  <c r="P349" i="7"/>
  <c r="Q349" i="7"/>
  <c r="R349" i="7"/>
  <c r="A339" i="7"/>
  <c r="B339" i="7"/>
  <c r="C339" i="7"/>
  <c r="D339" i="7"/>
  <c r="E339" i="7"/>
  <c r="F339" i="7"/>
  <c r="O339" i="7"/>
  <c r="P339" i="7"/>
  <c r="R339" i="7"/>
  <c r="A340" i="7"/>
  <c r="B340" i="7"/>
  <c r="C340" i="7"/>
  <c r="D340" i="7"/>
  <c r="E340" i="7"/>
  <c r="F340" i="7"/>
  <c r="G340" i="7"/>
  <c r="H340" i="7"/>
  <c r="I340" i="7"/>
  <c r="J340" i="7"/>
  <c r="K340" i="7"/>
  <c r="L340" i="7"/>
  <c r="M340" i="7"/>
  <c r="N340" i="7"/>
  <c r="O340" i="7"/>
  <c r="P340" i="7"/>
  <c r="R340" i="7"/>
  <c r="A341" i="7"/>
  <c r="B341" i="7"/>
  <c r="C341" i="7"/>
  <c r="D341" i="7"/>
  <c r="E341" i="7"/>
  <c r="F341" i="7"/>
  <c r="G341" i="7"/>
  <c r="H341" i="7"/>
  <c r="I341" i="7"/>
  <c r="J341" i="7"/>
  <c r="K341" i="7"/>
  <c r="L341" i="7"/>
  <c r="M341" i="7"/>
  <c r="N341" i="7"/>
  <c r="O341" i="7"/>
  <c r="P341" i="7"/>
  <c r="R341" i="7"/>
  <c r="A342" i="7"/>
  <c r="B342" i="7"/>
  <c r="C342" i="7"/>
  <c r="D342" i="7"/>
  <c r="E342" i="7"/>
  <c r="F342" i="7"/>
  <c r="G342" i="7"/>
  <c r="H342" i="7"/>
  <c r="I342" i="7"/>
  <c r="J342" i="7"/>
  <c r="K342" i="7"/>
  <c r="L342" i="7"/>
  <c r="M342" i="7"/>
  <c r="N342" i="7"/>
  <c r="O342" i="7"/>
  <c r="P342" i="7"/>
  <c r="R342" i="7"/>
  <c r="A343" i="7"/>
  <c r="B343" i="7"/>
  <c r="C343" i="7"/>
  <c r="D343" i="7"/>
  <c r="E343" i="7"/>
  <c r="F343" i="7"/>
  <c r="G343" i="7"/>
  <c r="H343" i="7"/>
  <c r="I343" i="7"/>
  <c r="J343" i="7"/>
  <c r="K343" i="7"/>
  <c r="L343" i="7"/>
  <c r="M343" i="7"/>
  <c r="N343" i="7"/>
  <c r="O343" i="7"/>
  <c r="P343" i="7"/>
  <c r="R343" i="7"/>
  <c r="A335" i="7"/>
  <c r="B335" i="7"/>
  <c r="C335" i="7"/>
  <c r="D335" i="7"/>
  <c r="E335" i="7"/>
  <c r="F335" i="7"/>
  <c r="O335" i="7"/>
  <c r="P335" i="7"/>
  <c r="R335" i="7"/>
  <c r="A336" i="7"/>
  <c r="B336" i="7"/>
  <c r="C336" i="7"/>
  <c r="D336" i="7"/>
  <c r="E336" i="7"/>
  <c r="F336" i="7"/>
  <c r="O336" i="7"/>
  <c r="P336" i="7"/>
  <c r="R336" i="7"/>
  <c r="A337" i="7"/>
  <c r="B337" i="7"/>
  <c r="C337" i="7"/>
  <c r="D337" i="7"/>
  <c r="E337" i="7"/>
  <c r="F337" i="7"/>
  <c r="O337" i="7"/>
  <c r="P337" i="7"/>
  <c r="R337" i="7"/>
  <c r="A338" i="7"/>
  <c r="B338" i="7"/>
  <c r="C338" i="7"/>
  <c r="D338" i="7"/>
  <c r="E338" i="7"/>
  <c r="F338" i="7"/>
  <c r="O338" i="7"/>
  <c r="P338" i="7"/>
  <c r="R338" i="7"/>
  <c r="R333" i="1" l="1"/>
  <c r="B333" i="15" s="1"/>
  <c r="S333" i="1"/>
  <c r="T333" i="1"/>
  <c r="D333" i="15" s="1"/>
  <c r="R334" i="1"/>
  <c r="B334" i="15" s="1"/>
  <c r="S334" i="1"/>
  <c r="C334" i="15" s="1"/>
  <c r="T334" i="1"/>
  <c r="D334" i="15" s="1"/>
  <c r="R335" i="1"/>
  <c r="B335" i="15" s="1"/>
  <c r="S335" i="1"/>
  <c r="C335" i="15" s="1"/>
  <c r="T335" i="1"/>
  <c r="D335" i="15" s="1"/>
  <c r="R336" i="1"/>
  <c r="B336" i="15" s="1"/>
  <c r="S336" i="1"/>
  <c r="C336" i="15" s="1"/>
  <c r="T336" i="1"/>
  <c r="D336" i="15" s="1"/>
  <c r="R337" i="1"/>
  <c r="B337" i="15" s="1"/>
  <c r="S337" i="1"/>
  <c r="T337" i="1"/>
  <c r="D337" i="15" s="1"/>
  <c r="R338" i="1"/>
  <c r="B338" i="15" s="1"/>
  <c r="S338" i="1"/>
  <c r="C338" i="15" s="1"/>
  <c r="T338" i="1"/>
  <c r="D338" i="15" s="1"/>
  <c r="R339" i="1"/>
  <c r="B339" i="15" s="1"/>
  <c r="S339" i="1"/>
  <c r="C339" i="15" s="1"/>
  <c r="T339" i="1"/>
  <c r="D339" i="15" s="1"/>
  <c r="AA333" i="1"/>
  <c r="L333" i="15" s="1"/>
  <c r="AA334" i="1"/>
  <c r="L334" i="15" s="1"/>
  <c r="AA335" i="1"/>
  <c r="AA336" i="1"/>
  <c r="AA337" i="1"/>
  <c r="AA338" i="1"/>
  <c r="AA339" i="1"/>
  <c r="AA331" i="1"/>
  <c r="L331" i="15" s="1"/>
  <c r="AA332" i="1"/>
  <c r="L332" i="15" s="1"/>
  <c r="R331" i="1"/>
  <c r="B331" i="15" s="1"/>
  <c r="S331" i="1"/>
  <c r="C331" i="15" s="1"/>
  <c r="T331" i="1"/>
  <c r="D331" i="15" s="1"/>
  <c r="R332" i="1"/>
  <c r="B332" i="15" s="1"/>
  <c r="S332" i="1"/>
  <c r="C332" i="15" s="1"/>
  <c r="T332" i="1"/>
  <c r="D332" i="15" s="1"/>
  <c r="B330" i="1"/>
  <c r="B331" i="1"/>
  <c r="B332" i="1"/>
  <c r="B333" i="1"/>
  <c r="B334" i="1"/>
  <c r="B335" i="1"/>
  <c r="B336" i="1"/>
  <c r="B337" i="1"/>
  <c r="B338" i="1"/>
  <c r="B339" i="1"/>
  <c r="AA330" i="1"/>
  <c r="R330" i="1"/>
  <c r="S330" i="1"/>
  <c r="T330" i="1"/>
  <c r="R327" i="1"/>
  <c r="S327" i="1"/>
  <c r="T327" i="1"/>
  <c r="R328" i="1"/>
  <c r="S328" i="1"/>
  <c r="T328" i="1"/>
  <c r="R329" i="1"/>
  <c r="S329" i="1"/>
  <c r="T329" i="1"/>
  <c r="AA329" i="1"/>
  <c r="B329" i="1"/>
  <c r="AA328" i="1"/>
  <c r="AA327" i="1"/>
  <c r="B328" i="1"/>
  <c r="B327" i="1"/>
  <c r="Q332" i="15" l="1"/>
  <c r="L339" i="7"/>
  <c r="L339" i="15"/>
  <c r="Q331" i="15"/>
  <c r="L338" i="7"/>
  <c r="L338" i="15"/>
  <c r="Q338" i="15" s="1"/>
  <c r="Q339" i="15"/>
  <c r="L337" i="7"/>
  <c r="L337" i="15"/>
  <c r="V337" i="1"/>
  <c r="M337" i="7" s="1"/>
  <c r="C337" i="15"/>
  <c r="X333" i="1"/>
  <c r="C333" i="15"/>
  <c r="L336" i="7"/>
  <c r="L336" i="15"/>
  <c r="Q336" i="15" s="1"/>
  <c r="Q333" i="15"/>
  <c r="L335" i="7"/>
  <c r="L335" i="15"/>
  <c r="Q335" i="15" s="1"/>
  <c r="Q334" i="15"/>
  <c r="V338" i="1"/>
  <c r="M338" i="7" s="1"/>
  <c r="V333" i="1"/>
  <c r="Y335" i="1"/>
  <c r="J335" i="7" s="1"/>
  <c r="Z334" i="1"/>
  <c r="W333" i="1"/>
  <c r="Y333" i="1"/>
  <c r="Z333" i="1"/>
  <c r="Y328" i="1"/>
  <c r="W335" i="1"/>
  <c r="N335" i="7" s="1"/>
  <c r="W332" i="1"/>
  <c r="Z335" i="1"/>
  <c r="K335" i="7" s="1"/>
  <c r="Z328" i="1"/>
  <c r="X335" i="1"/>
  <c r="I335" i="7" s="1"/>
  <c r="V335" i="1"/>
  <c r="M335" i="7" s="1"/>
  <c r="X338" i="1"/>
  <c r="I338" i="7" s="1"/>
  <c r="Y334" i="1"/>
  <c r="Z338" i="1"/>
  <c r="K338" i="7" s="1"/>
  <c r="Y338" i="1"/>
  <c r="J338" i="7" s="1"/>
  <c r="Y329" i="1"/>
  <c r="O331" i="1"/>
  <c r="O336" i="1"/>
  <c r="G336" i="7" s="1"/>
  <c r="W338" i="1"/>
  <c r="N338" i="7" s="1"/>
  <c r="X332" i="1"/>
  <c r="U336" i="1"/>
  <c r="V339" i="1"/>
  <c r="M339" i="7" s="1"/>
  <c r="Z332" i="1"/>
  <c r="U338" i="1"/>
  <c r="Y332" i="1"/>
  <c r="Z336" i="1"/>
  <c r="K336" i="7" s="1"/>
  <c r="Y336" i="1"/>
  <c r="J336" i="7" s="1"/>
  <c r="U334" i="1"/>
  <c r="X336" i="1"/>
  <c r="I336" i="7" s="1"/>
  <c r="Z329" i="1"/>
  <c r="W336" i="1"/>
  <c r="N336" i="7" s="1"/>
  <c r="U337" i="1"/>
  <c r="V332" i="1"/>
  <c r="V336" i="1"/>
  <c r="M336" i="7" s="1"/>
  <c r="Y331" i="1"/>
  <c r="W337" i="1"/>
  <c r="N337" i="7" s="1"/>
  <c r="U339" i="1"/>
  <c r="O327" i="1"/>
  <c r="AC327" i="1" s="1"/>
  <c r="X331" i="1"/>
  <c r="Z331" i="1"/>
  <c r="O332" i="1"/>
  <c r="Q332" i="1" s="1"/>
  <c r="O328" i="1"/>
  <c r="AC328" i="1" s="1"/>
  <c r="W331" i="1"/>
  <c r="V331" i="1"/>
  <c r="U335" i="1"/>
  <c r="Z327" i="1"/>
  <c r="O338" i="1"/>
  <c r="Q338" i="1" s="1"/>
  <c r="H338" i="7" s="1"/>
  <c r="O335" i="1"/>
  <c r="G335" i="7" s="1"/>
  <c r="X337" i="1"/>
  <c r="I337" i="7" s="1"/>
  <c r="O337" i="1"/>
  <c r="G337" i="7" s="1"/>
  <c r="O329" i="1"/>
  <c r="AC329" i="1" s="1"/>
  <c r="O330" i="1"/>
  <c r="P330" i="1" s="1"/>
  <c r="W339" i="1"/>
  <c r="N339" i="7" s="1"/>
  <c r="O333" i="1"/>
  <c r="Q333" i="1" s="1"/>
  <c r="W334" i="1"/>
  <c r="O334" i="1"/>
  <c r="X334" i="1"/>
  <c r="V334" i="1"/>
  <c r="O339" i="1"/>
  <c r="G339" i="7" s="1"/>
  <c r="U333" i="1"/>
  <c r="Z339" i="1"/>
  <c r="K339" i="7" s="1"/>
  <c r="Z337" i="1"/>
  <c r="K337" i="7" s="1"/>
  <c r="Y337" i="1"/>
  <c r="J337" i="7" s="1"/>
  <c r="Y339" i="1"/>
  <c r="J339" i="7" s="1"/>
  <c r="X339" i="1"/>
  <c r="I339" i="7" s="1"/>
  <c r="P331" i="1"/>
  <c r="Q331" i="1"/>
  <c r="U332" i="1"/>
  <c r="U331" i="1"/>
  <c r="Z330" i="1"/>
  <c r="X330" i="1"/>
  <c r="Y330" i="1"/>
  <c r="U330" i="1"/>
  <c r="W330" i="1"/>
  <c r="V330" i="1"/>
  <c r="Y327" i="1"/>
  <c r="X327" i="1"/>
  <c r="X329" i="1"/>
  <c r="W327" i="1"/>
  <c r="W329" i="1"/>
  <c r="V329" i="1"/>
  <c r="V328" i="1"/>
  <c r="V327" i="1"/>
  <c r="X328" i="1"/>
  <c r="W328" i="1"/>
  <c r="U329" i="1"/>
  <c r="U328" i="1"/>
  <c r="U327" i="1"/>
  <c r="Q337" i="15" l="1"/>
  <c r="Q329" i="1"/>
  <c r="P329" i="1"/>
  <c r="P336" i="1"/>
  <c r="P332" i="1"/>
  <c r="Q335" i="1"/>
  <c r="H335" i="7" s="1"/>
  <c r="P335" i="1"/>
  <c r="Q328" i="1"/>
  <c r="P328" i="1"/>
  <c r="Q336" i="1"/>
  <c r="H336" i="7" s="1"/>
  <c r="P333" i="1"/>
  <c r="Q337" i="1"/>
  <c r="H337" i="7" s="1"/>
  <c r="Q327" i="1"/>
  <c r="P327" i="1"/>
  <c r="Q330" i="1"/>
  <c r="P337" i="1"/>
  <c r="P338" i="1"/>
  <c r="G338" i="7"/>
  <c r="P334" i="1"/>
  <c r="Q334" i="1"/>
  <c r="P339" i="1"/>
  <c r="Q339" i="1"/>
  <c r="H339" i="7" s="1"/>
  <c r="P327" i="15" l="1"/>
  <c r="P328" i="15"/>
  <c r="P329" i="15"/>
  <c r="P330" i="15"/>
  <c r="P3" i="15" l="1"/>
  <c r="P4" i="15"/>
  <c r="P5" i="15"/>
  <c r="P6" i="15"/>
  <c r="P7"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07" i="15"/>
  <c r="P208" i="15"/>
  <c r="P209" i="15"/>
  <c r="P210" i="15"/>
  <c r="P211" i="15"/>
  <c r="P212" i="15"/>
  <c r="P213" i="15"/>
  <c r="P214" i="15"/>
  <c r="P215" i="15"/>
  <c r="P216" i="15"/>
  <c r="P217" i="15"/>
  <c r="P218" i="15"/>
  <c r="P219" i="15"/>
  <c r="P220" i="15"/>
  <c r="P221" i="15"/>
  <c r="P222" i="15"/>
  <c r="P223" i="15"/>
  <c r="P224" i="15"/>
  <c r="P225" i="15"/>
  <c r="P226" i="15"/>
  <c r="P227" i="15"/>
  <c r="P228" i="15"/>
  <c r="P229" i="15"/>
  <c r="P230" i="15"/>
  <c r="P231" i="15"/>
  <c r="P232" i="15"/>
  <c r="P233" i="15"/>
  <c r="P234" i="15"/>
  <c r="P235" i="15"/>
  <c r="P236" i="15"/>
  <c r="P237" i="15"/>
  <c r="P238" i="15"/>
  <c r="P239" i="15"/>
  <c r="P240" i="15"/>
  <c r="P241" i="15"/>
  <c r="P242" i="15"/>
  <c r="P243" i="15"/>
  <c r="P244" i="15"/>
  <c r="P245" i="15"/>
  <c r="P246" i="15"/>
  <c r="P247" i="15"/>
  <c r="P248" i="15"/>
  <c r="P249" i="15"/>
  <c r="P250" i="15"/>
  <c r="P251" i="15"/>
  <c r="P252" i="15"/>
  <c r="P253" i="15"/>
  <c r="P254" i="15"/>
  <c r="P255" i="15"/>
  <c r="P256" i="15"/>
  <c r="P257" i="15"/>
  <c r="P258" i="15"/>
  <c r="P259" i="15"/>
  <c r="P260" i="15"/>
  <c r="P261" i="15"/>
  <c r="P262" i="15"/>
  <c r="P263" i="15"/>
  <c r="P264" i="15"/>
  <c r="P265" i="15"/>
  <c r="P266" i="15"/>
  <c r="P267" i="15"/>
  <c r="P268" i="15"/>
  <c r="P269" i="15"/>
  <c r="P270" i="15"/>
  <c r="P271" i="15"/>
  <c r="P272" i="15"/>
  <c r="P273" i="15"/>
  <c r="P274" i="15"/>
  <c r="P275" i="15"/>
  <c r="P276" i="15"/>
  <c r="P277" i="15"/>
  <c r="P278" i="15"/>
  <c r="P279" i="15"/>
  <c r="P280" i="15"/>
  <c r="P281" i="15"/>
  <c r="P282" i="15"/>
  <c r="P283" i="15"/>
  <c r="P284" i="15"/>
  <c r="P285" i="15"/>
  <c r="P286" i="15"/>
  <c r="P287" i="15"/>
  <c r="P288" i="15"/>
  <c r="P289" i="15"/>
  <c r="P290" i="15"/>
  <c r="P291" i="15"/>
  <c r="P292" i="15"/>
  <c r="P293" i="15"/>
  <c r="P294" i="15"/>
  <c r="P295" i="15"/>
  <c r="P296" i="15"/>
  <c r="P297" i="15"/>
  <c r="P298" i="15"/>
  <c r="P299" i="15"/>
  <c r="P300" i="15"/>
  <c r="P301" i="15"/>
  <c r="P302" i="15"/>
  <c r="P303" i="15"/>
  <c r="P304" i="15"/>
  <c r="P305" i="15"/>
  <c r="P306" i="15"/>
  <c r="P307" i="15"/>
  <c r="P308" i="15"/>
  <c r="P309" i="15"/>
  <c r="P310" i="15"/>
  <c r="P311" i="15"/>
  <c r="P312" i="15"/>
  <c r="P313" i="15"/>
  <c r="P314" i="15"/>
  <c r="P315" i="15"/>
  <c r="P316" i="15"/>
  <c r="P317" i="15"/>
  <c r="P318" i="15"/>
  <c r="P319" i="15"/>
  <c r="P320" i="15"/>
  <c r="P321" i="15"/>
  <c r="P322" i="15"/>
  <c r="P323" i="15"/>
  <c r="P324" i="15"/>
  <c r="P325" i="15"/>
  <c r="P326" i="15"/>
  <c r="P2" i="15"/>
  <c r="D330" i="15"/>
  <c r="C330" i="15"/>
  <c r="B330" i="15"/>
  <c r="D329" i="15"/>
  <c r="C329" i="15"/>
  <c r="B329" i="15"/>
  <c r="D328" i="15"/>
  <c r="C328" i="15"/>
  <c r="B328" i="15"/>
  <c r="D327" i="15"/>
  <c r="C327" i="15"/>
  <c r="B327" i="15"/>
  <c r="L330" i="15"/>
  <c r="J330" i="15"/>
  <c r="I330" i="15"/>
  <c r="H330" i="15"/>
  <c r="G330" i="15"/>
  <c r="F330" i="15"/>
  <c r="N329" i="15"/>
  <c r="L329" i="15"/>
  <c r="J329" i="15"/>
  <c r="I329" i="15"/>
  <c r="H329" i="15"/>
  <c r="G329" i="15"/>
  <c r="F329" i="15"/>
  <c r="N328" i="15"/>
  <c r="L328" i="15"/>
  <c r="J328" i="15"/>
  <c r="I328" i="15"/>
  <c r="H328" i="15"/>
  <c r="G328" i="15"/>
  <c r="F328" i="15"/>
  <c r="N327" i="15"/>
  <c r="L327" i="15"/>
  <c r="J327" i="15"/>
  <c r="I327" i="15"/>
  <c r="H327" i="15"/>
  <c r="G327" i="15"/>
  <c r="F327" i="15"/>
  <c r="N326" i="15"/>
  <c r="J326" i="15"/>
  <c r="I326" i="15"/>
  <c r="H326" i="15"/>
  <c r="G326" i="15"/>
  <c r="F326" i="15"/>
  <c r="N325" i="15"/>
  <c r="J325" i="15"/>
  <c r="I325" i="15"/>
  <c r="H325" i="15"/>
  <c r="G325" i="15"/>
  <c r="F325" i="15"/>
  <c r="Q330" i="15" l="1"/>
  <c r="Q329" i="15"/>
  <c r="Q328" i="15"/>
  <c r="Q327" i="15"/>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 i="7"/>
  <c r="A333" i="7" l="1"/>
  <c r="B333" i="7"/>
  <c r="C333" i="7"/>
  <c r="D333" i="7"/>
  <c r="E333" i="7"/>
  <c r="F333" i="7"/>
  <c r="G333" i="7"/>
  <c r="H333" i="7"/>
  <c r="I333" i="7"/>
  <c r="J333" i="7"/>
  <c r="K333" i="7"/>
  <c r="L333" i="7"/>
  <c r="M333" i="7"/>
  <c r="N333" i="7"/>
  <c r="P333" i="7"/>
  <c r="R333" i="7"/>
  <c r="A334" i="7"/>
  <c r="B334" i="7"/>
  <c r="C334" i="7"/>
  <c r="D334" i="7"/>
  <c r="E334" i="7"/>
  <c r="F334" i="7"/>
  <c r="G334" i="7"/>
  <c r="H334" i="7"/>
  <c r="I334" i="7"/>
  <c r="J334" i="7"/>
  <c r="K334" i="7"/>
  <c r="L334" i="7"/>
  <c r="M334" i="7"/>
  <c r="N334" i="7"/>
  <c r="P334" i="7"/>
  <c r="R334" i="7"/>
  <c r="A324" i="7"/>
  <c r="B324" i="7"/>
  <c r="C324" i="7"/>
  <c r="D324" i="7"/>
  <c r="E324" i="7"/>
  <c r="F324" i="7"/>
  <c r="P324" i="7"/>
  <c r="R324" i="7"/>
  <c r="A325" i="7"/>
  <c r="B325" i="7"/>
  <c r="C325" i="7"/>
  <c r="D325" i="7"/>
  <c r="E325" i="7"/>
  <c r="F325" i="7"/>
  <c r="P325" i="7"/>
  <c r="R325" i="7"/>
  <c r="A326" i="7"/>
  <c r="B326" i="7"/>
  <c r="C326" i="7"/>
  <c r="D326" i="7"/>
  <c r="E326" i="7"/>
  <c r="F326" i="7"/>
  <c r="P326" i="7"/>
  <c r="R326" i="7"/>
  <c r="A327" i="7"/>
  <c r="B327" i="7"/>
  <c r="C327" i="7"/>
  <c r="D327" i="7"/>
  <c r="E327" i="7"/>
  <c r="F327" i="7"/>
  <c r="G327" i="7"/>
  <c r="H327" i="7"/>
  <c r="I327" i="7"/>
  <c r="J327" i="7"/>
  <c r="K327" i="7"/>
  <c r="L327" i="7"/>
  <c r="M327" i="7"/>
  <c r="N327" i="7"/>
  <c r="P327" i="7"/>
  <c r="R327" i="7"/>
  <c r="A328" i="7"/>
  <c r="B328" i="7"/>
  <c r="C328" i="7"/>
  <c r="D328" i="7"/>
  <c r="E328" i="7"/>
  <c r="F328" i="7"/>
  <c r="G328" i="7"/>
  <c r="H328" i="7"/>
  <c r="I328" i="7"/>
  <c r="J328" i="7"/>
  <c r="K328" i="7"/>
  <c r="L328" i="7"/>
  <c r="M328" i="7"/>
  <c r="N328" i="7"/>
  <c r="P328" i="7"/>
  <c r="R328" i="7"/>
  <c r="A329" i="7"/>
  <c r="B329" i="7"/>
  <c r="C329" i="7"/>
  <c r="D329" i="7"/>
  <c r="E329" i="7"/>
  <c r="F329" i="7"/>
  <c r="G329" i="7"/>
  <c r="H329" i="7"/>
  <c r="I329" i="7"/>
  <c r="J329" i="7"/>
  <c r="K329" i="7"/>
  <c r="L329" i="7"/>
  <c r="M329" i="7"/>
  <c r="N329" i="7"/>
  <c r="P329" i="7"/>
  <c r="R329" i="7"/>
  <c r="A330" i="7"/>
  <c r="B330" i="7"/>
  <c r="C330" i="7"/>
  <c r="D330" i="7"/>
  <c r="E330" i="7"/>
  <c r="F330" i="7"/>
  <c r="G330" i="7"/>
  <c r="H330" i="7"/>
  <c r="I330" i="7"/>
  <c r="J330" i="7"/>
  <c r="K330" i="7"/>
  <c r="L330" i="7"/>
  <c r="M330" i="7"/>
  <c r="N330" i="7"/>
  <c r="P330" i="7"/>
  <c r="R330" i="7"/>
  <c r="A331" i="7"/>
  <c r="B331" i="7"/>
  <c r="C331" i="7"/>
  <c r="D331" i="7"/>
  <c r="E331" i="7"/>
  <c r="F331" i="7"/>
  <c r="G331" i="7"/>
  <c r="H331" i="7"/>
  <c r="I331" i="7"/>
  <c r="J331" i="7"/>
  <c r="K331" i="7"/>
  <c r="L331" i="7"/>
  <c r="M331" i="7"/>
  <c r="N331" i="7"/>
  <c r="P331" i="7"/>
  <c r="R331" i="7"/>
  <c r="A332" i="7"/>
  <c r="B332" i="7"/>
  <c r="C332" i="7"/>
  <c r="D332" i="7"/>
  <c r="E332" i="7"/>
  <c r="F332" i="7"/>
  <c r="G332" i="7"/>
  <c r="H332" i="7"/>
  <c r="I332" i="7"/>
  <c r="J332" i="7"/>
  <c r="K332" i="7"/>
  <c r="L332" i="7"/>
  <c r="M332" i="7"/>
  <c r="N332" i="7"/>
  <c r="P332" i="7"/>
  <c r="R332"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2" i="7"/>
  <c r="F324" i="15" l="1"/>
  <c r="G324" i="15"/>
  <c r="H324" i="15"/>
  <c r="I324" i="15"/>
  <c r="J324" i="15"/>
  <c r="N324" i="15"/>
  <c r="F3" i="15"/>
  <c r="G3" i="15"/>
  <c r="H3" i="15"/>
  <c r="I3" i="15"/>
  <c r="J3" i="15"/>
  <c r="F4" i="15"/>
  <c r="G4" i="15"/>
  <c r="H4" i="15"/>
  <c r="I4" i="15"/>
  <c r="J4" i="15"/>
  <c r="F5" i="15"/>
  <c r="G5" i="15"/>
  <c r="H5" i="15"/>
  <c r="I5" i="15"/>
  <c r="J5" i="15"/>
  <c r="F6" i="15"/>
  <c r="G6" i="15"/>
  <c r="H6" i="15"/>
  <c r="I6" i="15"/>
  <c r="J6" i="15"/>
  <c r="F7" i="15"/>
  <c r="G7" i="15"/>
  <c r="H7" i="15"/>
  <c r="I7" i="15"/>
  <c r="J7" i="15"/>
  <c r="F8" i="15"/>
  <c r="G8" i="15"/>
  <c r="H8" i="15"/>
  <c r="I8" i="15"/>
  <c r="J8" i="15"/>
  <c r="F9" i="15"/>
  <c r="G9" i="15"/>
  <c r="H9" i="15"/>
  <c r="I9" i="15"/>
  <c r="J9" i="15"/>
  <c r="F10" i="15"/>
  <c r="G10" i="15"/>
  <c r="H10" i="15"/>
  <c r="I10" i="15"/>
  <c r="J10" i="15"/>
  <c r="F11" i="15"/>
  <c r="G11" i="15"/>
  <c r="H11" i="15"/>
  <c r="I11" i="15"/>
  <c r="J11" i="15"/>
  <c r="F12" i="15"/>
  <c r="G12" i="15"/>
  <c r="H12" i="15"/>
  <c r="I12" i="15"/>
  <c r="J12" i="15"/>
  <c r="F13" i="15"/>
  <c r="G13" i="15"/>
  <c r="H13" i="15"/>
  <c r="I13" i="15"/>
  <c r="J13" i="15"/>
  <c r="F14" i="15"/>
  <c r="G14" i="15"/>
  <c r="H14" i="15"/>
  <c r="I14" i="15"/>
  <c r="J14" i="15"/>
  <c r="F15" i="15"/>
  <c r="G15" i="15"/>
  <c r="H15" i="15"/>
  <c r="I15" i="15"/>
  <c r="J15" i="15"/>
  <c r="F16" i="15"/>
  <c r="G16" i="15"/>
  <c r="H16" i="15"/>
  <c r="I16" i="15"/>
  <c r="J16" i="15"/>
  <c r="F17" i="15"/>
  <c r="G17" i="15"/>
  <c r="H17" i="15"/>
  <c r="I17" i="15"/>
  <c r="J17" i="15"/>
  <c r="F18" i="15"/>
  <c r="G18" i="15"/>
  <c r="H18" i="15"/>
  <c r="I18" i="15"/>
  <c r="J18" i="15"/>
  <c r="F19" i="15"/>
  <c r="G19" i="15"/>
  <c r="H19" i="15"/>
  <c r="I19" i="15"/>
  <c r="J19" i="15"/>
  <c r="F20" i="15"/>
  <c r="G20" i="15"/>
  <c r="H20" i="15"/>
  <c r="I20" i="15"/>
  <c r="J20" i="15"/>
  <c r="F21" i="15"/>
  <c r="G21" i="15"/>
  <c r="H21" i="15"/>
  <c r="I21" i="15"/>
  <c r="J21" i="15"/>
  <c r="F22" i="15"/>
  <c r="G22" i="15"/>
  <c r="H22" i="15"/>
  <c r="I22" i="15"/>
  <c r="J22" i="15"/>
  <c r="F23" i="15"/>
  <c r="G23" i="15"/>
  <c r="H23" i="15"/>
  <c r="I23" i="15"/>
  <c r="J23" i="15"/>
  <c r="F24" i="15"/>
  <c r="G24" i="15"/>
  <c r="H24" i="15"/>
  <c r="I24" i="15"/>
  <c r="J24" i="15"/>
  <c r="F25" i="15"/>
  <c r="G25" i="15"/>
  <c r="H25" i="15"/>
  <c r="I25" i="15"/>
  <c r="J25" i="15"/>
  <c r="F26" i="15"/>
  <c r="G26" i="15"/>
  <c r="H26" i="15"/>
  <c r="I26" i="15"/>
  <c r="J26" i="15"/>
  <c r="F27" i="15"/>
  <c r="G27" i="15"/>
  <c r="H27" i="15"/>
  <c r="I27" i="15"/>
  <c r="J27" i="15"/>
  <c r="F28" i="15"/>
  <c r="G28" i="15"/>
  <c r="H28" i="15"/>
  <c r="I28" i="15"/>
  <c r="J28" i="15"/>
  <c r="F29" i="15"/>
  <c r="G29" i="15"/>
  <c r="H29" i="15"/>
  <c r="I29" i="15"/>
  <c r="J29" i="15"/>
  <c r="F30" i="15"/>
  <c r="G30" i="15"/>
  <c r="H30" i="15"/>
  <c r="I30" i="15"/>
  <c r="J30" i="15"/>
  <c r="F31" i="15"/>
  <c r="G31" i="15"/>
  <c r="H31" i="15"/>
  <c r="I31" i="15"/>
  <c r="J31" i="15"/>
  <c r="F32" i="15"/>
  <c r="G32" i="15"/>
  <c r="H32" i="15"/>
  <c r="I32" i="15"/>
  <c r="J32" i="15"/>
  <c r="F33" i="15"/>
  <c r="G33" i="15"/>
  <c r="H33" i="15"/>
  <c r="I33" i="15"/>
  <c r="J33" i="15"/>
  <c r="F34" i="15"/>
  <c r="G34" i="15"/>
  <c r="H34" i="15"/>
  <c r="I34" i="15"/>
  <c r="J34" i="15"/>
  <c r="F35" i="15"/>
  <c r="G35" i="15"/>
  <c r="H35" i="15"/>
  <c r="I35" i="15"/>
  <c r="J35" i="15"/>
  <c r="F36" i="15"/>
  <c r="G36" i="15"/>
  <c r="H36" i="15"/>
  <c r="I36" i="15"/>
  <c r="J36" i="15"/>
  <c r="F37" i="15"/>
  <c r="G37" i="15"/>
  <c r="H37" i="15"/>
  <c r="I37" i="15"/>
  <c r="J37" i="15"/>
  <c r="F38" i="15"/>
  <c r="G38" i="15"/>
  <c r="H38" i="15"/>
  <c r="I38" i="15"/>
  <c r="J38" i="15"/>
  <c r="F39" i="15"/>
  <c r="G39" i="15"/>
  <c r="H39" i="15"/>
  <c r="I39" i="15"/>
  <c r="J39" i="15"/>
  <c r="F40" i="15"/>
  <c r="G40" i="15"/>
  <c r="H40" i="15"/>
  <c r="I40" i="15"/>
  <c r="J40" i="15"/>
  <c r="F41" i="15"/>
  <c r="G41" i="15"/>
  <c r="H41" i="15"/>
  <c r="I41" i="15"/>
  <c r="J41" i="15"/>
  <c r="F42" i="15"/>
  <c r="G42" i="15"/>
  <c r="H42" i="15"/>
  <c r="I42" i="15"/>
  <c r="J42" i="15"/>
  <c r="F43" i="15"/>
  <c r="G43" i="15"/>
  <c r="H43" i="15"/>
  <c r="I43" i="15"/>
  <c r="J43" i="15"/>
  <c r="F44" i="15"/>
  <c r="G44" i="15"/>
  <c r="H44" i="15"/>
  <c r="I44" i="15"/>
  <c r="J44" i="15"/>
  <c r="F45" i="15"/>
  <c r="G45" i="15"/>
  <c r="H45" i="15"/>
  <c r="I45" i="15"/>
  <c r="J45" i="15"/>
  <c r="F46" i="15"/>
  <c r="G46" i="15"/>
  <c r="H46" i="15"/>
  <c r="I46" i="15"/>
  <c r="J46" i="15"/>
  <c r="F47" i="15"/>
  <c r="G47" i="15"/>
  <c r="H47" i="15"/>
  <c r="I47" i="15"/>
  <c r="J47" i="15"/>
  <c r="F48" i="15"/>
  <c r="G48" i="15"/>
  <c r="H48" i="15"/>
  <c r="I48" i="15"/>
  <c r="J48" i="15"/>
  <c r="F49" i="15"/>
  <c r="G49" i="15"/>
  <c r="H49" i="15"/>
  <c r="I49" i="15"/>
  <c r="J49" i="15"/>
  <c r="F50" i="15"/>
  <c r="G50" i="15"/>
  <c r="H50" i="15"/>
  <c r="I50" i="15"/>
  <c r="J50" i="15"/>
  <c r="F51" i="15"/>
  <c r="G51" i="15"/>
  <c r="H51" i="15"/>
  <c r="I51" i="15"/>
  <c r="J51" i="15"/>
  <c r="F52" i="15"/>
  <c r="G52" i="15"/>
  <c r="H52" i="15"/>
  <c r="I52" i="15"/>
  <c r="J52" i="15"/>
  <c r="F53" i="15"/>
  <c r="G53" i="15"/>
  <c r="H53" i="15"/>
  <c r="I53" i="15"/>
  <c r="J53" i="15"/>
  <c r="F54" i="15"/>
  <c r="G54" i="15"/>
  <c r="H54" i="15"/>
  <c r="I54" i="15"/>
  <c r="J54" i="15"/>
  <c r="F55" i="15"/>
  <c r="G55" i="15"/>
  <c r="H55" i="15"/>
  <c r="I55" i="15"/>
  <c r="J55" i="15"/>
  <c r="F56" i="15"/>
  <c r="G56" i="15"/>
  <c r="H56" i="15"/>
  <c r="I56" i="15"/>
  <c r="J56" i="15"/>
  <c r="F57" i="15"/>
  <c r="G57" i="15"/>
  <c r="H57" i="15"/>
  <c r="I57" i="15"/>
  <c r="J57" i="15"/>
  <c r="F58" i="15"/>
  <c r="G58" i="15"/>
  <c r="H58" i="15"/>
  <c r="I58" i="15"/>
  <c r="J58" i="15"/>
  <c r="F59" i="15"/>
  <c r="G59" i="15"/>
  <c r="H59" i="15"/>
  <c r="I59" i="15"/>
  <c r="J59" i="15"/>
  <c r="F60" i="15"/>
  <c r="G60" i="15"/>
  <c r="H60" i="15"/>
  <c r="I60" i="15"/>
  <c r="J60" i="15"/>
  <c r="F61" i="15"/>
  <c r="G61" i="15"/>
  <c r="H61" i="15"/>
  <c r="I61" i="15"/>
  <c r="J61" i="15"/>
  <c r="F62" i="15"/>
  <c r="G62" i="15"/>
  <c r="H62" i="15"/>
  <c r="I62" i="15"/>
  <c r="J62" i="15"/>
  <c r="F63" i="15"/>
  <c r="G63" i="15"/>
  <c r="H63" i="15"/>
  <c r="I63" i="15"/>
  <c r="J63" i="15"/>
  <c r="F64" i="15"/>
  <c r="G64" i="15"/>
  <c r="H64" i="15"/>
  <c r="I64" i="15"/>
  <c r="J64" i="15"/>
  <c r="F65" i="15"/>
  <c r="G65" i="15"/>
  <c r="H65" i="15"/>
  <c r="I65" i="15"/>
  <c r="J65" i="15"/>
  <c r="F66" i="15"/>
  <c r="G66" i="15"/>
  <c r="H66" i="15"/>
  <c r="I66" i="15"/>
  <c r="J66" i="15"/>
  <c r="F67" i="15"/>
  <c r="G67" i="15"/>
  <c r="H67" i="15"/>
  <c r="I67" i="15"/>
  <c r="J67" i="15"/>
  <c r="F68" i="15"/>
  <c r="G68" i="15"/>
  <c r="H68" i="15"/>
  <c r="I68" i="15"/>
  <c r="J68" i="15"/>
  <c r="F69" i="15"/>
  <c r="G69" i="15"/>
  <c r="H69" i="15"/>
  <c r="I69" i="15"/>
  <c r="J69" i="15"/>
  <c r="F70" i="15"/>
  <c r="G70" i="15"/>
  <c r="H70" i="15"/>
  <c r="I70" i="15"/>
  <c r="J70" i="15"/>
  <c r="F71" i="15"/>
  <c r="G71" i="15"/>
  <c r="H71" i="15"/>
  <c r="I71" i="15"/>
  <c r="J71" i="15"/>
  <c r="F72" i="15"/>
  <c r="G72" i="15"/>
  <c r="H72" i="15"/>
  <c r="I72" i="15"/>
  <c r="J72" i="15"/>
  <c r="F73" i="15"/>
  <c r="G73" i="15"/>
  <c r="H73" i="15"/>
  <c r="I73" i="15"/>
  <c r="J73" i="15"/>
  <c r="F74" i="15"/>
  <c r="G74" i="15"/>
  <c r="H74" i="15"/>
  <c r="I74" i="15"/>
  <c r="J74" i="15"/>
  <c r="F75" i="15"/>
  <c r="G75" i="15"/>
  <c r="H75" i="15"/>
  <c r="I75" i="15"/>
  <c r="J75" i="15"/>
  <c r="F76" i="15"/>
  <c r="G76" i="15"/>
  <c r="H76" i="15"/>
  <c r="I76" i="15"/>
  <c r="J76" i="15"/>
  <c r="F77" i="15"/>
  <c r="G77" i="15"/>
  <c r="H77" i="15"/>
  <c r="I77" i="15"/>
  <c r="J77" i="15"/>
  <c r="F78" i="15"/>
  <c r="G78" i="15"/>
  <c r="H78" i="15"/>
  <c r="I78" i="15"/>
  <c r="J78" i="15"/>
  <c r="F79" i="15"/>
  <c r="G79" i="15"/>
  <c r="H79" i="15"/>
  <c r="I79" i="15"/>
  <c r="J79" i="15"/>
  <c r="F80" i="15"/>
  <c r="G80" i="15"/>
  <c r="H80" i="15"/>
  <c r="I80" i="15"/>
  <c r="J80" i="15"/>
  <c r="F81" i="15"/>
  <c r="G81" i="15"/>
  <c r="H81" i="15"/>
  <c r="I81" i="15"/>
  <c r="J81" i="15"/>
  <c r="F82" i="15"/>
  <c r="G82" i="15"/>
  <c r="H82" i="15"/>
  <c r="I82" i="15"/>
  <c r="J82" i="15"/>
  <c r="F83" i="15"/>
  <c r="G83" i="15"/>
  <c r="H83" i="15"/>
  <c r="I83" i="15"/>
  <c r="J83" i="15"/>
  <c r="F84" i="15"/>
  <c r="G84" i="15"/>
  <c r="H84" i="15"/>
  <c r="I84" i="15"/>
  <c r="J84" i="15"/>
  <c r="F85" i="15"/>
  <c r="G85" i="15"/>
  <c r="H85" i="15"/>
  <c r="I85" i="15"/>
  <c r="J85" i="15"/>
  <c r="F86" i="15"/>
  <c r="G86" i="15"/>
  <c r="H86" i="15"/>
  <c r="I86" i="15"/>
  <c r="J86" i="15"/>
  <c r="F87" i="15"/>
  <c r="G87" i="15"/>
  <c r="H87" i="15"/>
  <c r="I87" i="15"/>
  <c r="J87" i="15"/>
  <c r="F88" i="15"/>
  <c r="G88" i="15"/>
  <c r="H88" i="15"/>
  <c r="I88" i="15"/>
  <c r="J88" i="15"/>
  <c r="F89" i="15"/>
  <c r="G89" i="15"/>
  <c r="H89" i="15"/>
  <c r="I89" i="15"/>
  <c r="J89" i="15"/>
  <c r="F90" i="15"/>
  <c r="G90" i="15"/>
  <c r="H90" i="15"/>
  <c r="I90" i="15"/>
  <c r="J90" i="15"/>
  <c r="F91" i="15"/>
  <c r="G91" i="15"/>
  <c r="H91" i="15"/>
  <c r="I91" i="15"/>
  <c r="J91" i="15"/>
  <c r="F92" i="15"/>
  <c r="G92" i="15"/>
  <c r="H92" i="15"/>
  <c r="I92" i="15"/>
  <c r="J92" i="15"/>
  <c r="F93" i="15"/>
  <c r="G93" i="15"/>
  <c r="H93" i="15"/>
  <c r="I93" i="15"/>
  <c r="J93" i="15"/>
  <c r="F94" i="15"/>
  <c r="G94" i="15"/>
  <c r="H94" i="15"/>
  <c r="I94" i="15"/>
  <c r="J94" i="15"/>
  <c r="F95" i="15"/>
  <c r="G95" i="15"/>
  <c r="H95" i="15"/>
  <c r="I95" i="15"/>
  <c r="J95" i="15"/>
  <c r="F96" i="15"/>
  <c r="G96" i="15"/>
  <c r="H96" i="15"/>
  <c r="I96" i="15"/>
  <c r="J96" i="15"/>
  <c r="F97" i="15"/>
  <c r="G97" i="15"/>
  <c r="H97" i="15"/>
  <c r="I97" i="15"/>
  <c r="J97" i="15"/>
  <c r="F98" i="15"/>
  <c r="G98" i="15"/>
  <c r="H98" i="15"/>
  <c r="I98" i="15"/>
  <c r="J98" i="15"/>
  <c r="F99" i="15"/>
  <c r="G99" i="15"/>
  <c r="H99" i="15"/>
  <c r="I99" i="15"/>
  <c r="J99" i="15"/>
  <c r="F100" i="15"/>
  <c r="G100" i="15"/>
  <c r="H100" i="15"/>
  <c r="I100" i="15"/>
  <c r="J100" i="15"/>
  <c r="F101" i="15"/>
  <c r="G101" i="15"/>
  <c r="H101" i="15"/>
  <c r="I101" i="15"/>
  <c r="J101" i="15"/>
  <c r="F102" i="15"/>
  <c r="G102" i="15"/>
  <c r="H102" i="15"/>
  <c r="I102" i="15"/>
  <c r="J102" i="15"/>
  <c r="F103" i="15"/>
  <c r="G103" i="15"/>
  <c r="H103" i="15"/>
  <c r="I103" i="15"/>
  <c r="J103" i="15"/>
  <c r="F104" i="15"/>
  <c r="G104" i="15"/>
  <c r="H104" i="15"/>
  <c r="I104" i="15"/>
  <c r="J104" i="15"/>
  <c r="F105" i="15"/>
  <c r="G105" i="15"/>
  <c r="H105" i="15"/>
  <c r="I105" i="15"/>
  <c r="J105" i="15"/>
  <c r="F106" i="15"/>
  <c r="G106" i="15"/>
  <c r="H106" i="15"/>
  <c r="I106" i="15"/>
  <c r="J106" i="15"/>
  <c r="F107" i="15"/>
  <c r="G107" i="15"/>
  <c r="H107" i="15"/>
  <c r="I107" i="15"/>
  <c r="J107" i="15"/>
  <c r="F108" i="15"/>
  <c r="G108" i="15"/>
  <c r="H108" i="15"/>
  <c r="I108" i="15"/>
  <c r="J108" i="15"/>
  <c r="F109" i="15"/>
  <c r="G109" i="15"/>
  <c r="H109" i="15"/>
  <c r="I109" i="15"/>
  <c r="J109" i="15"/>
  <c r="F110" i="15"/>
  <c r="G110" i="15"/>
  <c r="H110" i="15"/>
  <c r="I110" i="15"/>
  <c r="J110" i="15"/>
  <c r="F111" i="15"/>
  <c r="G111" i="15"/>
  <c r="H111" i="15"/>
  <c r="I111" i="15"/>
  <c r="J111" i="15"/>
  <c r="F112" i="15"/>
  <c r="G112" i="15"/>
  <c r="H112" i="15"/>
  <c r="I112" i="15"/>
  <c r="J112" i="15"/>
  <c r="F113" i="15"/>
  <c r="G113" i="15"/>
  <c r="H113" i="15"/>
  <c r="I113" i="15"/>
  <c r="J113" i="15"/>
  <c r="F114" i="15"/>
  <c r="G114" i="15"/>
  <c r="H114" i="15"/>
  <c r="I114" i="15"/>
  <c r="J114" i="15"/>
  <c r="F115" i="15"/>
  <c r="G115" i="15"/>
  <c r="H115" i="15"/>
  <c r="I115" i="15"/>
  <c r="J115" i="15"/>
  <c r="F116" i="15"/>
  <c r="G116" i="15"/>
  <c r="H116" i="15"/>
  <c r="I116" i="15"/>
  <c r="J116" i="15"/>
  <c r="F117" i="15"/>
  <c r="G117" i="15"/>
  <c r="H117" i="15"/>
  <c r="I117" i="15"/>
  <c r="J117" i="15"/>
  <c r="F118" i="15"/>
  <c r="G118" i="15"/>
  <c r="H118" i="15"/>
  <c r="I118" i="15"/>
  <c r="J118" i="15"/>
  <c r="F119" i="15"/>
  <c r="G119" i="15"/>
  <c r="H119" i="15"/>
  <c r="I119" i="15"/>
  <c r="J119" i="15"/>
  <c r="F120" i="15"/>
  <c r="G120" i="15"/>
  <c r="H120" i="15"/>
  <c r="I120" i="15"/>
  <c r="J120" i="15"/>
  <c r="F121" i="15"/>
  <c r="G121" i="15"/>
  <c r="H121" i="15"/>
  <c r="I121" i="15"/>
  <c r="J121" i="15"/>
  <c r="F122" i="15"/>
  <c r="G122" i="15"/>
  <c r="H122" i="15"/>
  <c r="I122" i="15"/>
  <c r="J122" i="15"/>
  <c r="F123" i="15"/>
  <c r="G123" i="15"/>
  <c r="H123" i="15"/>
  <c r="I123" i="15"/>
  <c r="J123" i="15"/>
  <c r="F124" i="15"/>
  <c r="G124" i="15"/>
  <c r="H124" i="15"/>
  <c r="I124" i="15"/>
  <c r="J124" i="15"/>
  <c r="F125" i="15"/>
  <c r="G125" i="15"/>
  <c r="H125" i="15"/>
  <c r="I125" i="15"/>
  <c r="J125" i="15"/>
  <c r="F126" i="15"/>
  <c r="G126" i="15"/>
  <c r="H126" i="15"/>
  <c r="I126" i="15"/>
  <c r="J126" i="15"/>
  <c r="F127" i="15"/>
  <c r="G127" i="15"/>
  <c r="H127" i="15"/>
  <c r="I127" i="15"/>
  <c r="J127" i="15"/>
  <c r="F128" i="15"/>
  <c r="G128" i="15"/>
  <c r="H128" i="15"/>
  <c r="I128" i="15"/>
  <c r="J128" i="15"/>
  <c r="F129" i="15"/>
  <c r="G129" i="15"/>
  <c r="H129" i="15"/>
  <c r="I129" i="15"/>
  <c r="J129" i="15"/>
  <c r="F130" i="15"/>
  <c r="G130" i="15"/>
  <c r="H130" i="15"/>
  <c r="I130" i="15"/>
  <c r="J130" i="15"/>
  <c r="F131" i="15"/>
  <c r="G131" i="15"/>
  <c r="H131" i="15"/>
  <c r="I131" i="15"/>
  <c r="J131" i="15"/>
  <c r="F132" i="15"/>
  <c r="G132" i="15"/>
  <c r="H132" i="15"/>
  <c r="I132" i="15"/>
  <c r="J132" i="15"/>
  <c r="F133" i="15"/>
  <c r="G133" i="15"/>
  <c r="H133" i="15"/>
  <c r="I133" i="15"/>
  <c r="J133" i="15"/>
  <c r="F134" i="15"/>
  <c r="G134" i="15"/>
  <c r="H134" i="15"/>
  <c r="I134" i="15"/>
  <c r="J134" i="15"/>
  <c r="F135" i="15"/>
  <c r="G135" i="15"/>
  <c r="H135" i="15"/>
  <c r="I135" i="15"/>
  <c r="J135" i="15"/>
  <c r="F136" i="15"/>
  <c r="G136" i="15"/>
  <c r="H136" i="15"/>
  <c r="I136" i="15"/>
  <c r="J136" i="15"/>
  <c r="F137" i="15"/>
  <c r="G137" i="15"/>
  <c r="H137" i="15"/>
  <c r="I137" i="15"/>
  <c r="J137" i="15"/>
  <c r="F138" i="15"/>
  <c r="G138" i="15"/>
  <c r="H138" i="15"/>
  <c r="I138" i="15"/>
  <c r="J138" i="15"/>
  <c r="F139" i="15"/>
  <c r="G139" i="15"/>
  <c r="H139" i="15"/>
  <c r="I139" i="15"/>
  <c r="J139" i="15"/>
  <c r="F140" i="15"/>
  <c r="G140" i="15"/>
  <c r="H140" i="15"/>
  <c r="I140" i="15"/>
  <c r="J140" i="15"/>
  <c r="F141" i="15"/>
  <c r="G141" i="15"/>
  <c r="H141" i="15"/>
  <c r="I141" i="15"/>
  <c r="J141" i="15"/>
  <c r="F142" i="15"/>
  <c r="G142" i="15"/>
  <c r="H142" i="15"/>
  <c r="I142" i="15"/>
  <c r="J142" i="15"/>
  <c r="F143" i="15"/>
  <c r="G143" i="15"/>
  <c r="H143" i="15"/>
  <c r="I143" i="15"/>
  <c r="J143" i="15"/>
  <c r="F144" i="15"/>
  <c r="G144" i="15"/>
  <c r="H144" i="15"/>
  <c r="I144" i="15"/>
  <c r="J144" i="15"/>
  <c r="F145" i="15"/>
  <c r="G145" i="15"/>
  <c r="H145" i="15"/>
  <c r="I145" i="15"/>
  <c r="J145" i="15"/>
  <c r="F146" i="15"/>
  <c r="G146" i="15"/>
  <c r="H146" i="15"/>
  <c r="I146" i="15"/>
  <c r="J146" i="15"/>
  <c r="F147" i="15"/>
  <c r="G147" i="15"/>
  <c r="H147" i="15"/>
  <c r="I147" i="15"/>
  <c r="J147" i="15"/>
  <c r="F148" i="15"/>
  <c r="G148" i="15"/>
  <c r="H148" i="15"/>
  <c r="I148" i="15"/>
  <c r="J148" i="15"/>
  <c r="F149" i="15"/>
  <c r="G149" i="15"/>
  <c r="H149" i="15"/>
  <c r="I149" i="15"/>
  <c r="J149" i="15"/>
  <c r="F150" i="15"/>
  <c r="G150" i="15"/>
  <c r="H150" i="15"/>
  <c r="I150" i="15"/>
  <c r="J150" i="15"/>
  <c r="F151" i="15"/>
  <c r="G151" i="15"/>
  <c r="H151" i="15"/>
  <c r="I151" i="15"/>
  <c r="J151" i="15"/>
  <c r="F152" i="15"/>
  <c r="G152" i="15"/>
  <c r="H152" i="15"/>
  <c r="I152" i="15"/>
  <c r="J152" i="15"/>
  <c r="F153" i="15"/>
  <c r="G153" i="15"/>
  <c r="H153" i="15"/>
  <c r="I153" i="15"/>
  <c r="J153" i="15"/>
  <c r="F154" i="15"/>
  <c r="G154" i="15"/>
  <c r="H154" i="15"/>
  <c r="I154" i="15"/>
  <c r="J154" i="15"/>
  <c r="F155" i="15"/>
  <c r="G155" i="15"/>
  <c r="H155" i="15"/>
  <c r="I155" i="15"/>
  <c r="J155" i="15"/>
  <c r="F156" i="15"/>
  <c r="G156" i="15"/>
  <c r="H156" i="15"/>
  <c r="I156" i="15"/>
  <c r="J156" i="15"/>
  <c r="F157" i="15"/>
  <c r="G157" i="15"/>
  <c r="H157" i="15"/>
  <c r="I157" i="15"/>
  <c r="J157" i="15"/>
  <c r="F158" i="15"/>
  <c r="G158" i="15"/>
  <c r="H158" i="15"/>
  <c r="I158" i="15"/>
  <c r="J158" i="15"/>
  <c r="F159" i="15"/>
  <c r="G159" i="15"/>
  <c r="H159" i="15"/>
  <c r="I159" i="15"/>
  <c r="J159" i="15"/>
  <c r="F160" i="15"/>
  <c r="G160" i="15"/>
  <c r="H160" i="15"/>
  <c r="I160" i="15"/>
  <c r="J160" i="15"/>
  <c r="F161" i="15"/>
  <c r="G161" i="15"/>
  <c r="H161" i="15"/>
  <c r="I161" i="15"/>
  <c r="J161" i="15"/>
  <c r="F162" i="15"/>
  <c r="G162" i="15"/>
  <c r="H162" i="15"/>
  <c r="I162" i="15"/>
  <c r="J162" i="15"/>
  <c r="F163" i="15"/>
  <c r="G163" i="15"/>
  <c r="H163" i="15"/>
  <c r="I163" i="15"/>
  <c r="J163" i="15"/>
  <c r="F164" i="15"/>
  <c r="G164" i="15"/>
  <c r="H164" i="15"/>
  <c r="I164" i="15"/>
  <c r="J164" i="15"/>
  <c r="F165" i="15"/>
  <c r="G165" i="15"/>
  <c r="H165" i="15"/>
  <c r="I165" i="15"/>
  <c r="J165" i="15"/>
  <c r="F166" i="15"/>
  <c r="G166" i="15"/>
  <c r="H166" i="15"/>
  <c r="I166" i="15"/>
  <c r="J166" i="15"/>
  <c r="F167" i="15"/>
  <c r="G167" i="15"/>
  <c r="H167" i="15"/>
  <c r="I167" i="15"/>
  <c r="J167" i="15"/>
  <c r="F168" i="15"/>
  <c r="G168" i="15"/>
  <c r="H168" i="15"/>
  <c r="I168" i="15"/>
  <c r="J168" i="15"/>
  <c r="F169" i="15"/>
  <c r="G169" i="15"/>
  <c r="H169" i="15"/>
  <c r="I169" i="15"/>
  <c r="J169" i="15"/>
  <c r="F170" i="15"/>
  <c r="G170" i="15"/>
  <c r="H170" i="15"/>
  <c r="I170" i="15"/>
  <c r="J170" i="15"/>
  <c r="F171" i="15"/>
  <c r="G171" i="15"/>
  <c r="H171" i="15"/>
  <c r="I171" i="15"/>
  <c r="J171" i="15"/>
  <c r="F172" i="15"/>
  <c r="G172" i="15"/>
  <c r="H172" i="15"/>
  <c r="I172" i="15"/>
  <c r="J172" i="15"/>
  <c r="F173" i="15"/>
  <c r="G173" i="15"/>
  <c r="H173" i="15"/>
  <c r="I173" i="15"/>
  <c r="J173" i="15"/>
  <c r="F174" i="15"/>
  <c r="G174" i="15"/>
  <c r="H174" i="15"/>
  <c r="I174" i="15"/>
  <c r="J174" i="15"/>
  <c r="F175" i="15"/>
  <c r="G175" i="15"/>
  <c r="H175" i="15"/>
  <c r="I175" i="15"/>
  <c r="J175" i="15"/>
  <c r="F176" i="15"/>
  <c r="G176" i="15"/>
  <c r="H176" i="15"/>
  <c r="I176" i="15"/>
  <c r="J176" i="15"/>
  <c r="F177" i="15"/>
  <c r="G177" i="15"/>
  <c r="H177" i="15"/>
  <c r="I177" i="15"/>
  <c r="J177" i="15"/>
  <c r="F178" i="15"/>
  <c r="G178" i="15"/>
  <c r="H178" i="15"/>
  <c r="I178" i="15"/>
  <c r="J178" i="15"/>
  <c r="F179" i="15"/>
  <c r="G179" i="15"/>
  <c r="H179" i="15"/>
  <c r="I179" i="15"/>
  <c r="J179" i="15"/>
  <c r="F180" i="15"/>
  <c r="G180" i="15"/>
  <c r="H180" i="15"/>
  <c r="I180" i="15"/>
  <c r="J180" i="15"/>
  <c r="F181" i="15"/>
  <c r="G181" i="15"/>
  <c r="H181" i="15"/>
  <c r="I181" i="15"/>
  <c r="J181" i="15"/>
  <c r="F182" i="15"/>
  <c r="G182" i="15"/>
  <c r="H182" i="15"/>
  <c r="I182" i="15"/>
  <c r="J182" i="15"/>
  <c r="F183" i="15"/>
  <c r="G183" i="15"/>
  <c r="H183" i="15"/>
  <c r="I183" i="15"/>
  <c r="J183" i="15"/>
  <c r="F184" i="15"/>
  <c r="G184" i="15"/>
  <c r="H184" i="15"/>
  <c r="I184" i="15"/>
  <c r="J184" i="15"/>
  <c r="F185" i="15"/>
  <c r="G185" i="15"/>
  <c r="H185" i="15"/>
  <c r="I185" i="15"/>
  <c r="J185" i="15"/>
  <c r="F186" i="15"/>
  <c r="G186" i="15"/>
  <c r="H186" i="15"/>
  <c r="I186" i="15"/>
  <c r="J186" i="15"/>
  <c r="F187" i="15"/>
  <c r="G187" i="15"/>
  <c r="H187" i="15"/>
  <c r="I187" i="15"/>
  <c r="J187" i="15"/>
  <c r="F188" i="15"/>
  <c r="G188" i="15"/>
  <c r="H188" i="15"/>
  <c r="I188" i="15"/>
  <c r="J188" i="15"/>
  <c r="F189" i="15"/>
  <c r="G189" i="15"/>
  <c r="H189" i="15"/>
  <c r="I189" i="15"/>
  <c r="J189" i="15"/>
  <c r="F190" i="15"/>
  <c r="G190" i="15"/>
  <c r="H190" i="15"/>
  <c r="I190" i="15"/>
  <c r="J190" i="15"/>
  <c r="F191" i="15"/>
  <c r="G191" i="15"/>
  <c r="H191" i="15"/>
  <c r="I191" i="15"/>
  <c r="J191" i="15"/>
  <c r="F192" i="15"/>
  <c r="G192" i="15"/>
  <c r="H192" i="15"/>
  <c r="I192" i="15"/>
  <c r="J192" i="15"/>
  <c r="F193" i="15"/>
  <c r="G193" i="15"/>
  <c r="H193" i="15"/>
  <c r="I193" i="15"/>
  <c r="J193" i="15"/>
  <c r="F194" i="15"/>
  <c r="G194" i="15"/>
  <c r="H194" i="15"/>
  <c r="I194" i="15"/>
  <c r="J194" i="15"/>
  <c r="F195" i="15"/>
  <c r="G195" i="15"/>
  <c r="H195" i="15"/>
  <c r="I195" i="15"/>
  <c r="J195" i="15"/>
  <c r="F196" i="15"/>
  <c r="G196" i="15"/>
  <c r="H196" i="15"/>
  <c r="I196" i="15"/>
  <c r="J196" i="15"/>
  <c r="F197" i="15"/>
  <c r="G197" i="15"/>
  <c r="H197" i="15"/>
  <c r="I197" i="15"/>
  <c r="J197" i="15"/>
  <c r="F198" i="15"/>
  <c r="G198" i="15"/>
  <c r="H198" i="15"/>
  <c r="I198" i="15"/>
  <c r="J198" i="15"/>
  <c r="F199" i="15"/>
  <c r="G199" i="15"/>
  <c r="H199" i="15"/>
  <c r="I199" i="15"/>
  <c r="J199" i="15"/>
  <c r="F200" i="15"/>
  <c r="G200" i="15"/>
  <c r="H200" i="15"/>
  <c r="I200" i="15"/>
  <c r="J200" i="15"/>
  <c r="F201" i="15"/>
  <c r="G201" i="15"/>
  <c r="H201" i="15"/>
  <c r="I201" i="15"/>
  <c r="J201" i="15"/>
  <c r="F202" i="15"/>
  <c r="G202" i="15"/>
  <c r="H202" i="15"/>
  <c r="I202" i="15"/>
  <c r="J202" i="15"/>
  <c r="F203" i="15"/>
  <c r="G203" i="15"/>
  <c r="H203" i="15"/>
  <c r="I203" i="15"/>
  <c r="J203" i="15"/>
  <c r="F204" i="15"/>
  <c r="G204" i="15"/>
  <c r="H204" i="15"/>
  <c r="I204" i="15"/>
  <c r="J204" i="15"/>
  <c r="F205" i="15"/>
  <c r="G205" i="15"/>
  <c r="H205" i="15"/>
  <c r="I205" i="15"/>
  <c r="J205" i="15"/>
  <c r="F206" i="15"/>
  <c r="G206" i="15"/>
  <c r="H206" i="15"/>
  <c r="I206" i="15"/>
  <c r="J206" i="15"/>
  <c r="F207" i="15"/>
  <c r="G207" i="15"/>
  <c r="H207" i="15"/>
  <c r="I207" i="15"/>
  <c r="J207" i="15"/>
  <c r="F208" i="15"/>
  <c r="G208" i="15"/>
  <c r="H208" i="15"/>
  <c r="I208" i="15"/>
  <c r="J208" i="15"/>
  <c r="F209" i="15"/>
  <c r="G209" i="15"/>
  <c r="H209" i="15"/>
  <c r="I209" i="15"/>
  <c r="J209" i="15"/>
  <c r="F210" i="15"/>
  <c r="G210" i="15"/>
  <c r="H210" i="15"/>
  <c r="I210" i="15"/>
  <c r="J210" i="15"/>
  <c r="F211" i="15"/>
  <c r="G211" i="15"/>
  <c r="H211" i="15"/>
  <c r="I211" i="15"/>
  <c r="J211" i="15"/>
  <c r="F212" i="15"/>
  <c r="G212" i="15"/>
  <c r="H212" i="15"/>
  <c r="I212" i="15"/>
  <c r="J212" i="15"/>
  <c r="F213" i="15"/>
  <c r="G213" i="15"/>
  <c r="H213" i="15"/>
  <c r="I213" i="15"/>
  <c r="J213" i="15"/>
  <c r="F214" i="15"/>
  <c r="G214" i="15"/>
  <c r="H214" i="15"/>
  <c r="I214" i="15"/>
  <c r="J214" i="15"/>
  <c r="F215" i="15"/>
  <c r="G215" i="15"/>
  <c r="H215" i="15"/>
  <c r="I215" i="15"/>
  <c r="J215" i="15"/>
  <c r="F216" i="15"/>
  <c r="G216" i="15"/>
  <c r="H216" i="15"/>
  <c r="I216" i="15"/>
  <c r="J216" i="15"/>
  <c r="F217" i="15"/>
  <c r="G217" i="15"/>
  <c r="H217" i="15"/>
  <c r="I217" i="15"/>
  <c r="J217" i="15"/>
  <c r="F218" i="15"/>
  <c r="G218" i="15"/>
  <c r="H218" i="15"/>
  <c r="I218" i="15"/>
  <c r="J218" i="15"/>
  <c r="F219" i="15"/>
  <c r="G219" i="15"/>
  <c r="H219" i="15"/>
  <c r="I219" i="15"/>
  <c r="J219" i="15"/>
  <c r="F220" i="15"/>
  <c r="G220" i="15"/>
  <c r="H220" i="15"/>
  <c r="I220" i="15"/>
  <c r="J220" i="15"/>
  <c r="F221" i="15"/>
  <c r="G221" i="15"/>
  <c r="H221" i="15"/>
  <c r="I221" i="15"/>
  <c r="J221" i="15"/>
  <c r="F222" i="15"/>
  <c r="G222" i="15"/>
  <c r="H222" i="15"/>
  <c r="I222" i="15"/>
  <c r="J222" i="15"/>
  <c r="F223" i="15"/>
  <c r="G223" i="15"/>
  <c r="H223" i="15"/>
  <c r="I223" i="15"/>
  <c r="J223" i="15"/>
  <c r="F224" i="15"/>
  <c r="G224" i="15"/>
  <c r="H224" i="15"/>
  <c r="I224" i="15"/>
  <c r="J224" i="15"/>
  <c r="F225" i="15"/>
  <c r="G225" i="15"/>
  <c r="H225" i="15"/>
  <c r="I225" i="15"/>
  <c r="J225" i="15"/>
  <c r="F226" i="15"/>
  <c r="G226" i="15"/>
  <c r="H226" i="15"/>
  <c r="I226" i="15"/>
  <c r="J226" i="15"/>
  <c r="F227" i="15"/>
  <c r="G227" i="15"/>
  <c r="H227" i="15"/>
  <c r="I227" i="15"/>
  <c r="J227" i="15"/>
  <c r="F228" i="15"/>
  <c r="G228" i="15"/>
  <c r="H228" i="15"/>
  <c r="I228" i="15"/>
  <c r="J228" i="15"/>
  <c r="F229" i="15"/>
  <c r="G229" i="15"/>
  <c r="H229" i="15"/>
  <c r="I229" i="15"/>
  <c r="J229" i="15"/>
  <c r="F230" i="15"/>
  <c r="G230" i="15"/>
  <c r="H230" i="15"/>
  <c r="I230" i="15"/>
  <c r="J230" i="15"/>
  <c r="F231" i="15"/>
  <c r="G231" i="15"/>
  <c r="H231" i="15"/>
  <c r="I231" i="15"/>
  <c r="J231" i="15"/>
  <c r="F232" i="15"/>
  <c r="G232" i="15"/>
  <c r="H232" i="15"/>
  <c r="I232" i="15"/>
  <c r="J232" i="15"/>
  <c r="F233" i="15"/>
  <c r="G233" i="15"/>
  <c r="H233" i="15"/>
  <c r="I233" i="15"/>
  <c r="J233" i="15"/>
  <c r="F234" i="15"/>
  <c r="G234" i="15"/>
  <c r="H234" i="15"/>
  <c r="I234" i="15"/>
  <c r="J234" i="15"/>
  <c r="F235" i="15"/>
  <c r="G235" i="15"/>
  <c r="H235" i="15"/>
  <c r="I235" i="15"/>
  <c r="J235" i="15"/>
  <c r="F236" i="15"/>
  <c r="G236" i="15"/>
  <c r="H236" i="15"/>
  <c r="I236" i="15"/>
  <c r="J236" i="15"/>
  <c r="F237" i="15"/>
  <c r="G237" i="15"/>
  <c r="H237" i="15"/>
  <c r="I237" i="15"/>
  <c r="J237" i="15"/>
  <c r="F238" i="15"/>
  <c r="G238" i="15"/>
  <c r="H238" i="15"/>
  <c r="I238" i="15"/>
  <c r="J238" i="15"/>
  <c r="F239" i="15"/>
  <c r="G239" i="15"/>
  <c r="H239" i="15"/>
  <c r="I239" i="15"/>
  <c r="J239" i="15"/>
  <c r="F240" i="15"/>
  <c r="G240" i="15"/>
  <c r="H240" i="15"/>
  <c r="I240" i="15"/>
  <c r="J240" i="15"/>
  <c r="F241" i="15"/>
  <c r="G241" i="15"/>
  <c r="H241" i="15"/>
  <c r="I241" i="15"/>
  <c r="J241" i="15"/>
  <c r="F242" i="15"/>
  <c r="G242" i="15"/>
  <c r="H242" i="15"/>
  <c r="I242" i="15"/>
  <c r="J242" i="15"/>
  <c r="F243" i="15"/>
  <c r="G243" i="15"/>
  <c r="H243" i="15"/>
  <c r="I243" i="15"/>
  <c r="J243" i="15"/>
  <c r="F244" i="15"/>
  <c r="G244" i="15"/>
  <c r="H244" i="15"/>
  <c r="I244" i="15"/>
  <c r="J244" i="15"/>
  <c r="F245" i="15"/>
  <c r="G245" i="15"/>
  <c r="H245" i="15"/>
  <c r="I245" i="15"/>
  <c r="J245" i="15"/>
  <c r="F246" i="15"/>
  <c r="G246" i="15"/>
  <c r="H246" i="15"/>
  <c r="I246" i="15"/>
  <c r="J246" i="15"/>
  <c r="F247" i="15"/>
  <c r="G247" i="15"/>
  <c r="H247" i="15"/>
  <c r="I247" i="15"/>
  <c r="J247" i="15"/>
  <c r="F248" i="15"/>
  <c r="G248" i="15"/>
  <c r="H248" i="15"/>
  <c r="I248" i="15"/>
  <c r="J248" i="15"/>
  <c r="F249" i="15"/>
  <c r="G249" i="15"/>
  <c r="H249" i="15"/>
  <c r="I249" i="15"/>
  <c r="J249" i="15"/>
  <c r="F250" i="15"/>
  <c r="G250" i="15"/>
  <c r="H250" i="15"/>
  <c r="I250" i="15"/>
  <c r="J250" i="15"/>
  <c r="F251" i="15"/>
  <c r="G251" i="15"/>
  <c r="H251" i="15"/>
  <c r="I251" i="15"/>
  <c r="J251" i="15"/>
  <c r="F252" i="15"/>
  <c r="G252" i="15"/>
  <c r="H252" i="15"/>
  <c r="I252" i="15"/>
  <c r="J252" i="15"/>
  <c r="F253" i="15"/>
  <c r="G253" i="15"/>
  <c r="H253" i="15"/>
  <c r="I253" i="15"/>
  <c r="J253" i="15"/>
  <c r="F254" i="15"/>
  <c r="G254" i="15"/>
  <c r="H254" i="15"/>
  <c r="I254" i="15"/>
  <c r="J254" i="15"/>
  <c r="F255" i="15"/>
  <c r="G255" i="15"/>
  <c r="H255" i="15"/>
  <c r="I255" i="15"/>
  <c r="J255" i="15"/>
  <c r="F256" i="15"/>
  <c r="G256" i="15"/>
  <c r="H256" i="15"/>
  <c r="I256" i="15"/>
  <c r="J256" i="15"/>
  <c r="F257" i="15"/>
  <c r="G257" i="15"/>
  <c r="H257" i="15"/>
  <c r="I257" i="15"/>
  <c r="J257" i="15"/>
  <c r="F258" i="15"/>
  <c r="G258" i="15"/>
  <c r="H258" i="15"/>
  <c r="I258" i="15"/>
  <c r="J258" i="15"/>
  <c r="F259" i="15"/>
  <c r="G259" i="15"/>
  <c r="H259" i="15"/>
  <c r="I259" i="15"/>
  <c r="J259" i="15"/>
  <c r="F260" i="15"/>
  <c r="G260" i="15"/>
  <c r="H260" i="15"/>
  <c r="I260" i="15"/>
  <c r="J260" i="15"/>
  <c r="F261" i="15"/>
  <c r="G261" i="15"/>
  <c r="H261" i="15"/>
  <c r="I261" i="15"/>
  <c r="J261" i="15"/>
  <c r="F262" i="15"/>
  <c r="G262" i="15"/>
  <c r="H262" i="15"/>
  <c r="I262" i="15"/>
  <c r="J262" i="15"/>
  <c r="F263" i="15"/>
  <c r="G263" i="15"/>
  <c r="H263" i="15"/>
  <c r="I263" i="15"/>
  <c r="J263" i="15"/>
  <c r="F264" i="15"/>
  <c r="G264" i="15"/>
  <c r="H264" i="15"/>
  <c r="I264" i="15"/>
  <c r="J264" i="15"/>
  <c r="F265" i="15"/>
  <c r="G265" i="15"/>
  <c r="H265" i="15"/>
  <c r="I265" i="15"/>
  <c r="J265" i="15"/>
  <c r="F266" i="15"/>
  <c r="G266" i="15"/>
  <c r="H266" i="15"/>
  <c r="I266" i="15"/>
  <c r="J266" i="15"/>
  <c r="F267" i="15"/>
  <c r="G267" i="15"/>
  <c r="H267" i="15"/>
  <c r="I267" i="15"/>
  <c r="J267" i="15"/>
  <c r="F268" i="15"/>
  <c r="G268" i="15"/>
  <c r="H268" i="15"/>
  <c r="I268" i="15"/>
  <c r="J268" i="15"/>
  <c r="F269" i="15"/>
  <c r="G269" i="15"/>
  <c r="H269" i="15"/>
  <c r="I269" i="15"/>
  <c r="J269" i="15"/>
  <c r="F270" i="15"/>
  <c r="G270" i="15"/>
  <c r="H270" i="15"/>
  <c r="I270" i="15"/>
  <c r="J270" i="15"/>
  <c r="F271" i="15"/>
  <c r="G271" i="15"/>
  <c r="H271" i="15"/>
  <c r="I271" i="15"/>
  <c r="J271" i="15"/>
  <c r="F272" i="15"/>
  <c r="G272" i="15"/>
  <c r="H272" i="15"/>
  <c r="I272" i="15"/>
  <c r="J272" i="15"/>
  <c r="F273" i="15"/>
  <c r="G273" i="15"/>
  <c r="H273" i="15"/>
  <c r="I273" i="15"/>
  <c r="J273" i="15"/>
  <c r="F274" i="15"/>
  <c r="G274" i="15"/>
  <c r="H274" i="15"/>
  <c r="I274" i="15"/>
  <c r="J274" i="15"/>
  <c r="F275" i="15"/>
  <c r="G275" i="15"/>
  <c r="H275" i="15"/>
  <c r="I275" i="15"/>
  <c r="J275" i="15"/>
  <c r="F276" i="15"/>
  <c r="G276" i="15"/>
  <c r="H276" i="15"/>
  <c r="I276" i="15"/>
  <c r="J276" i="15"/>
  <c r="F277" i="15"/>
  <c r="G277" i="15"/>
  <c r="H277" i="15"/>
  <c r="I277" i="15"/>
  <c r="J277" i="15"/>
  <c r="F278" i="15"/>
  <c r="G278" i="15"/>
  <c r="H278" i="15"/>
  <c r="I278" i="15"/>
  <c r="J278" i="15"/>
  <c r="F279" i="15"/>
  <c r="G279" i="15"/>
  <c r="H279" i="15"/>
  <c r="I279" i="15"/>
  <c r="J279" i="15"/>
  <c r="F280" i="15"/>
  <c r="G280" i="15"/>
  <c r="H280" i="15"/>
  <c r="I280" i="15"/>
  <c r="J280" i="15"/>
  <c r="F281" i="15"/>
  <c r="G281" i="15"/>
  <c r="H281" i="15"/>
  <c r="I281" i="15"/>
  <c r="J281" i="15"/>
  <c r="F282" i="15"/>
  <c r="G282" i="15"/>
  <c r="H282" i="15"/>
  <c r="I282" i="15"/>
  <c r="J282" i="15"/>
  <c r="F283" i="15"/>
  <c r="G283" i="15"/>
  <c r="H283" i="15"/>
  <c r="I283" i="15"/>
  <c r="J283" i="15"/>
  <c r="F284" i="15"/>
  <c r="G284" i="15"/>
  <c r="H284" i="15"/>
  <c r="I284" i="15"/>
  <c r="J284" i="15"/>
  <c r="F285" i="15"/>
  <c r="G285" i="15"/>
  <c r="H285" i="15"/>
  <c r="I285" i="15"/>
  <c r="J285" i="15"/>
  <c r="F286" i="15"/>
  <c r="G286" i="15"/>
  <c r="H286" i="15"/>
  <c r="I286" i="15"/>
  <c r="J286" i="15"/>
  <c r="F287" i="15"/>
  <c r="G287" i="15"/>
  <c r="H287" i="15"/>
  <c r="I287" i="15"/>
  <c r="J287" i="15"/>
  <c r="F288" i="15"/>
  <c r="G288" i="15"/>
  <c r="H288" i="15"/>
  <c r="I288" i="15"/>
  <c r="J288" i="15"/>
  <c r="F289" i="15"/>
  <c r="G289" i="15"/>
  <c r="H289" i="15"/>
  <c r="I289" i="15"/>
  <c r="J289" i="15"/>
  <c r="F290" i="15"/>
  <c r="G290" i="15"/>
  <c r="H290" i="15"/>
  <c r="I290" i="15"/>
  <c r="J290" i="15"/>
  <c r="F291" i="15"/>
  <c r="G291" i="15"/>
  <c r="H291" i="15"/>
  <c r="I291" i="15"/>
  <c r="J291" i="15"/>
  <c r="F292" i="15"/>
  <c r="G292" i="15"/>
  <c r="H292" i="15"/>
  <c r="I292" i="15"/>
  <c r="J292" i="15"/>
  <c r="F293" i="15"/>
  <c r="G293" i="15"/>
  <c r="H293" i="15"/>
  <c r="I293" i="15"/>
  <c r="J293" i="15"/>
  <c r="F294" i="15"/>
  <c r="G294" i="15"/>
  <c r="H294" i="15"/>
  <c r="I294" i="15"/>
  <c r="J294" i="15"/>
  <c r="F295" i="15"/>
  <c r="G295" i="15"/>
  <c r="H295" i="15"/>
  <c r="I295" i="15"/>
  <c r="J295" i="15"/>
  <c r="F296" i="15"/>
  <c r="G296" i="15"/>
  <c r="H296" i="15"/>
  <c r="I296" i="15"/>
  <c r="J296" i="15"/>
  <c r="F297" i="15"/>
  <c r="G297" i="15"/>
  <c r="H297" i="15"/>
  <c r="I297" i="15"/>
  <c r="J297" i="15"/>
  <c r="F298" i="15"/>
  <c r="G298" i="15"/>
  <c r="H298" i="15"/>
  <c r="I298" i="15"/>
  <c r="J298" i="15"/>
  <c r="F299" i="15"/>
  <c r="G299" i="15"/>
  <c r="H299" i="15"/>
  <c r="I299" i="15"/>
  <c r="J299" i="15"/>
  <c r="F300" i="15"/>
  <c r="G300" i="15"/>
  <c r="H300" i="15"/>
  <c r="I300" i="15"/>
  <c r="J300" i="15"/>
  <c r="F301" i="15"/>
  <c r="G301" i="15"/>
  <c r="H301" i="15"/>
  <c r="I301" i="15"/>
  <c r="J301" i="15"/>
  <c r="F302" i="15"/>
  <c r="G302" i="15"/>
  <c r="H302" i="15"/>
  <c r="I302" i="15"/>
  <c r="J302" i="15"/>
  <c r="F303" i="15"/>
  <c r="G303" i="15"/>
  <c r="H303" i="15"/>
  <c r="I303" i="15"/>
  <c r="J303" i="15"/>
  <c r="F304" i="15"/>
  <c r="G304" i="15"/>
  <c r="H304" i="15"/>
  <c r="I304" i="15"/>
  <c r="J304" i="15"/>
  <c r="F305" i="15"/>
  <c r="G305" i="15"/>
  <c r="H305" i="15"/>
  <c r="I305" i="15"/>
  <c r="J305" i="15"/>
  <c r="F306" i="15"/>
  <c r="G306" i="15"/>
  <c r="H306" i="15"/>
  <c r="I306" i="15"/>
  <c r="J306" i="15"/>
  <c r="F307" i="15"/>
  <c r="G307" i="15"/>
  <c r="H307" i="15"/>
  <c r="I307" i="15"/>
  <c r="J307" i="15"/>
  <c r="F308" i="15"/>
  <c r="G308" i="15"/>
  <c r="H308" i="15"/>
  <c r="I308" i="15"/>
  <c r="J308" i="15"/>
  <c r="F309" i="15"/>
  <c r="G309" i="15"/>
  <c r="H309" i="15"/>
  <c r="I309" i="15"/>
  <c r="J309" i="15"/>
  <c r="F310" i="15"/>
  <c r="G310" i="15"/>
  <c r="H310" i="15"/>
  <c r="I310" i="15"/>
  <c r="J310" i="15"/>
  <c r="F311" i="15"/>
  <c r="G311" i="15"/>
  <c r="H311" i="15"/>
  <c r="I311" i="15"/>
  <c r="J311" i="15"/>
  <c r="F312" i="15"/>
  <c r="G312" i="15"/>
  <c r="H312" i="15"/>
  <c r="I312" i="15"/>
  <c r="J312" i="15"/>
  <c r="F313" i="15"/>
  <c r="G313" i="15"/>
  <c r="H313" i="15"/>
  <c r="I313" i="15"/>
  <c r="J313" i="15"/>
  <c r="F314" i="15"/>
  <c r="G314" i="15"/>
  <c r="H314" i="15"/>
  <c r="I314" i="15"/>
  <c r="J314" i="15"/>
  <c r="F315" i="15"/>
  <c r="G315" i="15"/>
  <c r="H315" i="15"/>
  <c r="I315" i="15"/>
  <c r="J315" i="15"/>
  <c r="F316" i="15"/>
  <c r="G316" i="15"/>
  <c r="H316" i="15"/>
  <c r="I316" i="15"/>
  <c r="J316" i="15"/>
  <c r="F317" i="15"/>
  <c r="G317" i="15"/>
  <c r="H317" i="15"/>
  <c r="I317" i="15"/>
  <c r="J317" i="15"/>
  <c r="F318" i="15"/>
  <c r="G318" i="15"/>
  <c r="H318" i="15"/>
  <c r="I318" i="15"/>
  <c r="J318" i="15"/>
  <c r="F319" i="15"/>
  <c r="G319" i="15"/>
  <c r="H319" i="15"/>
  <c r="I319" i="15"/>
  <c r="J319" i="15"/>
  <c r="F320" i="15"/>
  <c r="G320" i="15"/>
  <c r="H320" i="15"/>
  <c r="I320" i="15"/>
  <c r="J320" i="15"/>
  <c r="F321" i="15"/>
  <c r="G321" i="15"/>
  <c r="H321" i="15"/>
  <c r="I321" i="15"/>
  <c r="J321" i="15"/>
  <c r="F322" i="15"/>
  <c r="G322" i="15"/>
  <c r="H322" i="15"/>
  <c r="I322" i="15"/>
  <c r="J322" i="15"/>
  <c r="F323" i="15"/>
  <c r="G323" i="15"/>
  <c r="H323" i="15"/>
  <c r="I323" i="15"/>
  <c r="J323" i="15"/>
  <c r="G2" i="15"/>
  <c r="H2" i="15"/>
  <c r="I2" i="15"/>
  <c r="J2" i="15"/>
  <c r="F2"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 i="15"/>
  <c r="N4" i="15"/>
  <c r="N5" i="15"/>
  <c r="N6" i="15"/>
  <c r="N7" i="15"/>
  <c r="N8" i="15"/>
  <c r="N9" i="15"/>
  <c r="N10" i="15"/>
  <c r="N11" i="15"/>
  <c r="N12" i="15"/>
  <c r="N13" i="15"/>
  <c r="N14" i="15"/>
  <c r="N15" i="15"/>
  <c r="N16" i="15"/>
  <c r="N17" i="15"/>
  <c r="N18" i="15"/>
  <c r="N19" i="15"/>
  <c r="N20" i="15"/>
  <c r="N21" i="15"/>
  <c r="N22" i="15"/>
  <c r="N23" i="15"/>
  <c r="N24" i="15"/>
  <c r="N25" i="15"/>
  <c r="N26" i="15"/>
  <c r="N2" i="15"/>
  <c r="B2" i="7" l="1"/>
  <c r="AA3" i="1" l="1"/>
  <c r="L3" i="15" s="1"/>
  <c r="AA4" i="1"/>
  <c r="L4" i="15" s="1"/>
  <c r="AA5" i="1"/>
  <c r="L5" i="15" s="1"/>
  <c r="AA6" i="1"/>
  <c r="L6" i="15" s="1"/>
  <c r="AA7" i="1"/>
  <c r="L7" i="15" s="1"/>
  <c r="AA8" i="1"/>
  <c r="L8" i="15" s="1"/>
  <c r="AA9" i="1"/>
  <c r="L9" i="15" s="1"/>
  <c r="AA10" i="1"/>
  <c r="L10" i="15" s="1"/>
  <c r="AA11" i="1"/>
  <c r="L11" i="15" s="1"/>
  <c r="AA12" i="1"/>
  <c r="L12" i="15" s="1"/>
  <c r="AA13" i="1"/>
  <c r="L13" i="15" s="1"/>
  <c r="AA14" i="1"/>
  <c r="L14" i="15" s="1"/>
  <c r="AA15" i="1"/>
  <c r="L15" i="15" s="1"/>
  <c r="AA16" i="1"/>
  <c r="L16" i="15" s="1"/>
  <c r="AA17" i="1"/>
  <c r="L17" i="15" s="1"/>
  <c r="AA18" i="1"/>
  <c r="L18" i="15" s="1"/>
  <c r="AA19" i="1"/>
  <c r="L19" i="15" s="1"/>
  <c r="AA20" i="1"/>
  <c r="L20" i="15" s="1"/>
  <c r="AA21" i="1"/>
  <c r="L21" i="15" s="1"/>
  <c r="AA22" i="1"/>
  <c r="L22" i="15" s="1"/>
  <c r="AA23" i="1"/>
  <c r="L23" i="15" s="1"/>
  <c r="AA24" i="1"/>
  <c r="L24" i="15" s="1"/>
  <c r="AA25" i="1"/>
  <c r="L25" i="15" s="1"/>
  <c r="AA26" i="1"/>
  <c r="L26" i="15" s="1"/>
  <c r="AA27" i="1"/>
  <c r="L27" i="15" s="1"/>
  <c r="AA28" i="1"/>
  <c r="L28" i="15" s="1"/>
  <c r="AA29" i="1"/>
  <c r="L29" i="15" s="1"/>
  <c r="AA30" i="1"/>
  <c r="L30" i="15" s="1"/>
  <c r="AA31" i="1"/>
  <c r="L31" i="15" s="1"/>
  <c r="AA32" i="1"/>
  <c r="L32" i="15" s="1"/>
  <c r="AA33" i="1"/>
  <c r="L33" i="15" s="1"/>
  <c r="AA34" i="1"/>
  <c r="L34" i="15" s="1"/>
  <c r="AA35" i="1"/>
  <c r="L35" i="15" s="1"/>
  <c r="AA36" i="1"/>
  <c r="L36" i="15" s="1"/>
  <c r="AA37" i="1"/>
  <c r="L37" i="15" s="1"/>
  <c r="AA38" i="1"/>
  <c r="L38" i="15" s="1"/>
  <c r="AA39" i="1"/>
  <c r="L39" i="15" s="1"/>
  <c r="AA40" i="1"/>
  <c r="L40" i="15" s="1"/>
  <c r="AA41" i="1"/>
  <c r="L41" i="15" s="1"/>
  <c r="AA42" i="1"/>
  <c r="L42" i="15" s="1"/>
  <c r="AA43" i="1"/>
  <c r="L43" i="15" s="1"/>
  <c r="AA44" i="1"/>
  <c r="L44" i="15" s="1"/>
  <c r="AA45" i="1"/>
  <c r="L45" i="15" s="1"/>
  <c r="AA46" i="1"/>
  <c r="L46" i="15" s="1"/>
  <c r="AA47" i="1"/>
  <c r="L47" i="15" s="1"/>
  <c r="AA48" i="1"/>
  <c r="L48" i="15" s="1"/>
  <c r="AA49" i="1"/>
  <c r="L49" i="15" s="1"/>
  <c r="AA50" i="1"/>
  <c r="L50" i="15" s="1"/>
  <c r="AA51" i="1"/>
  <c r="L51" i="15" s="1"/>
  <c r="AA52" i="1"/>
  <c r="L52" i="15" s="1"/>
  <c r="AA53" i="1"/>
  <c r="L53" i="15" s="1"/>
  <c r="AA54" i="1"/>
  <c r="L54" i="15" s="1"/>
  <c r="AA55" i="1"/>
  <c r="L55" i="15" s="1"/>
  <c r="AA56" i="1"/>
  <c r="L56" i="15" s="1"/>
  <c r="AA57" i="1"/>
  <c r="L57" i="15" s="1"/>
  <c r="AA58" i="1"/>
  <c r="L58" i="15" s="1"/>
  <c r="AA59" i="1"/>
  <c r="L59" i="15" s="1"/>
  <c r="AA60" i="1"/>
  <c r="L60" i="15" s="1"/>
  <c r="AA61" i="1"/>
  <c r="L61" i="15" s="1"/>
  <c r="AA62" i="1"/>
  <c r="L62" i="15" s="1"/>
  <c r="AA63" i="1"/>
  <c r="L63" i="15" s="1"/>
  <c r="AA64" i="1"/>
  <c r="L64" i="15" s="1"/>
  <c r="AA65" i="1"/>
  <c r="L65" i="15" s="1"/>
  <c r="AA66" i="1"/>
  <c r="L66" i="15" s="1"/>
  <c r="AA67" i="1"/>
  <c r="L67" i="15" s="1"/>
  <c r="AA68" i="1"/>
  <c r="L68" i="15" s="1"/>
  <c r="AA69" i="1"/>
  <c r="L69" i="15" s="1"/>
  <c r="AA70" i="1"/>
  <c r="L70" i="15" s="1"/>
  <c r="AA71" i="1"/>
  <c r="L71" i="15" s="1"/>
  <c r="AA72" i="1"/>
  <c r="L72" i="15" s="1"/>
  <c r="AA73" i="1"/>
  <c r="L73" i="15" s="1"/>
  <c r="AA74" i="1"/>
  <c r="L74" i="15" s="1"/>
  <c r="AA75" i="1"/>
  <c r="L75" i="15" s="1"/>
  <c r="AA76" i="1"/>
  <c r="L76" i="15" s="1"/>
  <c r="AA77" i="1"/>
  <c r="L77" i="15" s="1"/>
  <c r="AA78" i="1"/>
  <c r="L78" i="15" s="1"/>
  <c r="AA79" i="1"/>
  <c r="L79" i="15" s="1"/>
  <c r="AA80" i="1"/>
  <c r="L80" i="15" s="1"/>
  <c r="AA81" i="1"/>
  <c r="L81" i="15" s="1"/>
  <c r="AA82" i="1"/>
  <c r="L82" i="15" s="1"/>
  <c r="AA83" i="1"/>
  <c r="L83" i="15" s="1"/>
  <c r="AA84" i="1"/>
  <c r="L84" i="15" s="1"/>
  <c r="AA85" i="1"/>
  <c r="L85" i="15" s="1"/>
  <c r="AA86" i="1"/>
  <c r="L86" i="15" s="1"/>
  <c r="AA87" i="1"/>
  <c r="L87" i="15" s="1"/>
  <c r="AA88" i="1"/>
  <c r="L88" i="15" s="1"/>
  <c r="AA89" i="1"/>
  <c r="L89" i="15" s="1"/>
  <c r="AA90" i="1"/>
  <c r="L90" i="15" s="1"/>
  <c r="AA91" i="1"/>
  <c r="L91" i="15" s="1"/>
  <c r="AA92" i="1"/>
  <c r="L92" i="15" s="1"/>
  <c r="AA93" i="1"/>
  <c r="L93" i="15" s="1"/>
  <c r="AA94" i="1"/>
  <c r="L94" i="15" s="1"/>
  <c r="AA95" i="1"/>
  <c r="L95" i="15" s="1"/>
  <c r="AA96" i="1"/>
  <c r="L96" i="15" s="1"/>
  <c r="AA97" i="1"/>
  <c r="L97" i="15" s="1"/>
  <c r="AA98" i="1"/>
  <c r="L98" i="15" s="1"/>
  <c r="AA99" i="1"/>
  <c r="L99" i="15" s="1"/>
  <c r="AA100" i="1"/>
  <c r="L100" i="15" s="1"/>
  <c r="AA101" i="1"/>
  <c r="L101" i="15" s="1"/>
  <c r="AA102" i="1"/>
  <c r="L102" i="15" s="1"/>
  <c r="AA103" i="1"/>
  <c r="L103" i="15" s="1"/>
  <c r="AA104" i="1"/>
  <c r="L104" i="15" s="1"/>
  <c r="AA105" i="1"/>
  <c r="L105" i="15" s="1"/>
  <c r="AA106" i="1"/>
  <c r="L106" i="15" s="1"/>
  <c r="AA107" i="1"/>
  <c r="L107" i="15" s="1"/>
  <c r="AA108" i="1"/>
  <c r="L108" i="15" s="1"/>
  <c r="AA109" i="1"/>
  <c r="L109" i="15" s="1"/>
  <c r="AA110" i="1"/>
  <c r="L110" i="15" s="1"/>
  <c r="AA111" i="1"/>
  <c r="L111" i="15" s="1"/>
  <c r="AA112" i="1"/>
  <c r="L112" i="15" s="1"/>
  <c r="AA113" i="1"/>
  <c r="L113" i="15" s="1"/>
  <c r="AA114" i="1"/>
  <c r="L114" i="15" s="1"/>
  <c r="AA115" i="1"/>
  <c r="L115" i="15" s="1"/>
  <c r="AA116" i="1"/>
  <c r="L116" i="15" s="1"/>
  <c r="AA117" i="1"/>
  <c r="L117" i="15" s="1"/>
  <c r="AA118" i="1"/>
  <c r="L118" i="15" s="1"/>
  <c r="AA119" i="1"/>
  <c r="L119" i="15" s="1"/>
  <c r="AA120" i="1"/>
  <c r="L120" i="15" s="1"/>
  <c r="AA121" i="1"/>
  <c r="L121" i="15" s="1"/>
  <c r="AA122" i="1"/>
  <c r="L122" i="15" s="1"/>
  <c r="AA123" i="1"/>
  <c r="L123" i="15" s="1"/>
  <c r="AA124" i="1"/>
  <c r="L124" i="15" s="1"/>
  <c r="AA125" i="1"/>
  <c r="L125" i="15" s="1"/>
  <c r="AA126" i="1"/>
  <c r="L126" i="15" s="1"/>
  <c r="AA127" i="1"/>
  <c r="L127" i="15" s="1"/>
  <c r="AA128" i="1"/>
  <c r="L128" i="15" s="1"/>
  <c r="AA129" i="1"/>
  <c r="L129" i="15" s="1"/>
  <c r="AA130" i="1"/>
  <c r="L130" i="15" s="1"/>
  <c r="AA131" i="1"/>
  <c r="L131" i="15" s="1"/>
  <c r="AA132" i="1"/>
  <c r="L132" i="15" s="1"/>
  <c r="AA133" i="1"/>
  <c r="L133" i="15" s="1"/>
  <c r="AA134" i="1"/>
  <c r="L134" i="15" s="1"/>
  <c r="AA135" i="1"/>
  <c r="L135" i="15" s="1"/>
  <c r="AA136" i="1"/>
  <c r="L136" i="15" s="1"/>
  <c r="AA137" i="1"/>
  <c r="L137" i="15" s="1"/>
  <c r="AA138" i="1"/>
  <c r="L138" i="15" s="1"/>
  <c r="AA139" i="1"/>
  <c r="L139" i="15" s="1"/>
  <c r="AA140" i="1"/>
  <c r="L140" i="15" s="1"/>
  <c r="AA141" i="1"/>
  <c r="L141" i="15" s="1"/>
  <c r="AA142" i="1"/>
  <c r="L142" i="15" s="1"/>
  <c r="AA143" i="1"/>
  <c r="L143" i="15" s="1"/>
  <c r="AA144" i="1"/>
  <c r="L144" i="15" s="1"/>
  <c r="AA145" i="1"/>
  <c r="L145" i="15" s="1"/>
  <c r="AA146" i="1"/>
  <c r="L146" i="15" s="1"/>
  <c r="AA147" i="1"/>
  <c r="L147" i="15" s="1"/>
  <c r="AA148" i="1"/>
  <c r="L148" i="15" s="1"/>
  <c r="AA149" i="1"/>
  <c r="L149" i="15" s="1"/>
  <c r="AA150" i="1"/>
  <c r="L150" i="15" s="1"/>
  <c r="AA151" i="1"/>
  <c r="L151" i="15" s="1"/>
  <c r="AA152" i="1"/>
  <c r="L152" i="15" s="1"/>
  <c r="AA153" i="1"/>
  <c r="L153" i="15" s="1"/>
  <c r="AA154" i="1"/>
  <c r="L154" i="15" s="1"/>
  <c r="AA155" i="1"/>
  <c r="L155" i="15" s="1"/>
  <c r="AA156" i="1"/>
  <c r="L156" i="15" s="1"/>
  <c r="AA157" i="1"/>
  <c r="L157" i="15" s="1"/>
  <c r="AA158" i="1"/>
  <c r="L158" i="15" s="1"/>
  <c r="AA159" i="1"/>
  <c r="L159" i="15" s="1"/>
  <c r="AA160" i="1"/>
  <c r="L160" i="15" s="1"/>
  <c r="AA161" i="1"/>
  <c r="L161" i="15" s="1"/>
  <c r="AA162" i="1"/>
  <c r="L162" i="15" s="1"/>
  <c r="AA163" i="1"/>
  <c r="L163" i="15" s="1"/>
  <c r="AA164" i="1"/>
  <c r="L164" i="15" s="1"/>
  <c r="AA165" i="1"/>
  <c r="L165" i="15" s="1"/>
  <c r="AA166" i="1"/>
  <c r="L166" i="15" s="1"/>
  <c r="AA167" i="1"/>
  <c r="L167" i="15" s="1"/>
  <c r="AA168" i="1"/>
  <c r="L168" i="15" s="1"/>
  <c r="AA169" i="1"/>
  <c r="L169" i="15" s="1"/>
  <c r="AA170" i="1"/>
  <c r="L170" i="15" s="1"/>
  <c r="AA171" i="1"/>
  <c r="L171" i="15" s="1"/>
  <c r="AA172" i="1"/>
  <c r="L172" i="15" s="1"/>
  <c r="AA173" i="1"/>
  <c r="L173" i="15" s="1"/>
  <c r="AA174" i="1"/>
  <c r="L174" i="15" s="1"/>
  <c r="AA175" i="1"/>
  <c r="L175" i="15" s="1"/>
  <c r="AA176" i="1"/>
  <c r="L176" i="15" s="1"/>
  <c r="AA177" i="1"/>
  <c r="L177" i="15" s="1"/>
  <c r="AA178" i="1"/>
  <c r="L178" i="15" s="1"/>
  <c r="AA179" i="1"/>
  <c r="L179" i="15" s="1"/>
  <c r="AA180" i="1"/>
  <c r="L180" i="15" s="1"/>
  <c r="AA181" i="1"/>
  <c r="L181" i="15" s="1"/>
  <c r="AA182" i="1"/>
  <c r="L182" i="15" s="1"/>
  <c r="AA183" i="1"/>
  <c r="L183" i="15" s="1"/>
  <c r="AA184" i="1"/>
  <c r="L184" i="15" s="1"/>
  <c r="AA185" i="1"/>
  <c r="L185" i="15" s="1"/>
  <c r="AA186" i="1"/>
  <c r="L186" i="15" s="1"/>
  <c r="AA187" i="1"/>
  <c r="L187" i="15" s="1"/>
  <c r="AA188" i="1"/>
  <c r="L188" i="15" s="1"/>
  <c r="AA189" i="1"/>
  <c r="L189" i="15" s="1"/>
  <c r="AA190" i="1"/>
  <c r="L190" i="15" s="1"/>
  <c r="AA191" i="1"/>
  <c r="L191" i="15" s="1"/>
  <c r="AA192" i="1"/>
  <c r="L192" i="15" s="1"/>
  <c r="AA193" i="1"/>
  <c r="L193" i="15" s="1"/>
  <c r="AA194" i="1"/>
  <c r="L194" i="15" s="1"/>
  <c r="AA195" i="1"/>
  <c r="L195" i="15" s="1"/>
  <c r="AA196" i="1"/>
  <c r="L196" i="15" s="1"/>
  <c r="AA197" i="1"/>
  <c r="L197" i="15" s="1"/>
  <c r="AA198" i="1"/>
  <c r="L198" i="15" s="1"/>
  <c r="AA199" i="1"/>
  <c r="L199" i="15" s="1"/>
  <c r="AA200" i="1"/>
  <c r="L200" i="15" s="1"/>
  <c r="AA201" i="1"/>
  <c r="L201" i="15" s="1"/>
  <c r="AA202" i="1"/>
  <c r="L202" i="15" s="1"/>
  <c r="AA203" i="1"/>
  <c r="L203" i="15" s="1"/>
  <c r="AA204" i="1"/>
  <c r="L204" i="15" s="1"/>
  <c r="AA205" i="1"/>
  <c r="L205" i="15" s="1"/>
  <c r="AA206" i="1"/>
  <c r="L206" i="15" s="1"/>
  <c r="AA207" i="1"/>
  <c r="L207" i="15" s="1"/>
  <c r="AA208" i="1"/>
  <c r="L208" i="15" s="1"/>
  <c r="AA209" i="1"/>
  <c r="L209" i="15" s="1"/>
  <c r="AA210" i="1"/>
  <c r="L210" i="15" s="1"/>
  <c r="AA211" i="1"/>
  <c r="L211" i="15" s="1"/>
  <c r="AA212" i="1"/>
  <c r="L212" i="15" s="1"/>
  <c r="AA213" i="1"/>
  <c r="L213" i="15" s="1"/>
  <c r="AA214" i="1"/>
  <c r="L214" i="15" s="1"/>
  <c r="AA215" i="1"/>
  <c r="L215" i="15" s="1"/>
  <c r="AA216" i="1"/>
  <c r="L216" i="15" s="1"/>
  <c r="AA217" i="1"/>
  <c r="L217" i="15" s="1"/>
  <c r="AA218" i="1"/>
  <c r="L218" i="15" s="1"/>
  <c r="AA219" i="1"/>
  <c r="L219" i="15" s="1"/>
  <c r="AA220" i="1"/>
  <c r="L220" i="15" s="1"/>
  <c r="AA221" i="1"/>
  <c r="L221" i="15" s="1"/>
  <c r="AA222" i="1"/>
  <c r="L222" i="15" s="1"/>
  <c r="AA223" i="1"/>
  <c r="L223" i="15" s="1"/>
  <c r="AA224" i="1"/>
  <c r="L224" i="15" s="1"/>
  <c r="AA225" i="1"/>
  <c r="L225" i="15" s="1"/>
  <c r="AA226" i="1"/>
  <c r="L226" i="15" s="1"/>
  <c r="AA227" i="1"/>
  <c r="L227" i="15" s="1"/>
  <c r="AA228" i="1"/>
  <c r="L228" i="15" s="1"/>
  <c r="AA229" i="1"/>
  <c r="L229" i="15" s="1"/>
  <c r="AA230" i="1"/>
  <c r="L230" i="15" s="1"/>
  <c r="AA231" i="1"/>
  <c r="L231" i="15" s="1"/>
  <c r="AA232" i="1"/>
  <c r="L232" i="15" s="1"/>
  <c r="AA233" i="1"/>
  <c r="L233" i="15" s="1"/>
  <c r="AA234" i="1"/>
  <c r="L234" i="15" s="1"/>
  <c r="AA235" i="1"/>
  <c r="L235" i="15" s="1"/>
  <c r="AA236" i="1"/>
  <c r="L236" i="15" s="1"/>
  <c r="AA237" i="1"/>
  <c r="L237" i="15" s="1"/>
  <c r="AA238" i="1"/>
  <c r="L238" i="15" s="1"/>
  <c r="AA239" i="1"/>
  <c r="L239" i="15" s="1"/>
  <c r="AA240" i="1"/>
  <c r="L240" i="15" s="1"/>
  <c r="AA241" i="1"/>
  <c r="L241" i="15" s="1"/>
  <c r="AA242" i="1"/>
  <c r="L242" i="15" s="1"/>
  <c r="AA243" i="1"/>
  <c r="L243" i="15" s="1"/>
  <c r="AA244" i="1"/>
  <c r="L244" i="15" s="1"/>
  <c r="AA245" i="1"/>
  <c r="L245" i="15" s="1"/>
  <c r="AA246" i="1"/>
  <c r="L246" i="15" s="1"/>
  <c r="AA247" i="1"/>
  <c r="L247" i="15" s="1"/>
  <c r="AA248" i="1"/>
  <c r="L248" i="15" s="1"/>
  <c r="AA249" i="1"/>
  <c r="L249" i="15" s="1"/>
  <c r="AA250" i="1"/>
  <c r="L250" i="15" s="1"/>
  <c r="AA251" i="1"/>
  <c r="L251" i="15" s="1"/>
  <c r="AA252" i="1"/>
  <c r="L252" i="15" s="1"/>
  <c r="AA253" i="1"/>
  <c r="L253" i="15" s="1"/>
  <c r="AA254" i="1"/>
  <c r="L254" i="15" s="1"/>
  <c r="AA255" i="1"/>
  <c r="L255" i="15" s="1"/>
  <c r="AA256" i="1"/>
  <c r="L256" i="15" s="1"/>
  <c r="AA257" i="1"/>
  <c r="L257" i="15" s="1"/>
  <c r="AA258" i="1"/>
  <c r="L258" i="15" s="1"/>
  <c r="AA259" i="1"/>
  <c r="L259" i="15" s="1"/>
  <c r="AA260" i="1"/>
  <c r="L260" i="15" s="1"/>
  <c r="AA261" i="1"/>
  <c r="L261" i="15" s="1"/>
  <c r="AA262" i="1"/>
  <c r="L262" i="15" s="1"/>
  <c r="AA263" i="1"/>
  <c r="L263" i="15" s="1"/>
  <c r="AA264" i="1"/>
  <c r="L264" i="15" s="1"/>
  <c r="AA265" i="1"/>
  <c r="L265" i="15" s="1"/>
  <c r="AA266" i="1"/>
  <c r="L266" i="15" s="1"/>
  <c r="AA267" i="1"/>
  <c r="L267" i="15" s="1"/>
  <c r="AA268" i="1"/>
  <c r="L268" i="15" s="1"/>
  <c r="AA269" i="1"/>
  <c r="L269" i="15" s="1"/>
  <c r="AA270" i="1"/>
  <c r="L270" i="15" s="1"/>
  <c r="AA271" i="1"/>
  <c r="L271" i="15" s="1"/>
  <c r="AA272" i="1"/>
  <c r="L272" i="15" s="1"/>
  <c r="AA273" i="1"/>
  <c r="L273" i="15" s="1"/>
  <c r="AA274" i="1"/>
  <c r="L274" i="15" s="1"/>
  <c r="AA275" i="1"/>
  <c r="L275" i="15" s="1"/>
  <c r="AA276" i="1"/>
  <c r="L276" i="15" s="1"/>
  <c r="AA277" i="1"/>
  <c r="L277" i="15" s="1"/>
  <c r="AA278" i="1"/>
  <c r="L278" i="15" s="1"/>
  <c r="AA279" i="1"/>
  <c r="L279" i="15" s="1"/>
  <c r="AA280" i="1"/>
  <c r="L280" i="15" s="1"/>
  <c r="AA281" i="1"/>
  <c r="L281" i="15" s="1"/>
  <c r="AA282" i="1"/>
  <c r="L282" i="15" s="1"/>
  <c r="AA283" i="1"/>
  <c r="L283" i="15" s="1"/>
  <c r="AA284" i="1"/>
  <c r="L284" i="15" s="1"/>
  <c r="AA285" i="1"/>
  <c r="L285" i="15" s="1"/>
  <c r="AA286" i="1"/>
  <c r="L286" i="15" s="1"/>
  <c r="AA287" i="1"/>
  <c r="L287" i="15" s="1"/>
  <c r="AA288" i="1"/>
  <c r="L288" i="15" s="1"/>
  <c r="AA289" i="1"/>
  <c r="L289" i="15" s="1"/>
  <c r="AA290" i="1"/>
  <c r="L290" i="15" s="1"/>
  <c r="AA291" i="1"/>
  <c r="L291" i="15" s="1"/>
  <c r="AA292" i="1"/>
  <c r="L292" i="15" s="1"/>
  <c r="AA293" i="1"/>
  <c r="L293" i="15" s="1"/>
  <c r="AA294" i="1"/>
  <c r="L294" i="15" s="1"/>
  <c r="AA295" i="1"/>
  <c r="L295" i="15" s="1"/>
  <c r="AA296" i="1"/>
  <c r="L296" i="15" s="1"/>
  <c r="AA297" i="1"/>
  <c r="L297" i="15" s="1"/>
  <c r="AA298" i="1"/>
  <c r="L298" i="15" s="1"/>
  <c r="AA299" i="1"/>
  <c r="L299" i="15" s="1"/>
  <c r="AA300" i="1"/>
  <c r="L300" i="15" s="1"/>
  <c r="AA301" i="1"/>
  <c r="L301" i="15" s="1"/>
  <c r="AA302" i="1"/>
  <c r="L302" i="15" s="1"/>
  <c r="AA303" i="1"/>
  <c r="L303" i="15" s="1"/>
  <c r="AA304" i="1"/>
  <c r="L304" i="15" s="1"/>
  <c r="AA305" i="1"/>
  <c r="L305" i="15" s="1"/>
  <c r="AA306" i="1"/>
  <c r="L306" i="15" s="1"/>
  <c r="AA307" i="1"/>
  <c r="L307" i="15" s="1"/>
  <c r="AA308" i="1"/>
  <c r="L308" i="15" s="1"/>
  <c r="AA309" i="1"/>
  <c r="L309" i="15" s="1"/>
  <c r="AA310" i="1"/>
  <c r="L310" i="15" s="1"/>
  <c r="AA311" i="1"/>
  <c r="L311" i="15" s="1"/>
  <c r="AA312" i="1"/>
  <c r="L312" i="15" s="1"/>
  <c r="AA313" i="1"/>
  <c r="L313" i="15" s="1"/>
  <c r="AA314" i="1"/>
  <c r="L314" i="15" s="1"/>
  <c r="AA315" i="1"/>
  <c r="L315" i="15" s="1"/>
  <c r="AA316" i="1"/>
  <c r="L316" i="15" s="1"/>
  <c r="AA317" i="1"/>
  <c r="L317" i="15" s="1"/>
  <c r="AA318" i="1"/>
  <c r="L318" i="15" s="1"/>
  <c r="AA319" i="1"/>
  <c r="L319" i="15" s="1"/>
  <c r="AA320" i="1"/>
  <c r="L320" i="15" s="1"/>
  <c r="AA321" i="1"/>
  <c r="L321" i="15" s="1"/>
  <c r="AA322" i="1"/>
  <c r="L322" i="15" s="1"/>
  <c r="AA323" i="1"/>
  <c r="L323" i="15" s="1"/>
  <c r="AA324" i="1"/>
  <c r="AA325" i="1"/>
  <c r="AA326" i="1"/>
  <c r="AA2" i="1"/>
  <c r="L2" i="15" s="1"/>
  <c r="L325" i="15" l="1"/>
  <c r="L325" i="7"/>
  <c r="L324" i="15"/>
  <c r="L324" i="7"/>
  <c r="L326" i="15"/>
  <c r="L326" i="7"/>
  <c r="P47" i="5"/>
  <c r="Q47" i="5" s="1"/>
  <c r="P48" i="5"/>
  <c r="Q48" i="5" s="1"/>
  <c r="P49" i="5"/>
  <c r="Q49" i="5" s="1"/>
  <c r="P50" i="5"/>
  <c r="Q50" i="5" s="1"/>
  <c r="P51" i="5"/>
  <c r="Q51" i="5" s="1"/>
  <c r="P52" i="5"/>
  <c r="Q52" i="5" s="1"/>
  <c r="P53" i="5"/>
  <c r="Q53" i="5" s="1"/>
  <c r="P54" i="5"/>
  <c r="Q54" i="5" s="1"/>
  <c r="P55" i="5"/>
  <c r="Q55" i="5" s="1"/>
  <c r="P56" i="5"/>
  <c r="Q56" i="5" s="1"/>
  <c r="P57" i="5"/>
  <c r="Q57" i="5" s="1"/>
  <c r="P58" i="5"/>
  <c r="Q58" i="5" s="1"/>
  <c r="P59" i="5"/>
  <c r="Q59" i="5" s="1"/>
  <c r="P60" i="5"/>
  <c r="Q60" i="5" s="1"/>
  <c r="P61" i="5"/>
  <c r="Q61" i="5" s="1"/>
  <c r="P62" i="5"/>
  <c r="Q62" i="5" s="1"/>
  <c r="P63" i="5"/>
  <c r="Q63" i="5" s="1"/>
  <c r="P64" i="5"/>
  <c r="Q64" i="5" s="1"/>
  <c r="P65" i="5"/>
  <c r="Q65" i="5" s="1"/>
  <c r="P66" i="5"/>
  <c r="Q66" i="5" s="1"/>
  <c r="P67" i="5"/>
  <c r="Q67" i="5" s="1"/>
  <c r="P68" i="5"/>
  <c r="Q68" i="5" s="1"/>
  <c r="P69" i="5"/>
  <c r="Q69" i="5" s="1"/>
  <c r="P70" i="5"/>
  <c r="Q70" i="5" s="1"/>
  <c r="P71" i="5"/>
  <c r="Q71" i="5" s="1"/>
  <c r="P72" i="5"/>
  <c r="Q72" i="5" s="1"/>
  <c r="P73" i="5"/>
  <c r="Q73" i="5" s="1"/>
  <c r="P74" i="5"/>
  <c r="Q74" i="5" s="1"/>
  <c r="P75" i="5"/>
  <c r="Q75" i="5" s="1"/>
  <c r="P76" i="5"/>
  <c r="Q76" i="5" s="1"/>
  <c r="P77" i="5"/>
  <c r="Q77" i="5" s="1"/>
  <c r="P78" i="5"/>
  <c r="Q78" i="5" s="1"/>
  <c r="P79" i="5"/>
  <c r="Q79" i="5" s="1"/>
  <c r="P80" i="5"/>
  <c r="Q80" i="5" s="1"/>
  <c r="P81" i="5"/>
  <c r="Q81" i="5" s="1"/>
  <c r="P82" i="5"/>
  <c r="Q82" i="5" s="1"/>
  <c r="P83" i="5"/>
  <c r="Q83" i="5" s="1"/>
  <c r="P84" i="5"/>
  <c r="Q84" i="5" s="1"/>
  <c r="P85" i="5"/>
  <c r="Q85" i="5" s="1"/>
  <c r="P86" i="5"/>
  <c r="Q86" i="5" s="1"/>
  <c r="P87" i="5"/>
  <c r="Q87" i="5" s="1"/>
  <c r="P88" i="5"/>
  <c r="Q88" i="5" s="1"/>
  <c r="P89" i="5"/>
  <c r="Q89" i="5" s="1"/>
  <c r="P90" i="5"/>
  <c r="Q90" i="5" s="1"/>
  <c r="P91" i="5"/>
  <c r="Q91" i="5" s="1"/>
  <c r="P92" i="5"/>
  <c r="Q92" i="5" s="1"/>
  <c r="P93" i="5"/>
  <c r="Q93" i="5" s="1"/>
  <c r="P94" i="5"/>
  <c r="Q94" i="5" s="1"/>
  <c r="P95" i="5"/>
  <c r="Q95" i="5" s="1"/>
  <c r="P96" i="5"/>
  <c r="Q96" i="5" s="1"/>
  <c r="P97" i="5"/>
  <c r="Q97" i="5" s="1"/>
  <c r="P98" i="5"/>
  <c r="Q98" i="5" s="1"/>
  <c r="P99" i="5"/>
  <c r="Q99" i="5" s="1"/>
  <c r="P100" i="5"/>
  <c r="Q100" i="5" s="1"/>
  <c r="P101" i="5"/>
  <c r="Q101" i="5" s="1"/>
  <c r="P102" i="5"/>
  <c r="Q102" i="5" s="1"/>
  <c r="P103" i="5"/>
  <c r="Q103" i="5" s="1"/>
  <c r="P104" i="5"/>
  <c r="Q104" i="5" s="1"/>
  <c r="P105" i="5"/>
  <c r="Q105" i="5" s="1"/>
  <c r="P106" i="5"/>
  <c r="Q106" i="5" s="1"/>
  <c r="P107" i="5"/>
  <c r="Q107" i="5" s="1"/>
  <c r="P108" i="5"/>
  <c r="Q108" i="5" s="1"/>
  <c r="P109" i="5"/>
  <c r="Q109" i="5" s="1"/>
  <c r="P110" i="5"/>
  <c r="Q110" i="5" s="1"/>
  <c r="P111" i="5"/>
  <c r="Q111" i="5" s="1"/>
  <c r="P112" i="5"/>
  <c r="Q112" i="5" s="1"/>
  <c r="P113" i="5"/>
  <c r="Q113" i="5" s="1"/>
  <c r="P114" i="5"/>
  <c r="Q114" i="5" s="1"/>
  <c r="P115" i="5"/>
  <c r="Q115" i="5" s="1"/>
  <c r="P116" i="5"/>
  <c r="Q116" i="5" s="1"/>
  <c r="P117" i="5"/>
  <c r="Q117" i="5" s="1"/>
  <c r="P118" i="5"/>
  <c r="Q118" i="5" s="1"/>
  <c r="P119" i="5"/>
  <c r="Q119" i="5" s="1"/>
  <c r="P120" i="5"/>
  <c r="Q120" i="5" s="1"/>
  <c r="P121" i="5"/>
  <c r="Q121" i="5" s="1"/>
  <c r="P122" i="5"/>
  <c r="Q122" i="5" s="1"/>
  <c r="P123" i="5"/>
  <c r="Q123" i="5" s="1"/>
  <c r="P124" i="5"/>
  <c r="Q124" i="5" s="1"/>
  <c r="P125" i="5"/>
  <c r="Q125" i="5" s="1"/>
  <c r="P126" i="5"/>
  <c r="Q126" i="5" s="1"/>
  <c r="P127" i="5"/>
  <c r="Q127" i="5" s="1"/>
  <c r="P128" i="5"/>
  <c r="Q128" i="5" s="1"/>
  <c r="P129" i="5"/>
  <c r="Q129" i="5" s="1"/>
  <c r="P130" i="5"/>
  <c r="Q130" i="5" s="1"/>
  <c r="P131" i="5"/>
  <c r="Q131" i="5" s="1"/>
  <c r="P132" i="5"/>
  <c r="Q132" i="5" s="1"/>
  <c r="P133" i="5"/>
  <c r="Q133" i="5" s="1"/>
  <c r="P134" i="5"/>
  <c r="Q134" i="5" s="1"/>
  <c r="P135" i="5"/>
  <c r="Q135" i="5" s="1"/>
  <c r="P136" i="5"/>
  <c r="Q136" i="5" s="1"/>
  <c r="P137" i="5"/>
  <c r="Q137" i="5" s="1"/>
  <c r="P138" i="5"/>
  <c r="Q138" i="5" s="1"/>
  <c r="P139" i="5"/>
  <c r="Q139" i="5" s="1"/>
  <c r="P140" i="5"/>
  <c r="Q140" i="5" s="1"/>
  <c r="P141" i="5"/>
  <c r="Q141" i="5" s="1"/>
  <c r="P142" i="5"/>
  <c r="Q142" i="5" s="1"/>
  <c r="P143" i="5"/>
  <c r="Q143" i="5" s="1"/>
  <c r="P144" i="5"/>
  <c r="Q144" i="5" s="1"/>
  <c r="P145" i="5"/>
  <c r="Q145" i="5" s="1"/>
  <c r="P146" i="5"/>
  <c r="Q146" i="5" s="1"/>
  <c r="P147" i="5"/>
  <c r="Q147" i="5" s="1"/>
  <c r="P148" i="5"/>
  <c r="Q148" i="5" s="1"/>
  <c r="P149" i="5"/>
  <c r="Q149" i="5" s="1"/>
  <c r="P150" i="5"/>
  <c r="Q150" i="5" s="1"/>
  <c r="P151" i="5"/>
  <c r="Q151" i="5" s="1"/>
  <c r="P152" i="5"/>
  <c r="Q152" i="5" s="1"/>
  <c r="P153" i="5"/>
  <c r="Q153" i="5" s="1"/>
  <c r="P154" i="5"/>
  <c r="Q154" i="5" s="1"/>
  <c r="P155" i="5"/>
  <c r="Q155" i="5" s="1"/>
  <c r="P156" i="5"/>
  <c r="Q156" i="5" s="1"/>
  <c r="P157" i="5"/>
  <c r="Q157" i="5" s="1"/>
  <c r="P158" i="5"/>
  <c r="Q158" i="5" s="1"/>
  <c r="P159" i="5"/>
  <c r="Q159" i="5" s="1"/>
  <c r="P160" i="5"/>
  <c r="Q160" i="5" s="1"/>
  <c r="P161" i="5"/>
  <c r="Q161" i="5" s="1"/>
  <c r="P162" i="5"/>
  <c r="Q162" i="5" s="1"/>
  <c r="P163" i="5"/>
  <c r="Q163" i="5" s="1"/>
  <c r="P164" i="5"/>
  <c r="Q164" i="5" s="1"/>
  <c r="P165" i="5"/>
  <c r="Q165" i="5" s="1"/>
  <c r="P166" i="5"/>
  <c r="Q166" i="5" s="1"/>
  <c r="P167" i="5"/>
  <c r="Q167" i="5" s="1"/>
  <c r="P168" i="5"/>
  <c r="Q168" i="5" s="1"/>
  <c r="P169" i="5"/>
  <c r="Q169" i="5" s="1"/>
  <c r="P170" i="5"/>
  <c r="Q170" i="5" s="1"/>
  <c r="P171" i="5"/>
  <c r="Q171" i="5" s="1"/>
  <c r="P172" i="5"/>
  <c r="Q172" i="5" s="1"/>
  <c r="P173" i="5"/>
  <c r="Q173" i="5" s="1"/>
  <c r="P174" i="5"/>
  <c r="Q174" i="5" s="1"/>
  <c r="P175" i="5"/>
  <c r="Q175" i="5" s="1"/>
  <c r="P176" i="5"/>
  <c r="Q176" i="5" s="1"/>
  <c r="P177" i="5"/>
  <c r="Q177" i="5" s="1"/>
  <c r="P178" i="5"/>
  <c r="Q178" i="5" s="1"/>
  <c r="P179" i="5"/>
  <c r="Q179" i="5" s="1"/>
  <c r="P180" i="5"/>
  <c r="Q180" i="5" s="1"/>
  <c r="P181" i="5"/>
  <c r="Q181" i="5" s="1"/>
  <c r="P182" i="5"/>
  <c r="Q182" i="5" s="1"/>
  <c r="P183" i="5"/>
  <c r="Q183" i="5" s="1"/>
  <c r="P184" i="5"/>
  <c r="Q184" i="5" s="1"/>
  <c r="P185" i="5"/>
  <c r="Q185" i="5" s="1"/>
  <c r="P186" i="5"/>
  <c r="Q186" i="5" s="1"/>
  <c r="P187" i="5"/>
  <c r="Q187" i="5" s="1"/>
  <c r="P188" i="5"/>
  <c r="Q188" i="5" s="1"/>
  <c r="P189" i="5"/>
  <c r="Q189" i="5" s="1"/>
  <c r="P190" i="5"/>
  <c r="Q190" i="5" s="1"/>
  <c r="P191" i="5"/>
  <c r="Q191" i="5" s="1"/>
  <c r="P192" i="5"/>
  <c r="Q192" i="5" s="1"/>
  <c r="P193" i="5"/>
  <c r="Q193" i="5" s="1"/>
  <c r="P194" i="5"/>
  <c r="Q194" i="5" s="1"/>
  <c r="P195" i="5"/>
  <c r="Q195" i="5" s="1"/>
  <c r="P196" i="5"/>
  <c r="Q196" i="5" s="1"/>
  <c r="P197" i="5"/>
  <c r="Q197" i="5" s="1"/>
  <c r="P198" i="5"/>
  <c r="Q198" i="5" s="1"/>
  <c r="P199" i="5"/>
  <c r="Q199" i="5" s="1"/>
  <c r="P200" i="5"/>
  <c r="Q200" i="5" s="1"/>
  <c r="P201" i="5"/>
  <c r="Q201" i="5" s="1"/>
  <c r="P202" i="5"/>
  <c r="Q202" i="5" s="1"/>
  <c r="P203" i="5"/>
  <c r="Q203" i="5" s="1"/>
  <c r="P204" i="5"/>
  <c r="Q204" i="5" s="1"/>
  <c r="P205" i="5"/>
  <c r="Q205" i="5" s="1"/>
  <c r="P206" i="5"/>
  <c r="Q206" i="5" s="1"/>
  <c r="P207" i="5"/>
  <c r="Q207" i="5" s="1"/>
  <c r="P208" i="5"/>
  <c r="Q208" i="5" s="1"/>
  <c r="P209" i="5"/>
  <c r="Q209" i="5" s="1"/>
  <c r="P210" i="5"/>
  <c r="Q210" i="5" s="1"/>
  <c r="P211" i="5"/>
  <c r="Q211" i="5" s="1"/>
  <c r="P212" i="5"/>
  <c r="Q212" i="5" s="1"/>
  <c r="P213" i="5"/>
  <c r="Q213" i="5" s="1"/>
  <c r="P214" i="5"/>
  <c r="Q214" i="5" s="1"/>
  <c r="P215" i="5"/>
  <c r="Q215" i="5" s="1"/>
  <c r="P216" i="5"/>
  <c r="Q216" i="5" s="1"/>
  <c r="P217" i="5"/>
  <c r="Q217" i="5" s="1"/>
  <c r="P218" i="5"/>
  <c r="Q218" i="5" s="1"/>
  <c r="P219" i="5"/>
  <c r="Q219" i="5" s="1"/>
  <c r="P220" i="5"/>
  <c r="Q220" i="5" s="1"/>
  <c r="P221" i="5"/>
  <c r="Q221" i="5" s="1"/>
  <c r="P222" i="5"/>
  <c r="Q222" i="5" s="1"/>
  <c r="P223" i="5"/>
  <c r="Q223" i="5" s="1"/>
  <c r="P224" i="5"/>
  <c r="Q224" i="5" s="1"/>
  <c r="P225" i="5"/>
  <c r="Q225" i="5" s="1"/>
  <c r="P226" i="5"/>
  <c r="Q226" i="5" s="1"/>
  <c r="P227" i="5"/>
  <c r="Q227" i="5" s="1"/>
  <c r="P228" i="5"/>
  <c r="Q228" i="5" s="1"/>
  <c r="P229" i="5"/>
  <c r="Q229" i="5" s="1"/>
  <c r="P230" i="5"/>
  <c r="Q230" i="5" s="1"/>
  <c r="P231" i="5"/>
  <c r="Q231" i="5" s="1"/>
  <c r="P232" i="5"/>
  <c r="Q232" i="5" s="1"/>
  <c r="P233" i="5"/>
  <c r="Q233" i="5" s="1"/>
  <c r="P234" i="5"/>
  <c r="Q234" i="5" s="1"/>
  <c r="P235" i="5"/>
  <c r="Q235" i="5" s="1"/>
  <c r="P236" i="5"/>
  <c r="Q236" i="5" s="1"/>
  <c r="P237" i="5"/>
  <c r="Q237" i="5" s="1"/>
  <c r="P238" i="5"/>
  <c r="Q238" i="5" s="1"/>
  <c r="P239" i="5"/>
  <c r="Q239" i="5" s="1"/>
  <c r="P240" i="5"/>
  <c r="Q240" i="5" s="1"/>
  <c r="P241" i="5"/>
  <c r="Q241" i="5" s="1"/>
  <c r="P242" i="5"/>
  <c r="Q242" i="5" s="1"/>
  <c r="P243" i="5"/>
  <c r="Q243" i="5" s="1"/>
  <c r="P244" i="5"/>
  <c r="Q244" i="5" s="1"/>
  <c r="P245" i="5"/>
  <c r="Q245" i="5" s="1"/>
  <c r="P246" i="5"/>
  <c r="Q246" i="5" s="1"/>
  <c r="P247" i="5"/>
  <c r="Q247" i="5" s="1"/>
  <c r="P248" i="5"/>
  <c r="Q248" i="5" s="1"/>
  <c r="P249" i="5"/>
  <c r="Q249" i="5" s="1"/>
  <c r="P250" i="5"/>
  <c r="Q250" i="5" s="1"/>
  <c r="P251" i="5"/>
  <c r="Q251" i="5" s="1"/>
  <c r="P252" i="5"/>
  <c r="Q252" i="5" s="1"/>
  <c r="P253" i="5"/>
  <c r="Q253" i="5" s="1"/>
  <c r="P254" i="5"/>
  <c r="Q254" i="5" s="1"/>
  <c r="P255" i="5"/>
  <c r="Q255" i="5" s="1"/>
  <c r="P256" i="5"/>
  <c r="Q256" i="5" s="1"/>
  <c r="P257" i="5"/>
  <c r="Q257" i="5" s="1"/>
  <c r="P258" i="5"/>
  <c r="Q258" i="5" s="1"/>
  <c r="P259" i="5"/>
  <c r="Q259" i="5" s="1"/>
  <c r="P260" i="5"/>
  <c r="Q260" i="5" s="1"/>
  <c r="P261" i="5"/>
  <c r="Q261" i="5" s="1"/>
  <c r="P262" i="5"/>
  <c r="Q262" i="5" s="1"/>
  <c r="P263" i="5"/>
  <c r="Q263" i="5" s="1"/>
  <c r="P264" i="5"/>
  <c r="Q264" i="5" s="1"/>
  <c r="P265" i="5"/>
  <c r="Q265" i="5" s="1"/>
  <c r="P266" i="5"/>
  <c r="Q266" i="5" s="1"/>
  <c r="P267" i="5"/>
  <c r="Q267" i="5" s="1"/>
  <c r="P268" i="5"/>
  <c r="Q268" i="5" s="1"/>
  <c r="P269" i="5"/>
  <c r="Q269" i="5" s="1"/>
  <c r="P270" i="5"/>
  <c r="Q270" i="5" s="1"/>
  <c r="P271" i="5"/>
  <c r="Q271" i="5" s="1"/>
  <c r="P272" i="5"/>
  <c r="Q272" i="5" s="1"/>
  <c r="P273" i="5"/>
  <c r="Q273" i="5" s="1"/>
  <c r="P274" i="5"/>
  <c r="Q274" i="5" s="1"/>
  <c r="P275" i="5"/>
  <c r="Q275" i="5" s="1"/>
  <c r="P276" i="5"/>
  <c r="Q276" i="5" s="1"/>
  <c r="P277" i="5"/>
  <c r="Q277" i="5" s="1"/>
  <c r="P278" i="5"/>
  <c r="Q278" i="5" s="1"/>
  <c r="P279" i="5"/>
  <c r="Q279" i="5" s="1"/>
  <c r="P280" i="5"/>
  <c r="Q280" i="5" s="1"/>
  <c r="P281" i="5"/>
  <c r="Q281" i="5" s="1"/>
  <c r="P282" i="5"/>
  <c r="Q282" i="5" s="1"/>
  <c r="P283" i="5"/>
  <c r="Q283" i="5" s="1"/>
  <c r="P284" i="5"/>
  <c r="Q284" i="5" s="1"/>
  <c r="P285" i="5"/>
  <c r="Q285" i="5" s="1"/>
  <c r="P286" i="5"/>
  <c r="Q286" i="5" s="1"/>
  <c r="P287" i="5"/>
  <c r="Q287" i="5" s="1"/>
  <c r="P288" i="5"/>
  <c r="Q288" i="5" s="1"/>
  <c r="P289" i="5"/>
  <c r="Q289" i="5" s="1"/>
  <c r="P290" i="5"/>
  <c r="Q290" i="5" s="1"/>
  <c r="P291" i="5"/>
  <c r="Q291" i="5" s="1"/>
  <c r="P292" i="5"/>
  <c r="Q292" i="5" s="1"/>
  <c r="P293" i="5"/>
  <c r="Q293" i="5" s="1"/>
  <c r="P294" i="5"/>
  <c r="Q294" i="5" s="1"/>
  <c r="P295" i="5"/>
  <c r="Q295" i="5" s="1"/>
  <c r="P296" i="5"/>
  <c r="Q296" i="5" s="1"/>
  <c r="P297" i="5"/>
  <c r="Q297" i="5" s="1"/>
  <c r="P298" i="5"/>
  <c r="Q298" i="5" s="1"/>
  <c r="P299" i="5"/>
  <c r="Q299" i="5" s="1"/>
  <c r="P300" i="5"/>
  <c r="Q300" i="5" s="1"/>
  <c r="P301" i="5"/>
  <c r="Q301" i="5" s="1"/>
  <c r="P302" i="5"/>
  <c r="Q302" i="5" s="1"/>
  <c r="P303" i="5"/>
  <c r="Q303" i="5" s="1"/>
  <c r="P304" i="5"/>
  <c r="Q304" i="5" s="1"/>
  <c r="P305" i="5"/>
  <c r="Q305" i="5" s="1"/>
  <c r="P306" i="5"/>
  <c r="Q306" i="5" s="1"/>
  <c r="P307" i="5"/>
  <c r="Q307" i="5" s="1"/>
  <c r="P308" i="5"/>
  <c r="Q308" i="5" s="1"/>
  <c r="P309" i="5"/>
  <c r="Q309" i="5" s="1"/>
  <c r="P310" i="5"/>
  <c r="Q310" i="5" s="1"/>
  <c r="P311" i="5"/>
  <c r="Q311" i="5" s="1"/>
  <c r="P312" i="5"/>
  <c r="Q312" i="5" s="1"/>
  <c r="P313" i="5"/>
  <c r="Q313" i="5" s="1"/>
  <c r="P314" i="5"/>
  <c r="Q314" i="5" s="1"/>
  <c r="P315" i="5"/>
  <c r="Q315" i="5" s="1"/>
  <c r="P316" i="5"/>
  <c r="Q316" i="5" s="1"/>
  <c r="P317" i="5"/>
  <c r="Q317" i="5" s="1"/>
  <c r="P318" i="5"/>
  <c r="Q318" i="5" s="1"/>
  <c r="P319" i="5"/>
  <c r="Q319" i="5" s="1"/>
  <c r="P320" i="5"/>
  <c r="Q320" i="5" s="1"/>
  <c r="P321" i="5"/>
  <c r="Q321" i="5" s="1"/>
  <c r="P322" i="5"/>
  <c r="Q322" i="5" s="1"/>
  <c r="P323" i="5"/>
  <c r="Q323" i="5" s="1"/>
  <c r="P324" i="5"/>
  <c r="Q324" i="5" s="1"/>
  <c r="P325" i="5"/>
  <c r="Q325" i="5" s="1"/>
  <c r="P326" i="5"/>
  <c r="Q326" i="5" s="1"/>
  <c r="P327" i="5"/>
  <c r="Q327" i="5" s="1"/>
  <c r="P328" i="5"/>
  <c r="Q328" i="5" s="1"/>
  <c r="P329" i="5"/>
  <c r="Q329" i="5" s="1"/>
  <c r="P330" i="5"/>
  <c r="Q330" i="5" s="1"/>
  <c r="P331" i="5"/>
  <c r="Q331" i="5" s="1"/>
  <c r="P332" i="5"/>
  <c r="Q332" i="5" s="1"/>
  <c r="P333" i="5"/>
  <c r="Q333" i="5" s="1"/>
  <c r="P334" i="5"/>
  <c r="Q334" i="5" s="1"/>
  <c r="P335" i="5"/>
  <c r="Q335" i="5" s="1"/>
  <c r="P336" i="5"/>
  <c r="Q336" i="5" s="1"/>
  <c r="P337" i="5"/>
  <c r="Q337" i="5" s="1"/>
  <c r="P338" i="5"/>
  <c r="Q338" i="5" s="1"/>
  <c r="P339" i="5"/>
  <c r="Q339" i="5" s="1"/>
  <c r="P340" i="5"/>
  <c r="Q340" i="5" s="1"/>
  <c r="P341" i="5"/>
  <c r="Q341" i="5" s="1"/>
  <c r="P342" i="5"/>
  <c r="Q342" i="5" s="1"/>
  <c r="P343" i="5"/>
  <c r="Q343" i="5" s="1"/>
  <c r="P344" i="5"/>
  <c r="Q344" i="5" s="1"/>
  <c r="P345" i="5"/>
  <c r="Q345" i="5" s="1"/>
  <c r="P346" i="5"/>
  <c r="Q346" i="5" s="1"/>
  <c r="P347" i="5"/>
  <c r="Q347" i="5" s="1"/>
  <c r="P348" i="5"/>
  <c r="Q348" i="5" s="1"/>
  <c r="P349" i="5"/>
  <c r="Q349" i="5" s="1"/>
  <c r="P350" i="5"/>
  <c r="Q350" i="5" s="1"/>
  <c r="P351" i="5"/>
  <c r="Q351" i="5" s="1"/>
  <c r="P352" i="5"/>
  <c r="Q352" i="5" s="1"/>
  <c r="P353" i="5"/>
  <c r="Q353" i="5" s="1"/>
  <c r="P354" i="5"/>
  <c r="Q354" i="5" s="1"/>
  <c r="P355" i="5"/>
  <c r="Q355" i="5" s="1"/>
  <c r="P356" i="5"/>
  <c r="Q356" i="5" s="1"/>
  <c r="P357" i="5"/>
  <c r="Q357" i="5" s="1"/>
  <c r="P358" i="5"/>
  <c r="Q358" i="5" s="1"/>
  <c r="P359" i="5"/>
  <c r="Q359" i="5" s="1"/>
  <c r="P360" i="5"/>
  <c r="Q360" i="5" s="1"/>
  <c r="P361" i="5"/>
  <c r="Q361" i="5" s="1"/>
  <c r="P362" i="5"/>
  <c r="Q362" i="5" s="1"/>
  <c r="P363" i="5"/>
  <c r="Q363" i="5" s="1"/>
  <c r="P364" i="5"/>
  <c r="Q364" i="5" s="1"/>
  <c r="P365" i="5"/>
  <c r="Q365" i="5" s="1"/>
  <c r="P366" i="5"/>
  <c r="Q366" i="5" s="1"/>
  <c r="P367" i="5"/>
  <c r="Q367" i="5" s="1"/>
  <c r="P368" i="5"/>
  <c r="Q368" i="5" s="1"/>
  <c r="P369" i="5"/>
  <c r="Q369" i="5" s="1"/>
  <c r="P370" i="5"/>
  <c r="Q370" i="5" s="1"/>
  <c r="P371" i="5"/>
  <c r="Q371" i="5" s="1"/>
  <c r="P372" i="5"/>
  <c r="Q372" i="5" s="1"/>
  <c r="P373" i="5"/>
  <c r="Q373" i="5" s="1"/>
  <c r="P374" i="5"/>
  <c r="Q374" i="5" s="1"/>
  <c r="P375" i="5"/>
  <c r="Q375" i="5" s="1"/>
  <c r="P376" i="5"/>
  <c r="Q376" i="5" s="1"/>
  <c r="P377" i="5"/>
  <c r="Q377" i="5" s="1"/>
  <c r="P378" i="5"/>
  <c r="Q378" i="5" s="1"/>
  <c r="P379" i="5"/>
  <c r="Q379" i="5" s="1"/>
  <c r="P380" i="5"/>
  <c r="Q380" i="5" s="1"/>
  <c r="P381" i="5"/>
  <c r="Q381" i="5" s="1"/>
  <c r="P382" i="5"/>
  <c r="Q382" i="5" s="1"/>
  <c r="P383" i="5"/>
  <c r="Q383" i="5" s="1"/>
  <c r="P384" i="5"/>
  <c r="Q384" i="5" s="1"/>
  <c r="P385" i="5"/>
  <c r="Q385" i="5" s="1"/>
  <c r="P386" i="5"/>
  <c r="Q386" i="5" s="1"/>
  <c r="P387" i="5"/>
  <c r="Q387" i="5" s="1"/>
  <c r="P388" i="5"/>
  <c r="Q388" i="5" s="1"/>
  <c r="P389" i="5"/>
  <c r="Q389" i="5" s="1"/>
  <c r="P390" i="5"/>
  <c r="Q390" i="5" s="1"/>
  <c r="P391" i="5"/>
  <c r="Q391" i="5" s="1"/>
  <c r="P392" i="5"/>
  <c r="Q392" i="5" s="1"/>
  <c r="P393" i="5"/>
  <c r="Q393" i="5" s="1"/>
  <c r="P394" i="5"/>
  <c r="Q394" i="5" s="1"/>
  <c r="P395" i="5"/>
  <c r="Q395" i="5" s="1"/>
  <c r="P396" i="5"/>
  <c r="Q396" i="5" s="1"/>
  <c r="P397" i="5"/>
  <c r="Q397" i="5" s="1"/>
  <c r="P398" i="5"/>
  <c r="Q398" i="5" s="1"/>
  <c r="P399" i="5"/>
  <c r="Q399" i="5" s="1"/>
  <c r="P400" i="5"/>
  <c r="Q400" i="5" s="1"/>
  <c r="P401" i="5"/>
  <c r="Q401" i="5" s="1"/>
  <c r="P402" i="5"/>
  <c r="Q402" i="5" s="1"/>
  <c r="P403" i="5"/>
  <c r="Q403" i="5" s="1"/>
  <c r="P404" i="5"/>
  <c r="Q404" i="5" s="1"/>
  <c r="P405" i="5"/>
  <c r="Q405" i="5" s="1"/>
  <c r="P406" i="5"/>
  <c r="Q406" i="5" s="1"/>
  <c r="P407" i="5"/>
  <c r="Q407" i="5" s="1"/>
  <c r="P408" i="5"/>
  <c r="Q408" i="5" s="1"/>
  <c r="P409" i="5"/>
  <c r="Q409" i="5" s="1"/>
  <c r="P410" i="5"/>
  <c r="Q410" i="5" s="1"/>
  <c r="P411" i="5"/>
  <c r="Q411" i="5" s="1"/>
  <c r="P412" i="5"/>
  <c r="Q412" i="5" s="1"/>
  <c r="P413" i="5"/>
  <c r="Q413" i="5" s="1"/>
  <c r="P414" i="5"/>
  <c r="Q414" i="5" s="1"/>
  <c r="P415" i="5"/>
  <c r="Q415" i="5" s="1"/>
  <c r="P416" i="5"/>
  <c r="Q416" i="5" s="1"/>
  <c r="P417" i="5"/>
  <c r="Q417" i="5" s="1"/>
  <c r="P418" i="5"/>
  <c r="Q418" i="5" s="1"/>
  <c r="P419" i="5"/>
  <c r="Q419" i="5" s="1"/>
  <c r="P420" i="5"/>
  <c r="Q420" i="5" s="1"/>
  <c r="P421" i="5"/>
  <c r="Q421" i="5" s="1"/>
  <c r="P422" i="5"/>
  <c r="Q422" i="5" s="1"/>
  <c r="P423" i="5"/>
  <c r="Q423" i="5" s="1"/>
  <c r="P424" i="5"/>
  <c r="Q424" i="5" s="1"/>
  <c r="P425" i="5"/>
  <c r="Q425" i="5" s="1"/>
  <c r="P426" i="5"/>
  <c r="Q426" i="5" s="1"/>
  <c r="P427" i="5"/>
  <c r="Q427" i="5" s="1"/>
  <c r="P428" i="5"/>
  <c r="Q428" i="5" s="1"/>
  <c r="P429" i="5"/>
  <c r="Q429" i="5" s="1"/>
  <c r="P430" i="5"/>
  <c r="Q430" i="5" s="1"/>
  <c r="P431" i="5"/>
  <c r="Q431" i="5" s="1"/>
  <c r="P432" i="5"/>
  <c r="Q432" i="5" s="1"/>
  <c r="P433" i="5"/>
  <c r="Q433" i="5" s="1"/>
  <c r="P434" i="5"/>
  <c r="Q434" i="5" s="1"/>
  <c r="P435" i="5"/>
  <c r="Q435" i="5" s="1"/>
  <c r="P436" i="5"/>
  <c r="Q436" i="5" s="1"/>
  <c r="P437" i="5"/>
  <c r="Q437" i="5" s="1"/>
  <c r="P438" i="5"/>
  <c r="Q438" i="5" s="1"/>
  <c r="P439" i="5"/>
  <c r="Q439" i="5" s="1"/>
  <c r="P440" i="5"/>
  <c r="Q440" i="5" s="1"/>
  <c r="P441" i="5"/>
  <c r="Q441" i="5" s="1"/>
  <c r="P442" i="5"/>
  <c r="Q442" i="5" s="1"/>
  <c r="P443" i="5"/>
  <c r="Q443" i="5" s="1"/>
  <c r="P444" i="5"/>
  <c r="Q444" i="5" s="1"/>
  <c r="P445" i="5"/>
  <c r="Q445" i="5" s="1"/>
  <c r="P446" i="5"/>
  <c r="Q446" i="5" s="1"/>
  <c r="P447" i="5"/>
  <c r="Q447" i="5" s="1"/>
  <c r="P448" i="5"/>
  <c r="Q448" i="5" s="1"/>
  <c r="P449" i="5"/>
  <c r="Q449" i="5" s="1"/>
  <c r="P450" i="5"/>
  <c r="Q450" i="5" s="1"/>
  <c r="P451" i="5"/>
  <c r="Q451" i="5" s="1"/>
  <c r="P452" i="5"/>
  <c r="Q452" i="5" s="1"/>
  <c r="P453" i="5"/>
  <c r="Q453" i="5" s="1"/>
  <c r="P454" i="5"/>
  <c r="Q454" i="5" s="1"/>
  <c r="P455" i="5"/>
  <c r="Q455" i="5" s="1"/>
  <c r="P456" i="5"/>
  <c r="Q456" i="5" s="1"/>
  <c r="P457" i="5"/>
  <c r="Q457" i="5" s="1"/>
  <c r="P458" i="5"/>
  <c r="Q458" i="5" s="1"/>
  <c r="P459" i="5"/>
  <c r="Q459" i="5" s="1"/>
  <c r="P460" i="5"/>
  <c r="Q460" i="5" s="1"/>
  <c r="P461" i="5"/>
  <c r="Q461" i="5" s="1"/>
  <c r="P462" i="5"/>
  <c r="Q462" i="5" s="1"/>
  <c r="P463" i="5"/>
  <c r="Q463" i="5" s="1"/>
  <c r="P464" i="5"/>
  <c r="Q464" i="5" s="1"/>
  <c r="P465" i="5"/>
  <c r="Q465" i="5" s="1"/>
  <c r="P466" i="5"/>
  <c r="Q466" i="5" s="1"/>
  <c r="P467" i="5"/>
  <c r="Q467" i="5" s="1"/>
  <c r="P468" i="5"/>
  <c r="Q468" i="5" s="1"/>
  <c r="P469" i="5"/>
  <c r="Q469" i="5" s="1"/>
  <c r="P470" i="5"/>
  <c r="Q470" i="5" s="1"/>
  <c r="P471" i="5"/>
  <c r="Q471" i="5" s="1"/>
  <c r="P472" i="5"/>
  <c r="Q472" i="5" s="1"/>
  <c r="P473" i="5"/>
  <c r="Q473" i="5" s="1"/>
  <c r="P474" i="5"/>
  <c r="Q474" i="5" s="1"/>
  <c r="P475" i="5"/>
  <c r="Q475" i="5" s="1"/>
  <c r="P476" i="5"/>
  <c r="Q476" i="5" s="1"/>
  <c r="P477" i="5"/>
  <c r="Q477" i="5" s="1"/>
  <c r="P478" i="5"/>
  <c r="Q478" i="5" s="1"/>
  <c r="P479" i="5"/>
  <c r="Q479" i="5" s="1"/>
  <c r="P480" i="5"/>
  <c r="Q480" i="5" s="1"/>
  <c r="P481" i="5"/>
  <c r="Q481" i="5" s="1"/>
  <c r="P482" i="5"/>
  <c r="Q482" i="5" s="1"/>
  <c r="P483" i="5"/>
  <c r="Q483" i="5" s="1"/>
  <c r="P484" i="5"/>
  <c r="Q484" i="5" s="1"/>
  <c r="P485" i="5"/>
  <c r="Q485" i="5" s="1"/>
  <c r="P486" i="5"/>
  <c r="Q486" i="5" s="1"/>
  <c r="P487" i="5"/>
  <c r="Q487" i="5" s="1"/>
  <c r="P488" i="5"/>
  <c r="Q488" i="5" s="1"/>
  <c r="P489" i="5"/>
  <c r="Q489" i="5" s="1"/>
  <c r="P490" i="5"/>
  <c r="Q490" i="5" s="1"/>
  <c r="P491" i="5"/>
  <c r="Q491" i="5" s="1"/>
  <c r="P492" i="5"/>
  <c r="Q492" i="5" s="1"/>
  <c r="P493" i="5"/>
  <c r="Q493" i="5" s="1"/>
  <c r="P494" i="5"/>
  <c r="Q494" i="5" s="1"/>
  <c r="P495" i="5"/>
  <c r="Q495" i="5" s="1"/>
  <c r="P496" i="5"/>
  <c r="Q496" i="5" s="1"/>
  <c r="P497" i="5"/>
  <c r="Q497" i="5" s="1"/>
  <c r="P498" i="5"/>
  <c r="Q498" i="5" s="1"/>
  <c r="P499" i="5"/>
  <c r="Q499" i="5" s="1"/>
  <c r="P500" i="5"/>
  <c r="Q500" i="5" s="1"/>
  <c r="P501" i="5"/>
  <c r="Q501" i="5" s="1"/>
  <c r="P502" i="5"/>
  <c r="Q502" i="5" s="1"/>
  <c r="P503" i="5"/>
  <c r="Q503" i="5" s="1"/>
  <c r="P504" i="5"/>
  <c r="Q504" i="5" s="1"/>
  <c r="P505" i="5"/>
  <c r="Q505" i="5" s="1"/>
  <c r="P506" i="5"/>
  <c r="Q506" i="5" s="1"/>
  <c r="P507" i="5"/>
  <c r="Q507" i="5" s="1"/>
  <c r="P508" i="5"/>
  <c r="Q508" i="5" s="1"/>
  <c r="P509" i="5"/>
  <c r="Q509" i="5" s="1"/>
  <c r="P510" i="5"/>
  <c r="Q510" i="5" s="1"/>
  <c r="P511" i="5"/>
  <c r="Q511" i="5" s="1"/>
  <c r="P512" i="5"/>
  <c r="Q512" i="5" s="1"/>
  <c r="P513" i="5"/>
  <c r="Q513" i="5" s="1"/>
  <c r="P514" i="5"/>
  <c r="Q514" i="5" s="1"/>
  <c r="P515" i="5"/>
  <c r="Q515" i="5" s="1"/>
  <c r="P516" i="5"/>
  <c r="Q516" i="5" s="1"/>
  <c r="P517" i="5"/>
  <c r="Q517" i="5" s="1"/>
  <c r="P518" i="5"/>
  <c r="Q518" i="5" s="1"/>
  <c r="P519" i="5"/>
  <c r="Q519" i="5" s="1"/>
  <c r="P520" i="5"/>
  <c r="Q520" i="5" s="1"/>
  <c r="P521" i="5"/>
  <c r="Q521" i="5" s="1"/>
  <c r="P522" i="5"/>
  <c r="Q522" i="5" s="1"/>
  <c r="P523" i="5"/>
  <c r="Q523" i="5" s="1"/>
  <c r="P524" i="5"/>
  <c r="Q524" i="5" s="1"/>
  <c r="P525" i="5"/>
  <c r="Q525" i="5" s="1"/>
  <c r="P526" i="5"/>
  <c r="Q526" i="5" s="1"/>
  <c r="P527" i="5"/>
  <c r="Q527" i="5" s="1"/>
  <c r="P528" i="5"/>
  <c r="Q528" i="5" s="1"/>
  <c r="P529" i="5"/>
  <c r="Q529" i="5" s="1"/>
  <c r="P530" i="5"/>
  <c r="Q530" i="5" s="1"/>
  <c r="P531" i="5"/>
  <c r="Q531" i="5" s="1"/>
  <c r="P532" i="5"/>
  <c r="Q532" i="5" s="1"/>
  <c r="P533" i="5"/>
  <c r="Q533" i="5" s="1"/>
  <c r="P534" i="5"/>
  <c r="Q534" i="5" s="1"/>
  <c r="P535" i="5"/>
  <c r="Q535" i="5" s="1"/>
  <c r="P536" i="5"/>
  <c r="Q536" i="5" s="1"/>
  <c r="P537" i="5"/>
  <c r="Q537" i="5" s="1"/>
  <c r="P538" i="5"/>
  <c r="Q538" i="5" s="1"/>
  <c r="P539" i="5"/>
  <c r="Q539" i="5" s="1"/>
  <c r="P540" i="5"/>
  <c r="Q540" i="5" s="1"/>
  <c r="P541" i="5"/>
  <c r="Q541" i="5" s="1"/>
  <c r="P542" i="5"/>
  <c r="Q542" i="5" s="1"/>
  <c r="P543" i="5"/>
  <c r="Q543" i="5" s="1"/>
  <c r="P544" i="5"/>
  <c r="Q544" i="5" s="1"/>
  <c r="P545" i="5"/>
  <c r="Q545" i="5" s="1"/>
  <c r="P546" i="5"/>
  <c r="Q546" i="5" s="1"/>
  <c r="P547" i="5"/>
  <c r="Q547" i="5" s="1"/>
  <c r="P548" i="5"/>
  <c r="Q548" i="5" s="1"/>
  <c r="P549" i="5"/>
  <c r="Q549" i="5" s="1"/>
  <c r="P550" i="5"/>
  <c r="Q550" i="5" s="1"/>
  <c r="P551" i="5"/>
  <c r="Q551" i="5" s="1"/>
  <c r="P552" i="5"/>
  <c r="Q552" i="5" s="1"/>
  <c r="P553" i="5"/>
  <c r="Q553" i="5" s="1"/>
  <c r="P554" i="5"/>
  <c r="Q554" i="5" s="1"/>
  <c r="P555" i="5"/>
  <c r="Q555" i="5" s="1"/>
  <c r="P556" i="5"/>
  <c r="Q556" i="5" s="1"/>
  <c r="P557" i="5"/>
  <c r="Q557" i="5" s="1"/>
  <c r="P558" i="5"/>
  <c r="Q558" i="5" s="1"/>
  <c r="P559" i="5"/>
  <c r="Q559" i="5" s="1"/>
  <c r="P560" i="5"/>
  <c r="Q560" i="5" s="1"/>
  <c r="P561" i="5"/>
  <c r="Q561" i="5" s="1"/>
  <c r="P562" i="5"/>
  <c r="Q562" i="5" s="1"/>
  <c r="P563" i="5"/>
  <c r="Q563" i="5" s="1"/>
  <c r="P564" i="5"/>
  <c r="Q564" i="5" s="1"/>
  <c r="P565" i="5"/>
  <c r="Q565" i="5" s="1"/>
  <c r="P566" i="5"/>
  <c r="Q566" i="5" s="1"/>
  <c r="P567" i="5"/>
  <c r="Q567" i="5" s="1"/>
  <c r="P568" i="5"/>
  <c r="Q568" i="5" s="1"/>
  <c r="P569" i="5"/>
  <c r="Q569" i="5" s="1"/>
  <c r="P570" i="5"/>
  <c r="Q570" i="5" s="1"/>
  <c r="P571" i="5"/>
  <c r="Q571" i="5" s="1"/>
  <c r="P572" i="5"/>
  <c r="Q572" i="5" s="1"/>
  <c r="P573" i="5"/>
  <c r="Q573" i="5" s="1"/>
  <c r="P574" i="5"/>
  <c r="Q574" i="5" s="1"/>
  <c r="P575" i="5"/>
  <c r="Q575" i="5" s="1"/>
  <c r="P576" i="5"/>
  <c r="Q576" i="5" s="1"/>
  <c r="P577" i="5"/>
  <c r="Q577" i="5" s="1"/>
  <c r="P578" i="5"/>
  <c r="Q578" i="5" s="1"/>
  <c r="P579" i="5"/>
  <c r="Q579" i="5" s="1"/>
  <c r="P580" i="5"/>
  <c r="Q580" i="5" s="1"/>
  <c r="P581" i="5"/>
  <c r="Q581" i="5" s="1"/>
  <c r="P582" i="5"/>
  <c r="Q582" i="5" s="1"/>
  <c r="P583" i="5"/>
  <c r="Q583" i="5" s="1"/>
  <c r="P584" i="5"/>
  <c r="Q584" i="5" s="1"/>
  <c r="P585" i="5"/>
  <c r="Q585" i="5" s="1"/>
  <c r="P586" i="5"/>
  <c r="Q586" i="5" s="1"/>
  <c r="P587" i="5"/>
  <c r="Q587" i="5" s="1"/>
  <c r="P588" i="5"/>
  <c r="Q588" i="5" s="1"/>
  <c r="P589" i="5"/>
  <c r="Q589" i="5" s="1"/>
  <c r="P590" i="5"/>
  <c r="Q590" i="5" s="1"/>
  <c r="P591" i="5"/>
  <c r="Q591" i="5" s="1"/>
  <c r="P592" i="5"/>
  <c r="Q592" i="5" s="1"/>
  <c r="P593" i="5"/>
  <c r="Q593" i="5" s="1"/>
  <c r="P594" i="5"/>
  <c r="Q594" i="5" s="1"/>
  <c r="P595" i="5"/>
  <c r="Q595" i="5" s="1"/>
  <c r="P596" i="5"/>
  <c r="Q596" i="5" s="1"/>
  <c r="P597" i="5"/>
  <c r="Q597" i="5" s="1"/>
  <c r="P598" i="5"/>
  <c r="Q598" i="5" s="1"/>
  <c r="P599" i="5"/>
  <c r="Q599" i="5" s="1"/>
  <c r="P600" i="5"/>
  <c r="Q600" i="5" s="1"/>
  <c r="P601" i="5"/>
  <c r="Q601" i="5" s="1"/>
  <c r="P602" i="5"/>
  <c r="Q602" i="5" s="1"/>
  <c r="P603" i="5"/>
  <c r="Q603" i="5" s="1"/>
  <c r="P604" i="5"/>
  <c r="Q604" i="5" s="1"/>
  <c r="P605" i="5"/>
  <c r="Q605" i="5" s="1"/>
  <c r="P606" i="5"/>
  <c r="Q606" i="5" s="1"/>
  <c r="P607" i="5"/>
  <c r="Q607" i="5" s="1"/>
  <c r="P608" i="5"/>
  <c r="Q608" i="5" s="1"/>
  <c r="P609" i="5"/>
  <c r="Q609" i="5" s="1"/>
  <c r="P610" i="5"/>
  <c r="Q610" i="5" s="1"/>
  <c r="P611" i="5"/>
  <c r="Q611" i="5" s="1"/>
  <c r="P612" i="5"/>
  <c r="Q612" i="5" s="1"/>
  <c r="P613" i="5"/>
  <c r="Q613" i="5" s="1"/>
  <c r="P614" i="5"/>
  <c r="Q614" i="5" s="1"/>
  <c r="P615" i="5"/>
  <c r="Q615" i="5" s="1"/>
  <c r="P616" i="5"/>
  <c r="Q616" i="5" s="1"/>
  <c r="P617" i="5"/>
  <c r="Q617" i="5" s="1"/>
  <c r="P618" i="5"/>
  <c r="Q618" i="5" s="1"/>
  <c r="P619" i="5"/>
  <c r="Q619" i="5" s="1"/>
  <c r="P620" i="5"/>
  <c r="Q620" i="5" s="1"/>
  <c r="P621" i="5"/>
  <c r="Q621" i="5" s="1"/>
  <c r="P622" i="5"/>
  <c r="Q622" i="5" s="1"/>
  <c r="P623" i="5"/>
  <c r="Q623" i="5" s="1"/>
  <c r="P624" i="5"/>
  <c r="Q624" i="5" s="1"/>
  <c r="P625" i="5"/>
  <c r="Q625" i="5" s="1"/>
  <c r="P626" i="5"/>
  <c r="Q626" i="5" s="1"/>
  <c r="P627" i="5"/>
  <c r="Q627" i="5" s="1"/>
  <c r="P628" i="5"/>
  <c r="Q628" i="5" s="1"/>
  <c r="P629" i="5"/>
  <c r="Q629" i="5" s="1"/>
  <c r="P630" i="5"/>
  <c r="Q630" i="5" s="1"/>
  <c r="P631" i="5"/>
  <c r="Q631" i="5" s="1"/>
  <c r="P632" i="5"/>
  <c r="Q632" i="5" s="1"/>
  <c r="P633" i="5"/>
  <c r="Q633" i="5" s="1"/>
  <c r="P634" i="5"/>
  <c r="Q634" i="5" s="1"/>
  <c r="P635" i="5"/>
  <c r="Q635" i="5" s="1"/>
  <c r="P636" i="5"/>
  <c r="Q636" i="5" s="1"/>
  <c r="P637" i="5"/>
  <c r="Q637" i="5" s="1"/>
  <c r="P638" i="5"/>
  <c r="Q638" i="5" s="1"/>
  <c r="P639" i="5"/>
  <c r="Q639" i="5" s="1"/>
  <c r="P640" i="5"/>
  <c r="Q640" i="5" s="1"/>
  <c r="P641" i="5"/>
  <c r="Q641" i="5" s="1"/>
  <c r="P642" i="5"/>
  <c r="Q642" i="5" s="1"/>
  <c r="P643" i="5"/>
  <c r="Q643" i="5" s="1"/>
  <c r="P644" i="5"/>
  <c r="Q644" i="5" s="1"/>
  <c r="P645" i="5"/>
  <c r="Q645" i="5" s="1"/>
  <c r="P646" i="5"/>
  <c r="Q646" i="5" s="1"/>
  <c r="P647" i="5"/>
  <c r="Q647" i="5" s="1"/>
  <c r="P648" i="5"/>
  <c r="Q648" i="5" s="1"/>
  <c r="P649" i="5"/>
  <c r="Q649" i="5" s="1"/>
  <c r="P650" i="5"/>
  <c r="Q650" i="5" s="1"/>
  <c r="P651" i="5"/>
  <c r="Q651" i="5" s="1"/>
  <c r="P652" i="5"/>
  <c r="Q652" i="5" s="1"/>
  <c r="P653" i="5"/>
  <c r="Q653" i="5" s="1"/>
  <c r="P654" i="5"/>
  <c r="Q654" i="5" s="1"/>
  <c r="P655" i="5"/>
  <c r="Q655" i="5" s="1"/>
  <c r="P656" i="5"/>
  <c r="Q656" i="5" s="1"/>
  <c r="P657" i="5"/>
  <c r="Q657" i="5" s="1"/>
  <c r="P658" i="5"/>
  <c r="Q658" i="5" s="1"/>
  <c r="P659" i="5"/>
  <c r="Q659" i="5" s="1"/>
  <c r="P660" i="5"/>
  <c r="Q660" i="5" s="1"/>
  <c r="P661" i="5"/>
  <c r="Q661" i="5" s="1"/>
  <c r="P662" i="5"/>
  <c r="Q662" i="5" s="1"/>
  <c r="P663" i="5"/>
  <c r="Q663" i="5" s="1"/>
  <c r="P664" i="5"/>
  <c r="Q664" i="5" s="1"/>
  <c r="P665" i="5"/>
  <c r="Q665" i="5" s="1"/>
  <c r="P666" i="5"/>
  <c r="Q666" i="5" s="1"/>
  <c r="P667" i="5"/>
  <c r="Q667" i="5" s="1"/>
  <c r="P668" i="5"/>
  <c r="Q668" i="5" s="1"/>
  <c r="P669" i="5"/>
  <c r="Q669" i="5" s="1"/>
  <c r="P670" i="5"/>
  <c r="Q670" i="5" s="1"/>
  <c r="P671" i="5"/>
  <c r="Q671" i="5" s="1"/>
  <c r="P672" i="5"/>
  <c r="Q672" i="5" s="1"/>
  <c r="P673" i="5"/>
  <c r="Q673" i="5" s="1"/>
  <c r="P674" i="5"/>
  <c r="Q674" i="5" s="1"/>
  <c r="P675" i="5"/>
  <c r="Q675" i="5" s="1"/>
  <c r="P676" i="5"/>
  <c r="Q676" i="5" s="1"/>
  <c r="P677" i="5"/>
  <c r="Q677" i="5" s="1"/>
  <c r="P678" i="5"/>
  <c r="Q678" i="5" s="1"/>
  <c r="P679" i="5"/>
  <c r="Q679" i="5" s="1"/>
  <c r="P680" i="5"/>
  <c r="Q680" i="5" s="1"/>
  <c r="P681" i="5"/>
  <c r="Q681" i="5" s="1"/>
  <c r="P682" i="5"/>
  <c r="Q682" i="5" s="1"/>
  <c r="P683" i="5"/>
  <c r="Q683" i="5" s="1"/>
  <c r="P684" i="5"/>
  <c r="Q684" i="5" s="1"/>
  <c r="P685" i="5"/>
  <c r="Q685" i="5" s="1"/>
  <c r="P686" i="5"/>
  <c r="Q686" i="5" s="1"/>
  <c r="P687" i="5"/>
  <c r="Q687" i="5" s="1"/>
  <c r="P688" i="5"/>
  <c r="Q688" i="5" s="1"/>
  <c r="P689" i="5"/>
  <c r="Q689" i="5" s="1"/>
  <c r="P690" i="5"/>
  <c r="Q690" i="5" s="1"/>
  <c r="P691" i="5"/>
  <c r="Q691" i="5" s="1"/>
  <c r="P692" i="5"/>
  <c r="Q692" i="5" s="1"/>
  <c r="P693" i="5"/>
  <c r="Q693" i="5" s="1"/>
  <c r="P694" i="5"/>
  <c r="Q694" i="5" s="1"/>
  <c r="P695" i="5"/>
  <c r="Q695" i="5" s="1"/>
  <c r="P696" i="5"/>
  <c r="Q696" i="5" s="1"/>
  <c r="P697" i="5"/>
  <c r="Q697" i="5" s="1"/>
  <c r="P698" i="5"/>
  <c r="Q698" i="5" s="1"/>
  <c r="P699" i="5"/>
  <c r="Q699" i="5" s="1"/>
  <c r="P700" i="5"/>
  <c r="Q700" i="5" s="1"/>
  <c r="P701" i="5"/>
  <c r="Q701" i="5" s="1"/>
  <c r="P702" i="5"/>
  <c r="Q702" i="5" s="1"/>
  <c r="P703" i="5"/>
  <c r="Q703" i="5" s="1"/>
  <c r="P704" i="5"/>
  <c r="Q704" i="5" s="1"/>
  <c r="P705" i="5"/>
  <c r="Q705" i="5" s="1"/>
  <c r="P706" i="5"/>
  <c r="Q706" i="5" s="1"/>
  <c r="P707" i="5"/>
  <c r="Q707" i="5" s="1"/>
  <c r="P708" i="5"/>
  <c r="Q708" i="5" s="1"/>
  <c r="P709" i="5"/>
  <c r="Q709" i="5" s="1"/>
  <c r="P710" i="5"/>
  <c r="Q710" i="5" s="1"/>
  <c r="P711" i="5"/>
  <c r="Q711" i="5" s="1"/>
  <c r="P712" i="5"/>
  <c r="Q712" i="5" s="1"/>
  <c r="P713" i="5"/>
  <c r="Q713" i="5" s="1"/>
  <c r="P714" i="5"/>
  <c r="Q714" i="5" s="1"/>
  <c r="P715" i="5"/>
  <c r="Q715" i="5" s="1"/>
  <c r="P716" i="5"/>
  <c r="Q716" i="5" s="1"/>
  <c r="P717" i="5"/>
  <c r="Q717" i="5" s="1"/>
  <c r="P718" i="5"/>
  <c r="Q718" i="5" s="1"/>
  <c r="P719" i="5"/>
  <c r="Q719" i="5" s="1"/>
  <c r="P720" i="5"/>
  <c r="Q720" i="5" s="1"/>
  <c r="P721" i="5"/>
  <c r="Q721" i="5" s="1"/>
  <c r="P722" i="5"/>
  <c r="Q722" i="5" s="1"/>
  <c r="P723" i="5"/>
  <c r="Q723" i="5" s="1"/>
  <c r="P724" i="5"/>
  <c r="Q724" i="5" s="1"/>
  <c r="P725" i="5"/>
  <c r="Q725" i="5" s="1"/>
  <c r="P726" i="5"/>
  <c r="Q726" i="5" s="1"/>
  <c r="P727" i="5"/>
  <c r="Q727" i="5" s="1"/>
  <c r="P728" i="5"/>
  <c r="Q728" i="5" s="1"/>
  <c r="P729" i="5"/>
  <c r="Q729" i="5" s="1"/>
  <c r="P730" i="5"/>
  <c r="Q730" i="5" s="1"/>
  <c r="P731" i="5"/>
  <c r="Q731" i="5" s="1"/>
  <c r="P732" i="5"/>
  <c r="Q732" i="5" s="1"/>
  <c r="P733" i="5"/>
  <c r="Q733" i="5" s="1"/>
  <c r="P734" i="5"/>
  <c r="Q734" i="5" s="1"/>
  <c r="P735" i="5"/>
  <c r="Q735" i="5" s="1"/>
  <c r="P736" i="5"/>
  <c r="Q736" i="5" s="1"/>
  <c r="P737" i="5"/>
  <c r="Q737" i="5" s="1"/>
  <c r="P738" i="5"/>
  <c r="Q738" i="5" s="1"/>
  <c r="P739" i="5"/>
  <c r="Q739" i="5" s="1"/>
  <c r="P740" i="5"/>
  <c r="Q740" i="5" s="1"/>
  <c r="P741" i="5"/>
  <c r="Q741" i="5" s="1"/>
  <c r="P742" i="5"/>
  <c r="Q742" i="5" s="1"/>
  <c r="P743" i="5"/>
  <c r="Q743" i="5" s="1"/>
  <c r="P744" i="5"/>
  <c r="Q744" i="5" s="1"/>
  <c r="P745" i="5"/>
  <c r="Q745" i="5" s="1"/>
  <c r="P746" i="5"/>
  <c r="Q746" i="5" s="1"/>
  <c r="P747" i="5"/>
  <c r="Q747" i="5" s="1"/>
  <c r="P748" i="5"/>
  <c r="Q748" i="5" s="1"/>
  <c r="P749" i="5"/>
  <c r="Q749" i="5" s="1"/>
  <c r="P750" i="5"/>
  <c r="Q750" i="5" s="1"/>
  <c r="P751" i="5"/>
  <c r="Q751" i="5" s="1"/>
  <c r="P752" i="5"/>
  <c r="Q752" i="5" s="1"/>
  <c r="P753" i="5"/>
  <c r="Q753" i="5" s="1"/>
  <c r="P754" i="5"/>
  <c r="Q754" i="5" s="1"/>
  <c r="P755" i="5"/>
  <c r="Q755" i="5" s="1"/>
  <c r="P756" i="5"/>
  <c r="Q756" i="5" s="1"/>
  <c r="P757" i="5"/>
  <c r="Q757" i="5" s="1"/>
  <c r="P758" i="5"/>
  <c r="Q758" i="5" s="1"/>
  <c r="P759" i="5"/>
  <c r="Q759" i="5" s="1"/>
  <c r="P760" i="5"/>
  <c r="Q760" i="5" s="1"/>
  <c r="P761" i="5"/>
  <c r="Q761" i="5" s="1"/>
  <c r="P762" i="5"/>
  <c r="Q762" i="5" s="1"/>
  <c r="P763" i="5"/>
  <c r="Q763" i="5" s="1"/>
  <c r="P764" i="5"/>
  <c r="Q764" i="5" s="1"/>
  <c r="P765" i="5"/>
  <c r="Q765" i="5" s="1"/>
  <c r="P766" i="5"/>
  <c r="Q766" i="5" s="1"/>
  <c r="P767" i="5"/>
  <c r="Q767" i="5" s="1"/>
  <c r="P768" i="5"/>
  <c r="Q768" i="5" s="1"/>
  <c r="P769" i="5"/>
  <c r="Q769" i="5" s="1"/>
  <c r="P770" i="5"/>
  <c r="Q770" i="5" s="1"/>
  <c r="P771" i="5"/>
  <c r="Q771" i="5" s="1"/>
  <c r="P772" i="5"/>
  <c r="Q772" i="5" s="1"/>
  <c r="P773" i="5"/>
  <c r="Q773" i="5" s="1"/>
  <c r="P774" i="5"/>
  <c r="Q774" i="5" s="1"/>
  <c r="P775" i="5"/>
  <c r="Q775" i="5" s="1"/>
  <c r="P776" i="5"/>
  <c r="Q776" i="5" s="1"/>
  <c r="P777" i="5"/>
  <c r="Q777" i="5" s="1"/>
  <c r="P778" i="5"/>
  <c r="Q778" i="5" s="1"/>
  <c r="P779" i="5"/>
  <c r="Q779" i="5" s="1"/>
  <c r="P780" i="5"/>
  <c r="Q780" i="5" s="1"/>
  <c r="P781" i="5"/>
  <c r="Q781" i="5" s="1"/>
  <c r="P782" i="5"/>
  <c r="Q782" i="5" s="1"/>
  <c r="P783" i="5"/>
  <c r="Q783" i="5" s="1"/>
  <c r="P784" i="5"/>
  <c r="Q784" i="5" s="1"/>
  <c r="P785" i="5"/>
  <c r="Q785" i="5" s="1"/>
  <c r="P786" i="5"/>
  <c r="Q786" i="5" s="1"/>
  <c r="P787" i="5"/>
  <c r="Q787" i="5" s="1"/>
  <c r="P788" i="5"/>
  <c r="Q788" i="5" s="1"/>
  <c r="P789" i="5"/>
  <c r="Q789" i="5" s="1"/>
  <c r="P790" i="5"/>
  <c r="Q790" i="5" s="1"/>
  <c r="P791" i="5"/>
  <c r="Q791" i="5" s="1"/>
  <c r="P792" i="5"/>
  <c r="Q792" i="5" s="1"/>
  <c r="P793" i="5"/>
  <c r="Q793" i="5" s="1"/>
  <c r="P794" i="5"/>
  <c r="Q794" i="5" s="1"/>
  <c r="P795" i="5"/>
  <c r="Q795" i="5" s="1"/>
  <c r="P796" i="5"/>
  <c r="Q796" i="5" s="1"/>
  <c r="P797" i="5"/>
  <c r="Q797" i="5" s="1"/>
  <c r="P798" i="5"/>
  <c r="Q798" i="5" s="1"/>
  <c r="P799" i="5"/>
  <c r="Q799" i="5" s="1"/>
  <c r="P800" i="5"/>
  <c r="Q800" i="5" s="1"/>
  <c r="P801" i="5"/>
  <c r="Q801" i="5" s="1"/>
  <c r="P802" i="5"/>
  <c r="Q802" i="5" s="1"/>
  <c r="P803" i="5"/>
  <c r="Q803" i="5" s="1"/>
  <c r="P804" i="5"/>
  <c r="Q804" i="5" s="1"/>
  <c r="P805" i="5"/>
  <c r="Q805" i="5" s="1"/>
  <c r="P806" i="5"/>
  <c r="Q806" i="5" s="1"/>
  <c r="P807" i="5"/>
  <c r="Q807" i="5" s="1"/>
  <c r="P808" i="5"/>
  <c r="Q808" i="5" s="1"/>
  <c r="P809" i="5"/>
  <c r="Q809" i="5" s="1"/>
  <c r="P810" i="5"/>
  <c r="Q810" i="5" s="1"/>
  <c r="P811" i="5"/>
  <c r="Q811" i="5" s="1"/>
  <c r="P812" i="5"/>
  <c r="Q812" i="5" s="1"/>
  <c r="P813" i="5"/>
  <c r="Q813" i="5" s="1"/>
  <c r="P814" i="5"/>
  <c r="Q814" i="5" s="1"/>
  <c r="P815" i="5"/>
  <c r="Q815" i="5" s="1"/>
  <c r="P816" i="5"/>
  <c r="Q816" i="5" s="1"/>
  <c r="P817" i="5"/>
  <c r="Q817" i="5" s="1"/>
  <c r="P818" i="5"/>
  <c r="Q818" i="5" s="1"/>
  <c r="P819" i="5"/>
  <c r="Q819" i="5" s="1"/>
  <c r="P820" i="5"/>
  <c r="Q820" i="5" s="1"/>
  <c r="P821" i="5"/>
  <c r="Q821" i="5" s="1"/>
  <c r="P822" i="5"/>
  <c r="Q822" i="5" s="1"/>
  <c r="P823" i="5"/>
  <c r="Q823" i="5" s="1"/>
  <c r="P824" i="5"/>
  <c r="Q824" i="5" s="1"/>
  <c r="P825" i="5"/>
  <c r="Q825" i="5" s="1"/>
  <c r="P826" i="5"/>
  <c r="Q826" i="5" s="1"/>
  <c r="P827" i="5"/>
  <c r="Q827" i="5" s="1"/>
  <c r="P828" i="5"/>
  <c r="Q828" i="5" s="1"/>
  <c r="P829" i="5"/>
  <c r="Q829" i="5" s="1"/>
  <c r="P830" i="5"/>
  <c r="Q830" i="5" s="1"/>
  <c r="P831" i="5"/>
  <c r="Q831" i="5" s="1"/>
  <c r="P832" i="5"/>
  <c r="Q832" i="5" s="1"/>
  <c r="P833" i="5"/>
  <c r="Q833" i="5" s="1"/>
  <c r="P834" i="5"/>
  <c r="Q834" i="5" s="1"/>
  <c r="P835" i="5"/>
  <c r="Q835" i="5" s="1"/>
  <c r="P836" i="5"/>
  <c r="Q836" i="5" s="1"/>
  <c r="P837" i="5"/>
  <c r="Q837" i="5" s="1"/>
  <c r="P838" i="5"/>
  <c r="Q838" i="5" s="1"/>
  <c r="P839" i="5"/>
  <c r="Q839" i="5" s="1"/>
  <c r="P840" i="5"/>
  <c r="Q840" i="5" s="1"/>
  <c r="P841" i="5"/>
  <c r="Q841" i="5" s="1"/>
  <c r="P842" i="5"/>
  <c r="Q842" i="5" s="1"/>
  <c r="P843" i="5"/>
  <c r="Q843" i="5" s="1"/>
  <c r="P844" i="5"/>
  <c r="Q844" i="5" s="1"/>
  <c r="P845" i="5"/>
  <c r="Q845" i="5" s="1"/>
  <c r="P846" i="5"/>
  <c r="Q846" i="5" s="1"/>
  <c r="P847" i="5"/>
  <c r="Q847" i="5" s="1"/>
  <c r="P848" i="5"/>
  <c r="Q848" i="5" s="1"/>
  <c r="P849" i="5"/>
  <c r="Q849" i="5" s="1"/>
  <c r="P850" i="5"/>
  <c r="Q850" i="5" s="1"/>
  <c r="P851" i="5"/>
  <c r="Q851" i="5" s="1"/>
  <c r="P852" i="5"/>
  <c r="Q852" i="5" s="1"/>
  <c r="P853" i="5"/>
  <c r="Q853" i="5" s="1"/>
  <c r="P854" i="5"/>
  <c r="Q854" i="5" s="1"/>
  <c r="P855" i="5"/>
  <c r="Q855" i="5" s="1"/>
  <c r="P856" i="5"/>
  <c r="Q856" i="5" s="1"/>
  <c r="P857" i="5"/>
  <c r="Q857" i="5" s="1"/>
  <c r="P858" i="5"/>
  <c r="Q858" i="5" s="1"/>
  <c r="P859" i="5"/>
  <c r="Q859" i="5" s="1"/>
  <c r="P860" i="5"/>
  <c r="Q860" i="5" s="1"/>
  <c r="P861" i="5"/>
  <c r="Q861" i="5" s="1"/>
  <c r="P862" i="5"/>
  <c r="Q862" i="5" s="1"/>
  <c r="P863" i="5"/>
  <c r="Q863" i="5" s="1"/>
  <c r="P864" i="5"/>
  <c r="Q864" i="5" s="1"/>
  <c r="P865" i="5"/>
  <c r="Q865" i="5" s="1"/>
  <c r="P866" i="5"/>
  <c r="Q866" i="5" s="1"/>
  <c r="P867" i="5"/>
  <c r="Q867" i="5" s="1"/>
  <c r="P868" i="5"/>
  <c r="Q868" i="5" s="1"/>
  <c r="P869" i="5"/>
  <c r="Q869" i="5" s="1"/>
  <c r="P870" i="5"/>
  <c r="Q870" i="5" s="1"/>
  <c r="P871" i="5"/>
  <c r="Q871" i="5" s="1"/>
  <c r="P872" i="5"/>
  <c r="Q872" i="5" s="1"/>
  <c r="P873" i="5"/>
  <c r="Q873" i="5" s="1"/>
  <c r="P874" i="5"/>
  <c r="Q874" i="5" s="1"/>
  <c r="P875" i="5"/>
  <c r="Q875" i="5" s="1"/>
  <c r="P876" i="5"/>
  <c r="Q876" i="5" s="1"/>
  <c r="P877" i="5"/>
  <c r="Q877" i="5" s="1"/>
  <c r="P878" i="5"/>
  <c r="Q878" i="5" s="1"/>
  <c r="P879" i="5"/>
  <c r="Q879" i="5" s="1"/>
  <c r="P880" i="5"/>
  <c r="Q880" i="5" s="1"/>
  <c r="P881" i="5"/>
  <c r="Q881" i="5" s="1"/>
  <c r="P882" i="5"/>
  <c r="Q882" i="5" s="1"/>
  <c r="P883" i="5"/>
  <c r="Q883" i="5" s="1"/>
  <c r="P884" i="5"/>
  <c r="Q884" i="5" s="1"/>
  <c r="P885" i="5"/>
  <c r="Q885" i="5" s="1"/>
  <c r="P886" i="5"/>
  <c r="Q886" i="5" s="1"/>
  <c r="P887" i="5"/>
  <c r="Q887" i="5" s="1"/>
  <c r="P888" i="5"/>
  <c r="Q888" i="5" s="1"/>
  <c r="P889" i="5"/>
  <c r="Q889" i="5" s="1"/>
  <c r="P890" i="5"/>
  <c r="Q890" i="5" s="1"/>
  <c r="P891" i="5"/>
  <c r="Q891" i="5" s="1"/>
  <c r="P892" i="5"/>
  <c r="Q892" i="5" s="1"/>
  <c r="P893" i="5"/>
  <c r="Q893" i="5" s="1"/>
  <c r="P894" i="5"/>
  <c r="Q894" i="5" s="1"/>
  <c r="P895" i="5"/>
  <c r="Q895" i="5" s="1"/>
  <c r="P896" i="5"/>
  <c r="Q896" i="5" s="1"/>
  <c r="P897" i="5"/>
  <c r="Q897" i="5" s="1"/>
  <c r="P898" i="5"/>
  <c r="Q898" i="5" s="1"/>
  <c r="P899" i="5"/>
  <c r="Q899" i="5" s="1"/>
  <c r="P900" i="5"/>
  <c r="Q900" i="5" s="1"/>
  <c r="P901" i="5"/>
  <c r="Q901" i="5" s="1"/>
  <c r="P902" i="5"/>
  <c r="Q902" i="5" s="1"/>
  <c r="P903" i="5"/>
  <c r="Q903" i="5" s="1"/>
  <c r="P904" i="5"/>
  <c r="Q904" i="5" s="1"/>
  <c r="P905" i="5"/>
  <c r="Q905" i="5" s="1"/>
  <c r="P906" i="5"/>
  <c r="Q906" i="5" s="1"/>
  <c r="P907" i="5"/>
  <c r="Q907" i="5" s="1"/>
  <c r="P908" i="5"/>
  <c r="Q908" i="5" s="1"/>
  <c r="P909" i="5"/>
  <c r="Q909" i="5" s="1"/>
  <c r="P910" i="5"/>
  <c r="Q910" i="5" s="1"/>
  <c r="P911" i="5"/>
  <c r="Q911" i="5" s="1"/>
  <c r="P912" i="5"/>
  <c r="Q912" i="5" s="1"/>
  <c r="P913" i="5"/>
  <c r="Q913" i="5" s="1"/>
  <c r="P914" i="5"/>
  <c r="Q914" i="5" s="1"/>
  <c r="P915" i="5"/>
  <c r="Q915" i="5" s="1"/>
  <c r="P916" i="5"/>
  <c r="Q916" i="5" s="1"/>
  <c r="P917" i="5"/>
  <c r="Q917" i="5" s="1"/>
  <c r="P918" i="5"/>
  <c r="Q918" i="5" s="1"/>
  <c r="P919" i="5"/>
  <c r="Q919" i="5" s="1"/>
  <c r="P920" i="5"/>
  <c r="Q920" i="5" s="1"/>
  <c r="P921" i="5"/>
  <c r="Q921" i="5" s="1"/>
  <c r="P922" i="5"/>
  <c r="Q922" i="5" s="1"/>
  <c r="P923" i="5"/>
  <c r="Q923" i="5" s="1"/>
  <c r="P924" i="5"/>
  <c r="Q924" i="5" s="1"/>
  <c r="P925" i="5"/>
  <c r="Q925" i="5" s="1"/>
  <c r="P926" i="5"/>
  <c r="Q926" i="5" s="1"/>
  <c r="P927" i="5"/>
  <c r="Q927" i="5" s="1"/>
  <c r="P928" i="5"/>
  <c r="Q928" i="5" s="1"/>
  <c r="P929" i="5"/>
  <c r="Q929" i="5" s="1"/>
  <c r="P930" i="5"/>
  <c r="Q930" i="5" s="1"/>
  <c r="P931" i="5"/>
  <c r="Q931" i="5" s="1"/>
  <c r="P932" i="5"/>
  <c r="Q932" i="5" s="1"/>
  <c r="P933" i="5"/>
  <c r="Q933" i="5" s="1"/>
  <c r="P934" i="5"/>
  <c r="Q934" i="5" s="1"/>
  <c r="P935" i="5"/>
  <c r="Q935" i="5" s="1"/>
  <c r="P936" i="5"/>
  <c r="Q936" i="5" s="1"/>
  <c r="P937" i="5"/>
  <c r="Q937" i="5" s="1"/>
  <c r="P938" i="5"/>
  <c r="Q938" i="5" s="1"/>
  <c r="P939" i="5"/>
  <c r="Q939" i="5" s="1"/>
  <c r="P940" i="5"/>
  <c r="Q940" i="5" s="1"/>
  <c r="P941" i="5"/>
  <c r="Q941" i="5" s="1"/>
  <c r="P942" i="5"/>
  <c r="Q942" i="5" s="1"/>
  <c r="P943" i="5"/>
  <c r="Q943" i="5" s="1"/>
  <c r="P944" i="5"/>
  <c r="Q944" i="5" s="1"/>
  <c r="P945" i="5"/>
  <c r="Q945" i="5" s="1"/>
  <c r="P946" i="5"/>
  <c r="Q946" i="5" s="1"/>
  <c r="P947" i="5"/>
  <c r="Q947" i="5" s="1"/>
  <c r="P948" i="5"/>
  <c r="Q948" i="5" s="1"/>
  <c r="P949" i="5"/>
  <c r="Q949" i="5" s="1"/>
  <c r="P950" i="5"/>
  <c r="Q950" i="5" s="1"/>
  <c r="P951" i="5"/>
  <c r="Q951" i="5" s="1"/>
  <c r="P952" i="5"/>
  <c r="Q952" i="5" s="1"/>
  <c r="P953" i="5"/>
  <c r="Q953" i="5" s="1"/>
  <c r="P954" i="5"/>
  <c r="Q954" i="5" s="1"/>
  <c r="P955" i="5"/>
  <c r="Q955" i="5" s="1"/>
  <c r="P956" i="5"/>
  <c r="Q956" i="5" s="1"/>
  <c r="P957" i="5"/>
  <c r="Q957" i="5" s="1"/>
  <c r="P958" i="5"/>
  <c r="Q958" i="5" s="1"/>
  <c r="P959" i="5"/>
  <c r="Q959" i="5" s="1"/>
  <c r="P960" i="5"/>
  <c r="Q960" i="5" s="1"/>
  <c r="P961" i="5"/>
  <c r="Q961" i="5" s="1"/>
  <c r="P962" i="5"/>
  <c r="Q962" i="5" s="1"/>
  <c r="P963" i="5"/>
  <c r="Q963" i="5" s="1"/>
  <c r="P964" i="5"/>
  <c r="Q964" i="5" s="1"/>
  <c r="P965" i="5"/>
  <c r="Q965" i="5" s="1"/>
  <c r="P966" i="5"/>
  <c r="Q966" i="5" s="1"/>
  <c r="P967" i="5"/>
  <c r="Q967" i="5" s="1"/>
  <c r="P968" i="5"/>
  <c r="Q968" i="5" s="1"/>
  <c r="P969" i="5"/>
  <c r="Q969" i="5" s="1"/>
  <c r="P970" i="5"/>
  <c r="Q970" i="5" s="1"/>
  <c r="P971" i="5"/>
  <c r="Q971" i="5" s="1"/>
  <c r="P972" i="5"/>
  <c r="Q972" i="5" s="1"/>
  <c r="P973" i="5"/>
  <c r="Q973" i="5" s="1"/>
  <c r="P974" i="5"/>
  <c r="Q974" i="5" s="1"/>
  <c r="P975" i="5"/>
  <c r="Q975" i="5" s="1"/>
  <c r="P976" i="5"/>
  <c r="Q976" i="5" s="1"/>
  <c r="P977" i="5"/>
  <c r="Q977" i="5" s="1"/>
  <c r="P978" i="5"/>
  <c r="Q978" i="5" s="1"/>
  <c r="P979" i="5"/>
  <c r="Q979" i="5" s="1"/>
  <c r="P980" i="5"/>
  <c r="Q980" i="5" s="1"/>
  <c r="P981" i="5"/>
  <c r="Q981" i="5" s="1"/>
  <c r="P982" i="5"/>
  <c r="Q982" i="5" s="1"/>
  <c r="P983" i="5"/>
  <c r="Q983" i="5" s="1"/>
  <c r="P984" i="5"/>
  <c r="Q984" i="5" s="1"/>
  <c r="P985" i="5"/>
  <c r="Q985" i="5" s="1"/>
  <c r="P986" i="5"/>
  <c r="Q986" i="5" s="1"/>
  <c r="P987" i="5"/>
  <c r="Q987" i="5" s="1"/>
  <c r="P988" i="5"/>
  <c r="Q988" i="5" s="1"/>
  <c r="P989" i="5"/>
  <c r="Q989" i="5" s="1"/>
  <c r="P990" i="5"/>
  <c r="Q990" i="5" s="1"/>
  <c r="P991" i="5"/>
  <c r="Q991" i="5" s="1"/>
  <c r="P992" i="5"/>
  <c r="Q992" i="5" s="1"/>
  <c r="P993" i="5"/>
  <c r="Q993" i="5" s="1"/>
  <c r="P994" i="5"/>
  <c r="Q994" i="5" s="1"/>
  <c r="P995" i="5"/>
  <c r="Q995" i="5" s="1"/>
  <c r="P996" i="5"/>
  <c r="Q996" i="5" s="1"/>
  <c r="P997" i="5"/>
  <c r="Q997" i="5" s="1"/>
  <c r="P998" i="5"/>
  <c r="Q998" i="5" s="1"/>
  <c r="P999" i="5"/>
  <c r="Q999" i="5" s="1"/>
  <c r="P1000" i="5"/>
  <c r="Q1000" i="5" s="1"/>
  <c r="P1001" i="5"/>
  <c r="Q1001" i="5" s="1"/>
  <c r="P1002" i="5"/>
  <c r="Q1002" i="5" s="1"/>
  <c r="P1003" i="5"/>
  <c r="Q1003" i="5" s="1"/>
  <c r="P1004" i="5"/>
  <c r="Q1004" i="5" s="1"/>
  <c r="P1005" i="5"/>
  <c r="Q1005" i="5" s="1"/>
  <c r="P1006" i="5"/>
  <c r="Q1006" i="5" s="1"/>
  <c r="P1007" i="5"/>
  <c r="Q1007" i="5" s="1"/>
  <c r="P1008" i="5"/>
  <c r="Q1008" i="5" s="1"/>
  <c r="P1009" i="5"/>
  <c r="Q1009" i="5" s="1"/>
  <c r="P1010" i="5"/>
  <c r="Q1010" i="5" s="1"/>
  <c r="P1011" i="5"/>
  <c r="Q1011" i="5" s="1"/>
  <c r="P1012" i="5"/>
  <c r="Q1012" i="5" s="1"/>
  <c r="P1013" i="5"/>
  <c r="Q1013" i="5" s="1"/>
  <c r="P1014" i="5"/>
  <c r="Q1014" i="5" s="1"/>
  <c r="P1015" i="5"/>
  <c r="Q1015" i="5" s="1"/>
  <c r="P1016" i="5"/>
  <c r="Q1016" i="5" s="1"/>
  <c r="P1017" i="5"/>
  <c r="Q1017" i="5" s="1"/>
  <c r="P1018" i="5"/>
  <c r="Q1018" i="5" s="1"/>
  <c r="P1019" i="5"/>
  <c r="Q1019" i="5" s="1"/>
  <c r="P1020" i="5"/>
  <c r="Q1020" i="5" s="1"/>
  <c r="P1021" i="5"/>
  <c r="Q1021" i="5" s="1"/>
  <c r="P1022" i="5"/>
  <c r="Q1022" i="5" s="1"/>
  <c r="P1023" i="5"/>
  <c r="Q1023" i="5" s="1"/>
  <c r="P1024" i="5"/>
  <c r="Q1024" i="5" s="1"/>
  <c r="P1025" i="5"/>
  <c r="Q1025" i="5" s="1"/>
  <c r="P1026" i="5"/>
  <c r="Q1026" i="5" s="1"/>
  <c r="P1027" i="5"/>
  <c r="Q1027" i="5" s="1"/>
  <c r="P1028" i="5"/>
  <c r="Q1028" i="5" s="1"/>
  <c r="P1029" i="5"/>
  <c r="Q1029" i="5" s="1"/>
  <c r="P1030" i="5"/>
  <c r="Q1030" i="5" s="1"/>
  <c r="P1031" i="5"/>
  <c r="Q1031" i="5" s="1"/>
  <c r="P1032" i="5"/>
  <c r="Q1032" i="5" s="1"/>
  <c r="P1033" i="5"/>
  <c r="Q1033" i="5" s="1"/>
  <c r="P1034" i="5"/>
  <c r="Q1034" i="5" s="1"/>
  <c r="P1035" i="5"/>
  <c r="Q1035" i="5" s="1"/>
  <c r="P1036" i="5"/>
  <c r="Q1036" i="5" s="1"/>
  <c r="P1037" i="5"/>
  <c r="Q1037" i="5" s="1"/>
  <c r="P1038" i="5"/>
  <c r="Q1038" i="5" s="1"/>
  <c r="P1039" i="5"/>
  <c r="Q1039" i="5" s="1"/>
  <c r="P1040" i="5"/>
  <c r="Q1040" i="5" s="1"/>
  <c r="P1041" i="5"/>
  <c r="Q1041" i="5" s="1"/>
  <c r="P1042" i="5"/>
  <c r="Q1042" i="5" s="1"/>
  <c r="P1043" i="5"/>
  <c r="Q1043" i="5" s="1"/>
  <c r="P1044" i="5"/>
  <c r="Q1044" i="5" s="1"/>
  <c r="P1045" i="5"/>
  <c r="Q1045" i="5" s="1"/>
  <c r="P1046" i="5"/>
  <c r="Q1046" i="5" s="1"/>
  <c r="P1047" i="5"/>
  <c r="Q1047" i="5" s="1"/>
  <c r="P1048" i="5"/>
  <c r="Q1048" i="5" s="1"/>
  <c r="P1049" i="5"/>
  <c r="Q1049" i="5" s="1"/>
  <c r="P1050" i="5"/>
  <c r="Q1050" i="5" s="1"/>
  <c r="P1051" i="5"/>
  <c r="Q1051" i="5" s="1"/>
  <c r="P1052" i="5"/>
  <c r="Q1052" i="5" s="1"/>
  <c r="P1053" i="5"/>
  <c r="Q1053" i="5" s="1"/>
  <c r="P1054" i="5"/>
  <c r="Q1054" i="5" s="1"/>
  <c r="P1055" i="5"/>
  <c r="Q1055" i="5" s="1"/>
  <c r="P1056" i="5"/>
  <c r="Q1056" i="5" s="1"/>
  <c r="P1057" i="5"/>
  <c r="Q1057" i="5" s="1"/>
  <c r="P1058" i="5"/>
  <c r="Q1058" i="5" s="1"/>
  <c r="P1059" i="5"/>
  <c r="Q1059" i="5" s="1"/>
  <c r="P1060" i="5"/>
  <c r="Q1060" i="5" s="1"/>
  <c r="P1061" i="5"/>
  <c r="Q1061" i="5" s="1"/>
  <c r="P1062" i="5"/>
  <c r="Q1062" i="5" s="1"/>
  <c r="P1063" i="5"/>
  <c r="Q1063" i="5" s="1"/>
  <c r="P1064" i="5"/>
  <c r="Q1064" i="5" s="1"/>
  <c r="P1065" i="5"/>
  <c r="Q1065" i="5" s="1"/>
  <c r="P1066" i="5"/>
  <c r="Q1066" i="5" s="1"/>
  <c r="P1067" i="5"/>
  <c r="Q1067" i="5" s="1"/>
  <c r="P1068" i="5"/>
  <c r="Q1068" i="5" s="1"/>
  <c r="P1069" i="5"/>
  <c r="Q1069" i="5" s="1"/>
  <c r="P1070" i="5"/>
  <c r="Q1070" i="5" s="1"/>
  <c r="P1071" i="5"/>
  <c r="Q1071" i="5" s="1"/>
  <c r="P1072" i="5"/>
  <c r="Q1072" i="5" s="1"/>
  <c r="P1073" i="5"/>
  <c r="Q1073" i="5" s="1"/>
  <c r="P1074" i="5"/>
  <c r="Q1074" i="5" s="1"/>
  <c r="P1075" i="5"/>
  <c r="Q1075" i="5" s="1"/>
  <c r="P1076" i="5"/>
  <c r="Q1076" i="5" s="1"/>
  <c r="P1077" i="5"/>
  <c r="Q1077" i="5" s="1"/>
  <c r="P1078" i="5"/>
  <c r="Q1078" i="5" s="1"/>
  <c r="P1079" i="5"/>
  <c r="Q1079" i="5" s="1"/>
  <c r="P1080" i="5"/>
  <c r="Q1080" i="5" s="1"/>
  <c r="P1081" i="5"/>
  <c r="Q1081" i="5" s="1"/>
  <c r="P1082" i="5"/>
  <c r="Q1082" i="5" s="1"/>
  <c r="P1083" i="5"/>
  <c r="Q1083" i="5" s="1"/>
  <c r="P1084" i="5"/>
  <c r="Q1084" i="5" s="1"/>
  <c r="P1085" i="5"/>
  <c r="Q1085" i="5" s="1"/>
  <c r="P1086" i="5"/>
  <c r="Q1086" i="5" s="1"/>
  <c r="P1087" i="5"/>
  <c r="Q1087" i="5" s="1"/>
  <c r="P1088" i="5"/>
  <c r="Q1088" i="5" s="1"/>
  <c r="P1089" i="5"/>
  <c r="Q1089" i="5" s="1"/>
  <c r="P1090" i="5"/>
  <c r="Q1090" i="5" s="1"/>
  <c r="P1091" i="5"/>
  <c r="Q1091" i="5" s="1"/>
  <c r="P1092" i="5"/>
  <c r="Q1092" i="5" s="1"/>
  <c r="P1093" i="5"/>
  <c r="Q1093" i="5" s="1"/>
  <c r="P1094" i="5"/>
  <c r="Q1094" i="5" s="1"/>
  <c r="P1095" i="5"/>
  <c r="Q1095" i="5" s="1"/>
  <c r="P1096" i="5"/>
  <c r="Q1096" i="5" s="1"/>
  <c r="P1097" i="5"/>
  <c r="Q1097" i="5" s="1"/>
  <c r="P1098" i="5"/>
  <c r="Q1098" i="5" s="1"/>
  <c r="P1099" i="5"/>
  <c r="Q1099" i="5" s="1"/>
  <c r="P1100" i="5"/>
  <c r="Q1100" i="5" s="1"/>
  <c r="P1101" i="5"/>
  <c r="Q1101" i="5" s="1"/>
  <c r="P1102" i="5"/>
  <c r="Q1102" i="5" s="1"/>
  <c r="P1103" i="5"/>
  <c r="Q1103" i="5" s="1"/>
  <c r="P1104" i="5"/>
  <c r="Q1104" i="5" s="1"/>
  <c r="P1105" i="5"/>
  <c r="Q1105" i="5" s="1"/>
  <c r="P1106" i="5"/>
  <c r="Q1106" i="5" s="1"/>
  <c r="P1107" i="5"/>
  <c r="Q1107" i="5" s="1"/>
  <c r="P1108" i="5"/>
  <c r="Q1108" i="5" s="1"/>
  <c r="P1109" i="5"/>
  <c r="Q1109" i="5" s="1"/>
  <c r="P1110" i="5"/>
  <c r="Q1110" i="5" s="1"/>
  <c r="P1111" i="5"/>
  <c r="Q1111" i="5" s="1"/>
  <c r="P1112" i="5"/>
  <c r="Q1112" i="5" s="1"/>
  <c r="P1113" i="5"/>
  <c r="Q1113" i="5" s="1"/>
  <c r="P1114" i="5"/>
  <c r="Q1114" i="5" s="1"/>
  <c r="P1115" i="5"/>
  <c r="Q1115" i="5" s="1"/>
  <c r="P1116" i="5"/>
  <c r="Q1116" i="5" s="1"/>
  <c r="P1117" i="5"/>
  <c r="Q1117" i="5" s="1"/>
  <c r="P1118" i="5"/>
  <c r="Q1118" i="5" s="1"/>
  <c r="P1119" i="5"/>
  <c r="Q1119" i="5" s="1"/>
  <c r="P1120" i="5"/>
  <c r="Q1120" i="5" s="1"/>
  <c r="P1121" i="5"/>
  <c r="Q1121" i="5" s="1"/>
  <c r="P1122" i="5"/>
  <c r="Q1122" i="5" s="1"/>
  <c r="P1123" i="5"/>
  <c r="Q1123" i="5" s="1"/>
  <c r="P1124" i="5"/>
  <c r="Q1124" i="5" s="1"/>
  <c r="P1125" i="5"/>
  <c r="Q1125" i="5" s="1"/>
  <c r="P1126" i="5"/>
  <c r="Q1126" i="5" s="1"/>
  <c r="P1127" i="5"/>
  <c r="Q1127" i="5" s="1"/>
  <c r="P1128" i="5"/>
  <c r="Q1128" i="5" s="1"/>
  <c r="P1129" i="5"/>
  <c r="Q1129" i="5" s="1"/>
  <c r="P1130" i="5"/>
  <c r="Q1130" i="5" s="1"/>
  <c r="P1131" i="5"/>
  <c r="Q1131" i="5" s="1"/>
  <c r="P1132" i="5"/>
  <c r="Q1132" i="5" s="1"/>
  <c r="P1133" i="5"/>
  <c r="Q1133" i="5" s="1"/>
  <c r="P1134" i="5"/>
  <c r="Q1134" i="5" s="1"/>
  <c r="P1135" i="5"/>
  <c r="Q1135" i="5" s="1"/>
  <c r="P1136" i="5"/>
  <c r="Q1136" i="5" s="1"/>
  <c r="P1137" i="5"/>
  <c r="Q1137" i="5" s="1"/>
  <c r="P1138" i="5"/>
  <c r="Q1138" i="5" s="1"/>
  <c r="P1139" i="5"/>
  <c r="Q1139" i="5" s="1"/>
  <c r="P1140" i="5"/>
  <c r="Q1140" i="5" s="1"/>
  <c r="P1141" i="5"/>
  <c r="Q1141" i="5" s="1"/>
  <c r="P1142" i="5"/>
  <c r="Q1142" i="5" s="1"/>
  <c r="P1143" i="5"/>
  <c r="Q1143" i="5" s="1"/>
  <c r="P1144" i="5"/>
  <c r="Q1144" i="5" s="1"/>
  <c r="P1145" i="5"/>
  <c r="Q1145" i="5" s="1"/>
  <c r="P1146" i="5"/>
  <c r="Q1146" i="5" s="1"/>
  <c r="P1147" i="5"/>
  <c r="Q1147" i="5" s="1"/>
  <c r="P1148" i="5"/>
  <c r="Q1148" i="5" s="1"/>
  <c r="P1149" i="5"/>
  <c r="Q1149" i="5" s="1"/>
  <c r="P1150" i="5"/>
  <c r="Q1150" i="5" s="1"/>
  <c r="P1151" i="5"/>
  <c r="Q1151" i="5" s="1"/>
  <c r="P1152" i="5"/>
  <c r="Q1152" i="5" s="1"/>
  <c r="P1153" i="5"/>
  <c r="Q1153" i="5" s="1"/>
  <c r="P1154" i="5"/>
  <c r="Q1154" i="5" s="1"/>
  <c r="P1155" i="5"/>
  <c r="Q1155" i="5" s="1"/>
  <c r="P1156" i="5"/>
  <c r="Q1156" i="5" s="1"/>
  <c r="P1157" i="5"/>
  <c r="Q1157" i="5" s="1"/>
  <c r="P1158" i="5"/>
  <c r="Q1158" i="5" s="1"/>
  <c r="P1159" i="5"/>
  <c r="Q1159" i="5" s="1"/>
  <c r="P1160" i="5"/>
  <c r="Q1160" i="5" s="1"/>
  <c r="P1161" i="5"/>
  <c r="Q1161" i="5" s="1"/>
  <c r="P1162" i="5"/>
  <c r="Q1162" i="5" s="1"/>
  <c r="P1163" i="5"/>
  <c r="Q1163" i="5" s="1"/>
  <c r="P1164" i="5"/>
  <c r="Q1164" i="5" s="1"/>
  <c r="P1165" i="5"/>
  <c r="Q1165" i="5" s="1"/>
  <c r="P1166" i="5"/>
  <c r="Q1166" i="5" s="1"/>
  <c r="P1167" i="5"/>
  <c r="Q1167" i="5" s="1"/>
  <c r="P1168" i="5"/>
  <c r="Q1168" i="5" s="1"/>
  <c r="P1169" i="5"/>
  <c r="Q1169" i="5" s="1"/>
  <c r="P1170" i="5"/>
  <c r="Q1170" i="5" s="1"/>
  <c r="P1171" i="5"/>
  <c r="Q1171" i="5" s="1"/>
  <c r="P1172" i="5"/>
  <c r="Q1172" i="5" s="1"/>
  <c r="P1173" i="5"/>
  <c r="Q1173" i="5" s="1"/>
  <c r="P1174" i="5"/>
  <c r="Q1174" i="5" s="1"/>
  <c r="P1175" i="5"/>
  <c r="Q1175" i="5" s="1"/>
  <c r="P1176" i="5"/>
  <c r="Q1176" i="5" s="1"/>
  <c r="P1177" i="5"/>
  <c r="Q1177" i="5" s="1"/>
  <c r="P1178" i="5"/>
  <c r="Q1178" i="5" s="1"/>
  <c r="P1179" i="5"/>
  <c r="Q1179" i="5" s="1"/>
  <c r="P1180" i="5"/>
  <c r="Q1180" i="5" s="1"/>
  <c r="P1181" i="5"/>
  <c r="Q1181" i="5" s="1"/>
  <c r="P1182" i="5"/>
  <c r="Q1182" i="5" s="1"/>
  <c r="P1183" i="5"/>
  <c r="Q1183" i="5" s="1"/>
  <c r="P1184" i="5"/>
  <c r="Q1184" i="5" s="1"/>
  <c r="P1185" i="5"/>
  <c r="Q1185" i="5" s="1"/>
  <c r="P1186" i="5"/>
  <c r="Q1186" i="5" s="1"/>
  <c r="P1187" i="5"/>
  <c r="Q1187" i="5" s="1"/>
  <c r="P1188" i="5"/>
  <c r="Q1188" i="5" s="1"/>
  <c r="P1189" i="5"/>
  <c r="Q1189" i="5" s="1"/>
  <c r="P1190" i="5"/>
  <c r="Q1190" i="5" s="1"/>
  <c r="P1191" i="5"/>
  <c r="Q1191" i="5" s="1"/>
  <c r="P1192" i="5"/>
  <c r="Q1192" i="5" s="1"/>
  <c r="P1193" i="5"/>
  <c r="Q1193" i="5" s="1"/>
  <c r="P1194" i="5"/>
  <c r="Q1194" i="5" s="1"/>
  <c r="P1195" i="5"/>
  <c r="Q1195" i="5" s="1"/>
  <c r="P1196" i="5"/>
  <c r="Q1196" i="5" s="1"/>
  <c r="P1197" i="5"/>
  <c r="Q1197" i="5" s="1"/>
  <c r="P1198" i="5"/>
  <c r="Q1198" i="5" s="1"/>
  <c r="P1199" i="5"/>
  <c r="Q1199" i="5" s="1"/>
  <c r="P1200" i="5"/>
  <c r="Q1200" i="5" s="1"/>
  <c r="P1201" i="5"/>
  <c r="Q1201" i="5" s="1"/>
  <c r="P1202" i="5"/>
  <c r="Q1202" i="5" s="1"/>
  <c r="P1203" i="5"/>
  <c r="Q1203" i="5" s="1"/>
  <c r="P1204" i="5"/>
  <c r="Q1204" i="5" s="1"/>
  <c r="P1205" i="5"/>
  <c r="Q1205" i="5" s="1"/>
  <c r="P1206" i="5"/>
  <c r="Q1206" i="5" s="1"/>
  <c r="P1207" i="5"/>
  <c r="Q1207" i="5" s="1"/>
  <c r="P1208" i="5"/>
  <c r="Q1208" i="5" s="1"/>
  <c r="P1209" i="5"/>
  <c r="Q1209" i="5" s="1"/>
  <c r="P1210" i="5"/>
  <c r="Q1210" i="5" s="1"/>
  <c r="P1211" i="5"/>
  <c r="Q1211" i="5" s="1"/>
  <c r="P1212" i="5"/>
  <c r="Q1212" i="5" s="1"/>
  <c r="P1213" i="5"/>
  <c r="Q1213" i="5" s="1"/>
  <c r="P1214" i="5"/>
  <c r="Q1214" i="5" s="1"/>
  <c r="P1215" i="5"/>
  <c r="Q1215" i="5" s="1"/>
  <c r="P1216" i="5"/>
  <c r="Q1216" i="5" s="1"/>
  <c r="P1217" i="5"/>
  <c r="Q1217" i="5" s="1"/>
  <c r="P1218" i="5"/>
  <c r="Q1218" i="5" s="1"/>
  <c r="P1219" i="5"/>
  <c r="Q1219" i="5" s="1"/>
  <c r="P1220" i="5"/>
  <c r="Q1220" i="5" s="1"/>
  <c r="P1221" i="5"/>
  <c r="Q1221" i="5" s="1"/>
  <c r="P1222" i="5"/>
  <c r="Q1222" i="5" s="1"/>
  <c r="P1223" i="5"/>
  <c r="Q1223" i="5" s="1"/>
  <c r="P1224" i="5"/>
  <c r="Q1224" i="5" s="1"/>
  <c r="P1225" i="5"/>
  <c r="Q1225" i="5" s="1"/>
  <c r="P1226" i="5"/>
  <c r="Q1226" i="5" s="1"/>
  <c r="P1227" i="5"/>
  <c r="Q1227" i="5" s="1"/>
  <c r="P1228" i="5"/>
  <c r="Q1228" i="5" s="1"/>
  <c r="P1229" i="5"/>
  <c r="Q1229" i="5" s="1"/>
  <c r="P1230" i="5"/>
  <c r="Q1230" i="5" s="1"/>
  <c r="P1231" i="5"/>
  <c r="Q1231" i="5" s="1"/>
  <c r="P1232" i="5"/>
  <c r="Q1232" i="5" s="1"/>
  <c r="P1233" i="5"/>
  <c r="Q1233" i="5" s="1"/>
  <c r="P1234" i="5"/>
  <c r="Q1234" i="5" s="1"/>
  <c r="P1235" i="5"/>
  <c r="Q1235" i="5" s="1"/>
  <c r="P1236" i="5"/>
  <c r="Q1236" i="5" s="1"/>
  <c r="P1237" i="5"/>
  <c r="Q1237" i="5" s="1"/>
  <c r="P1238" i="5"/>
  <c r="Q1238" i="5" s="1"/>
  <c r="P1239" i="5"/>
  <c r="Q1239" i="5" s="1"/>
  <c r="P1240" i="5"/>
  <c r="Q1240" i="5" s="1"/>
  <c r="P1241" i="5"/>
  <c r="Q1241" i="5" s="1"/>
  <c r="P1242" i="5"/>
  <c r="Q1242" i="5" s="1"/>
  <c r="P1243" i="5"/>
  <c r="Q1243" i="5" s="1"/>
  <c r="P1244" i="5"/>
  <c r="Q1244" i="5" s="1"/>
  <c r="P1245" i="5"/>
  <c r="Q1245" i="5" s="1"/>
  <c r="P1246" i="5"/>
  <c r="Q1246" i="5" s="1"/>
  <c r="P1247" i="5"/>
  <c r="Q1247" i="5" s="1"/>
  <c r="P1248" i="5"/>
  <c r="Q1248" i="5" s="1"/>
  <c r="P1249" i="5"/>
  <c r="Q1249" i="5" s="1"/>
  <c r="P1250" i="5"/>
  <c r="Q1250" i="5" s="1"/>
  <c r="P1251" i="5"/>
  <c r="Q1251" i="5" s="1"/>
  <c r="P1252" i="5"/>
  <c r="Q1252" i="5" s="1"/>
  <c r="P1253" i="5"/>
  <c r="Q1253" i="5" s="1"/>
  <c r="P1254" i="5"/>
  <c r="Q1254" i="5" s="1"/>
  <c r="P1255" i="5"/>
  <c r="Q1255" i="5" s="1"/>
  <c r="P1256" i="5"/>
  <c r="Q1256" i="5" s="1"/>
  <c r="P1257" i="5"/>
  <c r="Q1257" i="5" s="1"/>
  <c r="P1258" i="5"/>
  <c r="Q1258" i="5" s="1"/>
  <c r="P1259" i="5"/>
  <c r="Q1259" i="5" s="1"/>
  <c r="P1260" i="5"/>
  <c r="Q1260" i="5" s="1"/>
  <c r="P1261" i="5"/>
  <c r="Q1261" i="5" s="1"/>
  <c r="P1262" i="5"/>
  <c r="Q1262" i="5" s="1"/>
  <c r="P1263" i="5"/>
  <c r="Q1263" i="5" s="1"/>
  <c r="P1264" i="5"/>
  <c r="Q1264" i="5" s="1"/>
  <c r="P1265" i="5"/>
  <c r="Q1265" i="5" s="1"/>
  <c r="P1266" i="5"/>
  <c r="Q1266" i="5" s="1"/>
  <c r="P1267" i="5"/>
  <c r="Q1267" i="5" s="1"/>
  <c r="P1268" i="5"/>
  <c r="Q1268" i="5" s="1"/>
  <c r="P1269" i="5"/>
  <c r="Q1269" i="5" s="1"/>
  <c r="P1270" i="5"/>
  <c r="Q1270" i="5" s="1"/>
  <c r="P1271" i="5"/>
  <c r="Q1271" i="5" s="1"/>
  <c r="P1272" i="5"/>
  <c r="Q1272" i="5" s="1"/>
  <c r="P1273" i="5"/>
  <c r="Q1273" i="5" s="1"/>
  <c r="P1274" i="5"/>
  <c r="Q1274" i="5" s="1"/>
  <c r="P1275" i="5"/>
  <c r="Q1275" i="5" s="1"/>
  <c r="P1276" i="5"/>
  <c r="Q1276" i="5" s="1"/>
  <c r="P1277" i="5"/>
  <c r="Q1277" i="5" s="1"/>
  <c r="P1278" i="5"/>
  <c r="Q1278" i="5" s="1"/>
  <c r="P1279" i="5"/>
  <c r="Q1279" i="5" s="1"/>
  <c r="P1280" i="5"/>
  <c r="Q1280" i="5" s="1"/>
  <c r="P1281" i="5"/>
  <c r="Q1281" i="5" s="1"/>
  <c r="P1282" i="5"/>
  <c r="Q1282" i="5" s="1"/>
  <c r="P1283" i="5"/>
  <c r="Q1283" i="5" s="1"/>
  <c r="P1284" i="5"/>
  <c r="Q1284" i="5" s="1"/>
  <c r="P1285" i="5"/>
  <c r="Q1285" i="5" s="1"/>
  <c r="P1286" i="5"/>
  <c r="Q1286" i="5" s="1"/>
  <c r="P1287" i="5"/>
  <c r="Q1287" i="5" s="1"/>
  <c r="P1288" i="5"/>
  <c r="Q1288" i="5" s="1"/>
  <c r="P1289" i="5"/>
  <c r="Q1289" i="5" s="1"/>
  <c r="P1290" i="5"/>
  <c r="Q1290" i="5" s="1"/>
  <c r="P1291" i="5"/>
  <c r="Q1291" i="5" s="1"/>
  <c r="P1292" i="5"/>
  <c r="Q1292" i="5" s="1"/>
  <c r="P1293" i="5"/>
  <c r="Q1293" i="5" s="1"/>
  <c r="P1294" i="5"/>
  <c r="Q1294" i="5" s="1"/>
  <c r="P1295" i="5"/>
  <c r="Q1295" i="5" s="1"/>
  <c r="P1296" i="5"/>
  <c r="Q1296" i="5" s="1"/>
  <c r="P1297" i="5"/>
  <c r="Q1297" i="5" s="1"/>
  <c r="P1298" i="5"/>
  <c r="Q1298" i="5" s="1"/>
  <c r="P1299" i="5"/>
  <c r="Q1299" i="5" s="1"/>
  <c r="P1300" i="5"/>
  <c r="Q1300" i="5" s="1"/>
  <c r="P1301" i="5"/>
  <c r="Q1301" i="5" s="1"/>
  <c r="P1302" i="5"/>
  <c r="Q1302" i="5" s="1"/>
  <c r="P1303" i="5"/>
  <c r="Q1303" i="5" s="1"/>
  <c r="P1304" i="5"/>
  <c r="Q1304" i="5" s="1"/>
  <c r="P1305" i="5"/>
  <c r="Q1305" i="5" s="1"/>
  <c r="P1306" i="5"/>
  <c r="Q1306" i="5" s="1"/>
  <c r="P1307" i="5"/>
  <c r="Q1307" i="5" s="1"/>
  <c r="P1308" i="5"/>
  <c r="Q1308" i="5" s="1"/>
  <c r="P1309" i="5"/>
  <c r="Q1309" i="5" s="1"/>
  <c r="P1310" i="5"/>
  <c r="Q1310" i="5" s="1"/>
  <c r="P1311" i="5"/>
  <c r="Q1311" i="5" s="1"/>
  <c r="P1312" i="5"/>
  <c r="Q1312" i="5" s="1"/>
  <c r="P1313" i="5"/>
  <c r="Q1313" i="5" s="1"/>
  <c r="P1314" i="5"/>
  <c r="Q1314" i="5" s="1"/>
  <c r="P1315" i="5"/>
  <c r="Q1315" i="5" s="1"/>
  <c r="P1316" i="5"/>
  <c r="Q1316" i="5" s="1"/>
  <c r="P1317" i="5"/>
  <c r="Q1317" i="5" s="1"/>
  <c r="P1318" i="5"/>
  <c r="Q1318" i="5" s="1"/>
  <c r="P1319" i="5"/>
  <c r="Q1319" i="5" s="1"/>
  <c r="P1320" i="5"/>
  <c r="Q1320" i="5" s="1"/>
  <c r="P1321" i="5"/>
  <c r="Q1321" i="5" s="1"/>
  <c r="P1322" i="5"/>
  <c r="Q1322" i="5" s="1"/>
  <c r="P1323" i="5"/>
  <c r="Q1323" i="5" s="1"/>
  <c r="P1324" i="5"/>
  <c r="Q1324" i="5" s="1"/>
  <c r="P1325" i="5"/>
  <c r="Q1325" i="5" s="1"/>
  <c r="P1326" i="5"/>
  <c r="Q1326" i="5" s="1"/>
  <c r="P1327" i="5"/>
  <c r="Q1327" i="5" s="1"/>
  <c r="P1328" i="5"/>
  <c r="Q1328" i="5" s="1"/>
  <c r="P1329" i="5"/>
  <c r="Q1329" i="5" s="1"/>
  <c r="P1330" i="5"/>
  <c r="Q1330" i="5" s="1"/>
  <c r="P1331" i="5"/>
  <c r="Q1331" i="5" s="1"/>
  <c r="P1332" i="5"/>
  <c r="Q1332" i="5" s="1"/>
  <c r="P1333" i="5"/>
  <c r="Q1333" i="5" s="1"/>
  <c r="P1334" i="5"/>
  <c r="Q1334" i="5" s="1"/>
  <c r="P1335" i="5"/>
  <c r="Q1335" i="5" s="1"/>
  <c r="P1336" i="5"/>
  <c r="Q1336" i="5" s="1"/>
  <c r="P1337" i="5"/>
  <c r="Q1337" i="5" s="1"/>
  <c r="P1338" i="5"/>
  <c r="Q1338" i="5" s="1"/>
  <c r="P1339" i="5"/>
  <c r="Q1339" i="5" s="1"/>
  <c r="P1340" i="5"/>
  <c r="Q1340" i="5" s="1"/>
  <c r="P1341" i="5"/>
  <c r="Q1341" i="5" s="1"/>
  <c r="P1342" i="5"/>
  <c r="Q1342" i="5" s="1"/>
  <c r="P1343" i="5"/>
  <c r="Q1343" i="5" s="1"/>
  <c r="P1344" i="5"/>
  <c r="Q1344" i="5" s="1"/>
  <c r="P1345" i="5"/>
  <c r="Q1345" i="5" s="1"/>
  <c r="P1346" i="5"/>
  <c r="Q1346" i="5" s="1"/>
  <c r="P1347" i="5"/>
  <c r="Q1347" i="5" s="1"/>
  <c r="P1348" i="5"/>
  <c r="Q1348" i="5" s="1"/>
  <c r="P1349" i="5"/>
  <c r="Q1349" i="5" s="1"/>
  <c r="P1350" i="5"/>
  <c r="Q1350" i="5" s="1"/>
  <c r="P1351" i="5"/>
  <c r="Q1351" i="5" s="1"/>
  <c r="P1352" i="5"/>
  <c r="Q1352" i="5" s="1"/>
  <c r="P1353" i="5"/>
  <c r="Q1353" i="5" s="1"/>
  <c r="P1354" i="5"/>
  <c r="Q1354" i="5" s="1"/>
  <c r="P1355" i="5"/>
  <c r="Q1355" i="5" s="1"/>
  <c r="P1356" i="5"/>
  <c r="Q1356" i="5" s="1"/>
  <c r="P1357" i="5"/>
  <c r="Q1357" i="5" s="1"/>
  <c r="P1358" i="5"/>
  <c r="Q1358" i="5" s="1"/>
  <c r="P1359" i="5"/>
  <c r="Q1359" i="5" s="1"/>
  <c r="P1360" i="5"/>
  <c r="Q1360" i="5" s="1"/>
  <c r="P1361" i="5"/>
  <c r="Q1361" i="5" s="1"/>
  <c r="P1362" i="5"/>
  <c r="Q1362" i="5" s="1"/>
  <c r="P1363" i="5"/>
  <c r="Q1363" i="5" s="1"/>
  <c r="P1364" i="5"/>
  <c r="Q1364" i="5" s="1"/>
  <c r="P1365" i="5"/>
  <c r="Q1365" i="5" s="1"/>
  <c r="P1366" i="5"/>
  <c r="Q1366" i="5" s="1"/>
  <c r="P1367" i="5"/>
  <c r="Q1367" i="5" s="1"/>
  <c r="P1368" i="5"/>
  <c r="Q1368" i="5" s="1"/>
  <c r="P1369" i="5"/>
  <c r="Q1369" i="5" s="1"/>
  <c r="P1370" i="5"/>
  <c r="Q1370" i="5" s="1"/>
  <c r="P1371" i="5"/>
  <c r="Q1371" i="5" s="1"/>
  <c r="P1372" i="5"/>
  <c r="Q1372" i="5" s="1"/>
  <c r="P1373" i="5"/>
  <c r="Q1373" i="5" s="1"/>
  <c r="P1374" i="5"/>
  <c r="Q1374" i="5" s="1"/>
  <c r="P1375" i="5"/>
  <c r="Q1375" i="5" s="1"/>
  <c r="P1376" i="5"/>
  <c r="Q1376" i="5" s="1"/>
  <c r="P1377" i="5"/>
  <c r="Q1377" i="5" s="1"/>
  <c r="P1378" i="5"/>
  <c r="Q1378" i="5" s="1"/>
  <c r="P1379" i="5"/>
  <c r="Q1379" i="5" s="1"/>
  <c r="P1380" i="5"/>
  <c r="Q1380" i="5" s="1"/>
  <c r="P1381" i="5"/>
  <c r="Q1381" i="5" s="1"/>
  <c r="P1382" i="5"/>
  <c r="Q1382" i="5" s="1"/>
  <c r="P1383" i="5"/>
  <c r="Q1383" i="5" s="1"/>
  <c r="P1384" i="5"/>
  <c r="Q1384" i="5" s="1"/>
  <c r="P1385" i="5"/>
  <c r="Q1385" i="5" s="1"/>
  <c r="P1386" i="5"/>
  <c r="Q1386" i="5" s="1"/>
  <c r="P1387" i="5"/>
  <c r="Q1387" i="5" s="1"/>
  <c r="P1388" i="5"/>
  <c r="Q1388" i="5" s="1"/>
  <c r="P1389" i="5"/>
  <c r="Q1389" i="5" s="1"/>
  <c r="P1390" i="5"/>
  <c r="Q1390" i="5" s="1"/>
  <c r="P1391" i="5"/>
  <c r="Q1391" i="5" s="1"/>
  <c r="P1392" i="5"/>
  <c r="Q1392" i="5" s="1"/>
  <c r="P1393" i="5"/>
  <c r="Q1393" i="5" s="1"/>
  <c r="P1394" i="5"/>
  <c r="Q1394" i="5" s="1"/>
  <c r="P1395" i="5"/>
  <c r="Q1395" i="5" s="1"/>
  <c r="P1396" i="5"/>
  <c r="Q1396" i="5" s="1"/>
  <c r="P1397" i="5"/>
  <c r="Q1397" i="5" s="1"/>
  <c r="P1398" i="5"/>
  <c r="Q1398" i="5" s="1"/>
  <c r="P1399" i="5"/>
  <c r="Q1399" i="5" s="1"/>
  <c r="P1400" i="5"/>
  <c r="Q1400" i="5" s="1"/>
  <c r="P1401" i="5"/>
  <c r="Q1401" i="5" s="1"/>
  <c r="P1402" i="5"/>
  <c r="Q1402" i="5" s="1"/>
  <c r="P1403" i="5"/>
  <c r="Q1403" i="5" s="1"/>
  <c r="P1404" i="5"/>
  <c r="Q1404" i="5" s="1"/>
  <c r="P1405" i="5"/>
  <c r="Q1405" i="5" s="1"/>
  <c r="P1406" i="5"/>
  <c r="Q1406" i="5" s="1"/>
  <c r="P1407" i="5"/>
  <c r="Q1407" i="5" s="1"/>
  <c r="P1408" i="5"/>
  <c r="Q1408" i="5" s="1"/>
  <c r="P1409" i="5"/>
  <c r="Q1409" i="5" s="1"/>
  <c r="P1410" i="5"/>
  <c r="Q1410" i="5" s="1"/>
  <c r="P1411" i="5"/>
  <c r="Q1411" i="5" s="1"/>
  <c r="P1412" i="5"/>
  <c r="Q1412" i="5" s="1"/>
  <c r="P1413" i="5"/>
  <c r="Q1413" i="5" s="1"/>
  <c r="P1414" i="5"/>
  <c r="Q1414" i="5" s="1"/>
  <c r="P1415" i="5"/>
  <c r="Q1415" i="5" s="1"/>
  <c r="P1416" i="5"/>
  <c r="Q1416" i="5" s="1"/>
  <c r="P1417" i="5"/>
  <c r="Q1417" i="5" s="1"/>
  <c r="P1418" i="5"/>
  <c r="Q1418" i="5" s="1"/>
  <c r="P1419" i="5"/>
  <c r="Q1419" i="5" s="1"/>
  <c r="P1420" i="5"/>
  <c r="Q1420" i="5" s="1"/>
  <c r="P1421" i="5"/>
  <c r="Q1421" i="5" s="1"/>
  <c r="P1422" i="5"/>
  <c r="Q1422" i="5" s="1"/>
  <c r="P1423" i="5"/>
  <c r="Q1423" i="5" s="1"/>
  <c r="P1424" i="5"/>
  <c r="Q1424" i="5" s="1"/>
  <c r="P1425" i="5"/>
  <c r="Q1425" i="5" s="1"/>
  <c r="P1426" i="5"/>
  <c r="Q1426" i="5" s="1"/>
  <c r="P1427" i="5"/>
  <c r="Q1427" i="5" s="1"/>
  <c r="P1428" i="5"/>
  <c r="Q1428" i="5" s="1"/>
  <c r="P1429" i="5"/>
  <c r="Q1429" i="5" s="1"/>
  <c r="P1430" i="5"/>
  <c r="Q1430" i="5" s="1"/>
  <c r="P1431" i="5"/>
  <c r="Q1431" i="5" s="1"/>
  <c r="P1432" i="5"/>
  <c r="Q1432" i="5" s="1"/>
  <c r="P1433" i="5"/>
  <c r="Q1433" i="5" s="1"/>
  <c r="P1434" i="5"/>
  <c r="Q1434" i="5" s="1"/>
  <c r="P1435" i="5"/>
  <c r="Q1435" i="5" s="1"/>
  <c r="P1436" i="5"/>
  <c r="Q1436" i="5" s="1"/>
  <c r="P1437" i="5"/>
  <c r="Q1437" i="5" s="1"/>
  <c r="P1438" i="5"/>
  <c r="Q1438" i="5" s="1"/>
  <c r="P1439" i="5"/>
  <c r="Q1439" i="5" s="1"/>
  <c r="P1440" i="5"/>
  <c r="Q1440" i="5" s="1"/>
  <c r="P1441" i="5"/>
  <c r="Q1441" i="5" s="1"/>
  <c r="P1442" i="5"/>
  <c r="Q1442" i="5" s="1"/>
  <c r="P1443" i="5"/>
  <c r="Q1443" i="5" s="1"/>
  <c r="P1444" i="5"/>
  <c r="Q1444" i="5" s="1"/>
  <c r="P1445" i="5"/>
  <c r="Q1445" i="5" s="1"/>
  <c r="P1446" i="5"/>
  <c r="Q1446" i="5" s="1"/>
  <c r="P1447" i="5"/>
  <c r="Q1447" i="5" s="1"/>
  <c r="P1448" i="5"/>
  <c r="Q1448" i="5" s="1"/>
  <c r="P1449" i="5"/>
  <c r="Q1449" i="5" s="1"/>
  <c r="P1450" i="5"/>
  <c r="Q1450" i="5" s="1"/>
  <c r="P1451" i="5"/>
  <c r="Q1451" i="5" s="1"/>
  <c r="P1452" i="5"/>
  <c r="Q1452" i="5" s="1"/>
  <c r="P1453" i="5"/>
  <c r="Q1453" i="5" s="1"/>
  <c r="P1454" i="5"/>
  <c r="Q1454" i="5" s="1"/>
  <c r="P1455" i="5"/>
  <c r="Q1455" i="5" s="1"/>
  <c r="P1456" i="5"/>
  <c r="Q1456" i="5" s="1"/>
  <c r="P1457" i="5"/>
  <c r="Q1457" i="5" s="1"/>
  <c r="P1458" i="5"/>
  <c r="Q1458" i="5" s="1"/>
  <c r="P1459" i="5"/>
  <c r="Q1459" i="5" s="1"/>
  <c r="P1460" i="5"/>
  <c r="Q1460" i="5" s="1"/>
  <c r="P1461" i="5"/>
  <c r="Q1461" i="5" s="1"/>
  <c r="P1462" i="5"/>
  <c r="Q1462" i="5" s="1"/>
  <c r="P1463" i="5"/>
  <c r="Q1463" i="5" s="1"/>
  <c r="P1464" i="5"/>
  <c r="Q1464" i="5" s="1"/>
  <c r="P1465" i="5"/>
  <c r="Q1465" i="5" s="1"/>
  <c r="P1466" i="5"/>
  <c r="Q1466" i="5" s="1"/>
  <c r="P1467" i="5"/>
  <c r="Q1467" i="5" s="1"/>
  <c r="P1468" i="5"/>
  <c r="Q1468" i="5" s="1"/>
  <c r="P1469" i="5"/>
  <c r="Q1469" i="5" s="1"/>
  <c r="P1470" i="5"/>
  <c r="Q1470" i="5" s="1"/>
  <c r="P1471" i="5"/>
  <c r="Q1471" i="5" s="1"/>
  <c r="P1472" i="5"/>
  <c r="Q1472" i="5" s="1"/>
  <c r="P1473" i="5"/>
  <c r="Q1473" i="5" s="1"/>
  <c r="P1474" i="5"/>
  <c r="Q1474" i="5" s="1"/>
  <c r="P1475" i="5"/>
  <c r="Q1475" i="5" s="1"/>
  <c r="P1476" i="5"/>
  <c r="Q1476" i="5" s="1"/>
  <c r="P1477" i="5"/>
  <c r="Q1477" i="5" s="1"/>
  <c r="P1478" i="5"/>
  <c r="Q1478" i="5" s="1"/>
  <c r="P1479" i="5"/>
  <c r="Q1479" i="5" s="1"/>
  <c r="P1480" i="5"/>
  <c r="Q1480" i="5" s="1"/>
  <c r="P1481" i="5"/>
  <c r="Q1481" i="5" s="1"/>
  <c r="P1482" i="5"/>
  <c r="Q1482" i="5" s="1"/>
  <c r="P1483" i="5"/>
  <c r="Q1483" i="5" s="1"/>
  <c r="P1484" i="5"/>
  <c r="Q1484" i="5" s="1"/>
  <c r="P1485" i="5"/>
  <c r="Q1485" i="5" s="1"/>
  <c r="P1486" i="5"/>
  <c r="Q1486" i="5" s="1"/>
  <c r="P1487" i="5"/>
  <c r="Q1487" i="5" s="1"/>
  <c r="P1488" i="5"/>
  <c r="Q1488" i="5" s="1"/>
  <c r="P1489" i="5"/>
  <c r="Q1489" i="5" s="1"/>
  <c r="P1490" i="5"/>
  <c r="Q1490" i="5" s="1"/>
  <c r="P1491" i="5"/>
  <c r="Q1491" i="5" s="1"/>
  <c r="P1492" i="5"/>
  <c r="Q1492" i="5" s="1"/>
  <c r="P1493" i="5"/>
  <c r="Q1493" i="5" s="1"/>
  <c r="P1494" i="5"/>
  <c r="Q1494" i="5" s="1"/>
  <c r="P1495" i="5"/>
  <c r="Q1495" i="5" s="1"/>
  <c r="P1496" i="5"/>
  <c r="Q1496" i="5" s="1"/>
  <c r="P1497" i="5"/>
  <c r="Q1497" i="5" s="1"/>
  <c r="P1498" i="5"/>
  <c r="Q1498" i="5" s="1"/>
  <c r="P1499" i="5"/>
  <c r="Q1499" i="5" s="1"/>
  <c r="P1500" i="5"/>
  <c r="Q1500" i="5" s="1"/>
  <c r="P1501" i="5"/>
  <c r="Q1501" i="5" s="1"/>
  <c r="P1502" i="5"/>
  <c r="Q1502" i="5" s="1"/>
  <c r="P1503" i="5"/>
  <c r="Q1503" i="5" s="1"/>
  <c r="P1504" i="5"/>
  <c r="Q1504" i="5" s="1"/>
  <c r="P1505" i="5"/>
  <c r="Q1505" i="5" s="1"/>
  <c r="P1506" i="5"/>
  <c r="Q1506" i="5" s="1"/>
  <c r="P1507" i="5"/>
  <c r="Q1507" i="5" s="1"/>
  <c r="P1508" i="5"/>
  <c r="Q1508" i="5" s="1"/>
  <c r="P1509" i="5"/>
  <c r="Q1509" i="5" s="1"/>
  <c r="P1510" i="5"/>
  <c r="Q1510" i="5" s="1"/>
  <c r="P1511" i="5"/>
  <c r="Q1511" i="5" s="1"/>
  <c r="P1512" i="5"/>
  <c r="Q1512" i="5" s="1"/>
  <c r="P1513" i="5"/>
  <c r="Q1513" i="5" s="1"/>
  <c r="P1514" i="5"/>
  <c r="Q1514" i="5" s="1"/>
  <c r="P1515" i="5"/>
  <c r="Q1515" i="5" s="1"/>
  <c r="P1516" i="5"/>
  <c r="Q1516" i="5" s="1"/>
  <c r="P1517" i="5"/>
  <c r="Q1517" i="5" s="1"/>
  <c r="P1518" i="5"/>
  <c r="Q1518" i="5" s="1"/>
  <c r="P1519" i="5"/>
  <c r="Q1519" i="5" s="1"/>
  <c r="P1520" i="5"/>
  <c r="Q1520" i="5" s="1"/>
  <c r="P1521" i="5"/>
  <c r="Q1521" i="5" s="1"/>
  <c r="P1522" i="5"/>
  <c r="Q1522" i="5" s="1"/>
  <c r="P1523" i="5"/>
  <c r="Q1523" i="5" s="1"/>
  <c r="P1524" i="5"/>
  <c r="Q1524" i="5" s="1"/>
  <c r="P1525" i="5"/>
  <c r="Q1525" i="5" s="1"/>
  <c r="P1526" i="5"/>
  <c r="Q1526" i="5" s="1"/>
  <c r="P1527" i="5"/>
  <c r="Q1527" i="5" s="1"/>
  <c r="P1528" i="5"/>
  <c r="Q1528" i="5" s="1"/>
  <c r="P1529" i="5"/>
  <c r="Q1529" i="5" s="1"/>
  <c r="P1530" i="5"/>
  <c r="Q1530" i="5" s="1"/>
  <c r="P1531" i="5"/>
  <c r="Q1531" i="5" s="1"/>
  <c r="P1532" i="5"/>
  <c r="Q1532" i="5" s="1"/>
  <c r="P1533" i="5"/>
  <c r="Q1533" i="5" s="1"/>
  <c r="P1534" i="5"/>
  <c r="Q1534" i="5" s="1"/>
  <c r="P1535" i="5"/>
  <c r="Q1535" i="5" s="1"/>
  <c r="P1536" i="5"/>
  <c r="Q1536" i="5" s="1"/>
  <c r="P1537" i="5"/>
  <c r="Q1537" i="5" s="1"/>
  <c r="P1538" i="5"/>
  <c r="Q1538" i="5" s="1"/>
  <c r="P1539" i="5"/>
  <c r="Q1539" i="5" s="1"/>
  <c r="P1540" i="5"/>
  <c r="Q1540" i="5" s="1"/>
  <c r="P1541" i="5"/>
  <c r="Q1541" i="5" s="1"/>
  <c r="P1542" i="5"/>
  <c r="Q1542" i="5" s="1"/>
  <c r="P1543" i="5"/>
  <c r="Q1543" i="5" s="1"/>
  <c r="P1544" i="5"/>
  <c r="Q1544" i="5" s="1"/>
  <c r="P1545" i="5"/>
  <c r="Q1545" i="5" s="1"/>
  <c r="P1546" i="5"/>
  <c r="Q1546" i="5" s="1"/>
  <c r="P1547" i="5"/>
  <c r="Q1547" i="5" s="1"/>
  <c r="P1548" i="5"/>
  <c r="Q1548" i="5" s="1"/>
  <c r="P1549" i="5"/>
  <c r="Q1549" i="5" s="1"/>
  <c r="P1550" i="5"/>
  <c r="Q1550" i="5" s="1"/>
  <c r="P1551" i="5"/>
  <c r="Q1551" i="5" s="1"/>
  <c r="P1552" i="5"/>
  <c r="Q1552" i="5" s="1"/>
  <c r="P1553" i="5"/>
  <c r="Q1553" i="5" s="1"/>
  <c r="P1554" i="5"/>
  <c r="Q1554" i="5" s="1"/>
  <c r="P1555" i="5"/>
  <c r="Q1555" i="5" s="1"/>
  <c r="P1556" i="5"/>
  <c r="Q1556" i="5" s="1"/>
  <c r="P1557" i="5"/>
  <c r="Q1557" i="5" s="1"/>
  <c r="P1558" i="5"/>
  <c r="Q1558" i="5" s="1"/>
  <c r="P1559" i="5"/>
  <c r="Q1559" i="5" s="1"/>
  <c r="P1560" i="5"/>
  <c r="Q1560" i="5" s="1"/>
  <c r="P1561" i="5"/>
  <c r="Q1561" i="5" s="1"/>
  <c r="P1562" i="5"/>
  <c r="Q1562" i="5" s="1"/>
  <c r="P1563" i="5"/>
  <c r="Q1563" i="5" s="1"/>
  <c r="P1564" i="5"/>
  <c r="Q1564" i="5" s="1"/>
  <c r="P1565" i="5"/>
  <c r="Q1565" i="5" s="1"/>
  <c r="P1566" i="5"/>
  <c r="Q1566" i="5" s="1"/>
  <c r="P1567" i="5"/>
  <c r="Q1567" i="5" s="1"/>
  <c r="P1568" i="5"/>
  <c r="Q1568" i="5" s="1"/>
  <c r="P1569" i="5"/>
  <c r="Q1569" i="5" s="1"/>
  <c r="P1570" i="5"/>
  <c r="Q1570" i="5" s="1"/>
  <c r="P1571" i="5"/>
  <c r="Q1571" i="5" s="1"/>
  <c r="P1572" i="5"/>
  <c r="Q1572" i="5" s="1"/>
  <c r="P1573" i="5"/>
  <c r="Q1573" i="5" s="1"/>
  <c r="P1574" i="5"/>
  <c r="Q1574" i="5" s="1"/>
  <c r="P1575" i="5"/>
  <c r="Q1575" i="5" s="1"/>
  <c r="P1576" i="5"/>
  <c r="Q1576" i="5" s="1"/>
  <c r="P1577" i="5"/>
  <c r="Q1577" i="5" s="1"/>
  <c r="P1578" i="5"/>
  <c r="Q1578" i="5" s="1"/>
  <c r="P1579" i="5"/>
  <c r="Q1579" i="5" s="1"/>
  <c r="P1580" i="5"/>
  <c r="Q1580" i="5" s="1"/>
  <c r="P1581" i="5"/>
  <c r="Q1581" i="5" s="1"/>
  <c r="P1582" i="5"/>
  <c r="Q1582" i="5" s="1"/>
  <c r="P1583" i="5"/>
  <c r="Q1583" i="5" s="1"/>
  <c r="P1584" i="5"/>
  <c r="Q1584" i="5" s="1"/>
  <c r="P1585" i="5"/>
  <c r="Q1585" i="5" s="1"/>
  <c r="P1586" i="5"/>
  <c r="Q1586" i="5" s="1"/>
  <c r="P1587" i="5"/>
  <c r="Q1587" i="5" s="1"/>
  <c r="P1588" i="5"/>
  <c r="Q1588" i="5" s="1"/>
  <c r="P1589" i="5"/>
  <c r="Q1589" i="5" s="1"/>
  <c r="P1590" i="5"/>
  <c r="Q1590" i="5" s="1"/>
  <c r="P1591" i="5"/>
  <c r="Q1591" i="5" s="1"/>
  <c r="P1592" i="5"/>
  <c r="Q1592" i="5" s="1"/>
  <c r="P1593" i="5"/>
  <c r="Q1593" i="5" s="1"/>
  <c r="P1594" i="5"/>
  <c r="Q1594" i="5" s="1"/>
  <c r="P1595" i="5"/>
  <c r="Q1595" i="5" s="1"/>
  <c r="P1596" i="5"/>
  <c r="Q1596" i="5" s="1"/>
  <c r="P1597" i="5"/>
  <c r="Q1597" i="5" s="1"/>
  <c r="P1598" i="5"/>
  <c r="Q1598" i="5" s="1"/>
  <c r="P1599" i="5"/>
  <c r="Q1599" i="5" s="1"/>
  <c r="P1600" i="5"/>
  <c r="Q1600" i="5" s="1"/>
  <c r="P1601" i="5"/>
  <c r="Q1601" i="5" s="1"/>
  <c r="P1602" i="5"/>
  <c r="Q1602" i="5" s="1"/>
  <c r="P1603" i="5"/>
  <c r="Q1603" i="5" s="1"/>
  <c r="P1604" i="5"/>
  <c r="Q1604" i="5" s="1"/>
  <c r="P1605" i="5"/>
  <c r="Q1605" i="5" s="1"/>
  <c r="P1606" i="5"/>
  <c r="Q1606" i="5" s="1"/>
  <c r="P1607" i="5"/>
  <c r="Q1607" i="5" s="1"/>
  <c r="P1608" i="5"/>
  <c r="Q1608" i="5" s="1"/>
  <c r="P1609" i="5"/>
  <c r="Q1609" i="5" s="1"/>
  <c r="P1610" i="5"/>
  <c r="Q1610" i="5" s="1"/>
  <c r="P1611" i="5"/>
  <c r="Q1611" i="5" s="1"/>
  <c r="P1612" i="5"/>
  <c r="Q1612" i="5" s="1"/>
  <c r="P1613" i="5"/>
  <c r="Q1613" i="5" s="1"/>
  <c r="P1614" i="5"/>
  <c r="Q1614" i="5" s="1"/>
  <c r="P1615" i="5"/>
  <c r="Q1615" i="5" s="1"/>
  <c r="P1616" i="5"/>
  <c r="Q1616" i="5" s="1"/>
  <c r="P1617" i="5"/>
  <c r="Q1617" i="5" s="1"/>
  <c r="P1618" i="5"/>
  <c r="Q1618" i="5" s="1"/>
  <c r="P1619" i="5"/>
  <c r="Q1619" i="5" s="1"/>
  <c r="P1620" i="5"/>
  <c r="Q1620" i="5" s="1"/>
  <c r="P1621" i="5"/>
  <c r="Q1621" i="5" s="1"/>
  <c r="P1622" i="5"/>
  <c r="Q1622" i="5" s="1"/>
  <c r="P1623" i="5"/>
  <c r="Q1623" i="5" s="1"/>
  <c r="P1624" i="5"/>
  <c r="Q1624" i="5" s="1"/>
  <c r="P1625" i="5"/>
  <c r="Q1625" i="5" s="1"/>
  <c r="P1626" i="5"/>
  <c r="Q1626" i="5" s="1"/>
  <c r="P1627" i="5"/>
  <c r="Q1627" i="5" s="1"/>
  <c r="P1628" i="5"/>
  <c r="Q1628" i="5" s="1"/>
  <c r="P1629" i="5"/>
  <c r="Q1629" i="5" s="1"/>
  <c r="P1630" i="5"/>
  <c r="Q1630" i="5" s="1"/>
  <c r="P1631" i="5"/>
  <c r="Q1631" i="5" s="1"/>
  <c r="P1632" i="5"/>
  <c r="Q1632" i="5" s="1"/>
  <c r="P1633" i="5"/>
  <c r="Q1633" i="5" s="1"/>
  <c r="P1634" i="5"/>
  <c r="Q1634" i="5" s="1"/>
  <c r="P1635" i="5"/>
  <c r="Q1635" i="5" s="1"/>
  <c r="P1636" i="5"/>
  <c r="Q1636" i="5" s="1"/>
  <c r="P1637" i="5"/>
  <c r="Q1637" i="5" s="1"/>
  <c r="P1638" i="5"/>
  <c r="Q1638" i="5" s="1"/>
  <c r="P1639" i="5"/>
  <c r="Q1639" i="5" s="1"/>
  <c r="P1640" i="5"/>
  <c r="Q1640" i="5" s="1"/>
  <c r="P1641" i="5"/>
  <c r="Q1641" i="5" s="1"/>
  <c r="P1642" i="5"/>
  <c r="Q1642" i="5" s="1"/>
  <c r="P1643" i="5"/>
  <c r="Q1643" i="5" s="1"/>
  <c r="P1644" i="5"/>
  <c r="Q1644" i="5" s="1"/>
  <c r="P1645" i="5"/>
  <c r="Q1645" i="5" s="1"/>
  <c r="P1646" i="5"/>
  <c r="Q1646" i="5" s="1"/>
  <c r="P1647" i="5"/>
  <c r="Q1647" i="5" s="1"/>
  <c r="P1648" i="5"/>
  <c r="Q1648" i="5" s="1"/>
  <c r="P1649" i="5"/>
  <c r="Q1649" i="5" s="1"/>
  <c r="P1650" i="5"/>
  <c r="Q1650" i="5" s="1"/>
  <c r="P1651" i="5"/>
  <c r="Q1651" i="5" s="1"/>
  <c r="P1652" i="5"/>
  <c r="Q1652" i="5" s="1"/>
  <c r="P1653" i="5"/>
  <c r="Q1653" i="5" s="1"/>
  <c r="P1654" i="5"/>
  <c r="Q1654" i="5" s="1"/>
  <c r="P1655" i="5"/>
  <c r="Q1655" i="5" s="1"/>
  <c r="P1656" i="5"/>
  <c r="Q1656" i="5" s="1"/>
  <c r="P1657" i="5"/>
  <c r="Q1657" i="5" s="1"/>
  <c r="P1658" i="5"/>
  <c r="Q1658" i="5" s="1"/>
  <c r="P1659" i="5"/>
  <c r="Q1659" i="5" s="1"/>
  <c r="P1660" i="5"/>
  <c r="Q1660" i="5" s="1"/>
  <c r="P1661" i="5"/>
  <c r="Q1661" i="5" s="1"/>
  <c r="P1662" i="5"/>
  <c r="Q1662" i="5" s="1"/>
  <c r="P1663" i="5"/>
  <c r="Q1663" i="5" s="1"/>
  <c r="P1664" i="5"/>
  <c r="Q1664" i="5" s="1"/>
  <c r="P1665" i="5"/>
  <c r="Q1665" i="5" s="1"/>
  <c r="P1666" i="5"/>
  <c r="Q1666" i="5" s="1"/>
  <c r="P1667" i="5"/>
  <c r="Q1667" i="5" s="1"/>
  <c r="P1668" i="5"/>
  <c r="Q1668" i="5" s="1"/>
  <c r="P1669" i="5"/>
  <c r="Q1669" i="5" s="1"/>
  <c r="P1670" i="5"/>
  <c r="Q1670" i="5" s="1"/>
  <c r="P1671" i="5"/>
  <c r="Q1671" i="5" s="1"/>
  <c r="P1672" i="5"/>
  <c r="Q1672" i="5" s="1"/>
  <c r="P1673" i="5"/>
  <c r="Q1673" i="5" s="1"/>
  <c r="P1674" i="5"/>
  <c r="Q1674" i="5" s="1"/>
  <c r="P1675" i="5"/>
  <c r="Q1675" i="5" s="1"/>
  <c r="P1676" i="5"/>
  <c r="Q1676" i="5" s="1"/>
  <c r="P1677" i="5"/>
  <c r="Q1677" i="5" s="1"/>
  <c r="P1678" i="5"/>
  <c r="Q1678" i="5" s="1"/>
  <c r="P1679" i="5"/>
  <c r="Q1679" i="5" s="1"/>
  <c r="P1680" i="5"/>
  <c r="Q1680" i="5" s="1"/>
  <c r="P1681" i="5"/>
  <c r="Q1681" i="5" s="1"/>
  <c r="P1682" i="5"/>
  <c r="Q1682" i="5" s="1"/>
  <c r="P1683" i="5"/>
  <c r="Q1683" i="5" s="1"/>
  <c r="P1684" i="5"/>
  <c r="Q1684" i="5" s="1"/>
  <c r="P1685" i="5"/>
  <c r="Q1685" i="5" s="1"/>
  <c r="P1686" i="5"/>
  <c r="Q1686" i="5" s="1"/>
  <c r="P1687" i="5"/>
  <c r="Q1687" i="5" s="1"/>
  <c r="P1688" i="5"/>
  <c r="Q1688" i="5" s="1"/>
  <c r="P1689" i="5"/>
  <c r="Q1689" i="5" s="1"/>
  <c r="P1690" i="5"/>
  <c r="Q1690" i="5" s="1"/>
  <c r="P1691" i="5"/>
  <c r="Q1691" i="5" s="1"/>
  <c r="P1692" i="5"/>
  <c r="Q1692" i="5" s="1"/>
  <c r="P1693" i="5"/>
  <c r="Q1693" i="5" s="1"/>
  <c r="P1694" i="5"/>
  <c r="Q1694" i="5" s="1"/>
  <c r="P1695" i="5"/>
  <c r="Q1695" i="5" s="1"/>
  <c r="P1696" i="5"/>
  <c r="Q1696" i="5" s="1"/>
  <c r="P1697" i="5"/>
  <c r="Q1697" i="5" s="1"/>
  <c r="P1698" i="5"/>
  <c r="Q1698" i="5" s="1"/>
  <c r="P1699" i="5"/>
  <c r="Q1699" i="5" s="1"/>
  <c r="P1700" i="5"/>
  <c r="Q1700" i="5" s="1"/>
  <c r="P1701" i="5"/>
  <c r="Q1701" i="5" s="1"/>
  <c r="P1702" i="5"/>
  <c r="Q1702" i="5" s="1"/>
  <c r="P1703" i="5"/>
  <c r="Q1703" i="5" s="1"/>
  <c r="P1704" i="5"/>
  <c r="Q1704" i="5" s="1"/>
  <c r="P1705" i="5"/>
  <c r="Q1705" i="5" s="1"/>
  <c r="P1706" i="5"/>
  <c r="Q1706" i="5" s="1"/>
  <c r="P1707" i="5"/>
  <c r="Q1707" i="5" s="1"/>
  <c r="P1708" i="5"/>
  <c r="Q1708" i="5" s="1"/>
  <c r="P1709" i="5"/>
  <c r="Q1709" i="5" s="1"/>
  <c r="P1710" i="5"/>
  <c r="Q1710" i="5" s="1"/>
  <c r="P1711" i="5"/>
  <c r="Q1711" i="5" s="1"/>
  <c r="P1712" i="5"/>
  <c r="Q1712" i="5" s="1"/>
  <c r="P1713" i="5"/>
  <c r="Q1713" i="5"/>
  <c r="P1714" i="5"/>
  <c r="Q1714" i="5" s="1"/>
  <c r="P1715" i="5"/>
  <c r="Q1715" i="5" s="1"/>
  <c r="P1716" i="5"/>
  <c r="Q1716" i="5" s="1"/>
  <c r="P1717" i="5"/>
  <c r="Q1717" i="5" s="1"/>
  <c r="P1718" i="5"/>
  <c r="Q1718" i="5" s="1"/>
  <c r="P1719" i="5"/>
  <c r="Q1719" i="5" s="1"/>
  <c r="P1720" i="5"/>
  <c r="Q1720" i="5" s="1"/>
  <c r="P1721" i="5"/>
  <c r="Q1721" i="5" s="1"/>
  <c r="P1722" i="5"/>
  <c r="Q1722" i="5" s="1"/>
  <c r="P1723" i="5"/>
  <c r="Q1723" i="5" s="1"/>
  <c r="P1724" i="5"/>
  <c r="Q1724" i="5" s="1"/>
  <c r="P1725" i="5"/>
  <c r="Q1725" i="5" s="1"/>
  <c r="P1726" i="5"/>
  <c r="Q1726" i="5" s="1"/>
  <c r="P1727" i="5"/>
  <c r="Q1727" i="5" s="1"/>
  <c r="P1728" i="5"/>
  <c r="Q1728" i="5" s="1"/>
  <c r="P1729" i="5"/>
  <c r="Q1729" i="5" s="1"/>
  <c r="P1730" i="5"/>
  <c r="Q1730" i="5" s="1"/>
  <c r="P1731" i="5"/>
  <c r="Q1731" i="5" s="1"/>
  <c r="P1732" i="5"/>
  <c r="Q1732" i="5" s="1"/>
  <c r="P1733" i="5"/>
  <c r="Q1733" i="5" s="1"/>
  <c r="P1734" i="5"/>
  <c r="Q1734" i="5" s="1"/>
  <c r="P1735" i="5"/>
  <c r="Q1735" i="5" s="1"/>
  <c r="P1736" i="5"/>
  <c r="Q1736" i="5" s="1"/>
  <c r="P1737" i="5"/>
  <c r="Q1737" i="5" s="1"/>
  <c r="P1738" i="5"/>
  <c r="Q1738" i="5" s="1"/>
  <c r="P1739" i="5"/>
  <c r="Q1739" i="5" s="1"/>
  <c r="P1740" i="5"/>
  <c r="Q1740" i="5" s="1"/>
  <c r="P1741" i="5"/>
  <c r="Q1741" i="5" s="1"/>
  <c r="P1742" i="5"/>
  <c r="Q1742" i="5" s="1"/>
  <c r="P1743" i="5"/>
  <c r="Q1743" i="5" s="1"/>
  <c r="P1744" i="5"/>
  <c r="Q1744" i="5" s="1"/>
  <c r="P1745" i="5"/>
  <c r="Q1745" i="5" s="1"/>
  <c r="P1746" i="5"/>
  <c r="Q1746" i="5" s="1"/>
  <c r="P42" i="5"/>
  <c r="Q42" i="5" s="1"/>
  <c r="P43" i="5"/>
  <c r="Q43" i="5" s="1"/>
  <c r="P44" i="5"/>
  <c r="Q44" i="5" s="1"/>
  <c r="P45" i="5"/>
  <c r="Q45" i="5" s="1"/>
  <c r="P46" i="5"/>
  <c r="Q46" i="5" s="1"/>
  <c r="J372" i="5" l="1"/>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B3" i="7" l="1"/>
  <c r="C3" i="7"/>
  <c r="D3" i="7"/>
  <c r="E3" i="7"/>
  <c r="F3" i="7"/>
  <c r="B4" i="7"/>
  <c r="C4" i="7"/>
  <c r="D4" i="7"/>
  <c r="E4" i="7"/>
  <c r="F4" i="7"/>
  <c r="B5" i="7"/>
  <c r="C5" i="7"/>
  <c r="D5" i="7"/>
  <c r="E5" i="7"/>
  <c r="F5" i="7"/>
  <c r="B6" i="7"/>
  <c r="C6" i="7"/>
  <c r="D6" i="7"/>
  <c r="E6" i="7"/>
  <c r="F6" i="7"/>
  <c r="B7" i="7"/>
  <c r="C7" i="7"/>
  <c r="D7" i="7"/>
  <c r="E7" i="7"/>
  <c r="F7" i="7"/>
  <c r="B8" i="7"/>
  <c r="C8" i="7"/>
  <c r="D8" i="7"/>
  <c r="E8" i="7"/>
  <c r="F8" i="7"/>
  <c r="B9" i="7"/>
  <c r="C9" i="7"/>
  <c r="D9" i="7"/>
  <c r="E9" i="7"/>
  <c r="F9" i="7"/>
  <c r="B10" i="7"/>
  <c r="C10" i="7"/>
  <c r="D10" i="7"/>
  <c r="E10" i="7"/>
  <c r="F10" i="7"/>
  <c r="B11" i="7"/>
  <c r="C11" i="7"/>
  <c r="D11" i="7"/>
  <c r="E11" i="7"/>
  <c r="F11" i="7"/>
  <c r="B12" i="7"/>
  <c r="C12" i="7"/>
  <c r="D12" i="7"/>
  <c r="E12" i="7"/>
  <c r="F12" i="7"/>
  <c r="B13" i="7"/>
  <c r="C13" i="7"/>
  <c r="D13" i="7"/>
  <c r="E13" i="7"/>
  <c r="F13" i="7"/>
  <c r="B14" i="7"/>
  <c r="C14" i="7"/>
  <c r="D14" i="7"/>
  <c r="E14" i="7"/>
  <c r="F14" i="7"/>
  <c r="B15" i="7"/>
  <c r="C15" i="7"/>
  <c r="D15" i="7"/>
  <c r="E15" i="7"/>
  <c r="F15" i="7"/>
  <c r="B16" i="7"/>
  <c r="C16" i="7"/>
  <c r="D16" i="7"/>
  <c r="E16" i="7"/>
  <c r="F16" i="7"/>
  <c r="B17" i="7"/>
  <c r="C17" i="7"/>
  <c r="D17" i="7"/>
  <c r="E17" i="7"/>
  <c r="F17" i="7"/>
  <c r="B18" i="7"/>
  <c r="C18" i="7"/>
  <c r="D18" i="7"/>
  <c r="E18" i="7"/>
  <c r="F18" i="7"/>
  <c r="B19" i="7"/>
  <c r="C19" i="7"/>
  <c r="D19" i="7"/>
  <c r="E19" i="7"/>
  <c r="F19" i="7"/>
  <c r="B20" i="7"/>
  <c r="C20" i="7"/>
  <c r="D20" i="7"/>
  <c r="E20" i="7"/>
  <c r="F20" i="7"/>
  <c r="B21" i="7"/>
  <c r="C21" i="7"/>
  <c r="D21" i="7"/>
  <c r="E21" i="7"/>
  <c r="F21" i="7"/>
  <c r="B22" i="7"/>
  <c r="C22" i="7"/>
  <c r="D22" i="7"/>
  <c r="E22" i="7"/>
  <c r="F22" i="7"/>
  <c r="B23" i="7"/>
  <c r="C23" i="7"/>
  <c r="D23" i="7"/>
  <c r="E23" i="7"/>
  <c r="F23" i="7"/>
  <c r="B24" i="7"/>
  <c r="C24" i="7"/>
  <c r="D24" i="7"/>
  <c r="E24" i="7"/>
  <c r="F24" i="7"/>
  <c r="B25" i="7"/>
  <c r="C25" i="7"/>
  <c r="D25" i="7"/>
  <c r="E25" i="7"/>
  <c r="F25" i="7"/>
  <c r="B26" i="7"/>
  <c r="C26" i="7"/>
  <c r="D26" i="7"/>
  <c r="E26" i="7"/>
  <c r="F26" i="7"/>
  <c r="B27" i="7"/>
  <c r="C27" i="7"/>
  <c r="D27" i="7"/>
  <c r="E27" i="7"/>
  <c r="F27" i="7"/>
  <c r="B28" i="7"/>
  <c r="C28" i="7"/>
  <c r="D28" i="7"/>
  <c r="E28" i="7"/>
  <c r="F28" i="7"/>
  <c r="B29" i="7"/>
  <c r="C29" i="7"/>
  <c r="D29" i="7"/>
  <c r="E29" i="7"/>
  <c r="F29" i="7"/>
  <c r="R312" i="1"/>
  <c r="S312" i="1"/>
  <c r="C312" i="15" s="1"/>
  <c r="T312" i="1"/>
  <c r="D312" i="15" s="1"/>
  <c r="R313" i="1"/>
  <c r="S313" i="1"/>
  <c r="C313" i="15" s="1"/>
  <c r="T313" i="1"/>
  <c r="D313" i="15" s="1"/>
  <c r="R314" i="1"/>
  <c r="S314" i="1"/>
  <c r="C314" i="15" s="1"/>
  <c r="T314" i="1"/>
  <c r="D314" i="15" s="1"/>
  <c r="R315" i="1"/>
  <c r="S315" i="1"/>
  <c r="C315" i="15" s="1"/>
  <c r="T315" i="1"/>
  <c r="D315" i="15" s="1"/>
  <c r="R316" i="1"/>
  <c r="S316" i="1"/>
  <c r="C316" i="15" s="1"/>
  <c r="T316" i="1"/>
  <c r="D316" i="15" s="1"/>
  <c r="R317" i="1"/>
  <c r="S317" i="1"/>
  <c r="C317" i="15" s="1"/>
  <c r="T317" i="1"/>
  <c r="D317" i="15" s="1"/>
  <c r="R318" i="1"/>
  <c r="S318" i="1"/>
  <c r="C318" i="15" s="1"/>
  <c r="T318" i="1"/>
  <c r="D318" i="15" s="1"/>
  <c r="R319" i="1"/>
  <c r="S319" i="1"/>
  <c r="C319" i="15" s="1"/>
  <c r="T319" i="1"/>
  <c r="D319" i="15" s="1"/>
  <c r="R320" i="1"/>
  <c r="S320" i="1"/>
  <c r="C320" i="15" s="1"/>
  <c r="T320" i="1"/>
  <c r="D320" i="15" s="1"/>
  <c r="R321" i="1"/>
  <c r="S321" i="1"/>
  <c r="C321" i="15" s="1"/>
  <c r="T321" i="1"/>
  <c r="D321" i="15" s="1"/>
  <c r="R322" i="1"/>
  <c r="S322" i="1"/>
  <c r="C322" i="15" s="1"/>
  <c r="T322" i="1"/>
  <c r="D322" i="15" s="1"/>
  <c r="R323" i="1"/>
  <c r="S323" i="1"/>
  <c r="C323" i="15" s="1"/>
  <c r="T323" i="1"/>
  <c r="D323" i="15" s="1"/>
  <c r="R324" i="1"/>
  <c r="S324" i="1"/>
  <c r="C324" i="15" s="1"/>
  <c r="T324" i="1"/>
  <c r="D324" i="15" s="1"/>
  <c r="R325" i="1"/>
  <c r="B325" i="15" s="1"/>
  <c r="S325" i="1"/>
  <c r="C325" i="15" s="1"/>
  <c r="T325" i="1"/>
  <c r="D325" i="15" s="1"/>
  <c r="R326" i="1"/>
  <c r="B326" i="15" s="1"/>
  <c r="S326" i="1"/>
  <c r="C326" i="15" s="1"/>
  <c r="T326" i="1"/>
  <c r="D326" i="15" s="1"/>
  <c r="Q326" i="15" l="1"/>
  <c r="Q325" i="15"/>
  <c r="V325" i="1"/>
  <c r="B321" i="15"/>
  <c r="Q321" i="15" s="1"/>
  <c r="V321" i="1"/>
  <c r="B317" i="15"/>
  <c r="Q317" i="15" s="1"/>
  <c r="V317" i="1"/>
  <c r="B313" i="15"/>
  <c r="Q313" i="15" s="1"/>
  <c r="V313" i="1"/>
  <c r="B320" i="15"/>
  <c r="Q320" i="15" s="1"/>
  <c r="V320" i="1"/>
  <c r="B316" i="15"/>
  <c r="Q316" i="15" s="1"/>
  <c r="V316" i="1"/>
  <c r="B312" i="15"/>
  <c r="Q312" i="15" s="1"/>
  <c r="V312" i="1"/>
  <c r="V326" i="1"/>
  <c r="B322" i="15"/>
  <c r="Q322" i="15" s="1"/>
  <c r="V322" i="1"/>
  <c r="B318" i="15"/>
  <c r="Q318" i="15" s="1"/>
  <c r="V318" i="1"/>
  <c r="B314" i="15"/>
  <c r="Q314" i="15" s="1"/>
  <c r="V314" i="1"/>
  <c r="B324" i="15"/>
  <c r="Q324" i="15" s="1"/>
  <c r="V324" i="1"/>
  <c r="B323" i="15"/>
  <c r="Q323" i="15" s="1"/>
  <c r="V323" i="1"/>
  <c r="B319" i="15"/>
  <c r="Q319" i="15" s="1"/>
  <c r="V319" i="1"/>
  <c r="B315" i="15"/>
  <c r="Q315" i="15" s="1"/>
  <c r="V315"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6" i="1"/>
  <c r="B317" i="1"/>
  <c r="B318" i="1"/>
  <c r="B319" i="1"/>
  <c r="B320" i="1"/>
  <c r="B321" i="1"/>
  <c r="B322" i="1"/>
  <c r="B323" i="1"/>
  <c r="B324" i="1"/>
  <c r="B325" i="1"/>
  <c r="B326" i="1"/>
  <c r="B30" i="7"/>
  <c r="C30" i="7"/>
  <c r="D30" i="7"/>
  <c r="E30" i="7"/>
  <c r="F30" i="7"/>
  <c r="B31" i="7"/>
  <c r="C31" i="7"/>
  <c r="D31" i="7"/>
  <c r="E31" i="7"/>
  <c r="F31" i="7"/>
  <c r="B32" i="7"/>
  <c r="C32" i="7"/>
  <c r="D32" i="7"/>
  <c r="E32" i="7"/>
  <c r="F32" i="7"/>
  <c r="B33" i="7"/>
  <c r="C33" i="7"/>
  <c r="D33" i="7"/>
  <c r="E33" i="7"/>
  <c r="F33" i="7"/>
  <c r="B34" i="7"/>
  <c r="C34" i="7"/>
  <c r="D34" i="7"/>
  <c r="E34" i="7"/>
  <c r="F34" i="7"/>
  <c r="B35" i="7"/>
  <c r="C35" i="7"/>
  <c r="D35" i="7"/>
  <c r="E35" i="7"/>
  <c r="F35" i="7"/>
  <c r="B36" i="7"/>
  <c r="C36" i="7"/>
  <c r="D36" i="7"/>
  <c r="E36" i="7"/>
  <c r="F36" i="7"/>
  <c r="B37" i="7"/>
  <c r="C37" i="7"/>
  <c r="D37" i="7"/>
  <c r="E37" i="7"/>
  <c r="F37" i="7"/>
  <c r="B38" i="7"/>
  <c r="C38" i="7"/>
  <c r="D38" i="7"/>
  <c r="E38" i="7"/>
  <c r="F38" i="7"/>
  <c r="B39" i="7"/>
  <c r="C39" i="7"/>
  <c r="D39" i="7"/>
  <c r="E39" i="7"/>
  <c r="F39" i="7"/>
  <c r="B40" i="7"/>
  <c r="C40" i="7"/>
  <c r="D40" i="7"/>
  <c r="E40" i="7"/>
  <c r="F40" i="7"/>
  <c r="B41" i="7"/>
  <c r="C41" i="7"/>
  <c r="D41" i="7"/>
  <c r="E41" i="7"/>
  <c r="F41" i="7"/>
  <c r="B42" i="7"/>
  <c r="C42" i="7"/>
  <c r="D42" i="7"/>
  <c r="E42" i="7"/>
  <c r="F42" i="7"/>
  <c r="B43" i="7"/>
  <c r="C43" i="7"/>
  <c r="D43" i="7"/>
  <c r="E43" i="7"/>
  <c r="F43" i="7"/>
  <c r="B44" i="7"/>
  <c r="C44" i="7"/>
  <c r="D44" i="7"/>
  <c r="E44" i="7"/>
  <c r="F44" i="7"/>
  <c r="B45" i="7"/>
  <c r="C45" i="7"/>
  <c r="D45" i="7"/>
  <c r="E45" i="7"/>
  <c r="F45" i="7"/>
  <c r="B46" i="7"/>
  <c r="C46" i="7"/>
  <c r="D46" i="7"/>
  <c r="E46" i="7"/>
  <c r="F46" i="7"/>
  <c r="B47" i="7"/>
  <c r="C47" i="7"/>
  <c r="D47" i="7"/>
  <c r="E47" i="7"/>
  <c r="F47" i="7"/>
  <c r="B48" i="7"/>
  <c r="C48" i="7"/>
  <c r="D48" i="7"/>
  <c r="E48" i="7"/>
  <c r="F48" i="7"/>
  <c r="B49" i="7"/>
  <c r="C49" i="7"/>
  <c r="D49" i="7"/>
  <c r="E49" i="7"/>
  <c r="F49" i="7"/>
  <c r="B50" i="7"/>
  <c r="C50" i="7"/>
  <c r="D50" i="7"/>
  <c r="E50" i="7"/>
  <c r="F50" i="7"/>
  <c r="B51" i="7"/>
  <c r="C51" i="7"/>
  <c r="D51" i="7"/>
  <c r="E51" i="7"/>
  <c r="F51" i="7"/>
  <c r="B52" i="7"/>
  <c r="C52" i="7"/>
  <c r="D52" i="7"/>
  <c r="E52" i="7"/>
  <c r="F52" i="7"/>
  <c r="B53" i="7"/>
  <c r="C53" i="7"/>
  <c r="D53" i="7"/>
  <c r="E53" i="7"/>
  <c r="F53" i="7"/>
  <c r="B54" i="7"/>
  <c r="C54" i="7"/>
  <c r="D54" i="7"/>
  <c r="E54" i="7"/>
  <c r="F54" i="7"/>
  <c r="B55" i="7"/>
  <c r="C55" i="7"/>
  <c r="D55" i="7"/>
  <c r="E55" i="7"/>
  <c r="F55" i="7"/>
  <c r="B56" i="7"/>
  <c r="C56" i="7"/>
  <c r="D56" i="7"/>
  <c r="E56" i="7"/>
  <c r="F56" i="7"/>
  <c r="B57" i="7"/>
  <c r="C57" i="7"/>
  <c r="D57" i="7"/>
  <c r="E57" i="7"/>
  <c r="F57" i="7"/>
  <c r="B58" i="7"/>
  <c r="C58" i="7"/>
  <c r="D58" i="7"/>
  <c r="E58" i="7"/>
  <c r="F58" i="7"/>
  <c r="B59" i="7"/>
  <c r="C59" i="7"/>
  <c r="D59" i="7"/>
  <c r="E59" i="7"/>
  <c r="F59" i="7"/>
  <c r="B60" i="7"/>
  <c r="C60" i="7"/>
  <c r="D60" i="7"/>
  <c r="E60" i="7"/>
  <c r="F60" i="7"/>
  <c r="B61" i="7"/>
  <c r="C61" i="7"/>
  <c r="D61" i="7"/>
  <c r="E61" i="7"/>
  <c r="F61" i="7"/>
  <c r="B62" i="7"/>
  <c r="C62" i="7"/>
  <c r="D62" i="7"/>
  <c r="E62" i="7"/>
  <c r="F62" i="7"/>
  <c r="B63" i="7"/>
  <c r="C63" i="7"/>
  <c r="D63" i="7"/>
  <c r="E63" i="7"/>
  <c r="F63" i="7"/>
  <c r="B64" i="7"/>
  <c r="C64" i="7"/>
  <c r="D64" i="7"/>
  <c r="E64" i="7"/>
  <c r="F64" i="7"/>
  <c r="B65" i="7"/>
  <c r="C65" i="7"/>
  <c r="D65" i="7"/>
  <c r="E65" i="7"/>
  <c r="F65" i="7"/>
  <c r="B66" i="7"/>
  <c r="C66" i="7"/>
  <c r="D66" i="7"/>
  <c r="E66" i="7"/>
  <c r="F66" i="7"/>
  <c r="B67" i="7"/>
  <c r="C67" i="7"/>
  <c r="D67" i="7"/>
  <c r="E67" i="7"/>
  <c r="F67" i="7"/>
  <c r="B68" i="7"/>
  <c r="C68" i="7"/>
  <c r="D68" i="7"/>
  <c r="E68" i="7"/>
  <c r="F68" i="7"/>
  <c r="B69" i="7"/>
  <c r="C69" i="7"/>
  <c r="D69" i="7"/>
  <c r="E69" i="7"/>
  <c r="F69" i="7"/>
  <c r="B70" i="7"/>
  <c r="C70" i="7"/>
  <c r="D70" i="7"/>
  <c r="E70" i="7"/>
  <c r="F70" i="7"/>
  <c r="B71" i="7"/>
  <c r="C71" i="7"/>
  <c r="D71" i="7"/>
  <c r="E71" i="7"/>
  <c r="F71" i="7"/>
  <c r="B72" i="7"/>
  <c r="C72" i="7"/>
  <c r="D72" i="7"/>
  <c r="E72" i="7"/>
  <c r="F72" i="7"/>
  <c r="B73" i="7"/>
  <c r="C73" i="7"/>
  <c r="D73" i="7"/>
  <c r="E73" i="7"/>
  <c r="F73" i="7"/>
  <c r="B74" i="7"/>
  <c r="C74" i="7"/>
  <c r="D74" i="7"/>
  <c r="E74" i="7"/>
  <c r="F74" i="7"/>
  <c r="B75" i="7"/>
  <c r="C75" i="7"/>
  <c r="D75" i="7"/>
  <c r="E75" i="7"/>
  <c r="F75" i="7"/>
  <c r="B76" i="7"/>
  <c r="C76" i="7"/>
  <c r="D76" i="7"/>
  <c r="E76" i="7"/>
  <c r="F76" i="7"/>
  <c r="B77" i="7"/>
  <c r="C77" i="7"/>
  <c r="D77" i="7"/>
  <c r="E77" i="7"/>
  <c r="F77" i="7"/>
  <c r="B78" i="7"/>
  <c r="C78" i="7"/>
  <c r="D78" i="7"/>
  <c r="E78" i="7"/>
  <c r="F78" i="7"/>
  <c r="B79" i="7"/>
  <c r="C79" i="7"/>
  <c r="D79" i="7"/>
  <c r="E79" i="7"/>
  <c r="F79" i="7"/>
  <c r="B80" i="7"/>
  <c r="C80" i="7"/>
  <c r="D80" i="7"/>
  <c r="E80" i="7"/>
  <c r="F80" i="7"/>
  <c r="B81" i="7"/>
  <c r="C81" i="7"/>
  <c r="D81" i="7"/>
  <c r="E81" i="7"/>
  <c r="F81" i="7"/>
  <c r="B82" i="7"/>
  <c r="C82" i="7"/>
  <c r="D82" i="7"/>
  <c r="E82" i="7"/>
  <c r="F82" i="7"/>
  <c r="B83" i="7"/>
  <c r="C83" i="7"/>
  <c r="D83" i="7"/>
  <c r="E83" i="7"/>
  <c r="F83" i="7"/>
  <c r="B84" i="7"/>
  <c r="C84" i="7"/>
  <c r="D84" i="7"/>
  <c r="E84" i="7"/>
  <c r="F84" i="7"/>
  <c r="B85" i="7"/>
  <c r="C85" i="7"/>
  <c r="D85" i="7"/>
  <c r="E85" i="7"/>
  <c r="F85" i="7"/>
  <c r="B86" i="7"/>
  <c r="C86" i="7"/>
  <c r="D86" i="7"/>
  <c r="E86" i="7"/>
  <c r="F86" i="7"/>
  <c r="B87" i="7"/>
  <c r="C87" i="7"/>
  <c r="D87" i="7"/>
  <c r="E87" i="7"/>
  <c r="F87" i="7"/>
  <c r="B88" i="7"/>
  <c r="C88" i="7"/>
  <c r="D88" i="7"/>
  <c r="E88" i="7"/>
  <c r="F88" i="7"/>
  <c r="B89" i="7"/>
  <c r="C89" i="7"/>
  <c r="D89" i="7"/>
  <c r="E89" i="7"/>
  <c r="F89" i="7"/>
  <c r="B90" i="7"/>
  <c r="C90" i="7"/>
  <c r="D90" i="7"/>
  <c r="E90" i="7"/>
  <c r="F90" i="7"/>
  <c r="B91" i="7"/>
  <c r="C91" i="7"/>
  <c r="D91" i="7"/>
  <c r="E91" i="7"/>
  <c r="F91" i="7"/>
  <c r="B92" i="7"/>
  <c r="C92" i="7"/>
  <c r="D92" i="7"/>
  <c r="E92" i="7"/>
  <c r="F92" i="7"/>
  <c r="B93" i="7"/>
  <c r="C93" i="7"/>
  <c r="D93" i="7"/>
  <c r="E93" i="7"/>
  <c r="F93" i="7"/>
  <c r="B94" i="7"/>
  <c r="C94" i="7"/>
  <c r="D94" i="7"/>
  <c r="E94" i="7"/>
  <c r="F94" i="7"/>
  <c r="B95" i="7"/>
  <c r="C95" i="7"/>
  <c r="D95" i="7"/>
  <c r="E95" i="7"/>
  <c r="F95" i="7"/>
  <c r="B96" i="7"/>
  <c r="C96" i="7"/>
  <c r="D96" i="7"/>
  <c r="E96" i="7"/>
  <c r="F96" i="7"/>
  <c r="B97" i="7"/>
  <c r="C97" i="7"/>
  <c r="D97" i="7"/>
  <c r="E97" i="7"/>
  <c r="F97" i="7"/>
  <c r="B98" i="7"/>
  <c r="C98" i="7"/>
  <c r="D98" i="7"/>
  <c r="E98" i="7"/>
  <c r="F98" i="7"/>
  <c r="B99" i="7"/>
  <c r="C99" i="7"/>
  <c r="D99" i="7"/>
  <c r="E99" i="7"/>
  <c r="F99" i="7"/>
  <c r="B100" i="7"/>
  <c r="C100" i="7"/>
  <c r="D100" i="7"/>
  <c r="E100" i="7"/>
  <c r="F100" i="7"/>
  <c r="B101" i="7"/>
  <c r="C101" i="7"/>
  <c r="D101" i="7"/>
  <c r="E101" i="7"/>
  <c r="F101" i="7"/>
  <c r="B102" i="7"/>
  <c r="C102" i="7"/>
  <c r="D102" i="7"/>
  <c r="E102" i="7"/>
  <c r="F102" i="7"/>
  <c r="B103" i="7"/>
  <c r="C103" i="7"/>
  <c r="D103" i="7"/>
  <c r="E103" i="7"/>
  <c r="F103" i="7"/>
  <c r="B104" i="7"/>
  <c r="C104" i="7"/>
  <c r="D104" i="7"/>
  <c r="E104" i="7"/>
  <c r="F104" i="7"/>
  <c r="B105" i="7"/>
  <c r="C105" i="7"/>
  <c r="D105" i="7"/>
  <c r="E105" i="7"/>
  <c r="F105" i="7"/>
  <c r="B106" i="7"/>
  <c r="C106" i="7"/>
  <c r="D106" i="7"/>
  <c r="E106" i="7"/>
  <c r="F106" i="7"/>
  <c r="B107" i="7"/>
  <c r="C107" i="7"/>
  <c r="D107" i="7"/>
  <c r="E107" i="7"/>
  <c r="F107" i="7"/>
  <c r="B108" i="7"/>
  <c r="C108" i="7"/>
  <c r="D108" i="7"/>
  <c r="E108" i="7"/>
  <c r="F108" i="7"/>
  <c r="B109" i="7"/>
  <c r="C109" i="7"/>
  <c r="D109" i="7"/>
  <c r="E109" i="7"/>
  <c r="F109" i="7"/>
  <c r="B110" i="7"/>
  <c r="C110" i="7"/>
  <c r="D110" i="7"/>
  <c r="E110" i="7"/>
  <c r="F110" i="7"/>
  <c r="B111" i="7"/>
  <c r="C111" i="7"/>
  <c r="D111" i="7"/>
  <c r="E111" i="7"/>
  <c r="F111" i="7"/>
  <c r="B112" i="7"/>
  <c r="C112" i="7"/>
  <c r="D112" i="7"/>
  <c r="E112" i="7"/>
  <c r="F112" i="7"/>
  <c r="B113" i="7"/>
  <c r="C113" i="7"/>
  <c r="D113" i="7"/>
  <c r="E113" i="7"/>
  <c r="F113" i="7"/>
  <c r="B114" i="7"/>
  <c r="C114" i="7"/>
  <c r="D114" i="7"/>
  <c r="E114" i="7"/>
  <c r="F114" i="7"/>
  <c r="B115" i="7"/>
  <c r="C115" i="7"/>
  <c r="D115" i="7"/>
  <c r="E115" i="7"/>
  <c r="F115" i="7"/>
  <c r="B116" i="7"/>
  <c r="C116" i="7"/>
  <c r="D116" i="7"/>
  <c r="E116" i="7"/>
  <c r="F116" i="7"/>
  <c r="B117" i="7"/>
  <c r="C117" i="7"/>
  <c r="D117" i="7"/>
  <c r="E117" i="7"/>
  <c r="F117" i="7"/>
  <c r="B118" i="7"/>
  <c r="C118" i="7"/>
  <c r="D118" i="7"/>
  <c r="E118" i="7"/>
  <c r="F118" i="7"/>
  <c r="B119" i="7"/>
  <c r="C119" i="7"/>
  <c r="D119" i="7"/>
  <c r="E119" i="7"/>
  <c r="F119" i="7"/>
  <c r="B120" i="7"/>
  <c r="C120" i="7"/>
  <c r="D120" i="7"/>
  <c r="E120" i="7"/>
  <c r="F120" i="7"/>
  <c r="B121" i="7"/>
  <c r="C121" i="7"/>
  <c r="D121" i="7"/>
  <c r="E121" i="7"/>
  <c r="F121" i="7"/>
  <c r="B122" i="7"/>
  <c r="C122" i="7"/>
  <c r="D122" i="7"/>
  <c r="E122" i="7"/>
  <c r="F122" i="7"/>
  <c r="B123" i="7"/>
  <c r="C123" i="7"/>
  <c r="D123" i="7"/>
  <c r="E123" i="7"/>
  <c r="F123" i="7"/>
  <c r="B124" i="7"/>
  <c r="C124" i="7"/>
  <c r="D124" i="7"/>
  <c r="E124" i="7"/>
  <c r="F124" i="7"/>
  <c r="B125" i="7"/>
  <c r="C125" i="7"/>
  <c r="D125" i="7"/>
  <c r="E125" i="7"/>
  <c r="F125" i="7"/>
  <c r="B126" i="7"/>
  <c r="C126" i="7"/>
  <c r="D126" i="7"/>
  <c r="E126" i="7"/>
  <c r="F126" i="7"/>
  <c r="B127" i="7"/>
  <c r="C127" i="7"/>
  <c r="D127" i="7"/>
  <c r="E127" i="7"/>
  <c r="F127" i="7"/>
  <c r="B128" i="7"/>
  <c r="C128" i="7"/>
  <c r="D128" i="7"/>
  <c r="E128" i="7"/>
  <c r="F128" i="7"/>
  <c r="B129" i="7"/>
  <c r="C129" i="7"/>
  <c r="D129" i="7"/>
  <c r="E129" i="7"/>
  <c r="F129" i="7"/>
  <c r="B130" i="7"/>
  <c r="C130" i="7"/>
  <c r="D130" i="7"/>
  <c r="E130" i="7"/>
  <c r="F130" i="7"/>
  <c r="B131" i="7"/>
  <c r="C131" i="7"/>
  <c r="D131" i="7"/>
  <c r="E131" i="7"/>
  <c r="F131" i="7"/>
  <c r="B132" i="7"/>
  <c r="C132" i="7"/>
  <c r="D132" i="7"/>
  <c r="E132" i="7"/>
  <c r="F132" i="7"/>
  <c r="B133" i="7"/>
  <c r="C133" i="7"/>
  <c r="D133" i="7"/>
  <c r="E133" i="7"/>
  <c r="F133" i="7"/>
  <c r="B134" i="7"/>
  <c r="C134" i="7"/>
  <c r="D134" i="7"/>
  <c r="E134" i="7"/>
  <c r="F134" i="7"/>
  <c r="B135" i="7"/>
  <c r="C135" i="7"/>
  <c r="D135" i="7"/>
  <c r="E135" i="7"/>
  <c r="F135" i="7"/>
  <c r="B136" i="7"/>
  <c r="C136" i="7"/>
  <c r="D136" i="7"/>
  <c r="E136" i="7"/>
  <c r="F136" i="7"/>
  <c r="B137" i="7"/>
  <c r="C137" i="7"/>
  <c r="D137" i="7"/>
  <c r="E137" i="7"/>
  <c r="F137" i="7"/>
  <c r="B138" i="7"/>
  <c r="C138" i="7"/>
  <c r="D138" i="7"/>
  <c r="E138" i="7"/>
  <c r="F138" i="7"/>
  <c r="B139" i="7"/>
  <c r="C139" i="7"/>
  <c r="D139" i="7"/>
  <c r="E139" i="7"/>
  <c r="F139" i="7"/>
  <c r="B140" i="7"/>
  <c r="C140" i="7"/>
  <c r="D140" i="7"/>
  <c r="E140" i="7"/>
  <c r="F140" i="7"/>
  <c r="B141" i="7"/>
  <c r="C141" i="7"/>
  <c r="D141" i="7"/>
  <c r="E141" i="7"/>
  <c r="F141" i="7"/>
  <c r="B142" i="7"/>
  <c r="C142" i="7"/>
  <c r="D142" i="7"/>
  <c r="E142" i="7"/>
  <c r="F142" i="7"/>
  <c r="B143" i="7"/>
  <c r="C143" i="7"/>
  <c r="D143" i="7"/>
  <c r="E143" i="7"/>
  <c r="F143" i="7"/>
  <c r="B144" i="7"/>
  <c r="C144" i="7"/>
  <c r="D144" i="7"/>
  <c r="E144" i="7"/>
  <c r="F144" i="7"/>
  <c r="B145" i="7"/>
  <c r="C145" i="7"/>
  <c r="D145" i="7"/>
  <c r="E145" i="7"/>
  <c r="F145" i="7"/>
  <c r="B146" i="7"/>
  <c r="C146" i="7"/>
  <c r="D146" i="7"/>
  <c r="E146" i="7"/>
  <c r="F146" i="7"/>
  <c r="B147" i="7"/>
  <c r="C147" i="7"/>
  <c r="D147" i="7"/>
  <c r="E147" i="7"/>
  <c r="F147" i="7"/>
  <c r="B148" i="7"/>
  <c r="C148" i="7"/>
  <c r="D148" i="7"/>
  <c r="E148" i="7"/>
  <c r="F148" i="7"/>
  <c r="B149" i="7"/>
  <c r="C149" i="7"/>
  <c r="D149" i="7"/>
  <c r="E149" i="7"/>
  <c r="F149" i="7"/>
  <c r="B150" i="7"/>
  <c r="C150" i="7"/>
  <c r="D150" i="7"/>
  <c r="E150" i="7"/>
  <c r="F150" i="7"/>
  <c r="B151" i="7"/>
  <c r="C151" i="7"/>
  <c r="D151" i="7"/>
  <c r="E151" i="7"/>
  <c r="F151" i="7"/>
  <c r="B152" i="7"/>
  <c r="C152" i="7"/>
  <c r="D152" i="7"/>
  <c r="E152" i="7"/>
  <c r="F152" i="7"/>
  <c r="B153" i="7"/>
  <c r="C153" i="7"/>
  <c r="D153" i="7"/>
  <c r="E153" i="7"/>
  <c r="F153" i="7"/>
  <c r="B154" i="7"/>
  <c r="C154" i="7"/>
  <c r="D154" i="7"/>
  <c r="E154" i="7"/>
  <c r="F154" i="7"/>
  <c r="B155" i="7"/>
  <c r="C155" i="7"/>
  <c r="D155" i="7"/>
  <c r="E155" i="7"/>
  <c r="F155" i="7"/>
  <c r="B156" i="7"/>
  <c r="C156" i="7"/>
  <c r="D156" i="7"/>
  <c r="E156" i="7"/>
  <c r="F156" i="7"/>
  <c r="B157" i="7"/>
  <c r="C157" i="7"/>
  <c r="D157" i="7"/>
  <c r="E157" i="7"/>
  <c r="F157" i="7"/>
  <c r="B158" i="7"/>
  <c r="C158" i="7"/>
  <c r="D158" i="7"/>
  <c r="E158" i="7"/>
  <c r="F158" i="7"/>
  <c r="B159" i="7"/>
  <c r="C159" i="7"/>
  <c r="D159" i="7"/>
  <c r="E159" i="7"/>
  <c r="F159" i="7"/>
  <c r="B160" i="7"/>
  <c r="C160" i="7"/>
  <c r="D160" i="7"/>
  <c r="E160" i="7"/>
  <c r="F160" i="7"/>
  <c r="B161" i="7"/>
  <c r="C161" i="7"/>
  <c r="D161" i="7"/>
  <c r="E161" i="7"/>
  <c r="F161" i="7"/>
  <c r="B162" i="7"/>
  <c r="C162" i="7"/>
  <c r="D162" i="7"/>
  <c r="E162" i="7"/>
  <c r="F162" i="7"/>
  <c r="B163" i="7"/>
  <c r="C163" i="7"/>
  <c r="D163" i="7"/>
  <c r="E163" i="7"/>
  <c r="F163" i="7"/>
  <c r="B164" i="7"/>
  <c r="C164" i="7"/>
  <c r="D164" i="7"/>
  <c r="E164" i="7"/>
  <c r="F164" i="7"/>
  <c r="B165" i="7"/>
  <c r="C165" i="7"/>
  <c r="D165" i="7"/>
  <c r="E165" i="7"/>
  <c r="F165" i="7"/>
  <c r="B166" i="7"/>
  <c r="C166" i="7"/>
  <c r="D166" i="7"/>
  <c r="E166" i="7"/>
  <c r="F166" i="7"/>
  <c r="B167" i="7"/>
  <c r="C167" i="7"/>
  <c r="D167" i="7"/>
  <c r="E167" i="7"/>
  <c r="F167" i="7"/>
  <c r="B168" i="7"/>
  <c r="C168" i="7"/>
  <c r="D168" i="7"/>
  <c r="E168" i="7"/>
  <c r="F168" i="7"/>
  <c r="B169" i="7"/>
  <c r="C169" i="7"/>
  <c r="D169" i="7"/>
  <c r="E169" i="7"/>
  <c r="F169" i="7"/>
  <c r="B170" i="7"/>
  <c r="C170" i="7"/>
  <c r="D170" i="7"/>
  <c r="E170" i="7"/>
  <c r="F170" i="7"/>
  <c r="B171" i="7"/>
  <c r="C171" i="7"/>
  <c r="D171" i="7"/>
  <c r="E171" i="7"/>
  <c r="F171" i="7"/>
  <c r="B172" i="7"/>
  <c r="C172" i="7"/>
  <c r="D172" i="7"/>
  <c r="E172" i="7"/>
  <c r="F172" i="7"/>
  <c r="B173" i="7"/>
  <c r="C173" i="7"/>
  <c r="D173" i="7"/>
  <c r="E173" i="7"/>
  <c r="F173" i="7"/>
  <c r="B174" i="7"/>
  <c r="C174" i="7"/>
  <c r="D174" i="7"/>
  <c r="E174" i="7"/>
  <c r="F174" i="7"/>
  <c r="B175" i="7"/>
  <c r="C175" i="7"/>
  <c r="D175" i="7"/>
  <c r="E175" i="7"/>
  <c r="F175" i="7"/>
  <c r="B176" i="7"/>
  <c r="C176" i="7"/>
  <c r="D176" i="7"/>
  <c r="E176" i="7"/>
  <c r="F176" i="7"/>
  <c r="B177" i="7"/>
  <c r="C177" i="7"/>
  <c r="D177" i="7"/>
  <c r="E177" i="7"/>
  <c r="F177" i="7"/>
  <c r="B178" i="7"/>
  <c r="C178" i="7"/>
  <c r="D178" i="7"/>
  <c r="E178" i="7"/>
  <c r="F178" i="7"/>
  <c r="B179" i="7"/>
  <c r="C179" i="7"/>
  <c r="D179" i="7"/>
  <c r="E179" i="7"/>
  <c r="F179" i="7"/>
  <c r="B180" i="7"/>
  <c r="C180" i="7"/>
  <c r="D180" i="7"/>
  <c r="E180" i="7"/>
  <c r="F180" i="7"/>
  <c r="B181" i="7"/>
  <c r="C181" i="7"/>
  <c r="D181" i="7"/>
  <c r="E181" i="7"/>
  <c r="F181" i="7"/>
  <c r="B182" i="7"/>
  <c r="C182" i="7"/>
  <c r="D182" i="7"/>
  <c r="E182" i="7"/>
  <c r="F182" i="7"/>
  <c r="B183" i="7"/>
  <c r="C183" i="7"/>
  <c r="D183" i="7"/>
  <c r="E183" i="7"/>
  <c r="F183" i="7"/>
  <c r="B184" i="7"/>
  <c r="C184" i="7"/>
  <c r="D184" i="7"/>
  <c r="E184" i="7"/>
  <c r="F184" i="7"/>
  <c r="B185" i="7"/>
  <c r="C185" i="7"/>
  <c r="D185" i="7"/>
  <c r="E185" i="7"/>
  <c r="F185" i="7"/>
  <c r="B186" i="7"/>
  <c r="C186" i="7"/>
  <c r="D186" i="7"/>
  <c r="E186" i="7"/>
  <c r="F186" i="7"/>
  <c r="B187" i="7"/>
  <c r="C187" i="7"/>
  <c r="D187" i="7"/>
  <c r="E187" i="7"/>
  <c r="F187" i="7"/>
  <c r="B188" i="7"/>
  <c r="C188" i="7"/>
  <c r="D188" i="7"/>
  <c r="E188" i="7"/>
  <c r="F188" i="7"/>
  <c r="B189" i="7"/>
  <c r="C189" i="7"/>
  <c r="D189" i="7"/>
  <c r="E189" i="7"/>
  <c r="F189" i="7"/>
  <c r="B190" i="7"/>
  <c r="C190" i="7"/>
  <c r="D190" i="7"/>
  <c r="E190" i="7"/>
  <c r="F190" i="7"/>
  <c r="B191" i="7"/>
  <c r="C191" i="7"/>
  <c r="D191" i="7"/>
  <c r="E191" i="7"/>
  <c r="F191" i="7"/>
  <c r="B192" i="7"/>
  <c r="C192" i="7"/>
  <c r="D192" i="7"/>
  <c r="E192" i="7"/>
  <c r="F192" i="7"/>
  <c r="B193" i="7"/>
  <c r="C193" i="7"/>
  <c r="D193" i="7"/>
  <c r="E193" i="7"/>
  <c r="F193" i="7"/>
  <c r="B194" i="7"/>
  <c r="C194" i="7"/>
  <c r="D194" i="7"/>
  <c r="E194" i="7"/>
  <c r="F194" i="7"/>
  <c r="B195" i="7"/>
  <c r="C195" i="7"/>
  <c r="D195" i="7"/>
  <c r="E195" i="7"/>
  <c r="F195" i="7"/>
  <c r="B196" i="7"/>
  <c r="C196" i="7"/>
  <c r="D196" i="7"/>
  <c r="E196" i="7"/>
  <c r="F196" i="7"/>
  <c r="B197" i="7"/>
  <c r="C197" i="7"/>
  <c r="D197" i="7"/>
  <c r="E197" i="7"/>
  <c r="F197" i="7"/>
  <c r="B198" i="7"/>
  <c r="C198" i="7"/>
  <c r="D198" i="7"/>
  <c r="E198" i="7"/>
  <c r="F198" i="7"/>
  <c r="B199" i="7"/>
  <c r="C199" i="7"/>
  <c r="D199" i="7"/>
  <c r="E199" i="7"/>
  <c r="F199" i="7"/>
  <c r="B200" i="7"/>
  <c r="C200" i="7"/>
  <c r="D200" i="7"/>
  <c r="E200" i="7"/>
  <c r="F200" i="7"/>
  <c r="B201" i="7"/>
  <c r="C201" i="7"/>
  <c r="D201" i="7"/>
  <c r="E201" i="7"/>
  <c r="F201" i="7"/>
  <c r="B202" i="7"/>
  <c r="C202" i="7"/>
  <c r="D202" i="7"/>
  <c r="E202" i="7"/>
  <c r="F202" i="7"/>
  <c r="B203" i="7"/>
  <c r="C203" i="7"/>
  <c r="D203" i="7"/>
  <c r="E203" i="7"/>
  <c r="F203" i="7"/>
  <c r="B204" i="7"/>
  <c r="C204" i="7"/>
  <c r="D204" i="7"/>
  <c r="E204" i="7"/>
  <c r="F204" i="7"/>
  <c r="B205" i="7"/>
  <c r="C205" i="7"/>
  <c r="D205" i="7"/>
  <c r="E205" i="7"/>
  <c r="F205" i="7"/>
  <c r="B206" i="7"/>
  <c r="C206" i="7"/>
  <c r="D206" i="7"/>
  <c r="E206" i="7"/>
  <c r="F206" i="7"/>
  <c r="B207" i="7"/>
  <c r="C207" i="7"/>
  <c r="D207" i="7"/>
  <c r="E207" i="7"/>
  <c r="F207" i="7"/>
  <c r="B208" i="7"/>
  <c r="C208" i="7"/>
  <c r="D208" i="7"/>
  <c r="E208" i="7"/>
  <c r="F208" i="7"/>
  <c r="B209" i="7"/>
  <c r="C209" i="7"/>
  <c r="D209" i="7"/>
  <c r="E209" i="7"/>
  <c r="F209" i="7"/>
  <c r="B210" i="7"/>
  <c r="C210" i="7"/>
  <c r="D210" i="7"/>
  <c r="E210" i="7"/>
  <c r="F210" i="7"/>
  <c r="B211" i="7"/>
  <c r="C211" i="7"/>
  <c r="D211" i="7"/>
  <c r="E211" i="7"/>
  <c r="F211" i="7"/>
  <c r="B212" i="7"/>
  <c r="C212" i="7"/>
  <c r="D212" i="7"/>
  <c r="E212" i="7"/>
  <c r="F212" i="7"/>
  <c r="B213" i="7"/>
  <c r="C213" i="7"/>
  <c r="D213" i="7"/>
  <c r="E213" i="7"/>
  <c r="F213" i="7"/>
  <c r="B214" i="7"/>
  <c r="C214" i="7"/>
  <c r="D214" i="7"/>
  <c r="E214" i="7"/>
  <c r="F214" i="7"/>
  <c r="B215" i="7"/>
  <c r="C215" i="7"/>
  <c r="D215" i="7"/>
  <c r="E215" i="7"/>
  <c r="F215" i="7"/>
  <c r="B216" i="7"/>
  <c r="C216" i="7"/>
  <c r="D216" i="7"/>
  <c r="E216" i="7"/>
  <c r="F216" i="7"/>
  <c r="B217" i="7"/>
  <c r="C217" i="7"/>
  <c r="D217" i="7"/>
  <c r="E217" i="7"/>
  <c r="F217" i="7"/>
  <c r="B218" i="7"/>
  <c r="C218" i="7"/>
  <c r="D218" i="7"/>
  <c r="E218" i="7"/>
  <c r="F218" i="7"/>
  <c r="B219" i="7"/>
  <c r="C219" i="7"/>
  <c r="D219" i="7"/>
  <c r="E219" i="7"/>
  <c r="F219" i="7"/>
  <c r="B220" i="7"/>
  <c r="C220" i="7"/>
  <c r="D220" i="7"/>
  <c r="E220" i="7"/>
  <c r="F220" i="7"/>
  <c r="B221" i="7"/>
  <c r="C221" i="7"/>
  <c r="D221" i="7"/>
  <c r="E221" i="7"/>
  <c r="F221" i="7"/>
  <c r="B222" i="7"/>
  <c r="C222" i="7"/>
  <c r="D222" i="7"/>
  <c r="E222" i="7"/>
  <c r="F222" i="7"/>
  <c r="B223" i="7"/>
  <c r="C223" i="7"/>
  <c r="D223" i="7"/>
  <c r="E223" i="7"/>
  <c r="F223" i="7"/>
  <c r="B224" i="7"/>
  <c r="C224" i="7"/>
  <c r="D224" i="7"/>
  <c r="E224" i="7"/>
  <c r="F224" i="7"/>
  <c r="B225" i="7"/>
  <c r="C225" i="7"/>
  <c r="D225" i="7"/>
  <c r="E225" i="7"/>
  <c r="F225" i="7"/>
  <c r="B226" i="7"/>
  <c r="C226" i="7"/>
  <c r="D226" i="7"/>
  <c r="E226" i="7"/>
  <c r="F226" i="7"/>
  <c r="B227" i="7"/>
  <c r="C227" i="7"/>
  <c r="D227" i="7"/>
  <c r="E227" i="7"/>
  <c r="F227" i="7"/>
  <c r="B228" i="7"/>
  <c r="C228" i="7"/>
  <c r="D228" i="7"/>
  <c r="E228" i="7"/>
  <c r="F228" i="7"/>
  <c r="B229" i="7"/>
  <c r="C229" i="7"/>
  <c r="D229" i="7"/>
  <c r="E229" i="7"/>
  <c r="F229" i="7"/>
  <c r="B230" i="7"/>
  <c r="C230" i="7"/>
  <c r="D230" i="7"/>
  <c r="E230" i="7"/>
  <c r="F230" i="7"/>
  <c r="B231" i="7"/>
  <c r="C231" i="7"/>
  <c r="D231" i="7"/>
  <c r="E231" i="7"/>
  <c r="F231" i="7"/>
  <c r="B232" i="7"/>
  <c r="C232" i="7"/>
  <c r="D232" i="7"/>
  <c r="E232" i="7"/>
  <c r="F232" i="7"/>
  <c r="B233" i="7"/>
  <c r="C233" i="7"/>
  <c r="D233" i="7"/>
  <c r="E233" i="7"/>
  <c r="F233" i="7"/>
  <c r="B234" i="7"/>
  <c r="C234" i="7"/>
  <c r="D234" i="7"/>
  <c r="E234" i="7"/>
  <c r="F234" i="7"/>
  <c r="B235" i="7"/>
  <c r="C235" i="7"/>
  <c r="D235" i="7"/>
  <c r="E235" i="7"/>
  <c r="F235" i="7"/>
  <c r="B236" i="7"/>
  <c r="C236" i="7"/>
  <c r="D236" i="7"/>
  <c r="E236" i="7"/>
  <c r="F236" i="7"/>
  <c r="B237" i="7"/>
  <c r="C237" i="7"/>
  <c r="D237" i="7"/>
  <c r="E237" i="7"/>
  <c r="F237" i="7"/>
  <c r="B238" i="7"/>
  <c r="C238" i="7"/>
  <c r="D238" i="7"/>
  <c r="E238" i="7"/>
  <c r="F238" i="7"/>
  <c r="B239" i="7"/>
  <c r="C239" i="7"/>
  <c r="D239" i="7"/>
  <c r="E239" i="7"/>
  <c r="F239" i="7"/>
  <c r="B240" i="7"/>
  <c r="C240" i="7"/>
  <c r="D240" i="7"/>
  <c r="E240" i="7"/>
  <c r="F240" i="7"/>
  <c r="B241" i="7"/>
  <c r="C241" i="7"/>
  <c r="D241" i="7"/>
  <c r="E241" i="7"/>
  <c r="F241" i="7"/>
  <c r="B242" i="7"/>
  <c r="C242" i="7"/>
  <c r="D242" i="7"/>
  <c r="E242" i="7"/>
  <c r="F242" i="7"/>
  <c r="B243" i="7"/>
  <c r="C243" i="7"/>
  <c r="D243" i="7"/>
  <c r="E243" i="7"/>
  <c r="F243" i="7"/>
  <c r="B244" i="7"/>
  <c r="C244" i="7"/>
  <c r="D244" i="7"/>
  <c r="E244" i="7"/>
  <c r="F244" i="7"/>
  <c r="B245" i="7"/>
  <c r="C245" i="7"/>
  <c r="D245" i="7"/>
  <c r="E245" i="7"/>
  <c r="F245" i="7"/>
  <c r="B246" i="7"/>
  <c r="C246" i="7"/>
  <c r="D246" i="7"/>
  <c r="E246" i="7"/>
  <c r="F246" i="7"/>
  <c r="B247" i="7"/>
  <c r="C247" i="7"/>
  <c r="D247" i="7"/>
  <c r="E247" i="7"/>
  <c r="F247" i="7"/>
  <c r="B248" i="7"/>
  <c r="C248" i="7"/>
  <c r="D248" i="7"/>
  <c r="E248" i="7"/>
  <c r="F248" i="7"/>
  <c r="B249" i="7"/>
  <c r="C249" i="7"/>
  <c r="D249" i="7"/>
  <c r="E249" i="7"/>
  <c r="F249" i="7"/>
  <c r="B250" i="7"/>
  <c r="C250" i="7"/>
  <c r="D250" i="7"/>
  <c r="E250" i="7"/>
  <c r="F250" i="7"/>
  <c r="B251" i="7"/>
  <c r="C251" i="7"/>
  <c r="D251" i="7"/>
  <c r="E251" i="7"/>
  <c r="F251" i="7"/>
  <c r="B252" i="7"/>
  <c r="C252" i="7"/>
  <c r="D252" i="7"/>
  <c r="E252" i="7"/>
  <c r="F252" i="7"/>
  <c r="B253" i="7"/>
  <c r="C253" i="7"/>
  <c r="D253" i="7"/>
  <c r="E253" i="7"/>
  <c r="F253" i="7"/>
  <c r="B254" i="7"/>
  <c r="C254" i="7"/>
  <c r="D254" i="7"/>
  <c r="E254" i="7"/>
  <c r="F254" i="7"/>
  <c r="B255" i="7"/>
  <c r="C255" i="7"/>
  <c r="D255" i="7"/>
  <c r="E255" i="7"/>
  <c r="F255" i="7"/>
  <c r="B256" i="7"/>
  <c r="C256" i="7"/>
  <c r="D256" i="7"/>
  <c r="E256" i="7"/>
  <c r="F256" i="7"/>
  <c r="B257" i="7"/>
  <c r="C257" i="7"/>
  <c r="D257" i="7"/>
  <c r="E257" i="7"/>
  <c r="F257" i="7"/>
  <c r="B258" i="7"/>
  <c r="C258" i="7"/>
  <c r="D258" i="7"/>
  <c r="E258" i="7"/>
  <c r="F258" i="7"/>
  <c r="B259" i="7"/>
  <c r="C259" i="7"/>
  <c r="D259" i="7"/>
  <c r="E259" i="7"/>
  <c r="F259" i="7"/>
  <c r="B260" i="7"/>
  <c r="C260" i="7"/>
  <c r="D260" i="7"/>
  <c r="E260" i="7"/>
  <c r="F260" i="7"/>
  <c r="B261" i="7"/>
  <c r="C261" i="7"/>
  <c r="D261" i="7"/>
  <c r="E261" i="7"/>
  <c r="F261" i="7"/>
  <c r="B262" i="7"/>
  <c r="C262" i="7"/>
  <c r="D262" i="7"/>
  <c r="E262" i="7"/>
  <c r="F262" i="7"/>
  <c r="B263" i="7"/>
  <c r="C263" i="7"/>
  <c r="D263" i="7"/>
  <c r="E263" i="7"/>
  <c r="F263" i="7"/>
  <c r="B264" i="7"/>
  <c r="C264" i="7"/>
  <c r="D264" i="7"/>
  <c r="E264" i="7"/>
  <c r="F264" i="7"/>
  <c r="B265" i="7"/>
  <c r="C265" i="7"/>
  <c r="D265" i="7"/>
  <c r="E265" i="7"/>
  <c r="F265" i="7"/>
  <c r="B266" i="7"/>
  <c r="C266" i="7"/>
  <c r="D266" i="7"/>
  <c r="E266" i="7"/>
  <c r="F266" i="7"/>
  <c r="B267" i="7"/>
  <c r="C267" i="7"/>
  <c r="D267" i="7"/>
  <c r="E267" i="7"/>
  <c r="F267" i="7"/>
  <c r="B268" i="7"/>
  <c r="C268" i="7"/>
  <c r="D268" i="7"/>
  <c r="E268" i="7"/>
  <c r="F268" i="7"/>
  <c r="B269" i="7"/>
  <c r="C269" i="7"/>
  <c r="D269" i="7"/>
  <c r="E269" i="7"/>
  <c r="F269" i="7"/>
  <c r="B270" i="7"/>
  <c r="C270" i="7"/>
  <c r="D270" i="7"/>
  <c r="E270" i="7"/>
  <c r="F270" i="7"/>
  <c r="B271" i="7"/>
  <c r="C271" i="7"/>
  <c r="D271" i="7"/>
  <c r="E271" i="7"/>
  <c r="F271" i="7"/>
  <c r="B272" i="7"/>
  <c r="C272" i="7"/>
  <c r="D272" i="7"/>
  <c r="E272" i="7"/>
  <c r="F272" i="7"/>
  <c r="B273" i="7"/>
  <c r="C273" i="7"/>
  <c r="D273" i="7"/>
  <c r="E273" i="7"/>
  <c r="F273" i="7"/>
  <c r="B274" i="7"/>
  <c r="C274" i="7"/>
  <c r="D274" i="7"/>
  <c r="E274" i="7"/>
  <c r="F274" i="7"/>
  <c r="B275" i="7"/>
  <c r="C275" i="7"/>
  <c r="D275" i="7"/>
  <c r="E275" i="7"/>
  <c r="F275" i="7"/>
  <c r="B276" i="7"/>
  <c r="C276" i="7"/>
  <c r="D276" i="7"/>
  <c r="E276" i="7"/>
  <c r="F276" i="7"/>
  <c r="B277" i="7"/>
  <c r="C277" i="7"/>
  <c r="D277" i="7"/>
  <c r="E277" i="7"/>
  <c r="F277" i="7"/>
  <c r="B278" i="7"/>
  <c r="C278" i="7"/>
  <c r="D278" i="7"/>
  <c r="E278" i="7"/>
  <c r="F278" i="7"/>
  <c r="B279" i="7"/>
  <c r="C279" i="7"/>
  <c r="D279" i="7"/>
  <c r="E279" i="7"/>
  <c r="F279" i="7"/>
  <c r="B280" i="7"/>
  <c r="C280" i="7"/>
  <c r="D280" i="7"/>
  <c r="E280" i="7"/>
  <c r="F280" i="7"/>
  <c r="B281" i="7"/>
  <c r="C281" i="7"/>
  <c r="D281" i="7"/>
  <c r="E281" i="7"/>
  <c r="F281" i="7"/>
  <c r="B282" i="7"/>
  <c r="C282" i="7"/>
  <c r="D282" i="7"/>
  <c r="E282" i="7"/>
  <c r="F282" i="7"/>
  <c r="B283" i="7"/>
  <c r="C283" i="7"/>
  <c r="D283" i="7"/>
  <c r="E283" i="7"/>
  <c r="F283" i="7"/>
  <c r="B284" i="7"/>
  <c r="C284" i="7"/>
  <c r="D284" i="7"/>
  <c r="E284" i="7"/>
  <c r="F284" i="7"/>
  <c r="B285" i="7"/>
  <c r="C285" i="7"/>
  <c r="D285" i="7"/>
  <c r="E285" i="7"/>
  <c r="F285" i="7"/>
  <c r="B286" i="7"/>
  <c r="C286" i="7"/>
  <c r="D286" i="7"/>
  <c r="E286" i="7"/>
  <c r="F286" i="7"/>
  <c r="B287" i="7"/>
  <c r="C287" i="7"/>
  <c r="D287" i="7"/>
  <c r="E287" i="7"/>
  <c r="F287" i="7"/>
  <c r="B288" i="7"/>
  <c r="C288" i="7"/>
  <c r="D288" i="7"/>
  <c r="E288" i="7"/>
  <c r="F288" i="7"/>
  <c r="B289" i="7"/>
  <c r="C289" i="7"/>
  <c r="D289" i="7"/>
  <c r="E289" i="7"/>
  <c r="F289" i="7"/>
  <c r="B290" i="7"/>
  <c r="C290" i="7"/>
  <c r="D290" i="7"/>
  <c r="E290" i="7"/>
  <c r="F290" i="7"/>
  <c r="B291" i="7"/>
  <c r="C291" i="7"/>
  <c r="D291" i="7"/>
  <c r="E291" i="7"/>
  <c r="F291" i="7"/>
  <c r="B292" i="7"/>
  <c r="C292" i="7"/>
  <c r="D292" i="7"/>
  <c r="E292" i="7"/>
  <c r="F292" i="7"/>
  <c r="B293" i="7"/>
  <c r="C293" i="7"/>
  <c r="D293" i="7"/>
  <c r="E293" i="7"/>
  <c r="F293" i="7"/>
  <c r="B294" i="7"/>
  <c r="C294" i="7"/>
  <c r="D294" i="7"/>
  <c r="E294" i="7"/>
  <c r="F294" i="7"/>
  <c r="B295" i="7"/>
  <c r="C295" i="7"/>
  <c r="D295" i="7"/>
  <c r="E295" i="7"/>
  <c r="F295" i="7"/>
  <c r="B296" i="7"/>
  <c r="C296" i="7"/>
  <c r="D296" i="7"/>
  <c r="E296" i="7"/>
  <c r="F296" i="7"/>
  <c r="B297" i="7"/>
  <c r="C297" i="7"/>
  <c r="D297" i="7"/>
  <c r="E297" i="7"/>
  <c r="F297" i="7"/>
  <c r="B298" i="7"/>
  <c r="C298" i="7"/>
  <c r="D298" i="7"/>
  <c r="E298" i="7"/>
  <c r="F298" i="7"/>
  <c r="B299" i="7"/>
  <c r="C299" i="7"/>
  <c r="D299" i="7"/>
  <c r="E299" i="7"/>
  <c r="F299" i="7"/>
  <c r="B300" i="7"/>
  <c r="C300" i="7"/>
  <c r="D300" i="7"/>
  <c r="E300" i="7"/>
  <c r="F300" i="7"/>
  <c r="B301" i="7"/>
  <c r="C301" i="7"/>
  <c r="D301" i="7"/>
  <c r="E301" i="7"/>
  <c r="F301" i="7"/>
  <c r="B302" i="7"/>
  <c r="C302" i="7"/>
  <c r="D302" i="7"/>
  <c r="E302" i="7"/>
  <c r="F302" i="7"/>
  <c r="B303" i="7"/>
  <c r="C303" i="7"/>
  <c r="D303" i="7"/>
  <c r="E303" i="7"/>
  <c r="F303" i="7"/>
  <c r="B304" i="7"/>
  <c r="C304" i="7"/>
  <c r="D304" i="7"/>
  <c r="E304" i="7"/>
  <c r="F304" i="7"/>
  <c r="B305" i="7"/>
  <c r="C305" i="7"/>
  <c r="D305" i="7"/>
  <c r="E305" i="7"/>
  <c r="F305" i="7"/>
  <c r="B306" i="7"/>
  <c r="C306" i="7"/>
  <c r="D306" i="7"/>
  <c r="E306" i="7"/>
  <c r="F306" i="7"/>
  <c r="B307" i="7"/>
  <c r="C307" i="7"/>
  <c r="D307" i="7"/>
  <c r="E307" i="7"/>
  <c r="F307" i="7"/>
  <c r="B308" i="7"/>
  <c r="C308" i="7"/>
  <c r="D308" i="7"/>
  <c r="E308" i="7"/>
  <c r="F308" i="7"/>
  <c r="B309" i="7"/>
  <c r="C309" i="7"/>
  <c r="D309" i="7"/>
  <c r="E309" i="7"/>
  <c r="F309" i="7"/>
  <c r="B310" i="7"/>
  <c r="C310" i="7"/>
  <c r="D310" i="7"/>
  <c r="E310" i="7"/>
  <c r="F310" i="7"/>
  <c r="B311" i="7"/>
  <c r="C311" i="7"/>
  <c r="D311" i="7"/>
  <c r="E311" i="7"/>
  <c r="F311" i="7"/>
  <c r="B312" i="7"/>
  <c r="C312" i="7"/>
  <c r="D312" i="7"/>
  <c r="E312" i="7"/>
  <c r="F312" i="7"/>
  <c r="B313" i="7"/>
  <c r="C313" i="7"/>
  <c r="D313" i="7"/>
  <c r="E313" i="7"/>
  <c r="F313" i="7"/>
  <c r="B314" i="7"/>
  <c r="C314" i="7"/>
  <c r="D314" i="7"/>
  <c r="E314" i="7"/>
  <c r="F314" i="7"/>
  <c r="B315" i="7"/>
  <c r="C315" i="7"/>
  <c r="D315" i="7"/>
  <c r="E315" i="7"/>
  <c r="F315" i="7"/>
  <c r="B316" i="7"/>
  <c r="C316" i="7"/>
  <c r="D316" i="7"/>
  <c r="E316" i="7"/>
  <c r="F316" i="7"/>
  <c r="B317" i="7"/>
  <c r="C317" i="7"/>
  <c r="D317" i="7"/>
  <c r="E317" i="7"/>
  <c r="F317" i="7"/>
  <c r="B318" i="7"/>
  <c r="C318" i="7"/>
  <c r="D318" i="7"/>
  <c r="E318" i="7"/>
  <c r="F318" i="7"/>
  <c r="B319" i="7"/>
  <c r="C319" i="7"/>
  <c r="D319" i="7"/>
  <c r="E319" i="7"/>
  <c r="F319" i="7"/>
  <c r="B320" i="7"/>
  <c r="C320" i="7"/>
  <c r="D320" i="7"/>
  <c r="E320" i="7"/>
  <c r="F320" i="7"/>
  <c r="B321" i="7"/>
  <c r="C321" i="7"/>
  <c r="D321" i="7"/>
  <c r="E321" i="7"/>
  <c r="F321" i="7"/>
  <c r="B322" i="7"/>
  <c r="C322" i="7"/>
  <c r="D322" i="7"/>
  <c r="E322" i="7"/>
  <c r="F322" i="7"/>
  <c r="B323" i="7"/>
  <c r="C323" i="7"/>
  <c r="D323" i="7"/>
  <c r="E323" i="7"/>
  <c r="F323" i="7"/>
  <c r="A38" i="7"/>
  <c r="P38" i="7"/>
  <c r="A39" i="7"/>
  <c r="P39" i="7"/>
  <c r="A40" i="7"/>
  <c r="P40" i="7"/>
  <c r="A41" i="7"/>
  <c r="P41" i="7"/>
  <c r="A42" i="7"/>
  <c r="P42" i="7"/>
  <c r="A43" i="7"/>
  <c r="P43" i="7"/>
  <c r="A44" i="7"/>
  <c r="P44" i="7"/>
  <c r="A45" i="7"/>
  <c r="P45" i="7"/>
  <c r="A46" i="7"/>
  <c r="P46" i="7"/>
  <c r="A47" i="7"/>
  <c r="P47" i="7"/>
  <c r="A48" i="7"/>
  <c r="P48" i="7"/>
  <c r="A49" i="7"/>
  <c r="P49" i="7"/>
  <c r="A50" i="7"/>
  <c r="P50" i="7"/>
  <c r="A51" i="7"/>
  <c r="P51" i="7"/>
  <c r="A52" i="7"/>
  <c r="P52" i="7"/>
  <c r="A53" i="7"/>
  <c r="P53" i="7"/>
  <c r="A54" i="7"/>
  <c r="P54" i="7"/>
  <c r="A55" i="7"/>
  <c r="P55" i="7"/>
  <c r="A56" i="7"/>
  <c r="P56" i="7"/>
  <c r="A57" i="7"/>
  <c r="P57" i="7"/>
  <c r="A58" i="7"/>
  <c r="P58" i="7"/>
  <c r="A59" i="7"/>
  <c r="P59" i="7"/>
  <c r="A60" i="7"/>
  <c r="P60" i="7"/>
  <c r="A61" i="7"/>
  <c r="P61" i="7"/>
  <c r="A62" i="7"/>
  <c r="P62" i="7"/>
  <c r="A63" i="7"/>
  <c r="P63" i="7"/>
  <c r="A64" i="7"/>
  <c r="P64" i="7"/>
  <c r="A65" i="7"/>
  <c r="P65" i="7"/>
  <c r="A66" i="7"/>
  <c r="P66" i="7"/>
  <c r="A67" i="7"/>
  <c r="P67" i="7"/>
  <c r="A68" i="7"/>
  <c r="P68" i="7"/>
  <c r="A69" i="7"/>
  <c r="P69" i="7"/>
  <c r="A70" i="7"/>
  <c r="P70" i="7"/>
  <c r="A71" i="7"/>
  <c r="P71" i="7"/>
  <c r="A72" i="7"/>
  <c r="P72" i="7"/>
  <c r="A73" i="7"/>
  <c r="P73" i="7"/>
  <c r="A74" i="7"/>
  <c r="P74" i="7"/>
  <c r="A75" i="7"/>
  <c r="P75" i="7"/>
  <c r="A76" i="7"/>
  <c r="P76" i="7"/>
  <c r="A77" i="7"/>
  <c r="P77" i="7"/>
  <c r="A78" i="7"/>
  <c r="P78" i="7"/>
  <c r="A79" i="7"/>
  <c r="P79" i="7"/>
  <c r="A80" i="7"/>
  <c r="P80" i="7"/>
  <c r="A81" i="7"/>
  <c r="P81" i="7"/>
  <c r="A82" i="7"/>
  <c r="P82" i="7"/>
  <c r="A83" i="7"/>
  <c r="P83" i="7"/>
  <c r="A84" i="7"/>
  <c r="P84" i="7"/>
  <c r="A85" i="7"/>
  <c r="P85" i="7"/>
  <c r="A86" i="7"/>
  <c r="P86" i="7"/>
  <c r="A87" i="7"/>
  <c r="P87" i="7"/>
  <c r="A88" i="7"/>
  <c r="P88" i="7"/>
  <c r="A89" i="7"/>
  <c r="P89" i="7"/>
  <c r="A90" i="7"/>
  <c r="P90" i="7"/>
  <c r="A91" i="7"/>
  <c r="P91" i="7"/>
  <c r="A92" i="7"/>
  <c r="P92" i="7"/>
  <c r="A93" i="7"/>
  <c r="P93" i="7"/>
  <c r="A94" i="7"/>
  <c r="P94" i="7"/>
  <c r="A95" i="7"/>
  <c r="P95" i="7"/>
  <c r="A96" i="7"/>
  <c r="P96" i="7"/>
  <c r="A97" i="7"/>
  <c r="P97" i="7"/>
  <c r="A98" i="7"/>
  <c r="P98" i="7"/>
  <c r="A99" i="7"/>
  <c r="P99" i="7"/>
  <c r="A100" i="7"/>
  <c r="P100" i="7"/>
  <c r="A101" i="7"/>
  <c r="P101" i="7"/>
  <c r="A102" i="7"/>
  <c r="P102" i="7"/>
  <c r="A103" i="7"/>
  <c r="P103" i="7"/>
  <c r="A104" i="7"/>
  <c r="P104" i="7"/>
  <c r="A105" i="7"/>
  <c r="P105" i="7"/>
  <c r="A106" i="7"/>
  <c r="P106" i="7"/>
  <c r="A107" i="7"/>
  <c r="P107" i="7"/>
  <c r="A108" i="7"/>
  <c r="P108" i="7"/>
  <c r="A109" i="7"/>
  <c r="P109" i="7"/>
  <c r="A110" i="7"/>
  <c r="P110" i="7"/>
  <c r="A111" i="7"/>
  <c r="P111" i="7"/>
  <c r="A112" i="7"/>
  <c r="P112" i="7"/>
  <c r="A113" i="7"/>
  <c r="P113" i="7"/>
  <c r="A114" i="7"/>
  <c r="P114" i="7"/>
  <c r="A115" i="7"/>
  <c r="P115" i="7"/>
  <c r="A116" i="7"/>
  <c r="P116" i="7"/>
  <c r="A117" i="7"/>
  <c r="P117" i="7"/>
  <c r="A118" i="7"/>
  <c r="P118" i="7"/>
  <c r="A119" i="7"/>
  <c r="P119" i="7"/>
  <c r="A120" i="7"/>
  <c r="P120" i="7"/>
  <c r="A121" i="7"/>
  <c r="P121" i="7"/>
  <c r="A122" i="7"/>
  <c r="P122" i="7"/>
  <c r="A123" i="7"/>
  <c r="P123" i="7"/>
  <c r="A124" i="7"/>
  <c r="P124" i="7"/>
  <c r="A125" i="7"/>
  <c r="P125" i="7"/>
  <c r="A126" i="7"/>
  <c r="P126" i="7"/>
  <c r="A127" i="7"/>
  <c r="P127" i="7"/>
  <c r="A128" i="7"/>
  <c r="P128" i="7"/>
  <c r="A129" i="7"/>
  <c r="P129" i="7"/>
  <c r="A130" i="7"/>
  <c r="P130" i="7"/>
  <c r="A131" i="7"/>
  <c r="P131" i="7"/>
  <c r="A132" i="7"/>
  <c r="P132" i="7"/>
  <c r="A133" i="7"/>
  <c r="P133" i="7"/>
  <c r="A134" i="7"/>
  <c r="P134" i="7"/>
  <c r="A135" i="7"/>
  <c r="P135" i="7"/>
  <c r="A136" i="7"/>
  <c r="P136" i="7"/>
  <c r="A137" i="7"/>
  <c r="P137" i="7"/>
  <c r="A138" i="7"/>
  <c r="P138" i="7"/>
  <c r="A139" i="7"/>
  <c r="P139" i="7"/>
  <c r="A140" i="7"/>
  <c r="P140" i="7"/>
  <c r="A141" i="7"/>
  <c r="P141" i="7"/>
  <c r="A142" i="7"/>
  <c r="P142" i="7"/>
  <c r="A143" i="7"/>
  <c r="P143" i="7"/>
  <c r="A144" i="7"/>
  <c r="P144" i="7"/>
  <c r="A145" i="7"/>
  <c r="P145" i="7"/>
  <c r="A146" i="7"/>
  <c r="P146" i="7"/>
  <c r="A147" i="7"/>
  <c r="P147" i="7"/>
  <c r="A148" i="7"/>
  <c r="P148" i="7"/>
  <c r="A149" i="7"/>
  <c r="P149" i="7"/>
  <c r="A150" i="7"/>
  <c r="P150" i="7"/>
  <c r="A151" i="7"/>
  <c r="P151" i="7"/>
  <c r="A152" i="7"/>
  <c r="P152" i="7"/>
  <c r="A153" i="7"/>
  <c r="P153" i="7"/>
  <c r="A154" i="7"/>
  <c r="P154" i="7"/>
  <c r="A155" i="7"/>
  <c r="P155" i="7"/>
  <c r="A156" i="7"/>
  <c r="P156" i="7"/>
  <c r="A157" i="7"/>
  <c r="P157" i="7"/>
  <c r="A158" i="7"/>
  <c r="P158" i="7"/>
  <c r="A159" i="7"/>
  <c r="P159" i="7"/>
  <c r="A160" i="7"/>
  <c r="P160" i="7"/>
  <c r="A161" i="7"/>
  <c r="P161" i="7"/>
  <c r="A162" i="7"/>
  <c r="P162" i="7"/>
  <c r="A163" i="7"/>
  <c r="P163" i="7"/>
  <c r="A164" i="7"/>
  <c r="P164" i="7"/>
  <c r="A165" i="7"/>
  <c r="P165" i="7"/>
  <c r="A166" i="7"/>
  <c r="P166" i="7"/>
  <c r="A167" i="7"/>
  <c r="P167" i="7"/>
  <c r="A168" i="7"/>
  <c r="P168" i="7"/>
  <c r="A169" i="7"/>
  <c r="P169" i="7"/>
  <c r="A170" i="7"/>
  <c r="P170" i="7"/>
  <c r="A171" i="7"/>
  <c r="P171" i="7"/>
  <c r="A172" i="7"/>
  <c r="P172" i="7"/>
  <c r="A173" i="7"/>
  <c r="P173" i="7"/>
  <c r="A174" i="7"/>
  <c r="P174" i="7"/>
  <c r="A175" i="7"/>
  <c r="P175" i="7"/>
  <c r="A176" i="7"/>
  <c r="P176" i="7"/>
  <c r="A177" i="7"/>
  <c r="P177" i="7"/>
  <c r="A178" i="7"/>
  <c r="P178" i="7"/>
  <c r="A179" i="7"/>
  <c r="P179" i="7"/>
  <c r="A180" i="7"/>
  <c r="P180" i="7"/>
  <c r="A181" i="7"/>
  <c r="P181" i="7"/>
  <c r="A182" i="7"/>
  <c r="P182" i="7"/>
  <c r="A183" i="7"/>
  <c r="P183" i="7"/>
  <c r="A184" i="7"/>
  <c r="P184" i="7"/>
  <c r="A185" i="7"/>
  <c r="P185" i="7"/>
  <c r="A186" i="7"/>
  <c r="P186" i="7"/>
  <c r="A187" i="7"/>
  <c r="P187" i="7"/>
  <c r="A188" i="7"/>
  <c r="P188" i="7"/>
  <c r="A189" i="7"/>
  <c r="P189" i="7"/>
  <c r="A190" i="7"/>
  <c r="P190" i="7"/>
  <c r="A191" i="7"/>
  <c r="P191" i="7"/>
  <c r="A192" i="7"/>
  <c r="P192" i="7"/>
  <c r="A193" i="7"/>
  <c r="P193" i="7"/>
  <c r="A194" i="7"/>
  <c r="P194" i="7"/>
  <c r="A195" i="7"/>
  <c r="P195" i="7"/>
  <c r="A196" i="7"/>
  <c r="P196" i="7"/>
  <c r="A197" i="7"/>
  <c r="P197" i="7"/>
  <c r="A198" i="7"/>
  <c r="P198" i="7"/>
  <c r="A199" i="7"/>
  <c r="P199" i="7"/>
  <c r="A200" i="7"/>
  <c r="P200" i="7"/>
  <c r="A201" i="7"/>
  <c r="P201" i="7"/>
  <c r="A202" i="7"/>
  <c r="P202" i="7"/>
  <c r="A203" i="7"/>
  <c r="P203" i="7"/>
  <c r="A204" i="7"/>
  <c r="P204" i="7"/>
  <c r="A205" i="7"/>
  <c r="P205" i="7"/>
  <c r="A206" i="7"/>
  <c r="P206" i="7"/>
  <c r="A207" i="7"/>
  <c r="P207" i="7"/>
  <c r="A208" i="7"/>
  <c r="P208" i="7"/>
  <c r="A209" i="7"/>
  <c r="P209" i="7"/>
  <c r="A210" i="7"/>
  <c r="P210" i="7"/>
  <c r="A211" i="7"/>
  <c r="P211" i="7"/>
  <c r="A212" i="7"/>
  <c r="P212" i="7"/>
  <c r="A213" i="7"/>
  <c r="P213" i="7"/>
  <c r="A214" i="7"/>
  <c r="P214" i="7"/>
  <c r="A215" i="7"/>
  <c r="P215" i="7"/>
  <c r="A216" i="7"/>
  <c r="P216" i="7"/>
  <c r="A217" i="7"/>
  <c r="P217" i="7"/>
  <c r="A218" i="7"/>
  <c r="P218" i="7"/>
  <c r="A219" i="7"/>
  <c r="P219" i="7"/>
  <c r="A220" i="7"/>
  <c r="P220" i="7"/>
  <c r="A221" i="7"/>
  <c r="P221" i="7"/>
  <c r="A222" i="7"/>
  <c r="P222" i="7"/>
  <c r="A223" i="7"/>
  <c r="P223" i="7"/>
  <c r="A224" i="7"/>
  <c r="P224" i="7"/>
  <c r="A225" i="7"/>
  <c r="P225" i="7"/>
  <c r="A226" i="7"/>
  <c r="P226" i="7"/>
  <c r="A227" i="7"/>
  <c r="P227" i="7"/>
  <c r="A228" i="7"/>
  <c r="P228" i="7"/>
  <c r="A229" i="7"/>
  <c r="P229" i="7"/>
  <c r="A230" i="7"/>
  <c r="P230" i="7"/>
  <c r="A231" i="7"/>
  <c r="P231" i="7"/>
  <c r="A232" i="7"/>
  <c r="P232" i="7"/>
  <c r="A233" i="7"/>
  <c r="P233" i="7"/>
  <c r="A234" i="7"/>
  <c r="P234" i="7"/>
  <c r="A235" i="7"/>
  <c r="P235" i="7"/>
  <c r="A236" i="7"/>
  <c r="P236" i="7"/>
  <c r="A237" i="7"/>
  <c r="P237" i="7"/>
  <c r="A238" i="7"/>
  <c r="P238" i="7"/>
  <c r="A239" i="7"/>
  <c r="P239" i="7"/>
  <c r="A240" i="7"/>
  <c r="P240" i="7"/>
  <c r="A241" i="7"/>
  <c r="P241" i="7"/>
  <c r="A242" i="7"/>
  <c r="P242" i="7"/>
  <c r="A243" i="7"/>
  <c r="P243" i="7"/>
  <c r="A244" i="7"/>
  <c r="P244" i="7"/>
  <c r="A245" i="7"/>
  <c r="P245" i="7"/>
  <c r="A246" i="7"/>
  <c r="P246" i="7"/>
  <c r="A247" i="7"/>
  <c r="P247" i="7"/>
  <c r="A248" i="7"/>
  <c r="P248" i="7"/>
  <c r="A249" i="7"/>
  <c r="P249" i="7"/>
  <c r="A250" i="7"/>
  <c r="P250" i="7"/>
  <c r="A251" i="7"/>
  <c r="P251" i="7"/>
  <c r="A252" i="7"/>
  <c r="P252" i="7"/>
  <c r="A253" i="7"/>
  <c r="P253" i="7"/>
  <c r="A254" i="7"/>
  <c r="P254" i="7"/>
  <c r="A255" i="7"/>
  <c r="P255" i="7"/>
  <c r="A256" i="7"/>
  <c r="P256" i="7"/>
  <c r="A257" i="7"/>
  <c r="P257" i="7"/>
  <c r="A258" i="7"/>
  <c r="P258" i="7"/>
  <c r="A259" i="7"/>
  <c r="P259" i="7"/>
  <c r="A260" i="7"/>
  <c r="P260" i="7"/>
  <c r="A261" i="7"/>
  <c r="P261" i="7"/>
  <c r="A262" i="7"/>
  <c r="P262" i="7"/>
  <c r="A263" i="7"/>
  <c r="P263" i="7"/>
  <c r="A264" i="7"/>
  <c r="P264" i="7"/>
  <c r="A265" i="7"/>
  <c r="P265" i="7"/>
  <c r="A266" i="7"/>
  <c r="P266" i="7"/>
  <c r="A267" i="7"/>
  <c r="P267" i="7"/>
  <c r="A268" i="7"/>
  <c r="P268" i="7"/>
  <c r="A269" i="7"/>
  <c r="P269" i="7"/>
  <c r="A270" i="7"/>
  <c r="P270" i="7"/>
  <c r="A271" i="7"/>
  <c r="P271" i="7"/>
  <c r="A272" i="7"/>
  <c r="P272" i="7"/>
  <c r="A273" i="7"/>
  <c r="P273" i="7"/>
  <c r="A274" i="7"/>
  <c r="P274" i="7"/>
  <c r="A275" i="7"/>
  <c r="P275" i="7"/>
  <c r="A276" i="7"/>
  <c r="P276" i="7"/>
  <c r="A277" i="7"/>
  <c r="P277" i="7"/>
  <c r="A278" i="7"/>
  <c r="P278" i="7"/>
  <c r="A279" i="7"/>
  <c r="P279" i="7"/>
  <c r="A280" i="7"/>
  <c r="P280" i="7"/>
  <c r="A281" i="7"/>
  <c r="P281" i="7"/>
  <c r="A282" i="7"/>
  <c r="P282" i="7"/>
  <c r="A283" i="7"/>
  <c r="P283" i="7"/>
  <c r="A284" i="7"/>
  <c r="P284" i="7"/>
  <c r="A285" i="7"/>
  <c r="P285" i="7"/>
  <c r="A286" i="7"/>
  <c r="P286" i="7"/>
  <c r="A287" i="7"/>
  <c r="P287" i="7"/>
  <c r="A288" i="7"/>
  <c r="P288" i="7"/>
  <c r="A289" i="7"/>
  <c r="P289" i="7"/>
  <c r="A290" i="7"/>
  <c r="P290" i="7"/>
  <c r="A291" i="7"/>
  <c r="P291" i="7"/>
  <c r="A292" i="7"/>
  <c r="P292" i="7"/>
  <c r="A293" i="7"/>
  <c r="P293" i="7"/>
  <c r="A294" i="7"/>
  <c r="P294" i="7"/>
  <c r="A295" i="7"/>
  <c r="P295" i="7"/>
  <c r="A296" i="7"/>
  <c r="P296" i="7"/>
  <c r="A297" i="7"/>
  <c r="P297" i="7"/>
  <c r="A298" i="7"/>
  <c r="P298" i="7"/>
  <c r="A299" i="7"/>
  <c r="P299" i="7"/>
  <c r="A300" i="7"/>
  <c r="P300" i="7"/>
  <c r="A301" i="7"/>
  <c r="P301" i="7"/>
  <c r="A302" i="7"/>
  <c r="P302" i="7"/>
  <c r="A303" i="7"/>
  <c r="P303" i="7"/>
  <c r="A304" i="7"/>
  <c r="P304" i="7"/>
  <c r="A305" i="7"/>
  <c r="P305" i="7"/>
  <c r="A306" i="7"/>
  <c r="P306" i="7"/>
  <c r="A307" i="7"/>
  <c r="P307" i="7"/>
  <c r="A308" i="7"/>
  <c r="P308" i="7"/>
  <c r="A309" i="7"/>
  <c r="P309" i="7"/>
  <c r="A310" i="7"/>
  <c r="P310" i="7"/>
  <c r="A311" i="7"/>
  <c r="P311" i="7"/>
  <c r="A312" i="7"/>
  <c r="P312" i="7"/>
  <c r="A313" i="7"/>
  <c r="P313" i="7"/>
  <c r="A314" i="7"/>
  <c r="P314" i="7"/>
  <c r="A315" i="7"/>
  <c r="P315" i="7"/>
  <c r="A316" i="7"/>
  <c r="P316" i="7"/>
  <c r="A317" i="7"/>
  <c r="P317" i="7"/>
  <c r="A318" i="7"/>
  <c r="P318" i="7"/>
  <c r="A319" i="7"/>
  <c r="P319" i="7"/>
  <c r="A320" i="7"/>
  <c r="P320" i="7"/>
  <c r="A321" i="7"/>
  <c r="P321" i="7"/>
  <c r="A322" i="7"/>
  <c r="P322" i="7"/>
  <c r="A323" i="7"/>
  <c r="P323" i="7"/>
  <c r="A3" i="7"/>
  <c r="P3" i="7"/>
  <c r="A4" i="7"/>
  <c r="P4" i="7"/>
  <c r="A5" i="7"/>
  <c r="P5" i="7"/>
  <c r="A6" i="7"/>
  <c r="P6" i="7"/>
  <c r="A7" i="7"/>
  <c r="P7" i="7"/>
  <c r="A8" i="7"/>
  <c r="P8" i="7"/>
  <c r="A9" i="7"/>
  <c r="P9" i="7"/>
  <c r="A10" i="7"/>
  <c r="P10" i="7"/>
  <c r="A11" i="7"/>
  <c r="P11" i="7"/>
  <c r="A12" i="7"/>
  <c r="P12" i="7"/>
  <c r="A13" i="7"/>
  <c r="P13" i="7"/>
  <c r="A14" i="7"/>
  <c r="P14" i="7"/>
  <c r="A15" i="7"/>
  <c r="P15" i="7"/>
  <c r="A16" i="7"/>
  <c r="P16" i="7"/>
  <c r="A17" i="7"/>
  <c r="P17" i="7"/>
  <c r="A18" i="7"/>
  <c r="P18" i="7"/>
  <c r="A19" i="7"/>
  <c r="P19" i="7"/>
  <c r="A20" i="7"/>
  <c r="P20" i="7"/>
  <c r="A21" i="7"/>
  <c r="P21" i="7"/>
  <c r="A22" i="7"/>
  <c r="P22" i="7"/>
  <c r="A23" i="7"/>
  <c r="P23" i="7"/>
  <c r="A24" i="7"/>
  <c r="P24" i="7"/>
  <c r="A25" i="7"/>
  <c r="P25" i="7"/>
  <c r="A26" i="7"/>
  <c r="P26" i="7"/>
  <c r="A27" i="7"/>
  <c r="P27" i="7"/>
  <c r="A28" i="7"/>
  <c r="P28" i="7"/>
  <c r="A29" i="7"/>
  <c r="P29" i="7"/>
  <c r="A30" i="7"/>
  <c r="P30" i="7"/>
  <c r="A31" i="7"/>
  <c r="P31" i="7"/>
  <c r="A32" i="7"/>
  <c r="P32" i="7"/>
  <c r="A33" i="7"/>
  <c r="P33" i="7"/>
  <c r="A34" i="7"/>
  <c r="P34" i="7"/>
  <c r="A35" i="7"/>
  <c r="P35" i="7"/>
  <c r="A36" i="7"/>
  <c r="P36" i="7"/>
  <c r="A37" i="7"/>
  <c r="P37" i="7"/>
  <c r="U318" i="1"/>
  <c r="U319" i="1"/>
  <c r="U320" i="1"/>
  <c r="U321" i="1"/>
  <c r="U322" i="1"/>
  <c r="U323" i="1"/>
  <c r="U324" i="1"/>
  <c r="U325" i="1"/>
  <c r="U326" i="1"/>
  <c r="R11" i="1"/>
  <c r="S11" i="1"/>
  <c r="C11" i="15" s="1"/>
  <c r="T11" i="1"/>
  <c r="D11" i="15" s="1"/>
  <c r="R12" i="1"/>
  <c r="S12" i="1"/>
  <c r="C12" i="15" s="1"/>
  <c r="T12" i="1"/>
  <c r="D12" i="15" s="1"/>
  <c r="R13" i="1"/>
  <c r="S13" i="1"/>
  <c r="C13" i="15" s="1"/>
  <c r="T13" i="1"/>
  <c r="R14" i="1"/>
  <c r="S14" i="1"/>
  <c r="C14" i="15" s="1"/>
  <c r="T14" i="1"/>
  <c r="D14" i="15" s="1"/>
  <c r="R15" i="1"/>
  <c r="S15" i="1"/>
  <c r="C15" i="15" s="1"/>
  <c r="T15" i="1"/>
  <c r="D15" i="15" s="1"/>
  <c r="R16" i="1"/>
  <c r="S16" i="1"/>
  <c r="C16" i="15" s="1"/>
  <c r="T16" i="1"/>
  <c r="D16" i="15" s="1"/>
  <c r="R17" i="1"/>
  <c r="S17" i="1"/>
  <c r="C17" i="15" s="1"/>
  <c r="T17" i="1"/>
  <c r="R18" i="1"/>
  <c r="S18" i="1"/>
  <c r="C18" i="15" s="1"/>
  <c r="T18" i="1"/>
  <c r="D18" i="15" s="1"/>
  <c r="R19" i="1"/>
  <c r="S19" i="1"/>
  <c r="C19" i="15" s="1"/>
  <c r="T19" i="1"/>
  <c r="D19" i="15" s="1"/>
  <c r="R20" i="1"/>
  <c r="S20" i="1"/>
  <c r="C20" i="15" s="1"/>
  <c r="T20" i="1"/>
  <c r="D20" i="15" s="1"/>
  <c r="R21" i="1"/>
  <c r="S21" i="1"/>
  <c r="C21" i="15" s="1"/>
  <c r="T21" i="1"/>
  <c r="R22" i="1"/>
  <c r="S22" i="1"/>
  <c r="C22" i="15" s="1"/>
  <c r="T22" i="1"/>
  <c r="D22" i="15" s="1"/>
  <c r="R23" i="1"/>
  <c r="S23" i="1"/>
  <c r="C23" i="15" s="1"/>
  <c r="T23" i="1"/>
  <c r="D23" i="15" s="1"/>
  <c r="R24" i="1"/>
  <c r="S24" i="1"/>
  <c r="C24" i="15" s="1"/>
  <c r="T24" i="1"/>
  <c r="D24" i="15" s="1"/>
  <c r="R25" i="1"/>
  <c r="S25" i="1"/>
  <c r="C25" i="15" s="1"/>
  <c r="T25" i="1"/>
  <c r="R26" i="1"/>
  <c r="S26" i="1"/>
  <c r="C26" i="15" s="1"/>
  <c r="T26" i="1"/>
  <c r="D26" i="15" s="1"/>
  <c r="R27" i="1"/>
  <c r="S27" i="1"/>
  <c r="C27" i="15" s="1"/>
  <c r="T27" i="1"/>
  <c r="D27" i="15" s="1"/>
  <c r="R28" i="1"/>
  <c r="S28" i="1"/>
  <c r="C28" i="15" s="1"/>
  <c r="T28" i="1"/>
  <c r="D28" i="15" s="1"/>
  <c r="R29" i="1"/>
  <c r="S29" i="1"/>
  <c r="C29" i="15" s="1"/>
  <c r="T29" i="1"/>
  <c r="R30" i="1"/>
  <c r="S30" i="1"/>
  <c r="C30" i="15" s="1"/>
  <c r="T30" i="1"/>
  <c r="D30" i="15" s="1"/>
  <c r="R31" i="1"/>
  <c r="S31" i="1"/>
  <c r="C31" i="15" s="1"/>
  <c r="T31" i="1"/>
  <c r="D31" i="15" s="1"/>
  <c r="R32" i="1"/>
  <c r="S32" i="1"/>
  <c r="C32" i="15" s="1"/>
  <c r="T32" i="1"/>
  <c r="D32" i="15" s="1"/>
  <c r="R33" i="1"/>
  <c r="S33" i="1"/>
  <c r="C33" i="15" s="1"/>
  <c r="T33" i="1"/>
  <c r="R34" i="1"/>
  <c r="S34" i="1"/>
  <c r="C34" i="15" s="1"/>
  <c r="T34" i="1"/>
  <c r="D34" i="15" s="1"/>
  <c r="R35" i="1"/>
  <c r="S35" i="1"/>
  <c r="C35" i="15" s="1"/>
  <c r="T35" i="1"/>
  <c r="D35" i="15" s="1"/>
  <c r="R36" i="1"/>
  <c r="S36" i="1"/>
  <c r="C36" i="15" s="1"/>
  <c r="T36" i="1"/>
  <c r="D36" i="15" s="1"/>
  <c r="R37" i="1"/>
  <c r="S37" i="1"/>
  <c r="C37" i="15" s="1"/>
  <c r="T37" i="1"/>
  <c r="R38" i="1"/>
  <c r="S38" i="1"/>
  <c r="C38" i="15" s="1"/>
  <c r="T38" i="1"/>
  <c r="D38" i="15" s="1"/>
  <c r="R39" i="1"/>
  <c r="S39" i="1"/>
  <c r="C39" i="15" s="1"/>
  <c r="T39" i="1"/>
  <c r="D39" i="15" s="1"/>
  <c r="R40" i="1"/>
  <c r="S40" i="1"/>
  <c r="C40" i="15" s="1"/>
  <c r="T40" i="1"/>
  <c r="D40" i="15" s="1"/>
  <c r="R41" i="1"/>
  <c r="S41" i="1"/>
  <c r="C41" i="15" s="1"/>
  <c r="T41" i="1"/>
  <c r="R42" i="1"/>
  <c r="S42" i="1"/>
  <c r="C42" i="15" s="1"/>
  <c r="T42" i="1"/>
  <c r="D42" i="15" s="1"/>
  <c r="R43" i="1"/>
  <c r="S43" i="1"/>
  <c r="C43" i="15" s="1"/>
  <c r="T43" i="1"/>
  <c r="D43" i="15" s="1"/>
  <c r="R44" i="1"/>
  <c r="S44" i="1"/>
  <c r="C44" i="15" s="1"/>
  <c r="T44" i="1"/>
  <c r="D44" i="15" s="1"/>
  <c r="R45" i="1"/>
  <c r="S45" i="1"/>
  <c r="C45" i="15" s="1"/>
  <c r="T45" i="1"/>
  <c r="R46" i="1"/>
  <c r="S46" i="1"/>
  <c r="C46" i="15" s="1"/>
  <c r="T46" i="1"/>
  <c r="D46" i="15" s="1"/>
  <c r="R47" i="1"/>
  <c r="S47" i="1"/>
  <c r="C47" i="15" s="1"/>
  <c r="T47" i="1"/>
  <c r="D47" i="15" s="1"/>
  <c r="R48" i="1"/>
  <c r="S48" i="1"/>
  <c r="C48" i="15" s="1"/>
  <c r="T48" i="1"/>
  <c r="D48" i="15" s="1"/>
  <c r="R49" i="1"/>
  <c r="S49" i="1"/>
  <c r="C49" i="15" s="1"/>
  <c r="T49" i="1"/>
  <c r="R50" i="1"/>
  <c r="S50" i="1"/>
  <c r="C50" i="15" s="1"/>
  <c r="T50" i="1"/>
  <c r="D50" i="15" s="1"/>
  <c r="R51" i="1"/>
  <c r="S51" i="1"/>
  <c r="C51" i="15" s="1"/>
  <c r="T51" i="1"/>
  <c r="D51" i="15" s="1"/>
  <c r="R52" i="1"/>
  <c r="S52" i="1"/>
  <c r="C52" i="15" s="1"/>
  <c r="T52" i="1"/>
  <c r="D52" i="15" s="1"/>
  <c r="R53" i="1"/>
  <c r="S53" i="1"/>
  <c r="C53" i="15" s="1"/>
  <c r="T53" i="1"/>
  <c r="R54" i="1"/>
  <c r="S54" i="1"/>
  <c r="C54" i="15" s="1"/>
  <c r="T54" i="1"/>
  <c r="D54" i="15" s="1"/>
  <c r="R55" i="1"/>
  <c r="S55" i="1"/>
  <c r="C55" i="15" s="1"/>
  <c r="T55" i="1"/>
  <c r="D55" i="15" s="1"/>
  <c r="R56" i="1"/>
  <c r="S56" i="1"/>
  <c r="C56" i="15" s="1"/>
  <c r="T56" i="1"/>
  <c r="D56" i="15" s="1"/>
  <c r="R57" i="1"/>
  <c r="S57" i="1"/>
  <c r="C57" i="15" s="1"/>
  <c r="T57" i="1"/>
  <c r="R58" i="1"/>
  <c r="S58" i="1"/>
  <c r="C58" i="15" s="1"/>
  <c r="T58" i="1"/>
  <c r="D58" i="15" s="1"/>
  <c r="R59" i="1"/>
  <c r="S59" i="1"/>
  <c r="C59" i="15" s="1"/>
  <c r="T59" i="1"/>
  <c r="D59" i="15" s="1"/>
  <c r="R60" i="1"/>
  <c r="S60" i="1"/>
  <c r="C60" i="15" s="1"/>
  <c r="T60" i="1"/>
  <c r="D60" i="15" s="1"/>
  <c r="R61" i="1"/>
  <c r="S61" i="1"/>
  <c r="C61" i="15" s="1"/>
  <c r="T61" i="1"/>
  <c r="R62" i="1"/>
  <c r="S62" i="1"/>
  <c r="C62" i="15" s="1"/>
  <c r="T62" i="1"/>
  <c r="D62" i="15" s="1"/>
  <c r="R63" i="1"/>
  <c r="S63" i="1"/>
  <c r="C63" i="15" s="1"/>
  <c r="T63" i="1"/>
  <c r="D63" i="15" s="1"/>
  <c r="R64" i="1"/>
  <c r="S64" i="1"/>
  <c r="C64" i="15" s="1"/>
  <c r="T64" i="1"/>
  <c r="D64" i="15" s="1"/>
  <c r="R65" i="1"/>
  <c r="S65" i="1"/>
  <c r="C65" i="15" s="1"/>
  <c r="T65" i="1"/>
  <c r="R66" i="1"/>
  <c r="S66" i="1"/>
  <c r="C66" i="15" s="1"/>
  <c r="T66" i="1"/>
  <c r="D66" i="15" s="1"/>
  <c r="R67" i="1"/>
  <c r="S67" i="1"/>
  <c r="C67" i="15" s="1"/>
  <c r="T67" i="1"/>
  <c r="D67" i="15" s="1"/>
  <c r="R68" i="1"/>
  <c r="S68" i="1"/>
  <c r="C68" i="15" s="1"/>
  <c r="T68" i="1"/>
  <c r="D68" i="15" s="1"/>
  <c r="R69" i="1"/>
  <c r="S69" i="1"/>
  <c r="C69" i="15" s="1"/>
  <c r="T69" i="1"/>
  <c r="R70" i="1"/>
  <c r="S70" i="1"/>
  <c r="C70" i="15" s="1"/>
  <c r="T70" i="1"/>
  <c r="D70" i="15" s="1"/>
  <c r="R71" i="1"/>
  <c r="S71" i="1"/>
  <c r="C71" i="15" s="1"/>
  <c r="T71" i="1"/>
  <c r="D71" i="15" s="1"/>
  <c r="R72" i="1"/>
  <c r="S72" i="1"/>
  <c r="C72" i="15" s="1"/>
  <c r="T72" i="1"/>
  <c r="D72" i="15" s="1"/>
  <c r="R73" i="1"/>
  <c r="S73" i="1"/>
  <c r="C73" i="15" s="1"/>
  <c r="T73" i="1"/>
  <c r="R74" i="1"/>
  <c r="S74" i="1"/>
  <c r="C74" i="15" s="1"/>
  <c r="T74" i="1"/>
  <c r="D74" i="15" s="1"/>
  <c r="R75" i="1"/>
  <c r="S75" i="1"/>
  <c r="C75" i="15" s="1"/>
  <c r="T75" i="1"/>
  <c r="D75" i="15" s="1"/>
  <c r="R76" i="1"/>
  <c r="S76" i="1"/>
  <c r="C76" i="15" s="1"/>
  <c r="T76" i="1"/>
  <c r="D76" i="15" s="1"/>
  <c r="R77" i="1"/>
  <c r="S77" i="1"/>
  <c r="C77" i="15" s="1"/>
  <c r="T77" i="1"/>
  <c r="R78" i="1"/>
  <c r="S78" i="1"/>
  <c r="C78" i="15" s="1"/>
  <c r="T78" i="1"/>
  <c r="D78" i="15" s="1"/>
  <c r="R79" i="1"/>
  <c r="S79" i="1"/>
  <c r="C79" i="15" s="1"/>
  <c r="T79" i="1"/>
  <c r="D79" i="15" s="1"/>
  <c r="R80" i="1"/>
  <c r="S80" i="1"/>
  <c r="C80" i="15" s="1"/>
  <c r="T80" i="1"/>
  <c r="D80" i="15" s="1"/>
  <c r="R81" i="1"/>
  <c r="S81" i="1"/>
  <c r="C81" i="15" s="1"/>
  <c r="T81" i="1"/>
  <c r="R82" i="1"/>
  <c r="S82" i="1"/>
  <c r="C82" i="15" s="1"/>
  <c r="T82" i="1"/>
  <c r="D82" i="15" s="1"/>
  <c r="R83" i="1"/>
  <c r="S83" i="1"/>
  <c r="C83" i="15" s="1"/>
  <c r="T83" i="1"/>
  <c r="D83" i="15" s="1"/>
  <c r="R84" i="1"/>
  <c r="S84" i="1"/>
  <c r="C84" i="15" s="1"/>
  <c r="T84" i="1"/>
  <c r="D84" i="15" s="1"/>
  <c r="R85" i="1"/>
  <c r="S85" i="1"/>
  <c r="C85" i="15" s="1"/>
  <c r="T85" i="1"/>
  <c r="R86" i="1"/>
  <c r="S86" i="1"/>
  <c r="C86" i="15" s="1"/>
  <c r="T86" i="1"/>
  <c r="D86" i="15" s="1"/>
  <c r="R87" i="1"/>
  <c r="S87" i="1"/>
  <c r="C87" i="15" s="1"/>
  <c r="T87" i="1"/>
  <c r="D87" i="15" s="1"/>
  <c r="R88" i="1"/>
  <c r="S88" i="1"/>
  <c r="C88" i="15" s="1"/>
  <c r="T88" i="1"/>
  <c r="D88" i="15" s="1"/>
  <c r="R89" i="1"/>
  <c r="S89" i="1"/>
  <c r="C89" i="15" s="1"/>
  <c r="T89" i="1"/>
  <c r="R90" i="1"/>
  <c r="S90" i="1"/>
  <c r="C90" i="15" s="1"/>
  <c r="T90" i="1"/>
  <c r="D90" i="15" s="1"/>
  <c r="R91" i="1"/>
  <c r="S91" i="1"/>
  <c r="C91" i="15" s="1"/>
  <c r="T91" i="1"/>
  <c r="D91" i="15" s="1"/>
  <c r="R92" i="1"/>
  <c r="S92" i="1"/>
  <c r="C92" i="15" s="1"/>
  <c r="T92" i="1"/>
  <c r="D92" i="15" s="1"/>
  <c r="R93" i="1"/>
  <c r="S93" i="1"/>
  <c r="C93" i="15" s="1"/>
  <c r="T93" i="1"/>
  <c r="R94" i="1"/>
  <c r="S94" i="1"/>
  <c r="C94" i="15" s="1"/>
  <c r="T94" i="1"/>
  <c r="D94" i="15" s="1"/>
  <c r="R95" i="1"/>
  <c r="S95" i="1"/>
  <c r="C95" i="15" s="1"/>
  <c r="T95" i="1"/>
  <c r="D95" i="15" s="1"/>
  <c r="R96" i="1"/>
  <c r="S96" i="1"/>
  <c r="C96" i="15" s="1"/>
  <c r="T96" i="1"/>
  <c r="D96" i="15" s="1"/>
  <c r="R97" i="1"/>
  <c r="S97" i="1"/>
  <c r="C97" i="15" s="1"/>
  <c r="T97" i="1"/>
  <c r="R98" i="1"/>
  <c r="S98" i="1"/>
  <c r="C98" i="15" s="1"/>
  <c r="T98" i="1"/>
  <c r="D98" i="15" s="1"/>
  <c r="R99" i="1"/>
  <c r="S99" i="1"/>
  <c r="C99" i="15" s="1"/>
  <c r="T99" i="1"/>
  <c r="D99" i="15" s="1"/>
  <c r="R100" i="1"/>
  <c r="S100" i="1"/>
  <c r="C100" i="15" s="1"/>
  <c r="T100" i="1"/>
  <c r="D100" i="15" s="1"/>
  <c r="R101" i="1"/>
  <c r="S101" i="1"/>
  <c r="C101" i="15" s="1"/>
  <c r="T101" i="1"/>
  <c r="R102" i="1"/>
  <c r="S102" i="1"/>
  <c r="C102" i="15" s="1"/>
  <c r="T102" i="1"/>
  <c r="D102" i="15" s="1"/>
  <c r="R103" i="1"/>
  <c r="S103" i="1"/>
  <c r="C103" i="15" s="1"/>
  <c r="T103" i="1"/>
  <c r="D103" i="15" s="1"/>
  <c r="R104" i="1"/>
  <c r="S104" i="1"/>
  <c r="C104" i="15" s="1"/>
  <c r="T104" i="1"/>
  <c r="D104" i="15" s="1"/>
  <c r="R105" i="1"/>
  <c r="S105" i="1"/>
  <c r="C105" i="15" s="1"/>
  <c r="T105" i="1"/>
  <c r="R106" i="1"/>
  <c r="S106" i="1"/>
  <c r="C106" i="15" s="1"/>
  <c r="T106" i="1"/>
  <c r="D106" i="15" s="1"/>
  <c r="R107" i="1"/>
  <c r="S107" i="1"/>
  <c r="C107" i="15" s="1"/>
  <c r="T107" i="1"/>
  <c r="D107" i="15" s="1"/>
  <c r="R108" i="1"/>
  <c r="S108" i="1"/>
  <c r="C108" i="15" s="1"/>
  <c r="T108" i="1"/>
  <c r="D108" i="15" s="1"/>
  <c r="R109" i="1"/>
  <c r="S109" i="1"/>
  <c r="C109" i="15" s="1"/>
  <c r="T109" i="1"/>
  <c r="R110" i="1"/>
  <c r="S110" i="1"/>
  <c r="C110" i="15" s="1"/>
  <c r="T110" i="1"/>
  <c r="D110" i="15" s="1"/>
  <c r="R111" i="1"/>
  <c r="S111" i="1"/>
  <c r="C111" i="15" s="1"/>
  <c r="T111" i="1"/>
  <c r="D111" i="15" s="1"/>
  <c r="R112" i="1"/>
  <c r="S112" i="1"/>
  <c r="C112" i="15" s="1"/>
  <c r="T112" i="1"/>
  <c r="D112" i="15" s="1"/>
  <c r="R113" i="1"/>
  <c r="S113" i="1"/>
  <c r="C113" i="15" s="1"/>
  <c r="T113" i="1"/>
  <c r="R114" i="1"/>
  <c r="S114" i="1"/>
  <c r="C114" i="15" s="1"/>
  <c r="T114" i="1"/>
  <c r="D114" i="15" s="1"/>
  <c r="R115" i="1"/>
  <c r="S115" i="1"/>
  <c r="C115" i="15" s="1"/>
  <c r="T115" i="1"/>
  <c r="D115" i="15" s="1"/>
  <c r="R116" i="1"/>
  <c r="S116" i="1"/>
  <c r="C116" i="15" s="1"/>
  <c r="T116" i="1"/>
  <c r="D116" i="15" s="1"/>
  <c r="R117" i="1"/>
  <c r="S117" i="1"/>
  <c r="C117" i="15" s="1"/>
  <c r="T117" i="1"/>
  <c r="R118" i="1"/>
  <c r="S118" i="1"/>
  <c r="C118" i="15" s="1"/>
  <c r="T118" i="1"/>
  <c r="D118" i="15" s="1"/>
  <c r="R119" i="1"/>
  <c r="S119" i="1"/>
  <c r="C119" i="15" s="1"/>
  <c r="T119" i="1"/>
  <c r="D119" i="15" s="1"/>
  <c r="R120" i="1"/>
  <c r="S120" i="1"/>
  <c r="C120" i="15" s="1"/>
  <c r="T120" i="1"/>
  <c r="D120" i="15" s="1"/>
  <c r="R121" i="1"/>
  <c r="S121" i="1"/>
  <c r="C121" i="15" s="1"/>
  <c r="T121" i="1"/>
  <c r="R122" i="1"/>
  <c r="S122" i="1"/>
  <c r="C122" i="15" s="1"/>
  <c r="T122" i="1"/>
  <c r="D122" i="15" s="1"/>
  <c r="R123" i="1"/>
  <c r="S123" i="1"/>
  <c r="C123" i="15" s="1"/>
  <c r="T123" i="1"/>
  <c r="D123" i="15" s="1"/>
  <c r="R124" i="1"/>
  <c r="S124" i="1"/>
  <c r="C124" i="15" s="1"/>
  <c r="T124" i="1"/>
  <c r="D124" i="15" s="1"/>
  <c r="R125" i="1"/>
  <c r="S125" i="1"/>
  <c r="C125" i="15" s="1"/>
  <c r="T125" i="1"/>
  <c r="R126" i="1"/>
  <c r="S126" i="1"/>
  <c r="C126" i="15" s="1"/>
  <c r="T126" i="1"/>
  <c r="D126" i="15" s="1"/>
  <c r="R127" i="1"/>
  <c r="S127" i="1"/>
  <c r="C127" i="15" s="1"/>
  <c r="T127" i="1"/>
  <c r="D127" i="15" s="1"/>
  <c r="R128" i="1"/>
  <c r="S128" i="1"/>
  <c r="C128" i="15" s="1"/>
  <c r="T128" i="1"/>
  <c r="D128" i="15" s="1"/>
  <c r="R129" i="1"/>
  <c r="S129" i="1"/>
  <c r="C129" i="15" s="1"/>
  <c r="T129" i="1"/>
  <c r="R130" i="1"/>
  <c r="S130" i="1"/>
  <c r="C130" i="15" s="1"/>
  <c r="T130" i="1"/>
  <c r="D130" i="15" s="1"/>
  <c r="R131" i="1"/>
  <c r="S131" i="1"/>
  <c r="C131" i="15" s="1"/>
  <c r="T131" i="1"/>
  <c r="D131" i="15" s="1"/>
  <c r="R132" i="1"/>
  <c r="S132" i="1"/>
  <c r="C132" i="15" s="1"/>
  <c r="T132" i="1"/>
  <c r="D132" i="15" s="1"/>
  <c r="R133" i="1"/>
  <c r="S133" i="1"/>
  <c r="C133" i="15" s="1"/>
  <c r="T133" i="1"/>
  <c r="R134" i="1"/>
  <c r="S134" i="1"/>
  <c r="C134" i="15" s="1"/>
  <c r="T134" i="1"/>
  <c r="D134" i="15" s="1"/>
  <c r="R135" i="1"/>
  <c r="S135" i="1"/>
  <c r="C135" i="15" s="1"/>
  <c r="T135" i="1"/>
  <c r="D135" i="15" s="1"/>
  <c r="R136" i="1"/>
  <c r="S136" i="1"/>
  <c r="C136" i="15" s="1"/>
  <c r="T136" i="1"/>
  <c r="D136" i="15" s="1"/>
  <c r="R137" i="1"/>
  <c r="S137" i="1"/>
  <c r="C137" i="15" s="1"/>
  <c r="T137" i="1"/>
  <c r="R138" i="1"/>
  <c r="S138" i="1"/>
  <c r="C138" i="15" s="1"/>
  <c r="T138" i="1"/>
  <c r="D138" i="15" s="1"/>
  <c r="R139" i="1"/>
  <c r="S139" i="1"/>
  <c r="C139" i="15" s="1"/>
  <c r="T139" i="1"/>
  <c r="D139" i="15" s="1"/>
  <c r="R140" i="1"/>
  <c r="S140" i="1"/>
  <c r="C140" i="15" s="1"/>
  <c r="T140" i="1"/>
  <c r="D140" i="15" s="1"/>
  <c r="R141" i="1"/>
  <c r="S141" i="1"/>
  <c r="C141" i="15" s="1"/>
  <c r="T141" i="1"/>
  <c r="R142" i="1"/>
  <c r="S142" i="1"/>
  <c r="C142" i="15" s="1"/>
  <c r="T142" i="1"/>
  <c r="D142" i="15" s="1"/>
  <c r="R143" i="1"/>
  <c r="S143" i="1"/>
  <c r="C143" i="15" s="1"/>
  <c r="T143" i="1"/>
  <c r="D143" i="15" s="1"/>
  <c r="R144" i="1"/>
  <c r="S144" i="1"/>
  <c r="C144" i="15" s="1"/>
  <c r="T144" i="1"/>
  <c r="D144" i="15" s="1"/>
  <c r="R145" i="1"/>
  <c r="S145" i="1"/>
  <c r="C145" i="15" s="1"/>
  <c r="T145" i="1"/>
  <c r="R146" i="1"/>
  <c r="S146" i="1"/>
  <c r="C146" i="15" s="1"/>
  <c r="T146" i="1"/>
  <c r="D146" i="15" s="1"/>
  <c r="R147" i="1"/>
  <c r="S147" i="1"/>
  <c r="C147" i="15" s="1"/>
  <c r="T147" i="1"/>
  <c r="D147" i="15" s="1"/>
  <c r="R148" i="1"/>
  <c r="S148" i="1"/>
  <c r="C148" i="15" s="1"/>
  <c r="T148" i="1"/>
  <c r="D148" i="15" s="1"/>
  <c r="R149" i="1"/>
  <c r="S149" i="1"/>
  <c r="C149" i="15" s="1"/>
  <c r="T149" i="1"/>
  <c r="R150" i="1"/>
  <c r="S150" i="1"/>
  <c r="C150" i="15" s="1"/>
  <c r="T150" i="1"/>
  <c r="D150" i="15" s="1"/>
  <c r="R151" i="1"/>
  <c r="S151" i="1"/>
  <c r="C151" i="15" s="1"/>
  <c r="T151" i="1"/>
  <c r="D151" i="15" s="1"/>
  <c r="R152" i="1"/>
  <c r="S152" i="1"/>
  <c r="C152" i="15" s="1"/>
  <c r="T152" i="1"/>
  <c r="D152" i="15" s="1"/>
  <c r="R153" i="1"/>
  <c r="S153" i="1"/>
  <c r="C153" i="15" s="1"/>
  <c r="T153" i="1"/>
  <c r="R154" i="1"/>
  <c r="S154" i="1"/>
  <c r="C154" i="15" s="1"/>
  <c r="T154" i="1"/>
  <c r="D154" i="15" s="1"/>
  <c r="R155" i="1"/>
  <c r="S155" i="1"/>
  <c r="C155" i="15" s="1"/>
  <c r="T155" i="1"/>
  <c r="D155" i="15" s="1"/>
  <c r="R156" i="1"/>
  <c r="S156" i="1"/>
  <c r="C156" i="15" s="1"/>
  <c r="T156" i="1"/>
  <c r="D156" i="15" s="1"/>
  <c r="R157" i="1"/>
  <c r="S157" i="1"/>
  <c r="C157" i="15" s="1"/>
  <c r="T157" i="1"/>
  <c r="R158" i="1"/>
  <c r="S158" i="1"/>
  <c r="C158" i="15" s="1"/>
  <c r="T158" i="1"/>
  <c r="D158" i="15" s="1"/>
  <c r="R159" i="1"/>
  <c r="S159" i="1"/>
  <c r="C159" i="15" s="1"/>
  <c r="T159" i="1"/>
  <c r="D159" i="15" s="1"/>
  <c r="R160" i="1"/>
  <c r="S160" i="1"/>
  <c r="C160" i="15" s="1"/>
  <c r="T160" i="1"/>
  <c r="D160" i="15" s="1"/>
  <c r="R161" i="1"/>
  <c r="S161" i="1"/>
  <c r="C161" i="15" s="1"/>
  <c r="T161" i="1"/>
  <c r="R162" i="1"/>
  <c r="S162" i="1"/>
  <c r="C162" i="15" s="1"/>
  <c r="T162" i="1"/>
  <c r="D162" i="15" s="1"/>
  <c r="R163" i="1"/>
  <c r="S163" i="1"/>
  <c r="C163" i="15" s="1"/>
  <c r="T163" i="1"/>
  <c r="D163" i="15" s="1"/>
  <c r="R164" i="1"/>
  <c r="S164" i="1"/>
  <c r="C164" i="15" s="1"/>
  <c r="T164" i="1"/>
  <c r="D164" i="15" s="1"/>
  <c r="R165" i="1"/>
  <c r="S165" i="1"/>
  <c r="C165" i="15" s="1"/>
  <c r="T165" i="1"/>
  <c r="R166" i="1"/>
  <c r="S166" i="1"/>
  <c r="C166" i="15" s="1"/>
  <c r="T166" i="1"/>
  <c r="D166" i="15" s="1"/>
  <c r="R167" i="1"/>
  <c r="S167" i="1"/>
  <c r="C167" i="15" s="1"/>
  <c r="T167" i="1"/>
  <c r="D167" i="15" s="1"/>
  <c r="R168" i="1"/>
  <c r="S168" i="1"/>
  <c r="C168" i="15" s="1"/>
  <c r="T168" i="1"/>
  <c r="D168" i="15" s="1"/>
  <c r="R169" i="1"/>
  <c r="S169" i="1"/>
  <c r="C169" i="15" s="1"/>
  <c r="T169" i="1"/>
  <c r="R170" i="1"/>
  <c r="S170" i="1"/>
  <c r="C170" i="15" s="1"/>
  <c r="T170" i="1"/>
  <c r="D170" i="15" s="1"/>
  <c r="R171" i="1"/>
  <c r="S171" i="1"/>
  <c r="C171" i="15" s="1"/>
  <c r="T171" i="1"/>
  <c r="D171" i="15" s="1"/>
  <c r="R172" i="1"/>
  <c r="S172" i="1"/>
  <c r="C172" i="15" s="1"/>
  <c r="T172" i="1"/>
  <c r="D172" i="15" s="1"/>
  <c r="R173" i="1"/>
  <c r="S173" i="1"/>
  <c r="C173" i="15" s="1"/>
  <c r="T173" i="1"/>
  <c r="R174" i="1"/>
  <c r="S174" i="1"/>
  <c r="C174" i="15" s="1"/>
  <c r="T174" i="1"/>
  <c r="D174" i="15" s="1"/>
  <c r="R175" i="1"/>
  <c r="S175" i="1"/>
  <c r="C175" i="15" s="1"/>
  <c r="T175" i="1"/>
  <c r="D175" i="15" s="1"/>
  <c r="R176" i="1"/>
  <c r="S176" i="1"/>
  <c r="C176" i="15" s="1"/>
  <c r="T176" i="1"/>
  <c r="D176" i="15" s="1"/>
  <c r="R177" i="1"/>
  <c r="S177" i="1"/>
  <c r="C177" i="15" s="1"/>
  <c r="T177" i="1"/>
  <c r="R178" i="1"/>
  <c r="S178" i="1"/>
  <c r="C178" i="15" s="1"/>
  <c r="T178" i="1"/>
  <c r="D178" i="15" s="1"/>
  <c r="R179" i="1"/>
  <c r="S179" i="1"/>
  <c r="C179" i="15" s="1"/>
  <c r="T179" i="1"/>
  <c r="D179" i="15" s="1"/>
  <c r="R180" i="1"/>
  <c r="S180" i="1"/>
  <c r="C180" i="15" s="1"/>
  <c r="T180" i="1"/>
  <c r="D180" i="15" s="1"/>
  <c r="R181" i="1"/>
  <c r="S181" i="1"/>
  <c r="C181" i="15" s="1"/>
  <c r="T181" i="1"/>
  <c r="R182" i="1"/>
  <c r="S182" i="1"/>
  <c r="C182" i="15" s="1"/>
  <c r="T182" i="1"/>
  <c r="D182" i="15" s="1"/>
  <c r="R183" i="1"/>
  <c r="S183" i="1"/>
  <c r="C183" i="15" s="1"/>
  <c r="T183" i="1"/>
  <c r="D183" i="15" s="1"/>
  <c r="R184" i="1"/>
  <c r="S184" i="1"/>
  <c r="C184" i="15" s="1"/>
  <c r="T184" i="1"/>
  <c r="D184" i="15" s="1"/>
  <c r="R185" i="1"/>
  <c r="S185" i="1"/>
  <c r="C185" i="15" s="1"/>
  <c r="T185" i="1"/>
  <c r="R186" i="1"/>
  <c r="S186" i="1"/>
  <c r="C186" i="15" s="1"/>
  <c r="T186" i="1"/>
  <c r="D186" i="15" s="1"/>
  <c r="R187" i="1"/>
  <c r="S187" i="1"/>
  <c r="C187" i="15" s="1"/>
  <c r="T187" i="1"/>
  <c r="D187" i="15" s="1"/>
  <c r="R188" i="1"/>
  <c r="S188" i="1"/>
  <c r="C188" i="15" s="1"/>
  <c r="T188" i="1"/>
  <c r="D188" i="15" s="1"/>
  <c r="R189" i="1"/>
  <c r="S189" i="1"/>
  <c r="C189" i="15" s="1"/>
  <c r="T189" i="1"/>
  <c r="R190" i="1"/>
  <c r="S190" i="1"/>
  <c r="C190" i="15" s="1"/>
  <c r="T190" i="1"/>
  <c r="D190" i="15" s="1"/>
  <c r="R191" i="1"/>
  <c r="S191" i="1"/>
  <c r="C191" i="15" s="1"/>
  <c r="T191" i="1"/>
  <c r="D191" i="15" s="1"/>
  <c r="R192" i="1"/>
  <c r="S192" i="1"/>
  <c r="C192" i="15" s="1"/>
  <c r="T192" i="1"/>
  <c r="D192" i="15" s="1"/>
  <c r="R193" i="1"/>
  <c r="S193" i="1"/>
  <c r="C193" i="15" s="1"/>
  <c r="T193" i="1"/>
  <c r="R194" i="1"/>
  <c r="S194" i="1"/>
  <c r="C194" i="15" s="1"/>
  <c r="T194" i="1"/>
  <c r="D194" i="15" s="1"/>
  <c r="R195" i="1"/>
  <c r="S195" i="1"/>
  <c r="C195" i="15" s="1"/>
  <c r="T195" i="1"/>
  <c r="D195" i="15" s="1"/>
  <c r="R196" i="1"/>
  <c r="S196" i="1"/>
  <c r="C196" i="15" s="1"/>
  <c r="T196" i="1"/>
  <c r="D196" i="15" s="1"/>
  <c r="R197" i="1"/>
  <c r="S197" i="1"/>
  <c r="C197" i="15" s="1"/>
  <c r="T197" i="1"/>
  <c r="R198" i="1"/>
  <c r="S198" i="1"/>
  <c r="C198" i="15" s="1"/>
  <c r="T198" i="1"/>
  <c r="D198" i="15" s="1"/>
  <c r="R199" i="1"/>
  <c r="S199" i="1"/>
  <c r="C199" i="15" s="1"/>
  <c r="T199" i="1"/>
  <c r="D199" i="15" s="1"/>
  <c r="R200" i="1"/>
  <c r="S200" i="1"/>
  <c r="C200" i="15" s="1"/>
  <c r="T200" i="1"/>
  <c r="D200" i="15" s="1"/>
  <c r="R201" i="1"/>
  <c r="S201" i="1"/>
  <c r="C201" i="15" s="1"/>
  <c r="T201" i="1"/>
  <c r="R202" i="1"/>
  <c r="S202" i="1"/>
  <c r="C202" i="15" s="1"/>
  <c r="T202" i="1"/>
  <c r="D202" i="15" s="1"/>
  <c r="R203" i="1"/>
  <c r="S203" i="1"/>
  <c r="C203" i="15" s="1"/>
  <c r="T203" i="1"/>
  <c r="D203" i="15" s="1"/>
  <c r="R204" i="1"/>
  <c r="S204" i="1"/>
  <c r="C204" i="15" s="1"/>
  <c r="T204" i="1"/>
  <c r="D204" i="15" s="1"/>
  <c r="R205" i="1"/>
  <c r="S205" i="1"/>
  <c r="C205" i="15" s="1"/>
  <c r="T205" i="1"/>
  <c r="R206" i="1"/>
  <c r="S206" i="1"/>
  <c r="C206" i="15" s="1"/>
  <c r="T206" i="1"/>
  <c r="D206" i="15" s="1"/>
  <c r="R207" i="1"/>
  <c r="S207" i="1"/>
  <c r="C207" i="15" s="1"/>
  <c r="T207" i="1"/>
  <c r="D207" i="15" s="1"/>
  <c r="R208" i="1"/>
  <c r="S208" i="1"/>
  <c r="C208" i="15" s="1"/>
  <c r="T208" i="1"/>
  <c r="D208" i="15" s="1"/>
  <c r="R209" i="1"/>
  <c r="S209" i="1"/>
  <c r="C209" i="15" s="1"/>
  <c r="T209" i="1"/>
  <c r="R210" i="1"/>
  <c r="S210" i="1"/>
  <c r="C210" i="15" s="1"/>
  <c r="T210" i="1"/>
  <c r="D210" i="15" s="1"/>
  <c r="R211" i="1"/>
  <c r="S211" i="1"/>
  <c r="C211" i="15" s="1"/>
  <c r="T211" i="1"/>
  <c r="D211" i="15" s="1"/>
  <c r="R212" i="1"/>
  <c r="S212" i="1"/>
  <c r="T212" i="1"/>
  <c r="D212" i="15" s="1"/>
  <c r="R213" i="1"/>
  <c r="S213" i="1"/>
  <c r="C213" i="15" s="1"/>
  <c r="T213" i="1"/>
  <c r="R214" i="1"/>
  <c r="S214" i="1"/>
  <c r="C214" i="15" s="1"/>
  <c r="T214" i="1"/>
  <c r="D214" i="15" s="1"/>
  <c r="R215" i="1"/>
  <c r="S215" i="1"/>
  <c r="C215" i="15" s="1"/>
  <c r="T215" i="1"/>
  <c r="D215" i="15" s="1"/>
  <c r="R216" i="1"/>
  <c r="S216" i="1"/>
  <c r="C216" i="15" s="1"/>
  <c r="T216" i="1"/>
  <c r="D216" i="15" s="1"/>
  <c r="R217" i="1"/>
  <c r="S217" i="1"/>
  <c r="C217" i="15" s="1"/>
  <c r="T217" i="1"/>
  <c r="D217" i="15" s="1"/>
  <c r="R218" i="1"/>
  <c r="S218" i="1"/>
  <c r="C218" i="15" s="1"/>
  <c r="T218" i="1"/>
  <c r="D218" i="15" s="1"/>
  <c r="R219" i="1"/>
  <c r="S219" i="1"/>
  <c r="C219" i="15" s="1"/>
  <c r="T219" i="1"/>
  <c r="D219" i="15" s="1"/>
  <c r="R220" i="1"/>
  <c r="S220" i="1"/>
  <c r="C220" i="15" s="1"/>
  <c r="T220" i="1"/>
  <c r="D220" i="15" s="1"/>
  <c r="R221" i="1"/>
  <c r="S221" i="1"/>
  <c r="C221" i="15" s="1"/>
  <c r="T221" i="1"/>
  <c r="R222" i="1"/>
  <c r="S222" i="1"/>
  <c r="C222" i="15" s="1"/>
  <c r="T222" i="1"/>
  <c r="D222" i="15" s="1"/>
  <c r="R223" i="1"/>
  <c r="S223" i="1"/>
  <c r="C223" i="15" s="1"/>
  <c r="T223" i="1"/>
  <c r="D223" i="15" s="1"/>
  <c r="R224" i="1"/>
  <c r="S224" i="1"/>
  <c r="T224" i="1"/>
  <c r="D224" i="15" s="1"/>
  <c r="R225" i="1"/>
  <c r="S225" i="1"/>
  <c r="C225" i="15" s="1"/>
  <c r="T225" i="1"/>
  <c r="R226" i="1"/>
  <c r="S226" i="1"/>
  <c r="C226" i="15" s="1"/>
  <c r="T226" i="1"/>
  <c r="D226" i="15" s="1"/>
  <c r="R227" i="1"/>
  <c r="S227" i="1"/>
  <c r="C227" i="15" s="1"/>
  <c r="T227" i="1"/>
  <c r="D227" i="15" s="1"/>
  <c r="R228" i="1"/>
  <c r="S228" i="1"/>
  <c r="T228" i="1"/>
  <c r="D228" i="15" s="1"/>
  <c r="R229" i="1"/>
  <c r="S229" i="1"/>
  <c r="C229" i="15" s="1"/>
  <c r="T229" i="1"/>
  <c r="R230" i="1"/>
  <c r="S230" i="1"/>
  <c r="C230" i="15" s="1"/>
  <c r="T230" i="1"/>
  <c r="D230" i="15" s="1"/>
  <c r="R231" i="1"/>
  <c r="S231" i="1"/>
  <c r="C231" i="15" s="1"/>
  <c r="T231" i="1"/>
  <c r="D231" i="15" s="1"/>
  <c r="R232" i="1"/>
  <c r="S232" i="1"/>
  <c r="C232" i="15" s="1"/>
  <c r="T232" i="1"/>
  <c r="D232" i="15" s="1"/>
  <c r="R233" i="1"/>
  <c r="S233" i="1"/>
  <c r="C233" i="15" s="1"/>
  <c r="T233" i="1"/>
  <c r="R234" i="1"/>
  <c r="S234" i="1"/>
  <c r="C234" i="15" s="1"/>
  <c r="T234" i="1"/>
  <c r="D234" i="15" s="1"/>
  <c r="R235" i="1"/>
  <c r="S235" i="1"/>
  <c r="C235" i="15" s="1"/>
  <c r="T235" i="1"/>
  <c r="D235" i="15" s="1"/>
  <c r="R236" i="1"/>
  <c r="S236" i="1"/>
  <c r="C236" i="15" s="1"/>
  <c r="T236" i="1"/>
  <c r="D236" i="15" s="1"/>
  <c r="R237" i="1"/>
  <c r="S237" i="1"/>
  <c r="C237" i="15" s="1"/>
  <c r="T237" i="1"/>
  <c r="R238" i="1"/>
  <c r="S238" i="1"/>
  <c r="C238" i="15" s="1"/>
  <c r="T238" i="1"/>
  <c r="D238" i="15" s="1"/>
  <c r="R239" i="1"/>
  <c r="S239" i="1"/>
  <c r="C239" i="15" s="1"/>
  <c r="T239" i="1"/>
  <c r="D239" i="15" s="1"/>
  <c r="R240" i="1"/>
  <c r="S240" i="1"/>
  <c r="C240" i="15" s="1"/>
  <c r="T240" i="1"/>
  <c r="D240" i="15" s="1"/>
  <c r="R241" i="1"/>
  <c r="S241" i="1"/>
  <c r="C241" i="15" s="1"/>
  <c r="T241" i="1"/>
  <c r="R242" i="1"/>
  <c r="S242" i="1"/>
  <c r="C242" i="15" s="1"/>
  <c r="T242" i="1"/>
  <c r="D242" i="15" s="1"/>
  <c r="R243" i="1"/>
  <c r="S243" i="1"/>
  <c r="C243" i="15" s="1"/>
  <c r="T243" i="1"/>
  <c r="D243" i="15" s="1"/>
  <c r="R244" i="1"/>
  <c r="S244" i="1"/>
  <c r="C244" i="15" s="1"/>
  <c r="T244" i="1"/>
  <c r="D244" i="15" s="1"/>
  <c r="R245" i="1"/>
  <c r="S245" i="1"/>
  <c r="C245" i="15" s="1"/>
  <c r="T245" i="1"/>
  <c r="R246" i="1"/>
  <c r="S246" i="1"/>
  <c r="C246" i="15" s="1"/>
  <c r="T246" i="1"/>
  <c r="D246" i="15" s="1"/>
  <c r="R247" i="1"/>
  <c r="S247" i="1"/>
  <c r="C247" i="15" s="1"/>
  <c r="T247" i="1"/>
  <c r="D247" i="15" s="1"/>
  <c r="R248" i="1"/>
  <c r="S248" i="1"/>
  <c r="C248" i="15" s="1"/>
  <c r="T248" i="1"/>
  <c r="D248" i="15" s="1"/>
  <c r="R249" i="1"/>
  <c r="S249" i="1"/>
  <c r="C249" i="15" s="1"/>
  <c r="T249" i="1"/>
  <c r="R250" i="1"/>
  <c r="S250" i="1"/>
  <c r="C250" i="15" s="1"/>
  <c r="T250" i="1"/>
  <c r="D250" i="15" s="1"/>
  <c r="R251" i="1"/>
  <c r="S251" i="1"/>
  <c r="C251" i="15" s="1"/>
  <c r="T251" i="1"/>
  <c r="D251" i="15" s="1"/>
  <c r="R252" i="1"/>
  <c r="S252" i="1"/>
  <c r="C252" i="15" s="1"/>
  <c r="T252" i="1"/>
  <c r="D252" i="15" s="1"/>
  <c r="R253" i="1"/>
  <c r="S253" i="1"/>
  <c r="C253" i="15" s="1"/>
  <c r="T253" i="1"/>
  <c r="R254" i="1"/>
  <c r="S254" i="1"/>
  <c r="C254" i="15" s="1"/>
  <c r="T254" i="1"/>
  <c r="D254" i="15" s="1"/>
  <c r="R255" i="1"/>
  <c r="S255" i="1"/>
  <c r="C255" i="15" s="1"/>
  <c r="T255" i="1"/>
  <c r="D255" i="15" s="1"/>
  <c r="R256" i="1"/>
  <c r="S256" i="1"/>
  <c r="T256" i="1"/>
  <c r="D256" i="15" s="1"/>
  <c r="R257" i="1"/>
  <c r="S257" i="1"/>
  <c r="C257" i="15" s="1"/>
  <c r="T257" i="1"/>
  <c r="R258" i="1"/>
  <c r="S258" i="1"/>
  <c r="C258" i="15" s="1"/>
  <c r="T258" i="1"/>
  <c r="D258" i="15" s="1"/>
  <c r="R259" i="1"/>
  <c r="S259" i="1"/>
  <c r="C259" i="15" s="1"/>
  <c r="T259" i="1"/>
  <c r="D259" i="15" s="1"/>
  <c r="R260" i="1"/>
  <c r="S260" i="1"/>
  <c r="C260" i="15" s="1"/>
  <c r="T260" i="1"/>
  <c r="D260" i="15" s="1"/>
  <c r="R261" i="1"/>
  <c r="S261" i="1"/>
  <c r="C261" i="15" s="1"/>
  <c r="T261" i="1"/>
  <c r="R262" i="1"/>
  <c r="S262" i="1"/>
  <c r="C262" i="15" s="1"/>
  <c r="T262" i="1"/>
  <c r="D262" i="15" s="1"/>
  <c r="R263" i="1"/>
  <c r="S263" i="1"/>
  <c r="C263" i="15" s="1"/>
  <c r="T263" i="1"/>
  <c r="D263" i="15" s="1"/>
  <c r="R264" i="1"/>
  <c r="S264" i="1"/>
  <c r="C264" i="15" s="1"/>
  <c r="T264" i="1"/>
  <c r="D264" i="15" s="1"/>
  <c r="R265" i="1"/>
  <c r="S265" i="1"/>
  <c r="C265" i="15" s="1"/>
  <c r="T265" i="1"/>
  <c r="R266" i="1"/>
  <c r="S266" i="1"/>
  <c r="C266" i="15" s="1"/>
  <c r="T266" i="1"/>
  <c r="D266" i="15" s="1"/>
  <c r="R267" i="1"/>
  <c r="S267" i="1"/>
  <c r="C267" i="15" s="1"/>
  <c r="T267" i="1"/>
  <c r="D267" i="15" s="1"/>
  <c r="R268" i="1"/>
  <c r="S268" i="1"/>
  <c r="T268" i="1"/>
  <c r="D268" i="15" s="1"/>
  <c r="R269" i="1"/>
  <c r="S269" i="1"/>
  <c r="C269" i="15" s="1"/>
  <c r="T269" i="1"/>
  <c r="R270" i="1"/>
  <c r="S270" i="1"/>
  <c r="C270" i="15" s="1"/>
  <c r="T270" i="1"/>
  <c r="D270" i="15" s="1"/>
  <c r="R271" i="1"/>
  <c r="S271" i="1"/>
  <c r="C271" i="15" s="1"/>
  <c r="T271" i="1"/>
  <c r="D271" i="15" s="1"/>
  <c r="R272" i="1"/>
  <c r="S272" i="1"/>
  <c r="T272" i="1"/>
  <c r="D272" i="15" s="1"/>
  <c r="R273" i="1"/>
  <c r="S273" i="1"/>
  <c r="C273" i="15" s="1"/>
  <c r="T273" i="1"/>
  <c r="R274" i="1"/>
  <c r="S274" i="1"/>
  <c r="C274" i="15" s="1"/>
  <c r="T274" i="1"/>
  <c r="D274" i="15" s="1"/>
  <c r="R275" i="1"/>
  <c r="S275" i="1"/>
  <c r="C275" i="15" s="1"/>
  <c r="T275" i="1"/>
  <c r="D275" i="15" s="1"/>
  <c r="R276" i="1"/>
  <c r="S276" i="1"/>
  <c r="C276" i="15" s="1"/>
  <c r="T276" i="1"/>
  <c r="D276" i="15" s="1"/>
  <c r="R277" i="1"/>
  <c r="S277" i="1"/>
  <c r="C277" i="15" s="1"/>
  <c r="T277" i="1"/>
  <c r="R278" i="1"/>
  <c r="S278" i="1"/>
  <c r="C278" i="15" s="1"/>
  <c r="T278" i="1"/>
  <c r="D278" i="15" s="1"/>
  <c r="R279" i="1"/>
  <c r="S279" i="1"/>
  <c r="C279" i="15" s="1"/>
  <c r="T279" i="1"/>
  <c r="D279" i="15" s="1"/>
  <c r="R280" i="1"/>
  <c r="S280" i="1"/>
  <c r="T280" i="1"/>
  <c r="D280" i="15" s="1"/>
  <c r="R281" i="1"/>
  <c r="S281" i="1"/>
  <c r="C281" i="15" s="1"/>
  <c r="T281" i="1"/>
  <c r="R282" i="1"/>
  <c r="S282" i="1"/>
  <c r="C282" i="15" s="1"/>
  <c r="T282" i="1"/>
  <c r="D282" i="15" s="1"/>
  <c r="R283" i="1"/>
  <c r="S283" i="1"/>
  <c r="C283" i="15" s="1"/>
  <c r="T283" i="1"/>
  <c r="D283" i="15" s="1"/>
  <c r="R284" i="1"/>
  <c r="S284" i="1"/>
  <c r="T284" i="1"/>
  <c r="D284" i="15" s="1"/>
  <c r="R285" i="1"/>
  <c r="S285" i="1"/>
  <c r="C285" i="15" s="1"/>
  <c r="T285" i="1"/>
  <c r="R286" i="1"/>
  <c r="S286" i="1"/>
  <c r="C286" i="15" s="1"/>
  <c r="T286" i="1"/>
  <c r="D286" i="15" s="1"/>
  <c r="R287" i="1"/>
  <c r="S287" i="1"/>
  <c r="C287" i="15" s="1"/>
  <c r="T287" i="1"/>
  <c r="D287" i="15" s="1"/>
  <c r="R288" i="1"/>
  <c r="S288" i="1"/>
  <c r="T288" i="1"/>
  <c r="D288" i="15" s="1"/>
  <c r="R289" i="1"/>
  <c r="S289" i="1"/>
  <c r="C289" i="15" s="1"/>
  <c r="T289" i="1"/>
  <c r="R290" i="1"/>
  <c r="S290" i="1"/>
  <c r="C290" i="15" s="1"/>
  <c r="T290" i="1"/>
  <c r="D290" i="15" s="1"/>
  <c r="R291" i="1"/>
  <c r="S291" i="1"/>
  <c r="C291" i="15" s="1"/>
  <c r="T291" i="1"/>
  <c r="D291" i="15" s="1"/>
  <c r="R292" i="1"/>
  <c r="S292" i="1"/>
  <c r="T292" i="1"/>
  <c r="D292" i="15" s="1"/>
  <c r="R293" i="1"/>
  <c r="S293" i="1"/>
  <c r="C293" i="15" s="1"/>
  <c r="T293" i="1"/>
  <c r="R294" i="1"/>
  <c r="S294" i="1"/>
  <c r="C294" i="15" s="1"/>
  <c r="T294" i="1"/>
  <c r="D294" i="15" s="1"/>
  <c r="R295" i="1"/>
  <c r="S295" i="1"/>
  <c r="C295" i="15" s="1"/>
  <c r="T295" i="1"/>
  <c r="D295" i="15" s="1"/>
  <c r="R296" i="1"/>
  <c r="S296" i="1"/>
  <c r="C296" i="15" s="1"/>
  <c r="T296" i="1"/>
  <c r="D296" i="15" s="1"/>
  <c r="R297" i="1"/>
  <c r="S297" i="1"/>
  <c r="C297" i="15" s="1"/>
  <c r="T297" i="1"/>
  <c r="R298" i="1"/>
  <c r="S298" i="1"/>
  <c r="C298" i="15" s="1"/>
  <c r="T298" i="1"/>
  <c r="D298" i="15" s="1"/>
  <c r="R299" i="1"/>
  <c r="S299" i="1"/>
  <c r="C299" i="15" s="1"/>
  <c r="T299" i="1"/>
  <c r="D299" i="15" s="1"/>
  <c r="R300" i="1"/>
  <c r="S300" i="1"/>
  <c r="C300" i="15" s="1"/>
  <c r="T300" i="1"/>
  <c r="D300" i="15" s="1"/>
  <c r="R301" i="1"/>
  <c r="S301" i="1"/>
  <c r="C301" i="15" s="1"/>
  <c r="T301" i="1"/>
  <c r="R302" i="1"/>
  <c r="S302" i="1"/>
  <c r="C302" i="15" s="1"/>
  <c r="T302" i="1"/>
  <c r="D302" i="15" s="1"/>
  <c r="R303" i="1"/>
  <c r="S303" i="1"/>
  <c r="C303" i="15" s="1"/>
  <c r="T303" i="1"/>
  <c r="D303" i="15" s="1"/>
  <c r="R304" i="1"/>
  <c r="S304" i="1"/>
  <c r="C304" i="15" s="1"/>
  <c r="T304" i="1"/>
  <c r="D304" i="15" s="1"/>
  <c r="R305" i="1"/>
  <c r="S305" i="1"/>
  <c r="C305" i="15" s="1"/>
  <c r="T305" i="1"/>
  <c r="R306" i="1"/>
  <c r="S306" i="1"/>
  <c r="C306" i="15" s="1"/>
  <c r="T306" i="1"/>
  <c r="D306" i="15" s="1"/>
  <c r="R307" i="1"/>
  <c r="S307" i="1"/>
  <c r="C307" i="15" s="1"/>
  <c r="T307" i="1"/>
  <c r="D307" i="15" s="1"/>
  <c r="R308" i="1"/>
  <c r="S308" i="1"/>
  <c r="T308" i="1"/>
  <c r="D308" i="15" s="1"/>
  <c r="R309" i="1"/>
  <c r="S309" i="1"/>
  <c r="C309" i="15" s="1"/>
  <c r="T309" i="1"/>
  <c r="R310" i="1"/>
  <c r="S310" i="1"/>
  <c r="C310" i="15" s="1"/>
  <c r="T310" i="1"/>
  <c r="D310" i="15" s="1"/>
  <c r="R311" i="1"/>
  <c r="S311" i="1"/>
  <c r="C311" i="15" s="1"/>
  <c r="T311" i="1"/>
  <c r="D311" i="15" s="1"/>
  <c r="Y312" i="1"/>
  <c r="W313" i="1"/>
  <c r="Y314" i="1"/>
  <c r="U315" i="1"/>
  <c r="Y316" i="1"/>
  <c r="W317" i="1"/>
  <c r="O318" i="1"/>
  <c r="O319" i="1"/>
  <c r="O320" i="1"/>
  <c r="O321" i="1"/>
  <c r="O322" i="1"/>
  <c r="O323" i="1"/>
  <c r="O324" i="1"/>
  <c r="O325" i="1"/>
  <c r="O326" i="1"/>
  <c r="L18" i="7"/>
  <c r="X312" i="1"/>
  <c r="Z313" i="1"/>
  <c r="X314" i="1"/>
  <c r="Z315" i="1"/>
  <c r="X316" i="1"/>
  <c r="Z317" i="1"/>
  <c r="W318" i="1"/>
  <c r="X318" i="1"/>
  <c r="Y318" i="1"/>
  <c r="Z318" i="1"/>
  <c r="W319" i="1"/>
  <c r="X319" i="1"/>
  <c r="Y319" i="1"/>
  <c r="Z319" i="1"/>
  <c r="W320" i="1"/>
  <c r="X320" i="1"/>
  <c r="Y320" i="1"/>
  <c r="Z320" i="1"/>
  <c r="W321" i="1"/>
  <c r="X321" i="1"/>
  <c r="Y321" i="1"/>
  <c r="Z321" i="1"/>
  <c r="W322" i="1"/>
  <c r="X322" i="1"/>
  <c r="Y322" i="1"/>
  <c r="Z322" i="1"/>
  <c r="W323" i="1"/>
  <c r="X323" i="1"/>
  <c r="Y323" i="1"/>
  <c r="Z323" i="1"/>
  <c r="W324" i="1"/>
  <c r="X324" i="1"/>
  <c r="Y324" i="1"/>
  <c r="Z324" i="1"/>
  <c r="W325" i="1"/>
  <c r="X325" i="1"/>
  <c r="Y325" i="1"/>
  <c r="Z325" i="1"/>
  <c r="W326" i="1"/>
  <c r="X326" i="1"/>
  <c r="Y326" i="1"/>
  <c r="Z326" i="1"/>
  <c r="B2" i="1"/>
  <c r="R2" i="1"/>
  <c r="B3" i="1"/>
  <c r="R3" i="1"/>
  <c r="B4" i="1"/>
  <c r="R4" i="1"/>
  <c r="B5" i="1"/>
  <c r="R5" i="1"/>
  <c r="B6" i="1"/>
  <c r="R6" i="1"/>
  <c r="B7" i="1"/>
  <c r="R7" i="1"/>
  <c r="B8" i="1"/>
  <c r="R8" i="1"/>
  <c r="B9" i="1"/>
  <c r="R9" i="1"/>
  <c r="B10" i="1"/>
  <c r="R10" i="1"/>
  <c r="H1285" i="5"/>
  <c r="H433" i="5"/>
  <c r="G288" i="5"/>
  <c r="G601" i="5"/>
  <c r="H142" i="5"/>
  <c r="H1190" i="5"/>
  <c r="H741" i="5"/>
  <c r="H1224" i="5"/>
  <c r="H1723" i="5"/>
  <c r="H598" i="5"/>
  <c r="H1675" i="5"/>
  <c r="G1632" i="5"/>
  <c r="H1685" i="5"/>
  <c r="G795" i="5"/>
  <c r="G1161" i="5"/>
  <c r="H534" i="5"/>
  <c r="G966" i="5"/>
  <c r="H5" i="5"/>
  <c r="H105" i="5"/>
  <c r="H1312" i="5"/>
  <c r="G752" i="5"/>
  <c r="H1674" i="5"/>
  <c r="G1022" i="5"/>
  <c r="H76" i="5"/>
  <c r="G479" i="5"/>
  <c r="G501" i="5"/>
  <c r="G1145" i="5"/>
  <c r="G114" i="5"/>
  <c r="H1276" i="5"/>
  <c r="H338" i="5"/>
  <c r="H1535" i="5"/>
  <c r="H1643" i="5"/>
  <c r="H268" i="5"/>
  <c r="H1053" i="5"/>
  <c r="H249" i="5"/>
  <c r="H1517" i="5"/>
  <c r="H654" i="5"/>
  <c r="H102" i="5"/>
  <c r="H1417" i="5"/>
  <c r="H1407" i="5"/>
  <c r="G629" i="5"/>
  <c r="G1222" i="5"/>
  <c r="G1343" i="5"/>
  <c r="H975" i="5"/>
  <c r="G591" i="5"/>
  <c r="H337" i="5"/>
  <c r="H1728" i="5"/>
  <c r="H305" i="5"/>
  <c r="H126" i="5"/>
  <c r="G788" i="5"/>
  <c r="R87" i="5"/>
  <c r="H1366" i="5"/>
  <c r="H118" i="5"/>
  <c r="H910" i="5"/>
  <c r="H640" i="5"/>
  <c r="H1430" i="5"/>
  <c r="G389" i="5"/>
  <c r="H483" i="5"/>
  <c r="H1498" i="5"/>
  <c r="G41" i="5"/>
  <c r="H167" i="5"/>
  <c r="G1218" i="5"/>
  <c r="G403" i="5"/>
  <c r="H1603" i="5"/>
  <c r="H347" i="5"/>
  <c r="H189" i="5"/>
  <c r="H1434" i="5"/>
  <c r="G714" i="5"/>
  <c r="G309" i="5"/>
  <c r="G471" i="5"/>
  <c r="H1106" i="5"/>
  <c r="H936" i="5"/>
  <c r="H1222" i="5"/>
  <c r="H1419" i="5"/>
  <c r="H764" i="5"/>
  <c r="R1392" i="5"/>
  <c r="G1486" i="5"/>
  <c r="H1725" i="5"/>
  <c r="H1627" i="5"/>
  <c r="Y307" i="5"/>
  <c r="G884" i="5"/>
  <c r="G1515" i="5"/>
  <c r="H1191" i="5"/>
  <c r="G112" i="5"/>
  <c r="H85" i="5"/>
  <c r="G1524" i="5"/>
  <c r="H1595" i="5"/>
  <c r="H1237" i="5"/>
  <c r="G11" i="5"/>
  <c r="H561" i="5"/>
  <c r="G170" i="5"/>
  <c r="G1125" i="5"/>
  <c r="G57" i="5"/>
  <c r="G1238" i="5"/>
  <c r="G1590" i="5"/>
  <c r="G1385" i="5"/>
  <c r="G902" i="5"/>
  <c r="G192" i="5"/>
  <c r="H552" i="5"/>
  <c r="H174" i="5"/>
  <c r="G30" i="5"/>
  <c r="H1146" i="5"/>
  <c r="G1278" i="5"/>
  <c r="G933" i="5"/>
  <c r="H1598" i="5"/>
  <c r="G391" i="5"/>
  <c r="H81" i="5"/>
  <c r="H1437" i="5"/>
  <c r="R687" i="5"/>
  <c r="G1179" i="5"/>
  <c r="H1144" i="5"/>
  <c r="H248" i="5"/>
  <c r="G1027" i="5"/>
  <c r="T1667" i="5"/>
  <c r="H1445" i="5"/>
  <c r="G1546" i="5"/>
  <c r="H1068" i="5"/>
  <c r="V1642" i="5"/>
  <c r="G1287" i="5"/>
  <c r="Y1267" i="5"/>
  <c r="H1232" i="5"/>
  <c r="H4" i="5"/>
  <c r="G1667" i="5"/>
  <c r="G1482" i="5"/>
  <c r="H308" i="5"/>
  <c r="Y332" i="5"/>
  <c r="G833" i="5"/>
  <c r="G973" i="5"/>
  <c r="H626" i="5"/>
  <c r="H733" i="5"/>
  <c r="G10" i="5"/>
  <c r="H860" i="5"/>
  <c r="H539" i="5"/>
  <c r="G1033" i="5"/>
  <c r="G1191" i="5"/>
  <c r="G701" i="5"/>
  <c r="G1380" i="5"/>
  <c r="G944" i="5"/>
  <c r="H624" i="5"/>
  <c r="H1673" i="5"/>
  <c r="H1578" i="5"/>
  <c r="G785" i="5"/>
  <c r="H522" i="5"/>
  <c r="G1074" i="5"/>
  <c r="G1302" i="5"/>
  <c r="H314" i="5"/>
  <c r="G1277" i="5"/>
  <c r="G340" i="5"/>
  <c r="G1364" i="5"/>
  <c r="G848" i="5"/>
  <c r="H376" i="5"/>
  <c r="G1017" i="5"/>
  <c r="G220" i="5"/>
  <c r="G1107" i="5"/>
  <c r="G941" i="5"/>
  <c r="H919" i="5"/>
  <c r="R1122" i="5"/>
  <c r="H871" i="5"/>
  <c r="G1336" i="5"/>
  <c r="H1641" i="5"/>
  <c r="G1133" i="5"/>
  <c r="H1410" i="5"/>
  <c r="H229" i="5"/>
  <c r="G226" i="5"/>
  <c r="G524" i="5"/>
  <c r="H182" i="5"/>
  <c r="G1094" i="5"/>
  <c r="G50" i="5"/>
  <c r="H1520" i="5"/>
  <c r="G272" i="5"/>
  <c r="H472" i="5"/>
  <c r="G202" i="5"/>
  <c r="H958" i="5"/>
  <c r="H346" i="5"/>
  <c r="G1227" i="5"/>
  <c r="H180" i="5"/>
  <c r="H1196" i="5"/>
  <c r="H411" i="5"/>
  <c r="G519" i="5"/>
  <c r="H611" i="5"/>
  <c r="R352" i="5"/>
  <c r="H153" i="5"/>
  <c r="G291" i="5"/>
  <c r="H121" i="5"/>
  <c r="G541" i="5"/>
  <c r="G43" i="5"/>
  <c r="G101" i="5"/>
  <c r="H1344" i="5"/>
  <c r="H691" i="5"/>
  <c r="G925" i="5"/>
  <c r="H258" i="5"/>
  <c r="G1313" i="5"/>
  <c r="H986" i="5"/>
  <c r="G849" i="5"/>
  <c r="G1073" i="5"/>
  <c r="H861" i="5"/>
  <c r="H939" i="5"/>
  <c r="H1481" i="5"/>
  <c r="H1282" i="5"/>
  <c r="G1410" i="5"/>
  <c r="G904" i="5"/>
  <c r="H1281" i="5"/>
  <c r="H424" i="5"/>
  <c r="H208" i="5"/>
  <c r="H687" i="5"/>
  <c r="H721" i="5"/>
  <c r="R1172" i="5"/>
  <c r="H1211" i="5"/>
  <c r="H362" i="5"/>
  <c r="G371" i="5"/>
  <c r="G269" i="5"/>
  <c r="G814" i="5"/>
  <c r="G735" i="5"/>
  <c r="H810" i="5"/>
  <c r="G1574" i="5"/>
  <c r="G381" i="5"/>
  <c r="G764" i="5"/>
  <c r="G982" i="5"/>
  <c r="G1722" i="5"/>
  <c r="G1614" i="5"/>
  <c r="G1141" i="5"/>
  <c r="H593" i="5"/>
  <c r="H236" i="5"/>
  <c r="H987" i="5"/>
  <c r="Y702" i="5"/>
  <c r="H45" i="5"/>
  <c r="G783" i="5"/>
  <c r="H43" i="5"/>
  <c r="G542" i="5"/>
  <c r="H1116" i="5"/>
  <c r="H882" i="5"/>
  <c r="G1338" i="5"/>
  <c r="H1209" i="5"/>
  <c r="G1324" i="5"/>
  <c r="H900" i="5"/>
  <c r="G1586" i="5"/>
  <c r="G1100" i="5"/>
  <c r="G408" i="5"/>
  <c r="H1059" i="5"/>
  <c r="G974" i="5"/>
  <c r="G623" i="5"/>
  <c r="G969" i="5"/>
  <c r="R412" i="5"/>
  <c r="H293" i="5"/>
  <c r="G920" i="5"/>
  <c r="G1337" i="5"/>
  <c r="G279" i="5"/>
  <c r="H995" i="5"/>
  <c r="R1527" i="5"/>
  <c r="G197" i="5"/>
  <c r="H309" i="5"/>
  <c r="H1043" i="5"/>
  <c r="Y1292" i="5"/>
  <c r="G1266" i="5"/>
  <c r="H940" i="5"/>
  <c r="G435" i="5"/>
  <c r="H1227" i="5"/>
  <c r="G1061" i="5"/>
  <c r="H246" i="5"/>
  <c r="H657" i="5"/>
  <c r="G1557" i="5"/>
  <c r="G1344" i="5"/>
  <c r="H408" i="5"/>
  <c r="H1303" i="5"/>
  <c r="H1433" i="5"/>
  <c r="H455" i="5"/>
  <c r="H952" i="5"/>
  <c r="H238" i="5"/>
  <c r="G1381" i="5"/>
  <c r="G869" i="5"/>
  <c r="H92" i="5"/>
  <c r="H808" i="5"/>
  <c r="H235" i="5"/>
  <c r="H1552" i="5"/>
  <c r="G303" i="5"/>
  <c r="G713" i="5"/>
  <c r="G1062" i="5"/>
  <c r="G1476" i="5"/>
  <c r="G1487" i="5"/>
  <c r="G1589" i="5"/>
  <c r="H993" i="5"/>
  <c r="G1431" i="5"/>
  <c r="H24" i="5"/>
  <c r="H1325" i="5"/>
  <c r="G377" i="5"/>
  <c r="H652" i="5"/>
  <c r="H405" i="5"/>
  <c r="G86" i="5"/>
  <c r="H140" i="5"/>
  <c r="G374" i="5"/>
  <c r="H908" i="5"/>
  <c r="G133" i="5"/>
  <c r="G894" i="5"/>
  <c r="H868" i="5"/>
  <c r="G438" i="5"/>
  <c r="H1045" i="5"/>
  <c r="G617" i="5"/>
  <c r="G1568" i="5"/>
  <c r="Y1442" i="5"/>
  <c r="G1354" i="5"/>
  <c r="H963" i="5"/>
  <c r="H1123" i="5"/>
  <c r="H394" i="5"/>
  <c r="H421" i="5"/>
  <c r="H700" i="5"/>
  <c r="H1065" i="5"/>
  <c r="G985" i="5"/>
  <c r="G880" i="5"/>
  <c r="H965" i="5"/>
  <c r="H1206" i="5"/>
  <c r="G445" i="5"/>
  <c r="H985" i="5"/>
  <c r="H1220" i="5"/>
  <c r="H1707" i="5"/>
  <c r="G392" i="5"/>
  <c r="H516" i="5"/>
  <c r="H746" i="5"/>
  <c r="H302" i="5"/>
  <c r="H1179" i="5"/>
  <c r="H71" i="5"/>
  <c r="H644" i="5"/>
  <c r="H1084" i="5"/>
  <c r="H719" i="5"/>
  <c r="G1122" i="5"/>
  <c r="H501" i="5"/>
  <c r="H1391" i="5"/>
  <c r="H676" i="5"/>
  <c r="G710" i="5"/>
  <c r="G1400" i="5"/>
  <c r="H1311" i="5"/>
  <c r="G51" i="5"/>
  <c r="H1530" i="5"/>
  <c r="G599" i="5"/>
  <c r="Y1257" i="5"/>
  <c r="H794" i="5"/>
  <c r="H435" i="5"/>
  <c r="H1395" i="5"/>
  <c r="H14" i="5"/>
  <c r="G770" i="5"/>
  <c r="R872" i="5"/>
  <c r="H800" i="5"/>
  <c r="G1656" i="5"/>
  <c r="H1296" i="5"/>
  <c r="H1171" i="5"/>
  <c r="H508" i="5"/>
  <c r="H1208" i="5"/>
  <c r="G1601" i="5"/>
  <c r="H495" i="5"/>
  <c r="H1400" i="5"/>
  <c r="H839" i="5"/>
  <c r="G363" i="5"/>
  <c r="G561" i="5"/>
  <c r="H382" i="5"/>
  <c r="H517" i="5"/>
  <c r="G1655" i="5"/>
  <c r="G718" i="5"/>
  <c r="G1276" i="5"/>
  <c r="H1383" i="5"/>
  <c r="H526" i="5"/>
  <c r="H1178" i="5"/>
  <c r="G664" i="5"/>
  <c r="G1650" i="5"/>
  <c r="G81" i="5"/>
  <c r="H816" i="5"/>
  <c r="H931" i="5"/>
  <c r="Z1697" i="5"/>
  <c r="G1126" i="5"/>
  <c r="H997" i="5"/>
  <c r="G89" i="5"/>
  <c r="H1508" i="5"/>
  <c r="G157" i="5"/>
  <c r="H732" i="5"/>
  <c r="G749" i="5"/>
  <c r="H307" i="5"/>
  <c r="Y482" i="5"/>
  <c r="H46" i="5"/>
  <c r="G212" i="5"/>
  <c r="G1002" i="5"/>
  <c r="H107" i="5"/>
  <c r="H1742" i="5"/>
  <c r="G1262" i="5"/>
  <c r="H351" i="5"/>
  <c r="G1538" i="5"/>
  <c r="H1074" i="5"/>
  <c r="H556" i="5"/>
  <c r="H64" i="5"/>
  <c r="H608" i="5"/>
  <c r="G319" i="5"/>
  <c r="H280" i="5"/>
  <c r="G1523" i="5"/>
  <c r="H536" i="5"/>
  <c r="H49" i="5"/>
  <c r="G532" i="5"/>
  <c r="Y1607" i="5"/>
  <c r="H1149" i="5"/>
  <c r="G109" i="5"/>
  <c r="H829" i="5"/>
  <c r="H1618" i="5"/>
  <c r="G8" i="5"/>
  <c r="H859" i="5"/>
  <c r="G222" i="5"/>
  <c r="H292" i="5"/>
  <c r="H636" i="5"/>
  <c r="G1362" i="5"/>
  <c r="G768" i="5"/>
  <c r="H1415" i="5"/>
  <c r="G159" i="5"/>
  <c r="G1351" i="5"/>
  <c r="G1433" i="5"/>
  <c r="G1683" i="5"/>
  <c r="G707" i="5"/>
  <c r="H1621" i="5"/>
  <c r="G35" i="5"/>
  <c r="H586" i="5"/>
  <c r="H1194" i="5"/>
  <c r="R1252" i="5"/>
  <c r="H1080" i="5"/>
  <c r="G1634" i="5"/>
  <c r="G906" i="5"/>
  <c r="H440" i="5"/>
  <c r="G1293" i="5"/>
  <c r="G1163" i="5"/>
  <c r="G436" i="5"/>
  <c r="H886" i="5"/>
  <c r="H1483" i="5"/>
  <c r="H888" i="5"/>
  <c r="G1600" i="5"/>
  <c r="H832" i="5"/>
  <c r="H1554" i="5"/>
  <c r="H228" i="5"/>
  <c r="H567" i="5"/>
  <c r="G907" i="5"/>
  <c r="H1112" i="5"/>
  <c r="G1241" i="5"/>
  <c r="H724" i="5"/>
  <c r="H835" i="5"/>
  <c r="H1019" i="5"/>
  <c r="H1581" i="5"/>
  <c r="H383" i="5"/>
  <c r="Y1712" i="5"/>
  <c r="H1322" i="5"/>
  <c r="G512" i="5"/>
  <c r="G491" i="5"/>
  <c r="G231" i="5"/>
  <c r="H545" i="5"/>
  <c r="H1735" i="5"/>
  <c r="G1363" i="5"/>
  <c r="H1709" i="5"/>
  <c r="H205" i="5"/>
  <c r="H1412" i="5"/>
  <c r="H648" i="5"/>
  <c r="H492" i="5"/>
  <c r="H480" i="5"/>
  <c r="H84" i="5"/>
  <c r="G1005" i="5"/>
  <c r="H1746" i="5"/>
  <c r="H754" i="5"/>
  <c r="G1066" i="5"/>
  <c r="H1497" i="5"/>
  <c r="H1108" i="5"/>
  <c r="G1370" i="5"/>
  <c r="H564" i="5"/>
  <c r="H251" i="5"/>
  <c r="H574" i="5"/>
  <c r="H257" i="5"/>
  <c r="H186" i="5"/>
  <c r="G475" i="5"/>
  <c r="G211" i="5"/>
  <c r="H1532" i="5"/>
  <c r="H135" i="5"/>
  <c r="G1706" i="5"/>
  <c r="G791" i="5"/>
  <c r="G72" i="5"/>
  <c r="H1524" i="5"/>
  <c r="H1261" i="5"/>
  <c r="H1536" i="5"/>
  <c r="G776" i="5"/>
  <c r="G98" i="5"/>
  <c r="AB1742" i="5"/>
  <c r="G296" i="5"/>
  <c r="G1165" i="5"/>
  <c r="H329" i="5"/>
  <c r="H129" i="5"/>
  <c r="H630" i="5"/>
  <c r="G339" i="5"/>
  <c r="H269" i="5"/>
  <c r="G1149" i="5"/>
  <c r="G656" i="5"/>
  <c r="H1442" i="5"/>
  <c r="G702" i="5"/>
  <c r="G1007" i="5"/>
  <c r="H377" i="5"/>
  <c r="H93" i="5"/>
  <c r="G328" i="5"/>
  <c r="G97" i="5"/>
  <c r="R147" i="5"/>
  <c r="H1221" i="5"/>
  <c r="G253" i="5"/>
  <c r="H51" i="5"/>
  <c r="R1292" i="5"/>
  <c r="Y827" i="5"/>
  <c r="H1341" i="5"/>
  <c r="G1019" i="5"/>
  <c r="G1427" i="5"/>
  <c r="Y1632" i="5"/>
  <c r="G49" i="5"/>
  <c r="G37" i="5"/>
  <c r="G916" i="5"/>
  <c r="H311" i="5"/>
  <c r="H1703" i="5"/>
  <c r="G1075" i="5"/>
  <c r="H114" i="5"/>
  <c r="H570" i="5"/>
  <c r="G93" i="5"/>
  <c r="G336" i="5"/>
  <c r="G1461" i="5"/>
  <c r="G622" i="5"/>
  <c r="H1293" i="5"/>
  <c r="G819" i="5"/>
  <c r="H1548" i="5"/>
  <c r="G29" i="5"/>
  <c r="H604" i="5"/>
  <c r="H26" i="5"/>
  <c r="G1318" i="5"/>
  <c r="G909" i="5"/>
  <c r="H870" i="5"/>
  <c r="H1273" i="5"/>
  <c r="H56" i="5"/>
  <c r="G67" i="5"/>
  <c r="G987" i="5"/>
  <c r="G1249" i="5"/>
  <c r="G308" i="5"/>
  <c r="G4" i="5"/>
  <c r="H30" i="5"/>
  <c r="G1491" i="5"/>
  <c r="H1398" i="5"/>
  <c r="H1560" i="5"/>
  <c r="H851" i="5"/>
  <c r="H360" i="5"/>
  <c r="G1152" i="5"/>
  <c r="G826" i="5"/>
  <c r="H1489" i="5"/>
  <c r="G881" i="5"/>
  <c r="G234" i="5"/>
  <c r="G975" i="5"/>
  <c r="G733" i="5"/>
  <c r="G938" i="5"/>
  <c r="H1490" i="5"/>
  <c r="H1157" i="5"/>
  <c r="R1732" i="5"/>
  <c r="G1264" i="5"/>
  <c r="H1328" i="5"/>
  <c r="G83" i="5"/>
  <c r="H1219" i="5"/>
  <c r="Y1117" i="5"/>
  <c r="G650" i="5"/>
  <c r="H1166" i="5"/>
  <c r="H824" i="5"/>
  <c r="H1468" i="5"/>
  <c r="H1163" i="5"/>
  <c r="G1373" i="5"/>
  <c r="H1682" i="5"/>
  <c r="H416" i="5"/>
  <c r="H826" i="5"/>
  <c r="H1609" i="5"/>
  <c r="H518" i="5"/>
  <c r="G583" i="5"/>
  <c r="Y642" i="5"/>
  <c r="G232" i="5"/>
  <c r="H274" i="5"/>
  <c r="G1154" i="5"/>
  <c r="G585" i="5"/>
  <c r="H1075" i="5"/>
  <c r="G824" i="5"/>
  <c r="G1135" i="5"/>
  <c r="H896" i="5"/>
  <c r="H1537" i="5"/>
  <c r="H1688" i="5"/>
  <c r="H99" i="5"/>
  <c r="G1420" i="5"/>
  <c r="H1377" i="5"/>
  <c r="H1488" i="5"/>
  <c r="G1522" i="5"/>
  <c r="H1373" i="5"/>
  <c r="H1015" i="5"/>
  <c r="H788" i="5"/>
  <c r="G1228" i="5"/>
  <c r="H1424" i="5"/>
  <c r="H252" i="5"/>
  <c r="G1510" i="5"/>
  <c r="G1623" i="5"/>
  <c r="G1377" i="5"/>
  <c r="H591" i="5"/>
  <c r="H514" i="5"/>
  <c r="H1386" i="5"/>
  <c r="G1037" i="5"/>
  <c r="H1284" i="5"/>
  <c r="H67" i="5"/>
  <c r="H502" i="5"/>
  <c r="G1483" i="5"/>
  <c r="G672" i="5"/>
  <c r="G214" i="5"/>
  <c r="G648" i="5"/>
  <c r="Y117" i="5"/>
  <c r="G659" i="5"/>
  <c r="H1730" i="5"/>
  <c r="G245" i="5"/>
  <c r="H339" i="5"/>
  <c r="H1375" i="5"/>
  <c r="H1321" i="5"/>
  <c r="H1267" i="5"/>
  <c r="H1684" i="5"/>
  <c r="H1119" i="5"/>
  <c r="G442" i="5"/>
  <c r="H343" i="5"/>
  <c r="H631" i="5"/>
  <c r="R502" i="5"/>
  <c r="G1247" i="5"/>
  <c r="G654" i="5"/>
  <c r="G873" i="5"/>
  <c r="G893" i="5"/>
  <c r="H1646" i="5"/>
  <c r="H281" i="5"/>
  <c r="H263" i="5"/>
  <c r="G406" i="5"/>
  <c r="G1229" i="5"/>
  <c r="H651" i="5"/>
  <c r="G348" i="5"/>
  <c r="G87" i="5"/>
  <c r="G1437" i="5"/>
  <c r="G1330" i="5"/>
  <c r="G1673" i="5"/>
  <c r="Y1532" i="5"/>
  <c r="R467" i="5"/>
  <c r="G794" i="5"/>
  <c r="G450" i="5"/>
  <c r="H402" i="5"/>
  <c r="H282" i="5"/>
  <c r="H594" i="5"/>
  <c r="H621" i="5"/>
  <c r="G481" i="5"/>
  <c r="H273" i="5"/>
  <c r="H1255" i="5"/>
  <c r="G100" i="5"/>
  <c r="H1048" i="5"/>
  <c r="G1585" i="5"/>
  <c r="H720" i="5"/>
  <c r="H1695" i="5"/>
  <c r="H1129" i="5"/>
  <c r="G282" i="5"/>
  <c r="H1338" i="5"/>
  <c r="G353" i="5"/>
  <c r="H769" i="5"/>
  <c r="G129" i="5"/>
  <c r="G832" i="5"/>
  <c r="H1266" i="5"/>
  <c r="H956" i="5"/>
  <c r="G1283" i="5"/>
  <c r="H1614" i="5"/>
  <c r="H1107" i="5"/>
  <c r="H306" i="5"/>
  <c r="Y1062" i="5"/>
  <c r="G466" i="5"/>
  <c r="H299" i="5"/>
  <c r="H798" i="5"/>
  <c r="H1105" i="5"/>
  <c r="G517" i="5"/>
  <c r="H1011" i="5"/>
  <c r="G1196" i="5"/>
  <c r="H1154" i="5"/>
  <c r="H1605" i="5"/>
  <c r="G1386" i="5"/>
  <c r="G1029" i="5"/>
  <c r="G781" i="5"/>
  <c r="G239" i="5"/>
  <c r="G149" i="5"/>
  <c r="H1262" i="5"/>
  <c r="G1365" i="5"/>
  <c r="H183" i="5"/>
  <c r="H1452" i="5"/>
  <c r="H525" i="5"/>
  <c r="H1379" i="5"/>
  <c r="H48" i="5"/>
  <c r="G1109" i="5"/>
  <c r="G1691" i="5"/>
  <c r="G1375" i="5"/>
  <c r="H857" i="5"/>
  <c r="G1534" i="5"/>
  <c r="H1708" i="5"/>
  <c r="G683" i="5"/>
  <c r="G1495" i="5"/>
  <c r="G1620" i="5"/>
  <c r="G1497" i="5"/>
  <c r="H1584" i="5"/>
  <c r="H132" i="5"/>
  <c r="H1579" i="5"/>
  <c r="H353" i="5"/>
  <c r="G1000" i="5"/>
  <c r="G113" i="5"/>
  <c r="H889" i="5"/>
  <c r="H1320" i="5"/>
  <c r="H23" i="5"/>
  <c r="H1583" i="5"/>
  <c r="G273" i="5"/>
  <c r="G161" i="5"/>
  <c r="H898" i="5"/>
  <c r="G744" i="5"/>
  <c r="H1130" i="5"/>
  <c r="H1691" i="5"/>
  <c r="G962" i="5"/>
  <c r="G725" i="5"/>
  <c r="H1118" i="5"/>
  <c r="H1351" i="5"/>
  <c r="H474" i="5"/>
  <c r="H743" i="5"/>
  <c r="H1381" i="5"/>
  <c r="G837" i="5"/>
  <c r="H930" i="5"/>
  <c r="G1670" i="5"/>
  <c r="G1303" i="5"/>
  <c r="H895" i="5"/>
  <c r="Y1687" i="5"/>
  <c r="H127" i="5"/>
  <c r="G127" i="5"/>
  <c r="AB1632" i="5"/>
  <c r="H1066" i="5"/>
  <c r="H838" i="5"/>
  <c r="G1150" i="5"/>
  <c r="H1251" i="5"/>
  <c r="H1516" i="5"/>
  <c r="H628" i="5"/>
  <c r="H138" i="5"/>
  <c r="G260" i="5"/>
  <c r="G615" i="5"/>
  <c r="G130" i="5"/>
  <c r="G299" i="5"/>
  <c r="H494" i="5"/>
  <c r="S1642" i="5"/>
  <c r="H675" i="5"/>
  <c r="G750" i="5"/>
  <c r="G483" i="5"/>
  <c r="H1640" i="5"/>
  <c r="H173" i="5"/>
  <c r="G1040" i="5"/>
  <c r="T1687" i="5"/>
  <c r="H1686" i="5"/>
  <c r="H1631" i="5"/>
  <c r="H160" i="5"/>
  <c r="R197" i="5"/>
  <c r="H370" i="5"/>
  <c r="R1597" i="5"/>
  <c r="G1665" i="5"/>
  <c r="H429" i="5"/>
  <c r="G1567" i="5"/>
  <c r="G741" i="5"/>
  <c r="R667" i="5"/>
  <c r="H468" i="5"/>
  <c r="Y1047" i="5"/>
  <c r="G495" i="5"/>
  <c r="G237" i="5"/>
  <c r="H622" i="5"/>
  <c r="R752" i="5"/>
  <c r="H1444" i="5"/>
  <c r="H953" i="5"/>
  <c r="G1444" i="5"/>
  <c r="H1729" i="5"/>
  <c r="H1055" i="5"/>
  <c r="H578" i="5"/>
  <c r="H1072" i="5"/>
  <c r="G345" i="5"/>
  <c r="G342" i="5"/>
  <c r="H759" i="5"/>
  <c r="H94" i="5"/>
  <c r="H1038" i="5"/>
  <c r="G1451" i="5"/>
  <c r="H1475" i="5"/>
  <c r="G1701" i="5"/>
  <c r="AA1667" i="5"/>
  <c r="H1363" i="5"/>
  <c r="G682" i="5"/>
  <c r="G306" i="5"/>
  <c r="G1216" i="5"/>
  <c r="H361" i="5"/>
  <c r="H1651" i="5"/>
  <c r="H1002" i="5"/>
  <c r="G1466" i="5"/>
  <c r="G1012" i="5"/>
  <c r="H1274" i="5"/>
  <c r="H389" i="5"/>
  <c r="G509" i="5"/>
  <c r="G1322" i="5"/>
  <c r="G307" i="5"/>
  <c r="G105" i="5"/>
  <c r="H1626" i="5"/>
  <c r="G355" i="5"/>
  <c r="H378" i="5"/>
  <c r="G1335" i="5"/>
  <c r="G1136" i="5"/>
  <c r="G446" i="5"/>
  <c r="H298" i="5"/>
  <c r="H284" i="5"/>
  <c r="H315" i="5"/>
  <c r="H775" i="5"/>
  <c r="H1226" i="5"/>
  <c r="G277" i="5"/>
  <c r="H1036" i="5"/>
  <c r="H1459" i="5"/>
  <c r="H950" i="5"/>
  <c r="H928" i="5"/>
  <c r="H1152" i="5"/>
  <c r="G569" i="5"/>
  <c r="H661" i="5"/>
  <c r="G574" i="5"/>
  <c r="G555" i="5"/>
  <c r="H897" i="5"/>
  <c r="G1629" i="5"/>
  <c r="H1297" i="5"/>
  <c r="H847" i="5"/>
  <c r="G562" i="5"/>
  <c r="G165" i="5"/>
  <c r="H194" i="5"/>
  <c r="H1061" i="5"/>
  <c r="H619" i="5"/>
  <c r="H1135" i="5"/>
  <c r="G757" i="5"/>
  <c r="G444" i="5"/>
  <c r="H943" i="5"/>
  <c r="H827" i="5"/>
  <c r="G341" i="5"/>
  <c r="H694" i="5"/>
  <c r="G1243" i="5"/>
  <c r="G543" i="5"/>
  <c r="G140" i="5"/>
  <c r="H332" i="5"/>
  <c r="H921" i="5"/>
  <c r="H1607" i="5"/>
  <c r="H439" i="5"/>
  <c r="G250" i="5"/>
  <c r="G429" i="5"/>
  <c r="H1017" i="5"/>
  <c r="G327" i="5"/>
  <c r="H1049" i="5"/>
  <c r="H1523" i="5"/>
  <c r="H532" i="5"/>
  <c r="G1162" i="5"/>
  <c r="G1197" i="5"/>
  <c r="G1731" i="5"/>
  <c r="G544" i="5"/>
  <c r="R1632" i="5"/>
  <c r="H1667" i="5"/>
  <c r="G1368" i="5"/>
  <c r="G850" i="5"/>
  <c r="G1289" i="5"/>
  <c r="G947" i="5"/>
  <c r="H1027" i="5"/>
  <c r="H451" i="5"/>
  <c r="G915" i="5"/>
  <c r="H83" i="5"/>
  <c r="H887" i="5"/>
  <c r="H540" i="5"/>
  <c r="G549" i="5"/>
  <c r="H1699" i="5"/>
  <c r="H858" i="5"/>
  <c r="G441" i="5"/>
  <c r="G154" i="5"/>
  <c r="R942" i="5"/>
  <c r="H777" i="5"/>
  <c r="H1039" i="5"/>
  <c r="G1317" i="5"/>
  <c r="Y112" i="5"/>
  <c r="H489" i="5"/>
  <c r="G602" i="5"/>
  <c r="H981" i="5"/>
  <c r="H1403" i="5"/>
  <c r="H203" i="5"/>
  <c r="H1570" i="5"/>
  <c r="H44" i="5"/>
  <c r="G1198" i="5"/>
  <c r="Y572" i="5"/>
  <c r="H101" i="5"/>
  <c r="H1596" i="5"/>
  <c r="Z1732" i="5"/>
  <c r="AA1677" i="5"/>
  <c r="H884" i="5"/>
  <c r="G1127" i="5"/>
  <c r="H588" i="5"/>
  <c r="H390" i="5"/>
  <c r="R462" i="5"/>
  <c r="H21" i="5"/>
  <c r="Y1142" i="5"/>
  <c r="H968" i="5"/>
  <c r="G249" i="5"/>
  <c r="H313" i="5"/>
  <c r="G693" i="5"/>
  <c r="H493" i="5"/>
  <c r="H1494" i="5"/>
  <c r="H265" i="5"/>
  <c r="H923" i="5"/>
  <c r="H331" i="5"/>
  <c r="H1436" i="5"/>
  <c r="G1361" i="5"/>
  <c r="G27" i="5"/>
  <c r="G889" i="5"/>
  <c r="H341" i="5"/>
  <c r="H326" i="5"/>
  <c r="H1615" i="5"/>
  <c r="G1059" i="5"/>
  <c r="H538" i="5"/>
  <c r="G883" i="5"/>
  <c r="G533" i="5"/>
  <c r="H983" i="5"/>
  <c r="H646" i="5"/>
  <c r="H1697" i="5"/>
  <c r="G815" i="5"/>
  <c r="H903" i="5"/>
  <c r="H1223" i="5"/>
  <c r="G508" i="5"/>
  <c r="H913" i="5"/>
  <c r="H59" i="5"/>
  <c r="G1183" i="5"/>
  <c r="H372" i="5"/>
  <c r="H774" i="5"/>
  <c r="G111" i="5"/>
  <c r="H1099" i="5"/>
  <c r="H143" i="5"/>
  <c r="H277" i="5"/>
  <c r="H496" i="5"/>
  <c r="H1355" i="5"/>
  <c r="G625" i="5"/>
  <c r="G1401" i="5"/>
  <c r="H1258" i="5"/>
  <c r="H729" i="5"/>
  <c r="H834" i="5"/>
  <c r="H922" i="5"/>
  <c r="G412" i="5"/>
  <c r="G1311" i="5"/>
  <c r="H413" i="5"/>
  <c r="G1286" i="5"/>
  <c r="G934" i="5"/>
  <c r="H1527" i="5"/>
  <c r="H1378" i="5"/>
  <c r="H442" i="5"/>
  <c r="H1095" i="5"/>
  <c r="G88" i="5"/>
  <c r="H1109" i="5"/>
  <c r="G1207" i="5"/>
  <c r="G942" i="5"/>
  <c r="H1501" i="5"/>
  <c r="H1071" i="5"/>
  <c r="H1736" i="5"/>
  <c r="G706" i="5"/>
  <c r="H444" i="5"/>
  <c r="H1155" i="5"/>
  <c r="G280" i="5"/>
  <c r="G1514" i="5"/>
  <c r="H677" i="5"/>
  <c r="G1608" i="5"/>
  <c r="H1268" i="5"/>
  <c r="H1546" i="5"/>
  <c r="G1732" i="5"/>
  <c r="H1601" i="5"/>
  <c r="G365" i="5"/>
  <c r="H1411" i="5"/>
  <c r="G1158" i="5"/>
  <c r="G559" i="5"/>
  <c r="H1213" i="5"/>
  <c r="H1713" i="5"/>
  <c r="H130" i="5"/>
  <c r="H267" i="5"/>
  <c r="G1619" i="5"/>
  <c r="H1168" i="5"/>
  <c r="G936" i="5"/>
  <c r="G1730" i="5"/>
  <c r="H117" i="5"/>
  <c r="Y807" i="5"/>
  <c r="G526" i="5"/>
  <c r="H271" i="5"/>
  <c r="H822" i="5"/>
  <c r="H158" i="5"/>
  <c r="H291" i="5"/>
  <c r="H386" i="5"/>
  <c r="H620" i="5"/>
  <c r="G1209" i="5"/>
  <c r="H1454" i="5"/>
  <c r="H1164" i="5"/>
  <c r="Y1567" i="5"/>
  <c r="H27" i="5"/>
  <c r="H1387" i="5"/>
  <c r="G652" i="5"/>
  <c r="G1703" i="5"/>
  <c r="G311" i="5"/>
  <c r="H217" i="5"/>
  <c r="H406" i="5"/>
  <c r="H1125" i="5"/>
  <c r="G1695" i="5"/>
  <c r="Y12" i="5"/>
  <c r="G1124" i="5"/>
  <c r="H924" i="5"/>
  <c r="H1113" i="5"/>
  <c r="Y62" i="5"/>
  <c r="G1178" i="5"/>
  <c r="H1423" i="5"/>
  <c r="H206" i="5"/>
  <c r="G380" i="5"/>
  <c r="G39" i="5"/>
  <c r="G739" i="5"/>
  <c r="R982" i="5"/>
  <c r="R1522" i="5"/>
  <c r="H196" i="5"/>
  <c r="G1038" i="5"/>
  <c r="H146" i="5"/>
  <c r="G743" i="5"/>
  <c r="G394" i="5"/>
  <c r="H1620" i="5"/>
  <c r="H653" i="5"/>
  <c r="H500" i="5"/>
  <c r="H1096" i="5"/>
  <c r="H946" i="5"/>
  <c r="G528" i="5"/>
  <c r="G115" i="5"/>
  <c r="H467" i="5"/>
  <c r="G1625" i="5"/>
  <c r="H1342" i="5"/>
  <c r="H1628" i="5"/>
  <c r="G1312" i="5"/>
  <c r="H334" i="5"/>
  <c r="H705" i="5"/>
  <c r="H1249" i="5"/>
  <c r="G1724" i="5"/>
  <c r="G687" i="5"/>
  <c r="G1333" i="5"/>
  <c r="H443" i="5"/>
  <c r="H1710" i="5"/>
  <c r="H1350" i="5"/>
  <c r="G1729" i="5"/>
  <c r="H1067" i="5"/>
  <c r="H932" i="5"/>
  <c r="H1365" i="5"/>
  <c r="H297" i="5"/>
  <c r="H1568" i="5"/>
  <c r="G643" i="5"/>
  <c r="H172" i="5"/>
  <c r="G199" i="5"/>
  <c r="H115" i="5"/>
  <c r="G1171" i="5"/>
  <c r="H513" i="5"/>
  <c r="H1161" i="5"/>
  <c r="G1265" i="5"/>
  <c r="G414" i="5"/>
  <c r="G144" i="5"/>
  <c r="H505" i="5"/>
  <c r="H546" i="5"/>
  <c r="G1615" i="5"/>
  <c r="H581" i="5"/>
  <c r="H1335" i="5"/>
  <c r="G1078" i="5"/>
  <c r="H75" i="5"/>
  <c r="G74" i="5"/>
  <c r="H1665" i="5"/>
  <c r="G58" i="5"/>
  <c r="G497" i="5"/>
  <c r="H738" i="5"/>
  <c r="H1447" i="5"/>
  <c r="G421" i="5"/>
  <c r="G383" i="5"/>
  <c r="H1566" i="5"/>
  <c r="H1120" i="5"/>
  <c r="G1296" i="5"/>
  <c r="H768" i="5"/>
  <c r="G1496" i="5"/>
  <c r="H811" i="5"/>
  <c r="G26" i="5"/>
  <c r="G1374" i="5"/>
  <c r="G1473" i="5"/>
  <c r="G418" i="5"/>
  <c r="G1743" i="5"/>
  <c r="H198" i="5"/>
  <c r="H879" i="5"/>
  <c r="G66" i="5"/>
  <c r="H1660" i="5"/>
  <c r="H560" i="5"/>
  <c r="G504" i="5"/>
  <c r="H751" i="5"/>
  <c r="G1714" i="5"/>
  <c r="H698" i="5"/>
  <c r="H61" i="5"/>
  <c r="H1093" i="5"/>
  <c r="H704" i="5"/>
  <c r="H772" i="5"/>
  <c r="G1071" i="5"/>
  <c r="H583" i="5"/>
  <c r="G131" i="5"/>
  <c r="H53" i="5"/>
  <c r="H207" i="5"/>
  <c r="H855" i="5"/>
  <c r="G395" i="5"/>
  <c r="G1622" i="5"/>
  <c r="G1434" i="5"/>
  <c r="H1235" i="5"/>
  <c r="G120" i="5"/>
  <c r="H1482" i="5"/>
  <c r="G1182" i="5"/>
  <c r="H199" i="5"/>
  <c r="G432" i="5"/>
  <c r="G905" i="5"/>
  <c r="H601" i="5"/>
  <c r="G612" i="5"/>
  <c r="H1082" i="5"/>
  <c r="H110" i="5"/>
  <c r="G248" i="5"/>
  <c r="H1722" i="5"/>
  <c r="G1599" i="5"/>
  <c r="G1742" i="5"/>
  <c r="G1545" i="5"/>
  <c r="H929" i="5"/>
  <c r="G677" i="5"/>
  <c r="G243" i="5"/>
  <c r="H1062" i="5"/>
  <c r="G390" i="5"/>
  <c r="G1258" i="5"/>
  <c r="H1512" i="5"/>
  <c r="G1613" i="5"/>
  <c r="Y1182" i="5"/>
  <c r="H647" i="5"/>
  <c r="G1072" i="5"/>
  <c r="G164" i="5"/>
  <c r="R1692" i="5"/>
  <c r="H450" i="5"/>
  <c r="H318" i="5"/>
  <c r="G1093" i="5"/>
  <c r="H1502" i="5"/>
  <c r="Y42" i="5"/>
  <c r="Y1602" i="5"/>
  <c r="H1090" i="5"/>
  <c r="G1279" i="5"/>
  <c r="G1709" i="5"/>
  <c r="H642" i="5"/>
  <c r="H659" i="5"/>
  <c r="G523" i="5"/>
  <c r="G136" i="5"/>
  <c r="H565" i="5"/>
  <c r="H1069" i="5"/>
  <c r="Y452" i="5"/>
  <c r="H988" i="5"/>
  <c r="H531" i="5"/>
  <c r="H690" i="5"/>
  <c r="H1057" i="5"/>
  <c r="H1162" i="5"/>
  <c r="H938" i="5"/>
  <c r="H748" i="5"/>
  <c r="H635" i="5"/>
  <c r="G1001" i="5"/>
  <c r="H1357" i="5"/>
  <c r="H773" i="5"/>
  <c r="H454" i="5"/>
  <c r="H718" i="5"/>
  <c r="H606" i="5"/>
  <c r="G1301" i="5"/>
  <c r="H1006" i="5"/>
  <c r="H1056" i="5"/>
  <c r="G46" i="5"/>
  <c r="H1187" i="5"/>
  <c r="G712" i="5"/>
  <c r="H317" i="5"/>
  <c r="G872" i="5"/>
  <c r="H283" i="5"/>
  <c r="H877" i="5"/>
  <c r="H1210" i="5"/>
  <c r="H1033" i="5"/>
  <c r="G787" i="5"/>
  <c r="H325" i="5"/>
  <c r="H1369" i="5"/>
  <c r="G1472" i="5"/>
  <c r="H244" i="5"/>
  <c r="H727" i="5"/>
  <c r="G576" i="5"/>
  <c r="G1565" i="5"/>
  <c r="G195" i="5"/>
  <c r="H666" i="5"/>
  <c r="G1382" i="5"/>
  <c r="H521" i="5"/>
  <c r="G1740" i="5"/>
  <c r="H1169" i="5"/>
  <c r="H1654" i="5"/>
  <c r="H290" i="5"/>
  <c r="G772" i="5"/>
  <c r="G19" i="5"/>
  <c r="G724" i="5"/>
  <c r="G991" i="5"/>
  <c r="H737" i="5"/>
  <c r="H1188" i="5"/>
  <c r="H1292" i="5"/>
  <c r="G1096" i="5"/>
  <c r="G1087" i="5"/>
  <c r="H323" i="5"/>
  <c r="H1185" i="5"/>
  <c r="H470" i="5"/>
  <c r="H38" i="5"/>
  <c r="H471" i="5"/>
  <c r="H874" i="5"/>
  <c r="H817" i="5"/>
  <c r="G126" i="5"/>
  <c r="H1405" i="5"/>
  <c r="G128" i="5"/>
  <c r="G1275" i="5"/>
  <c r="H312" i="5"/>
  <c r="G604" i="5"/>
  <c r="H124" i="5"/>
  <c r="H683" i="5"/>
  <c r="G1202" i="5"/>
  <c r="H848" i="5"/>
  <c r="H387" i="5"/>
  <c r="H852" i="5"/>
  <c r="G28" i="5"/>
  <c r="G886" i="5"/>
  <c r="H1333" i="5"/>
  <c r="H1156" i="5"/>
  <c r="H1215" i="5"/>
  <c r="G651" i="5"/>
  <c r="H466" i="5"/>
  <c r="G1530" i="5"/>
  <c r="G1540" i="5"/>
  <c r="G1399" i="5"/>
  <c r="G224" i="5"/>
  <c r="G557" i="5"/>
  <c r="G1649" i="5"/>
  <c r="H1698" i="5"/>
  <c r="H1384" i="5"/>
  <c r="H1507" i="5"/>
  <c r="G485" i="5"/>
  <c r="G803" i="5"/>
  <c r="G186" i="5"/>
  <c r="G1457" i="5"/>
  <c r="G539" i="5"/>
  <c r="H1493" i="5"/>
  <c r="G597" i="5"/>
  <c r="T1737" i="5"/>
  <c r="H1694" i="5"/>
  <c r="H672" i="5"/>
  <c r="H685" i="5"/>
  <c r="G577" i="5"/>
  <c r="H1089" i="5"/>
  <c r="G1306" i="5"/>
  <c r="G989" i="5"/>
  <c r="H373" i="5"/>
  <c r="G5" i="5"/>
  <c r="H1644" i="5"/>
  <c r="H103" i="5"/>
  <c r="G207" i="5"/>
  <c r="H627" i="5"/>
  <c r="S1672" i="5"/>
  <c r="G1305" i="5"/>
  <c r="H663" i="5"/>
  <c r="H168" i="5"/>
  <c r="H497" i="5"/>
  <c r="G1647" i="5"/>
  <c r="G181" i="5"/>
  <c r="R172" i="5"/>
  <c r="G6" i="5"/>
  <c r="H1540" i="5"/>
  <c r="H856" i="5"/>
  <c r="H212" i="5"/>
  <c r="G1704" i="5"/>
  <c r="G369" i="5"/>
  <c r="G1454" i="5"/>
  <c r="H1147" i="5"/>
  <c r="G705" i="5"/>
  <c r="G888" i="5"/>
  <c r="G1064" i="5"/>
  <c r="R277" i="5"/>
  <c r="H762" i="5"/>
  <c r="H1533" i="5"/>
  <c r="H1278" i="5"/>
  <c r="H1217" i="5"/>
  <c r="H404" i="5"/>
  <c r="G1051" i="5"/>
  <c r="H1346" i="5"/>
  <c r="H1150" i="5"/>
  <c r="G876" i="5"/>
  <c r="H445" i="5"/>
  <c r="G464" i="5"/>
  <c r="H862" i="5"/>
  <c r="H1727" i="5"/>
  <c r="H1721" i="5"/>
  <c r="R207" i="5"/>
  <c r="G1142" i="5"/>
  <c r="G1449" i="5"/>
  <c r="H926" i="5"/>
  <c r="H1706" i="5"/>
  <c r="H1216" i="5"/>
  <c r="Y1027" i="5"/>
  <c r="H395" i="5"/>
  <c r="H1133" i="5"/>
  <c r="G1192" i="5"/>
  <c r="H234" i="5"/>
  <c r="H1580" i="5"/>
  <c r="H573" i="5"/>
  <c r="H695" i="5"/>
  <c r="G289" i="5"/>
  <c r="H165" i="5"/>
  <c r="R1357" i="5"/>
  <c r="H304" i="5"/>
  <c r="G668" i="5"/>
  <c r="G727" i="5"/>
  <c r="H607" i="5"/>
  <c r="H1299" i="5"/>
  <c r="H462" i="5"/>
  <c r="R1722" i="5"/>
  <c r="G809" i="5"/>
  <c r="H712" i="5"/>
  <c r="H17" i="5"/>
  <c r="G1716" i="5"/>
  <c r="G36" i="5"/>
  <c r="H765" i="5"/>
  <c r="S1697" i="5"/>
  <c r="G384" i="5"/>
  <c r="H1474" i="5"/>
  <c r="G854" i="5"/>
  <c r="H1088" i="5"/>
  <c r="G372" i="5"/>
  <c r="H69" i="5"/>
  <c r="H446" i="5"/>
  <c r="G218" i="5"/>
  <c r="G1529" i="5"/>
  <c r="G63" i="5"/>
  <c r="G963" i="5"/>
  <c r="G1176" i="5"/>
  <c r="G943" i="5"/>
  <c r="R1592" i="5"/>
  <c r="Y122" i="5"/>
  <c r="H16" i="5"/>
  <c r="S1742" i="5"/>
  <c r="H414" i="5"/>
  <c r="H758" i="5"/>
  <c r="H818" i="5"/>
  <c r="H664" i="5"/>
  <c r="G1498" i="5"/>
  <c r="H1632" i="5"/>
  <c r="G864" i="5"/>
  <c r="H187" i="5"/>
  <c r="H917" i="5"/>
  <c r="H1670" i="5"/>
  <c r="T1697" i="5"/>
  <c r="AB1642" i="5"/>
  <c r="G194" i="5"/>
  <c r="G440" i="5"/>
  <c r="G1274" i="5"/>
  <c r="G12" i="5"/>
  <c r="G703" i="5"/>
  <c r="G979" i="5"/>
  <c r="G997" i="5"/>
  <c r="H1477" i="5"/>
  <c r="G1284" i="5"/>
  <c r="H1617" i="5"/>
  <c r="G1349" i="5"/>
  <c r="G252" i="5"/>
  <c r="H723" i="5"/>
  <c r="H750" i="5"/>
  <c r="H392" i="5"/>
  <c r="R662" i="5"/>
  <c r="H221" i="5"/>
  <c r="H948" i="5"/>
  <c r="Y927" i="5"/>
  <c r="G1144" i="5"/>
  <c r="G1268" i="5"/>
  <c r="G1180" i="5"/>
  <c r="H749" i="5"/>
  <c r="G598" i="5"/>
  <c r="H544" i="5"/>
  <c r="G773" i="5"/>
  <c r="G548" i="5"/>
  <c r="H1479" i="5"/>
  <c r="G608" i="5"/>
  <c r="H348" i="5"/>
  <c r="R517" i="5"/>
  <c r="S1737" i="5"/>
  <c r="Y1282" i="5"/>
  <c r="R497" i="5"/>
  <c r="H321" i="5"/>
  <c r="G756" i="5"/>
  <c r="G1372" i="5"/>
  <c r="H763" i="5"/>
  <c r="G1226" i="5"/>
  <c r="H736" i="5"/>
  <c r="H550" i="5"/>
  <c r="G1052" i="5"/>
  <c r="G422" i="5"/>
  <c r="Y627" i="5"/>
  <c r="Y717" i="5"/>
  <c r="H123" i="5"/>
  <c r="G1285" i="5"/>
  <c r="Z1727" i="5"/>
  <c r="G507" i="5"/>
  <c r="G634" i="5"/>
  <c r="G516" i="5"/>
  <c r="H1295" i="5"/>
  <c r="G373" i="5"/>
  <c r="G829" i="5"/>
  <c r="G1156" i="5"/>
  <c r="G102" i="5"/>
  <c r="G730" i="5"/>
  <c r="H655" i="5"/>
  <c r="H914" i="5"/>
  <c r="G325" i="5"/>
  <c r="H1360" i="5"/>
  <c r="H128" i="5"/>
  <c r="H1329" i="5"/>
  <c r="H576" i="5"/>
  <c r="H1132" i="5"/>
  <c r="G605" i="5"/>
  <c r="G1352" i="5"/>
  <c r="G433" i="5"/>
  <c r="G209" i="5"/>
  <c r="H1184" i="5"/>
  <c r="H649" i="5"/>
  <c r="G558" i="5"/>
  <c r="H109" i="5"/>
  <c r="Y152" i="5"/>
  <c r="H1465" i="5"/>
  <c r="G1236" i="5"/>
  <c r="G314" i="5"/>
  <c r="H891" i="5"/>
  <c r="H807" i="5"/>
  <c r="Z1627" i="5"/>
  <c r="Y347" i="5"/>
  <c r="H603" i="5"/>
  <c r="G1643" i="5"/>
  <c r="H793" i="5"/>
  <c r="R512" i="5"/>
  <c r="H119" i="5"/>
  <c r="G278" i="5"/>
  <c r="G258" i="5"/>
  <c r="G378" i="5"/>
  <c r="G1657" i="5"/>
  <c r="G404" i="5"/>
  <c r="Y992" i="5"/>
  <c r="H1565" i="5"/>
  <c r="H1376" i="5"/>
  <c r="H1600" i="5"/>
  <c r="R997" i="5"/>
  <c r="G1388" i="5"/>
  <c r="G246" i="5"/>
  <c r="H220" i="5"/>
  <c r="G994" i="5"/>
  <c r="G1252" i="5"/>
  <c r="R1447" i="5"/>
  <c r="G1676" i="5"/>
  <c r="H785" i="5"/>
  <c r="Y747" i="5"/>
  <c r="R927" i="5"/>
  <c r="Y1352" i="5"/>
  <c r="G1616" i="5"/>
  <c r="H357" i="5"/>
  <c r="R842" i="5"/>
  <c r="G233" i="5"/>
  <c r="G1521" i="5"/>
  <c r="G1210" i="5"/>
  <c r="G923" i="5"/>
  <c r="Y1297" i="5"/>
  <c r="G957" i="5"/>
  <c r="G396" i="5"/>
  <c r="H485" i="5"/>
  <c r="G1327" i="5"/>
  <c r="G1705" i="5"/>
  <c r="G1173" i="5"/>
  <c r="H899" i="5"/>
  <c r="H575" i="5"/>
  <c r="G1316" i="5"/>
  <c r="H753" i="5"/>
  <c r="R1332" i="5"/>
  <c r="H1317" i="5"/>
  <c r="H381" i="5"/>
  <c r="G1430" i="5"/>
  <c r="H78" i="5"/>
  <c r="G1340" i="5"/>
  <c r="G671" i="5"/>
  <c r="G807" i="5"/>
  <c r="H1678" i="5"/>
  <c r="H970" i="5"/>
  <c r="Y1677" i="5"/>
  <c r="R302" i="5"/>
  <c r="G673" i="5"/>
  <c r="G891" i="5"/>
  <c r="G364" i="5"/>
  <c r="H1173" i="5"/>
  <c r="G1519" i="5"/>
  <c r="G793" i="5"/>
  <c r="G1097" i="5"/>
  <c r="H812" i="5"/>
  <c r="G611" i="5"/>
  <c r="G932" i="5"/>
  <c r="G1065" i="5"/>
  <c r="R1017" i="5"/>
  <c r="G1024" i="5"/>
  <c r="H1422" i="5"/>
  <c r="G1080" i="5"/>
  <c r="G868" i="5"/>
  <c r="H1404" i="5"/>
  <c r="H1323" i="5"/>
  <c r="G919" i="5"/>
  <c r="H1432" i="5"/>
  <c r="G1057" i="5"/>
  <c r="G1334" i="5"/>
  <c r="G1044" i="5"/>
  <c r="H1083" i="5"/>
  <c r="G536" i="5"/>
  <c r="G607" i="5"/>
  <c r="G1661" i="5"/>
  <c r="G1134" i="5"/>
  <c r="R762" i="5"/>
  <c r="G228" i="5"/>
  <c r="H617" i="5"/>
  <c r="H1573" i="5"/>
  <c r="Y522" i="5"/>
  <c r="H1564" i="5"/>
  <c r="H195" i="5"/>
  <c r="R772" i="5"/>
  <c r="Y47" i="5"/>
  <c r="H1349" i="5"/>
  <c r="G753" i="5"/>
  <c r="G841" i="5"/>
  <c r="V1637" i="5"/>
  <c r="G556" i="5"/>
  <c r="Y777" i="5"/>
  <c r="R142" i="5"/>
  <c r="G1366" i="5"/>
  <c r="G227" i="5"/>
  <c r="G1393" i="5"/>
  <c r="H1110" i="5"/>
  <c r="H459" i="5"/>
  <c r="G141" i="5"/>
  <c r="H589" i="5"/>
  <c r="G961" i="5"/>
  <c r="H1495" i="5"/>
  <c r="G223" i="5"/>
  <c r="G267" i="5"/>
  <c r="H623" i="5"/>
  <c r="G563" i="5"/>
  <c r="G515" i="5"/>
  <c r="G462" i="5"/>
  <c r="G1120" i="5"/>
  <c r="G1326" i="5"/>
  <c r="H452" i="5"/>
  <c r="Y402" i="5"/>
  <c r="G763" i="5"/>
  <c r="H982" i="5"/>
  <c r="AB1697" i="5"/>
  <c r="Y472" i="5"/>
  <c r="Y1612" i="5"/>
  <c r="G1106" i="5"/>
  <c r="H876" i="5"/>
  <c r="G649" i="5"/>
  <c r="G1480" i="5"/>
  <c r="G1315" i="5"/>
  <c r="G13" i="5"/>
  <c r="G609" i="5"/>
  <c r="G1189" i="5"/>
  <c r="Y1082" i="5"/>
  <c r="G688" i="5"/>
  <c r="G1423" i="5"/>
  <c r="H230" i="5"/>
  <c r="R642" i="5"/>
  <c r="G1636" i="5"/>
  <c r="H998" i="5"/>
  <c r="H96" i="5"/>
  <c r="H253" i="5"/>
  <c r="G593" i="5"/>
  <c r="R1397" i="5"/>
  <c r="H276" i="5"/>
  <c r="H778" i="5"/>
  <c r="G472" i="5"/>
  <c r="H1205" i="5"/>
  <c r="Y1112" i="5"/>
  <c r="H131" i="5"/>
  <c r="H216" i="5"/>
  <c r="Y1482" i="5"/>
  <c r="G1043" i="5"/>
  <c r="H665" i="5"/>
  <c r="G125" i="5"/>
  <c r="G268" i="5"/>
  <c r="G1694" i="5"/>
  <c r="H162" i="5"/>
  <c r="H477" i="5"/>
  <c r="G571" i="5"/>
  <c r="H1719" i="5"/>
  <c r="H610" i="5"/>
  <c r="H1308" i="5"/>
  <c r="H1104" i="5"/>
  <c r="H1513" i="5"/>
  <c r="G16" i="5"/>
  <c r="G899" i="5"/>
  <c r="H40" i="5"/>
  <c r="G922" i="5"/>
  <c r="H1247" i="5"/>
  <c r="G1708" i="5"/>
  <c r="G945" i="5"/>
  <c r="H453" i="5"/>
  <c r="H933" i="5"/>
  <c r="G940" i="5"/>
  <c r="G1251" i="5"/>
  <c r="V1662" i="5"/>
  <c r="G766" i="5"/>
  <c r="G616" i="5"/>
  <c r="R1542" i="5"/>
  <c r="R1517" i="5"/>
  <c r="G1429" i="5"/>
  <c r="H1450" i="5"/>
  <c r="H681" i="5"/>
  <c r="G1592" i="5"/>
  <c r="Y1072" i="5"/>
  <c r="H82" i="5"/>
  <c r="G1389" i="5"/>
  <c r="G660" i="5"/>
  <c r="G921" i="5"/>
  <c r="G704" i="5"/>
  <c r="G1628" i="5"/>
  <c r="G106" i="5"/>
  <c r="H645" i="5"/>
  <c r="R1242" i="5"/>
  <c r="G1512" i="5"/>
  <c r="H18" i="5"/>
  <c r="H77" i="5"/>
  <c r="H1734" i="5"/>
  <c r="H403" i="5"/>
  <c r="H1182" i="5"/>
  <c r="H842" i="5"/>
  <c r="H872" i="5"/>
  <c r="G1508" i="5"/>
  <c r="G760" i="5"/>
  <c r="R1602" i="5"/>
  <c r="G1099" i="5"/>
  <c r="G1517" i="5"/>
  <c r="G1035" i="5"/>
  <c r="G360" i="5"/>
  <c r="H1025" i="5"/>
  <c r="Y1732" i="5"/>
  <c r="H1661" i="5"/>
  <c r="H120" i="5"/>
  <c r="G1175" i="5"/>
  <c r="G1292" i="5"/>
  <c r="H224" i="5"/>
  <c r="H803" i="5"/>
  <c r="R1222" i="5"/>
  <c r="H1622" i="5"/>
  <c r="U1742" i="5"/>
  <c r="Y2" i="5"/>
  <c r="G553" i="5"/>
  <c r="Y1647" i="5"/>
  <c r="H1439" i="5"/>
  <c r="G465" i="5"/>
  <c r="H951" i="5"/>
  <c r="H70" i="5"/>
  <c r="G857" i="5"/>
  <c r="H371" i="5"/>
  <c r="H1701" i="5"/>
  <c r="H100" i="5"/>
  <c r="H1041" i="5"/>
  <c r="G802" i="5"/>
  <c r="G644" i="5"/>
  <c r="H1480" i="5"/>
  <c r="G1105" i="5"/>
  <c r="H771" i="5"/>
  <c r="G699" i="5"/>
  <c r="H418" i="5"/>
  <c r="H1024" i="5"/>
  <c r="G692" i="5"/>
  <c r="G1552" i="5"/>
  <c r="H1714" i="5"/>
  <c r="H713" i="5"/>
  <c r="H1702" i="5"/>
  <c r="H1158" i="5"/>
  <c r="H1462" i="5"/>
  <c r="H802" i="5"/>
  <c r="G1116" i="5"/>
  <c r="G1088" i="5"/>
  <c r="G1453" i="5"/>
  <c r="G1168" i="5"/>
  <c r="G1493" i="5"/>
  <c r="G453" i="5"/>
  <c r="G1555" i="5"/>
  <c r="H191" i="5"/>
  <c r="G513" i="5"/>
  <c r="G592" i="5"/>
  <c r="G1053" i="5"/>
  <c r="H1026" i="5"/>
  <c r="H289" i="5"/>
  <c r="H436" i="5"/>
  <c r="H1401" i="5"/>
  <c r="G179" i="5"/>
  <c r="H730" i="5"/>
  <c r="G527" i="5"/>
  <c r="Y962" i="5"/>
  <c r="G566" i="5"/>
  <c r="H1134" i="5"/>
  <c r="G1596" i="5"/>
  <c r="H1689" i="5"/>
  <c r="R1727" i="5"/>
  <c r="G613" i="5"/>
  <c r="Y17" i="5"/>
  <c r="H144" i="5"/>
  <c r="H148" i="5"/>
  <c r="G32" i="5"/>
  <c r="G1204" i="5"/>
  <c r="H272" i="5"/>
  <c r="G411" i="5"/>
  <c r="H231" i="5"/>
  <c r="H1160" i="5"/>
  <c r="H866" i="5"/>
  <c r="G728" i="5"/>
  <c r="H95" i="5"/>
  <c r="H1288" i="5"/>
  <c r="G1576" i="5"/>
  <c r="H1023" i="5"/>
  <c r="G1635" i="5"/>
  <c r="G1058" i="5"/>
  <c r="G1459" i="5"/>
  <c r="G900" i="5"/>
  <c r="G510" i="5"/>
  <c r="G1581" i="5"/>
  <c r="H1117" i="5"/>
  <c r="G1712" i="5"/>
  <c r="R1067" i="5"/>
  <c r="G323" i="5"/>
  <c r="G448" i="5"/>
  <c r="G1584" i="5"/>
  <c r="H805" i="5"/>
  <c r="R457" i="5"/>
  <c r="G1246" i="5"/>
  <c r="R472" i="5"/>
  <c r="H391" i="5"/>
  <c r="G1443" i="5"/>
  <c r="G546" i="5"/>
  <c r="H1741" i="5"/>
  <c r="Y1737" i="5"/>
  <c r="H1245" i="5"/>
  <c r="R362" i="5"/>
  <c r="G804" i="5"/>
  <c r="H1345" i="5"/>
  <c r="H572" i="5"/>
  <c r="H469" i="5"/>
  <c r="G679" i="5"/>
  <c r="H819" i="5"/>
  <c r="H1589" i="5"/>
  <c r="G992" i="5"/>
  <c r="H39" i="5"/>
  <c r="H1487" i="5"/>
  <c r="H1309" i="5"/>
  <c r="G1297" i="5"/>
  <c r="Y952" i="5"/>
  <c r="H1304" i="5"/>
  <c r="H1212" i="5"/>
  <c r="S1682" i="5"/>
  <c r="G1215" i="5"/>
  <c r="H1550" i="5"/>
  <c r="G1544" i="5"/>
  <c r="H1711" i="5"/>
  <c r="AA1732" i="5"/>
  <c r="Y632" i="5"/>
  <c r="R1697" i="5"/>
  <c r="H181" i="5"/>
  <c r="G409" i="5"/>
  <c r="H554" i="5"/>
  <c r="Y1527" i="5"/>
  <c r="H1167" i="5"/>
  <c r="Y67" i="5"/>
  <c r="H1613" i="5"/>
  <c r="H1582" i="5"/>
  <c r="H473" i="5"/>
  <c r="G498" i="5"/>
  <c r="G560" i="5"/>
  <c r="G333" i="5"/>
  <c r="H1176" i="5"/>
  <c r="H456" i="5"/>
  <c r="H425" i="5"/>
  <c r="G1021" i="5"/>
  <c r="G882" i="5"/>
  <c r="G631" i="5"/>
  <c r="H1256" i="5"/>
  <c r="H1451" i="5"/>
  <c r="Y137" i="5"/>
  <c r="H1396" i="5"/>
  <c r="H1677" i="5"/>
  <c r="H192" i="5"/>
  <c r="G908" i="5"/>
  <c r="H55" i="5"/>
  <c r="G851" i="5"/>
  <c r="H1174" i="5"/>
  <c r="H1195" i="5"/>
  <c r="G1621" i="5"/>
  <c r="G1194" i="5"/>
  <c r="H1371" i="5"/>
  <c r="H1514" i="5"/>
  <c r="H464" i="5"/>
  <c r="H782" i="5"/>
  <c r="H523" i="5"/>
  <c r="G1167" i="5"/>
  <c r="H1374" i="5"/>
  <c r="H1302" i="5"/>
  <c r="G984" i="5"/>
  <c r="G896" i="5"/>
  <c r="G1255" i="5"/>
  <c r="H1394" i="5"/>
  <c r="G1151" i="5"/>
  <c r="H999" i="5"/>
  <c r="G1450" i="5"/>
  <c r="H869" i="5"/>
  <c r="G17" i="5"/>
  <c r="G198" i="5"/>
  <c r="H1518" i="5"/>
  <c r="G892" i="5"/>
  <c r="R1487" i="5"/>
  <c r="H728" i="5"/>
  <c r="H139" i="5"/>
  <c r="H1668" i="5"/>
  <c r="G551" i="5"/>
  <c r="H568" i="5"/>
  <c r="T1657" i="5"/>
  <c r="G550" i="5"/>
  <c r="H177" i="5"/>
  <c r="G981" i="5"/>
  <c r="H1100" i="5"/>
  <c r="H670" i="5"/>
  <c r="G1718" i="5"/>
  <c r="R1582" i="5"/>
  <c r="H559" i="5"/>
  <c r="Y172" i="5"/>
  <c r="G951" i="5"/>
  <c r="H491" i="5"/>
  <c r="H1324" i="5"/>
  <c r="G1048" i="5"/>
  <c r="G352" i="5"/>
  <c r="G1417" i="5"/>
  <c r="H1732" i="5"/>
  <c r="Y1492" i="5"/>
  <c r="H356" i="5"/>
  <c r="H1575" i="5"/>
  <c r="G1376" i="5"/>
  <c r="H359" i="5"/>
  <c r="H1359" i="5"/>
  <c r="H427" i="5"/>
  <c r="G1426" i="5"/>
  <c r="H31" i="5"/>
  <c r="H699" i="5"/>
  <c r="H488" i="5"/>
  <c r="G1170" i="5"/>
  <c r="H977" i="5"/>
  <c r="G1413" i="5"/>
  <c r="G1606" i="5"/>
  <c r="H679" i="5"/>
  <c r="H1234" i="5"/>
  <c r="Y932" i="5"/>
  <c r="H1020" i="5"/>
  <c r="G1532" i="5"/>
  <c r="G866" i="5"/>
  <c r="H1472" i="5"/>
  <c r="G487" i="5"/>
  <c r="H716" i="5"/>
  <c r="R1142" i="5"/>
  <c r="G349" i="5"/>
  <c r="G990" i="5"/>
  <c r="G1711" i="5"/>
  <c r="H547" i="5"/>
  <c r="G678" i="5"/>
  <c r="Y1597" i="5"/>
  <c r="H925" i="5"/>
  <c r="H511" i="5"/>
  <c r="G1111" i="5"/>
  <c r="G94" i="5"/>
  <c r="H1486" i="5"/>
  <c r="G1248" i="5"/>
  <c r="H352" i="5"/>
  <c r="Y532" i="5"/>
  <c r="G840" i="5"/>
  <c r="G210" i="5"/>
  <c r="H1339" i="5"/>
  <c r="Z1712" i="5"/>
  <c r="G64" i="5"/>
  <c r="G965" i="5"/>
  <c r="Y337" i="5"/>
  <c r="G1403" i="5"/>
  <c r="G163" i="5"/>
  <c r="G1481" i="5"/>
  <c r="G451" i="5"/>
  <c r="G1432" i="5"/>
  <c r="H825" i="5"/>
  <c r="R587" i="5"/>
  <c r="G1717" i="5"/>
  <c r="H1549" i="5"/>
  <c r="H190" i="5"/>
  <c r="G1536" i="5"/>
  <c r="G1627" i="5"/>
  <c r="H1656" i="5"/>
  <c r="H942" i="5"/>
  <c r="H1186" i="5"/>
  <c r="H1420" i="5"/>
  <c r="H1248" i="5"/>
  <c r="G1214" i="5"/>
  <c r="G1428" i="5"/>
  <c r="G534" i="5"/>
  <c r="R827" i="5"/>
  <c r="Y692" i="5"/>
  <c r="G1469" i="5"/>
  <c r="H1028" i="5"/>
  <c r="H1246" i="5"/>
  <c r="H1142" i="5"/>
  <c r="G1638" i="5"/>
  <c r="G1188" i="5"/>
  <c r="H916" i="5"/>
  <c r="H1290" i="5"/>
  <c r="R542" i="5"/>
  <c r="G1685" i="5"/>
  <c r="H324" i="5"/>
  <c r="G918" i="5"/>
  <c r="H498" i="5"/>
  <c r="H972" i="5"/>
  <c r="G711" i="5"/>
  <c r="H643" i="5"/>
  <c r="G61" i="5"/>
  <c r="H1263" i="5"/>
  <c r="H399" i="5"/>
  <c r="H428" i="5"/>
  <c r="H757" i="5"/>
  <c r="H247" i="5"/>
  <c r="H767" i="5"/>
  <c r="H1207" i="5"/>
  <c r="R1232" i="5"/>
  <c r="G405" i="5"/>
  <c r="H520" i="5"/>
  <c r="G254" i="5"/>
  <c r="H106" i="5"/>
  <c r="H792" i="5"/>
  <c r="H906" i="5"/>
  <c r="H615" i="5"/>
  <c r="G751" i="5"/>
  <c r="G960" i="5"/>
  <c r="Y842" i="5"/>
  <c r="Y1472" i="5"/>
  <c r="G1177" i="5"/>
  <c r="H90" i="5"/>
  <c r="H1121" i="5"/>
  <c r="H176" i="5"/>
  <c r="G1103" i="5"/>
  <c r="Y1247" i="5"/>
  <c r="G294" i="5"/>
  <c r="H725" i="5"/>
  <c r="G929" i="5"/>
  <c r="R162" i="5"/>
  <c r="G1660" i="5"/>
  <c r="H1385" i="5"/>
  <c r="H1272" i="5"/>
  <c r="G1056" i="5"/>
  <c r="G522" i="5"/>
  <c r="H1740" i="5"/>
  <c r="G1698" i="5"/>
  <c r="H1242" i="5"/>
  <c r="H1050" i="5"/>
  <c r="Z1667" i="5"/>
  <c r="G379" i="5"/>
  <c r="G1677" i="5"/>
  <c r="G716" i="5"/>
  <c r="H1010" i="5"/>
  <c r="U1732" i="5"/>
  <c r="G1537" i="5"/>
  <c r="G839" i="5"/>
  <c r="G1408" i="5"/>
  <c r="G778" i="5"/>
  <c r="H967" i="5"/>
  <c r="H407" i="5"/>
  <c r="H1035" i="5"/>
  <c r="G861" i="5"/>
  <c r="G1230" i="5"/>
  <c r="R1297" i="5"/>
  <c r="H213" i="5"/>
  <c r="G305" i="5"/>
  <c r="G1084" i="5"/>
  <c r="H585" i="5"/>
  <c r="H668" i="5"/>
  <c r="G698" i="5"/>
  <c r="G331" i="5"/>
  <c r="G362" i="5"/>
  <c r="H587" i="5"/>
  <c r="G1651" i="5"/>
  <c r="H287" i="5"/>
  <c r="H1044" i="5"/>
  <c r="G356" i="5"/>
  <c r="R1267" i="5"/>
  <c r="H739" i="5"/>
  <c r="H1347" i="5"/>
  <c r="G427" i="5"/>
  <c r="AB1647" i="5"/>
  <c r="R1412" i="5"/>
  <c r="G1588" i="5"/>
  <c r="R202" i="5"/>
  <c r="G1098" i="5"/>
  <c r="H553" i="5"/>
  <c r="G863" i="5"/>
  <c r="R597" i="5"/>
  <c r="H1427" i="5"/>
  <c r="G765" i="5"/>
  <c r="H1004" i="5"/>
  <c r="H885" i="5"/>
  <c r="H791" i="5"/>
  <c r="Y517" i="5"/>
  <c r="H330" i="5"/>
  <c r="H566" i="5"/>
  <c r="H1435" i="5"/>
  <c r="Y1487" i="5"/>
  <c r="G1070" i="5"/>
  <c r="H1137" i="5"/>
  <c r="H969" i="5"/>
  <c r="H557" i="5"/>
  <c r="Y157" i="5"/>
  <c r="T1672" i="5"/>
  <c r="R1117" i="5"/>
  <c r="H156" i="5"/>
  <c r="G1404" i="5"/>
  <c r="H1588" i="5"/>
  <c r="H1289" i="5"/>
  <c r="G1662" i="5"/>
  <c r="G486" i="5"/>
  <c r="H1491" i="5"/>
  <c r="G1211" i="5"/>
  <c r="R1432" i="5"/>
  <c r="Y422" i="5"/>
  <c r="H1726" i="5"/>
  <c r="Y1562" i="5"/>
  <c r="H227" i="5"/>
  <c r="H63" i="5"/>
  <c r="R682" i="5"/>
  <c r="G1422" i="5"/>
  <c r="H809" i="5"/>
  <c r="G298" i="5"/>
  <c r="G1458" i="5"/>
  <c r="G320" i="5"/>
  <c r="H1126" i="5"/>
  <c r="H8" i="5"/>
  <c r="H955" i="5"/>
  <c r="G315" i="5"/>
  <c r="H1122" i="5"/>
  <c r="G658" i="5"/>
  <c r="H637" i="5"/>
  <c r="U1632" i="5"/>
  <c r="G721" i="5"/>
  <c r="H1463" i="5"/>
  <c r="H833" i="5"/>
  <c r="G415" i="5"/>
  <c r="H717" i="5"/>
  <c r="H590" i="5"/>
  <c r="G368" i="5"/>
  <c r="H1393" i="5"/>
  <c r="G53" i="5"/>
  <c r="G595" i="5"/>
  <c r="H1478" i="5"/>
  <c r="H744" i="5"/>
  <c r="H1414" i="5"/>
  <c r="G1680" i="5"/>
  <c r="G1108" i="5"/>
  <c r="H1081" i="5"/>
  <c r="G1201" i="5"/>
  <c r="G818" i="5"/>
  <c r="H707" i="5"/>
  <c r="Y787" i="5"/>
  <c r="G1270" i="5"/>
  <c r="R1247" i="5"/>
  <c r="H366" i="5"/>
  <c r="H137" i="5"/>
  <c r="H734" i="5"/>
  <c r="H592" i="5"/>
  <c r="H1561" i="5"/>
  <c r="R432" i="5"/>
  <c r="H1634" i="5"/>
  <c r="H432" i="5"/>
  <c r="H1283" i="5"/>
  <c r="G1186" i="5"/>
  <c r="G1089" i="5"/>
  <c r="H1340" i="5"/>
  <c r="G828" i="5"/>
  <c r="Y367" i="5"/>
  <c r="H461" i="5"/>
  <c r="G1479" i="5"/>
  <c r="H1531" i="5"/>
  <c r="H1679" i="5"/>
  <c r="G958" i="5"/>
  <c r="G1513" i="5"/>
  <c r="Y1512" i="5"/>
  <c r="H1240" i="5"/>
  <c r="H134" i="5"/>
  <c r="G954" i="5"/>
  <c r="G1295" i="5"/>
  <c r="G499" i="5"/>
  <c r="G1467" i="5"/>
  <c r="H245" i="5"/>
  <c r="G187" i="5"/>
  <c r="Y102" i="5"/>
  <c r="H481" i="5"/>
  <c r="G457" i="5"/>
  <c r="G736" i="5"/>
  <c r="H569" i="5"/>
  <c r="G1556" i="5"/>
  <c r="H638" i="5"/>
  <c r="H892" i="5"/>
  <c r="H1576" i="5"/>
  <c r="G1160" i="5"/>
  <c r="AB1692" i="5"/>
  <c r="G843" i="5"/>
  <c r="H880" i="5"/>
  <c r="G722" i="5"/>
  <c r="G200" i="5"/>
  <c r="Y22" i="5"/>
  <c r="G1609" i="5"/>
  <c r="H1259" i="5"/>
  <c r="G846" i="5"/>
  <c r="G784" i="5"/>
  <c r="G1332" i="5"/>
  <c r="H368" i="5"/>
  <c r="Y707" i="5"/>
  <c r="R1497" i="5"/>
  <c r="G697" i="5"/>
  <c r="Y652" i="5"/>
  <c r="Y1522" i="5"/>
  <c r="R152" i="5"/>
  <c r="H1193" i="5"/>
  <c r="Y1152" i="5"/>
  <c r="H1021" i="5"/>
  <c r="G138" i="5"/>
  <c r="H1681" i="5"/>
  <c r="H1076" i="5"/>
  <c r="G1648" i="5"/>
  <c r="R622" i="5"/>
  <c r="G137" i="5"/>
  <c r="H1440" i="5"/>
  <c r="G1442" i="5"/>
  <c r="G1350" i="5"/>
  <c r="G1113" i="5"/>
  <c r="H973" i="5"/>
  <c r="G184" i="5"/>
  <c r="Y1362" i="5"/>
  <c r="H37" i="5"/>
  <c r="G1242" i="5"/>
  <c r="H463" i="5"/>
  <c r="G1435" i="5"/>
  <c r="G393" i="5"/>
  <c r="H752" i="5"/>
  <c r="H20" i="5"/>
  <c r="H219" i="5"/>
  <c r="G638" i="5"/>
  <c r="G827" i="5"/>
  <c r="G1542" i="5"/>
  <c r="AB1707" i="5"/>
  <c r="Y997" i="5"/>
  <c r="R1152" i="5"/>
  <c r="G946" i="5"/>
  <c r="G361" i="5"/>
  <c r="H1001" i="5"/>
  <c r="R1367" i="5"/>
  <c r="H1362" i="5"/>
  <c r="G494" i="5"/>
  <c r="G437" i="5"/>
  <c r="V1632" i="5"/>
  <c r="G950" i="5"/>
  <c r="G762" i="5"/>
  <c r="G1561" i="5"/>
  <c r="G281" i="5"/>
  <c r="H783" i="5"/>
  <c r="H731" i="5"/>
  <c r="H1456" i="5"/>
  <c r="G1085" i="5"/>
  <c r="G912" i="5"/>
  <c r="H1199" i="5"/>
  <c r="G423" i="5"/>
  <c r="H650" i="5"/>
  <c r="H634" i="5"/>
  <c r="H543" i="5"/>
  <c r="G1407" i="5"/>
  <c r="H1664" i="5"/>
  <c r="G324" i="5"/>
  <c r="H89" i="5"/>
  <c r="H1657" i="5"/>
  <c r="G838" i="5"/>
  <c r="G1046" i="5"/>
  <c r="H430" i="5"/>
  <c r="G449" i="5"/>
  <c r="H1453" i="5"/>
  <c r="H385" i="5"/>
  <c r="G1509" i="5"/>
  <c r="H633" i="5"/>
  <c r="G2" i="5"/>
  <c r="H201" i="5"/>
  <c r="G1164" i="5"/>
  <c r="H6" i="5"/>
  <c r="H1253" i="5"/>
  <c r="Y1207" i="5"/>
  <c r="H499" i="5"/>
  <c r="AA1652" i="5"/>
  <c r="H1739" i="5"/>
  <c r="G84" i="5"/>
  <c r="H1009" i="5"/>
  <c r="G567" i="5"/>
  <c r="G911" i="5"/>
  <c r="G1681" i="5"/>
  <c r="G1360" i="5"/>
  <c r="H1382" i="5"/>
  <c r="H984" i="5"/>
  <c r="H797" i="5"/>
  <c r="Y382" i="5"/>
  <c r="H113" i="5"/>
  <c r="R1027" i="5"/>
  <c r="H1499" i="5"/>
  <c r="H1275" i="5"/>
  <c r="G424" i="5"/>
  <c r="H193" i="5"/>
  <c r="G978" i="5"/>
  <c r="G493" i="5"/>
  <c r="G439" i="5"/>
  <c r="G1746" i="5"/>
  <c r="H701" i="5"/>
  <c r="G1416" i="5"/>
  <c r="H68" i="5"/>
  <c r="H1291" i="5"/>
  <c r="Y317" i="5"/>
  <c r="H828" i="5"/>
  <c r="G1488" i="5"/>
  <c r="G76" i="5"/>
  <c r="G1128" i="5"/>
  <c r="G206" i="5"/>
  <c r="H178" i="5"/>
  <c r="H388" i="5"/>
  <c r="G737" i="5"/>
  <c r="H1307" i="5"/>
  <c r="G1490" i="5"/>
  <c r="H171" i="5"/>
  <c r="Y37" i="5"/>
  <c r="H241" i="5"/>
  <c r="Y282" i="5"/>
  <c r="Y1667" i="5"/>
  <c r="H169" i="5"/>
  <c r="H1159" i="5"/>
  <c r="H1416" i="5"/>
  <c r="G1406" i="5"/>
  <c r="R77" i="5"/>
  <c r="H957" i="5"/>
  <c r="G917" i="5"/>
  <c r="R407" i="5"/>
  <c r="G1465" i="5"/>
  <c r="H214" i="5"/>
  <c r="G1260" i="5"/>
  <c r="G1310" i="5"/>
  <c r="G1291" i="5"/>
  <c r="H787" i="5"/>
  <c r="G343" i="5"/>
  <c r="H1464" i="5"/>
  <c r="H457" i="5"/>
  <c r="H9" i="5"/>
  <c r="H1098" i="5"/>
  <c r="H7" i="5"/>
  <c r="H815" i="5"/>
  <c r="H1642" i="5"/>
  <c r="H1509" i="5"/>
  <c r="R132" i="5"/>
  <c r="T1627" i="5"/>
  <c r="H902" i="5"/>
  <c r="G968" i="5"/>
  <c r="H487" i="5"/>
  <c r="Y1272" i="5"/>
  <c r="G1604" i="5"/>
  <c r="U1637" i="5"/>
  <c r="G1744" i="5"/>
  <c r="G357" i="5"/>
  <c r="R557" i="5"/>
  <c r="G1003" i="5"/>
  <c r="H400" i="5"/>
  <c r="G1132" i="5"/>
  <c r="G1009" i="5"/>
  <c r="H875" i="5"/>
  <c r="G1741" i="5"/>
  <c r="H1143" i="5"/>
  <c r="G366" i="5"/>
  <c r="R742" i="5"/>
  <c r="G75" i="5"/>
  <c r="G166" i="5"/>
  <c r="G1684" i="5"/>
  <c r="V1737" i="5"/>
  <c r="AB1732" i="5"/>
  <c r="G948" i="5"/>
  <c r="H1635" i="5"/>
  <c r="Y1377" i="5"/>
  <c r="U1677" i="5"/>
  <c r="H992" i="5"/>
  <c r="G715" i="5"/>
  <c r="G1131" i="5"/>
  <c r="H1680" i="5"/>
  <c r="H316" i="5"/>
  <c r="G388" i="5"/>
  <c r="H301" i="5"/>
  <c r="H1060" i="5"/>
  <c r="G62" i="5"/>
  <c r="H1202" i="5"/>
  <c r="H66" i="5"/>
  <c r="H116" i="5"/>
  <c r="H1052" i="5"/>
  <c r="Y1542" i="5"/>
  <c r="G1692" i="5"/>
  <c r="G1418" i="5"/>
  <c r="G1138" i="5"/>
  <c r="G1102" i="5"/>
  <c r="G496" i="5"/>
  <c r="H1170" i="5"/>
  <c r="R1612" i="5"/>
  <c r="G1259" i="5"/>
  <c r="H844" i="5"/>
  <c r="H58" i="5"/>
  <c r="H1599" i="5"/>
  <c r="H1534" i="5"/>
  <c r="G459" i="5"/>
  <c r="H426" i="5"/>
  <c r="H419" i="5"/>
  <c r="H945" i="5"/>
  <c r="G1353" i="5"/>
  <c r="G830" i="5"/>
  <c r="G1172" i="5"/>
  <c r="H448" i="5"/>
  <c r="G1355" i="5"/>
  <c r="R1167" i="5"/>
  <c r="H692" i="5"/>
  <c r="G554" i="5"/>
  <c r="G1516" i="5"/>
  <c r="G1288" i="5"/>
  <c r="H80" i="5"/>
  <c r="H266" i="5"/>
  <c r="R272" i="5"/>
  <c r="G1254" i="5"/>
  <c r="H944" i="5"/>
  <c r="H524" i="5"/>
  <c r="H12" i="5"/>
  <c r="H674" i="5"/>
  <c r="H954" i="5"/>
  <c r="H1103" i="5"/>
  <c r="H1231" i="5"/>
  <c r="Y162" i="5"/>
  <c r="R537" i="5"/>
  <c r="G236" i="5"/>
  <c r="G251" i="5"/>
  <c r="R527" i="5"/>
  <c r="H555" i="5"/>
  <c r="R712" i="5"/>
  <c r="Y812" i="5"/>
  <c r="H527" i="5"/>
  <c r="G1689" i="5"/>
  <c r="G1300" i="5"/>
  <c r="H755" i="5"/>
  <c r="H1712" i="5"/>
  <c r="Y1367" i="5"/>
  <c r="H1175" i="5"/>
  <c r="G531" i="5"/>
  <c r="H1633" i="5"/>
  <c r="H1496" i="5"/>
  <c r="H507" i="5"/>
  <c r="H1225" i="5"/>
  <c r="G1569" i="5"/>
  <c r="H1504" i="5"/>
  <c r="G1101" i="5"/>
  <c r="G59" i="5"/>
  <c r="G1119" i="5"/>
  <c r="H1690" i="5"/>
  <c r="Y622" i="5"/>
  <c r="H423" i="5"/>
  <c r="G572" i="5"/>
  <c r="R1282" i="5"/>
  <c r="G1030" i="5"/>
  <c r="H1310" i="5"/>
  <c r="H104" i="5"/>
  <c r="H1367" i="5"/>
  <c r="G1402" i="5"/>
  <c r="H927" i="5"/>
  <c r="R847" i="5"/>
  <c r="H384" i="5"/>
  <c r="H1683" i="5"/>
  <c r="G1641" i="5"/>
  <c r="Y57" i="5"/>
  <c r="Y957" i="5"/>
  <c r="G780" i="5"/>
  <c r="G1446" i="5"/>
  <c r="R932" i="5"/>
  <c r="H710" i="5"/>
  <c r="H1238" i="5"/>
  <c r="R382" i="5"/>
  <c r="H375" i="5"/>
  <c r="G1272" i="5"/>
  <c r="G686" i="5"/>
  <c r="H1047" i="5"/>
  <c r="H240" i="5"/>
  <c r="H971" i="5"/>
  <c r="G953" i="5"/>
  <c r="R987" i="5"/>
  <c r="H1505" i="5"/>
  <c r="Y1242" i="5"/>
  <c r="G636" i="5"/>
  <c r="H1528" i="5"/>
  <c r="G338" i="5"/>
  <c r="Y852" i="5"/>
  <c r="Y1127" i="5"/>
  <c r="R1302" i="5"/>
  <c r="Z1637" i="5"/>
  <c r="G1169" i="5"/>
  <c r="G148" i="5"/>
  <c r="G300" i="5"/>
  <c r="H890" i="5"/>
  <c r="G810" i="5"/>
  <c r="G417" i="5"/>
  <c r="G514" i="5"/>
  <c r="G980" i="5"/>
  <c r="R782" i="5"/>
  <c r="R967" i="5"/>
  <c r="H813" i="5"/>
  <c r="H1003" i="5"/>
  <c r="H1264" i="5"/>
  <c r="H365" i="5"/>
  <c r="G584" i="5"/>
  <c r="G1579" i="5"/>
  <c r="G879" i="5"/>
  <c r="H1372" i="5"/>
  <c r="G1213" i="5"/>
  <c r="H1587" i="5"/>
  <c r="G1239" i="5"/>
  <c r="H1233" i="5"/>
  <c r="G285" i="5"/>
  <c r="G1633" i="5"/>
  <c r="H159" i="5"/>
  <c r="Y322" i="5"/>
  <c r="G1341" i="5"/>
  <c r="H1300" i="5"/>
  <c r="G110" i="5"/>
  <c r="G1739" i="5"/>
  <c r="G630" i="5"/>
  <c r="G1610" i="5"/>
  <c r="G173" i="5"/>
  <c r="H476" i="5"/>
  <c r="H766" i="5"/>
  <c r="G1325" i="5"/>
  <c r="G428" i="5"/>
  <c r="G1036" i="5"/>
  <c r="H300" i="5"/>
  <c r="H1153" i="5"/>
  <c r="H29" i="5"/>
  <c r="G1195" i="5"/>
  <c r="G458" i="5"/>
  <c r="G121" i="5"/>
  <c r="H22" i="5"/>
  <c r="H696" i="5"/>
  <c r="H1014" i="5"/>
  <c r="H363" i="5"/>
  <c r="S1627" i="5"/>
  <c r="Y132" i="5"/>
  <c r="G1690" i="5"/>
  <c r="H1229" i="5"/>
  <c r="G767" i="5"/>
  <c r="G935" i="5"/>
  <c r="G999" i="5"/>
  <c r="G401" i="5"/>
  <c r="H1358" i="5"/>
  <c r="H563" i="5"/>
  <c r="G1693" i="5"/>
  <c r="H259" i="5"/>
  <c r="R1637" i="5"/>
  <c r="Y1437" i="5"/>
  <c r="H845" i="5"/>
  <c r="G456" i="5"/>
  <c r="Y207" i="5"/>
  <c r="Y802" i="5"/>
  <c r="G265" i="5"/>
  <c r="H959" i="5"/>
  <c r="R732" i="5"/>
  <c r="G993" i="5"/>
  <c r="H1649" i="5"/>
  <c r="Y147" i="5"/>
  <c r="H964" i="5"/>
  <c r="G1223" i="5"/>
  <c r="G271" i="5"/>
  <c r="G118" i="5"/>
  <c r="H804" i="5"/>
  <c r="H562" i="5"/>
  <c r="Y362" i="5"/>
  <c r="G1674" i="5"/>
  <c r="Y1337" i="5"/>
  <c r="G490" i="5"/>
  <c r="H722" i="5"/>
  <c r="G1421" i="5"/>
  <c r="H1629" i="5"/>
  <c r="AA1682" i="5"/>
  <c r="G1257" i="5"/>
  <c r="G1155" i="5"/>
  <c r="G175" i="5"/>
  <c r="G1187" i="5"/>
  <c r="Y1307" i="5"/>
  <c r="R227" i="5"/>
  <c r="H225" i="5"/>
  <c r="AB1737" i="5"/>
  <c r="G580" i="5"/>
  <c r="H242" i="5"/>
  <c r="R1352" i="5"/>
  <c r="G1551" i="5"/>
  <c r="H73" i="5"/>
  <c r="G1299" i="5"/>
  <c r="Y1157" i="5"/>
  <c r="Z1717" i="5"/>
  <c r="Y1187" i="5"/>
  <c r="U1667" i="5"/>
  <c r="G621" i="5"/>
  <c r="G80" i="5"/>
  <c r="H490" i="5"/>
  <c r="U1687" i="5"/>
  <c r="H1305" i="5"/>
  <c r="G769" i="5"/>
  <c r="G1281" i="5"/>
  <c r="G639" i="5"/>
  <c r="H449" i="5"/>
  <c r="H1638" i="5"/>
  <c r="G172" i="5"/>
  <c r="G603" i="5"/>
  <c r="R1092" i="5"/>
  <c r="Y252" i="5"/>
  <c r="G642" i="5"/>
  <c r="AA1642" i="5"/>
  <c r="H358" i="5"/>
  <c r="G447" i="5"/>
  <c r="H11" i="5"/>
  <c r="G1049" i="5"/>
  <c r="H200" i="5"/>
  <c r="R117" i="5"/>
  <c r="G575" i="5"/>
  <c r="G1081" i="5"/>
  <c r="R367" i="5"/>
  <c r="Y232" i="5"/>
  <c r="Y1592" i="5"/>
  <c r="G1502" i="5"/>
  <c r="H1458" i="5"/>
  <c r="G1440" i="5"/>
  <c r="G627" i="5"/>
  <c r="G1448" i="5"/>
  <c r="H1131" i="5"/>
  <c r="Y832" i="5"/>
  <c r="H237" i="5"/>
  <c r="H1574" i="5"/>
  <c r="H1334" i="5"/>
  <c r="H1352" i="5"/>
  <c r="G255" i="5"/>
  <c r="Y497" i="5"/>
  <c r="G1095" i="5"/>
  <c r="H597" i="5"/>
  <c r="H1192" i="5"/>
  <c r="H1555" i="5"/>
  <c r="H841" i="5"/>
  <c r="H97" i="5"/>
  <c r="G387" i="5"/>
  <c r="Y442" i="5"/>
  <c r="G201" i="5"/>
  <c r="H684" i="5"/>
  <c r="H438" i="5"/>
  <c r="H1653" i="5"/>
  <c r="G887" i="5"/>
  <c r="H161" i="5"/>
  <c r="G261" i="5"/>
  <c r="G1463" i="5"/>
  <c r="G1455" i="5"/>
  <c r="Y437" i="5"/>
  <c r="G862" i="5"/>
  <c r="H1572" i="5"/>
  <c r="G937" i="5"/>
  <c r="H1510" i="5"/>
  <c r="Y1652" i="5"/>
  <c r="G1321" i="5"/>
  <c r="Y677" i="5"/>
  <c r="H1380" i="5"/>
  <c r="H1327" i="5"/>
  <c r="G816" i="5"/>
  <c r="G877" i="5"/>
  <c r="R902" i="5"/>
  <c r="H226" i="5"/>
  <c r="R232" i="5"/>
  <c r="H1731" i="5"/>
  <c r="H1476" i="5"/>
  <c r="G474" i="5"/>
  <c r="H1279" i="5"/>
  <c r="Z1722" i="5"/>
  <c r="Y487" i="5"/>
  <c r="G1047" i="5"/>
  <c r="Y1722" i="5"/>
  <c r="H976" i="5"/>
  <c r="G742" i="5"/>
  <c r="H1413" i="5"/>
  <c r="Y917" i="5"/>
  <c r="R1607" i="5"/>
  <c r="H883" i="5"/>
  <c r="H223" i="5"/>
  <c r="G430" i="5"/>
  <c r="G971" i="5"/>
  <c r="G927" i="5"/>
  <c r="H1336" i="5"/>
  <c r="R1627" i="5"/>
  <c r="G853" i="5"/>
  <c r="R1737" i="5"/>
  <c r="Y1447" i="5"/>
  <c r="R747" i="5"/>
  <c r="H1077" i="5"/>
  <c r="H625" i="5"/>
  <c r="G1117" i="5"/>
  <c r="G47" i="5"/>
  <c r="H295" i="5"/>
  <c r="R402" i="5"/>
  <c r="H111" i="5"/>
  <c r="G158" i="5"/>
  <c r="G1253" i="5"/>
  <c r="R1427" i="5"/>
  <c r="G811" i="5"/>
  <c r="G151" i="5"/>
  <c r="G1539" i="5"/>
  <c r="Y687" i="5"/>
  <c r="S1707" i="5"/>
  <c r="G79" i="5"/>
  <c r="R1277" i="5"/>
  <c r="G1282" i="5"/>
  <c r="G632" i="5"/>
  <c r="G1452" i="5"/>
  <c r="G676" i="5"/>
  <c r="H515" i="5"/>
  <c r="G1185" i="5"/>
  <c r="G1383" i="5"/>
  <c r="R552" i="5"/>
  <c r="G1699" i="5"/>
  <c r="G1415" i="5"/>
  <c r="H937" i="5"/>
  <c r="G1697" i="5"/>
  <c r="H854" i="5"/>
  <c r="R1202" i="5"/>
  <c r="Y412" i="5"/>
  <c r="G1129" i="5"/>
  <c r="R1342" i="5"/>
  <c r="G1339" i="5"/>
  <c r="G1123" i="5"/>
  <c r="Y1037" i="5"/>
  <c r="H57" i="5"/>
  <c r="G505" i="5"/>
  <c r="Y1702" i="5"/>
  <c r="Z1707" i="5"/>
  <c r="W562" i="5"/>
  <c r="W1057" i="5"/>
  <c r="W842" i="5"/>
  <c r="W347" i="5"/>
  <c r="W1172" i="5"/>
  <c r="G799" i="5"/>
  <c r="R1407" i="5"/>
  <c r="Y1162" i="5"/>
  <c r="Y392" i="5"/>
  <c r="G1050" i="5"/>
  <c r="G78" i="5"/>
  <c r="G1624" i="5"/>
  <c r="S1722" i="5"/>
  <c r="R797" i="5"/>
  <c r="R1322" i="5"/>
  <c r="R267" i="5"/>
  <c r="G1346" i="5"/>
  <c r="G20" i="5"/>
  <c r="H484" i="5"/>
  <c r="G259" i="5"/>
  <c r="Y732" i="5"/>
  <c r="W1007" i="5"/>
  <c r="W917" i="5"/>
  <c r="W1512" i="5"/>
  <c r="G834" i="5"/>
  <c r="G667" i="5"/>
  <c r="H1693" i="5"/>
  <c r="H830" i="5"/>
  <c r="H1705" i="5"/>
  <c r="G77" i="5"/>
  <c r="H673" i="5"/>
  <c r="H990" i="5"/>
  <c r="H1145" i="5"/>
  <c r="H98" i="5"/>
  <c r="G310" i="5"/>
  <c r="H867" i="5"/>
  <c r="G167" i="5"/>
  <c r="H434" i="5"/>
  <c r="R672" i="5"/>
  <c r="Y1067" i="5"/>
  <c r="Y1672" i="5"/>
  <c r="H1356" i="5"/>
  <c r="G1166" i="5"/>
  <c r="H790" i="5"/>
  <c r="H1503" i="5"/>
  <c r="G482" i="5"/>
  <c r="T1647" i="5"/>
  <c r="H1016" i="5"/>
  <c r="Z1647" i="5"/>
  <c r="Y557" i="5"/>
  <c r="G24" i="5"/>
  <c r="H1172" i="5"/>
  <c r="Z1677" i="5"/>
  <c r="H152" i="5"/>
  <c r="G1617" i="5"/>
  <c r="Y872" i="5"/>
  <c r="Z1692" i="5"/>
  <c r="G640" i="5"/>
  <c r="G731" i="5"/>
  <c r="R1362" i="5"/>
  <c r="H1114" i="5"/>
  <c r="AB1717" i="5"/>
  <c r="G579" i="5"/>
  <c r="H1314" i="5"/>
  <c r="G1331" i="5"/>
  <c r="G620" i="5"/>
  <c r="G1489" i="5"/>
  <c r="G1329" i="5"/>
  <c r="G646" i="5"/>
  <c r="G1137" i="5"/>
  <c r="R332" i="5"/>
  <c r="Y1197" i="5"/>
  <c r="H1522" i="5"/>
  <c r="Z1642" i="5"/>
  <c r="H530" i="5"/>
  <c r="G1231" i="5"/>
  <c r="G856" i="5"/>
  <c r="H1390" i="5"/>
  <c r="H1250" i="5"/>
  <c r="G1414" i="5"/>
  <c r="G316" i="5"/>
  <c r="H1368" i="5"/>
  <c r="Y222" i="5"/>
  <c r="G275" i="5"/>
  <c r="H333" i="5"/>
  <c r="S1712" i="5"/>
  <c r="H558" i="5"/>
  <c r="H814" i="5"/>
  <c r="H1529" i="5"/>
  <c r="H1543" i="5"/>
  <c r="G1543" i="5"/>
  <c r="H350" i="5"/>
  <c r="H1645" i="5"/>
  <c r="R67" i="5"/>
  <c r="H1029" i="5"/>
  <c r="H1141" i="5"/>
  <c r="G1020" i="5"/>
  <c r="G1736" i="5"/>
  <c r="G1143" i="5"/>
  <c r="Y907" i="5"/>
  <c r="H1525" i="5"/>
  <c r="R1667" i="5"/>
  <c r="G1720" i="5"/>
  <c r="Y1007" i="5"/>
  <c r="U1642" i="5"/>
  <c r="R222" i="5"/>
  <c r="G191" i="5"/>
  <c r="V1677" i="5"/>
  <c r="U1712" i="5"/>
  <c r="AA1712" i="5"/>
  <c r="R82" i="5"/>
  <c r="H1203" i="5"/>
  <c r="G177" i="5"/>
  <c r="G15" i="5"/>
  <c r="G666" i="5"/>
  <c r="G1208" i="5"/>
  <c r="H994" i="5"/>
  <c r="Y512" i="5"/>
  <c r="T1722" i="5"/>
  <c r="H157" i="5"/>
  <c r="G1460" i="5"/>
  <c r="AB1702" i="5"/>
  <c r="G1663" i="5"/>
  <c r="H1585" i="5"/>
  <c r="R617" i="5"/>
  <c r="Y647" i="5"/>
  <c r="R807" i="5"/>
  <c r="R922" i="5"/>
  <c r="W1072" i="5"/>
  <c r="W582" i="5"/>
  <c r="W587" i="5"/>
  <c r="W622" i="5"/>
  <c r="W817" i="5"/>
  <c r="Y562" i="5"/>
  <c r="G1477" i="5"/>
  <c r="H974" i="5"/>
  <c r="G1217" i="5"/>
  <c r="Y1407" i="5"/>
  <c r="Y77" i="5"/>
  <c r="H185" i="5"/>
  <c r="G1468" i="5"/>
  <c r="G1558" i="5"/>
  <c r="G1470" i="5"/>
  <c r="H1079" i="5"/>
  <c r="H1545" i="5"/>
  <c r="G1114" i="5"/>
  <c r="H255" i="5"/>
  <c r="R567" i="5"/>
  <c r="R647" i="5"/>
  <c r="W1107" i="5"/>
  <c r="W402" i="5"/>
  <c r="H1031" i="5"/>
  <c r="H1280" i="5"/>
  <c r="R882" i="5"/>
  <c r="G215" i="5"/>
  <c r="H595" i="5"/>
  <c r="G344" i="5"/>
  <c r="G1280" i="5"/>
  <c r="Y247" i="5"/>
  <c r="H1277" i="5"/>
  <c r="G241" i="5"/>
  <c r="Y587" i="5"/>
  <c r="H912" i="5"/>
  <c r="H1140" i="5"/>
  <c r="H125" i="5"/>
  <c r="R1502" i="5"/>
  <c r="H1124" i="5"/>
  <c r="G540" i="5"/>
  <c r="G1441" i="5"/>
  <c r="G99" i="5"/>
  <c r="Y947" i="5"/>
  <c r="H614" i="5"/>
  <c r="G1438" i="5"/>
  <c r="G628" i="5"/>
  <c r="H188" i="5"/>
  <c r="H639" i="5"/>
  <c r="Y1317" i="5"/>
  <c r="H1745" i="5"/>
  <c r="H1270" i="5"/>
  <c r="H417" i="5"/>
  <c r="R977" i="5"/>
  <c r="H1260" i="5"/>
  <c r="G40" i="5"/>
  <c r="G952" i="5"/>
  <c r="G590" i="5"/>
  <c r="H1592" i="5"/>
  <c r="G988" i="5"/>
  <c r="Y477" i="5"/>
  <c r="G413" i="5"/>
  <c r="R1647" i="5"/>
  <c r="H1370" i="5"/>
  <c r="T1637" i="5"/>
  <c r="H1659" i="5"/>
  <c r="G229" i="5"/>
  <c r="R612" i="5"/>
  <c r="G96" i="5"/>
  <c r="G71" i="5"/>
  <c r="H1658" i="5"/>
  <c r="Y1287" i="5"/>
  <c r="H600" i="5"/>
  <c r="H1298" i="5"/>
  <c r="H1542" i="5"/>
  <c r="G193" i="5"/>
  <c r="H327" i="5"/>
  <c r="AA1722" i="5"/>
  <c r="H328" i="5"/>
  <c r="G1715" i="5"/>
  <c r="G792" i="5"/>
  <c r="G813" i="5"/>
  <c r="R577" i="5"/>
  <c r="G313" i="5"/>
  <c r="Z1662" i="5"/>
  <c r="H551" i="5"/>
  <c r="G1023" i="5"/>
  <c r="G1494" i="5"/>
  <c r="Y597" i="5"/>
  <c r="H911" i="5"/>
  <c r="R952" i="5"/>
  <c r="V1652" i="5"/>
  <c r="G1060" i="5"/>
  <c r="R1197" i="5"/>
  <c r="G1010" i="5"/>
  <c r="Y1417" i="5"/>
  <c r="H460" i="5"/>
  <c r="G1527" i="5"/>
  <c r="G1688" i="5"/>
  <c r="H1254" i="5"/>
  <c r="R1532" i="5"/>
  <c r="G1018" i="5"/>
  <c r="G156" i="5"/>
  <c r="Y182" i="5"/>
  <c r="R707" i="5"/>
  <c r="AB1657" i="5"/>
  <c r="Y1397" i="5"/>
  <c r="G878" i="5"/>
  <c r="H960" i="5"/>
  <c r="H145" i="5"/>
  <c r="G1130" i="5"/>
  <c r="V1682" i="5"/>
  <c r="Y897" i="5"/>
  <c r="G1664" i="5"/>
  <c r="Y1572" i="5"/>
  <c r="G1412" i="5"/>
  <c r="H286" i="5"/>
  <c r="R917" i="5"/>
  <c r="R42" i="5"/>
  <c r="H509" i="5"/>
  <c r="R1262" i="5"/>
  <c r="G1250" i="5"/>
  <c r="R637" i="5"/>
  <c r="Y1547" i="5"/>
  <c r="G1092" i="5"/>
  <c r="R1147" i="5"/>
  <c r="G901" i="5"/>
  <c r="G844" i="5"/>
  <c r="W1702" i="5"/>
  <c r="W932" i="5"/>
  <c r="W1457" i="5"/>
  <c r="W1597" i="5"/>
  <c r="W122" i="5"/>
  <c r="G1726" i="5"/>
  <c r="Y217" i="5"/>
  <c r="Y792" i="5"/>
  <c r="R1562" i="5"/>
  <c r="G823" i="5"/>
  <c r="G1686" i="5"/>
  <c r="G370" i="5"/>
  <c r="G669" i="5"/>
  <c r="Y1622" i="5"/>
  <c r="Y87" i="5"/>
  <c r="Y1342" i="5"/>
  <c r="G801" i="5"/>
  <c r="Y1552" i="5"/>
  <c r="H1539" i="5"/>
  <c r="H703" i="5"/>
  <c r="Y797" i="5"/>
  <c r="W1117" i="5"/>
  <c r="W1217" i="5"/>
  <c r="H629" i="5"/>
  <c r="H1127" i="5"/>
  <c r="H1306" i="5"/>
  <c r="R1452" i="5"/>
  <c r="G1016" i="5"/>
  <c r="G1563" i="5"/>
  <c r="G1273" i="5"/>
  <c r="G931" i="5"/>
  <c r="Y457" i="5"/>
  <c r="G270" i="5"/>
  <c r="G618" i="5"/>
  <c r="H1737" i="5"/>
  <c r="G337" i="5"/>
  <c r="H184" i="5"/>
  <c r="G1492" i="5"/>
  <c r="R1472" i="5"/>
  <c r="H88" i="5"/>
  <c r="R1717" i="5"/>
  <c r="H250" i="5"/>
  <c r="H795" i="5"/>
  <c r="G1439" i="5"/>
  <c r="G1593" i="5"/>
  <c r="G552" i="5"/>
  <c r="G633" i="5"/>
  <c r="G1387" i="5"/>
  <c r="R1112" i="5"/>
  <c r="H1136" i="5"/>
  <c r="R1552" i="5"/>
  <c r="Y342" i="5"/>
  <c r="H303" i="5"/>
  <c r="Y1682" i="5"/>
  <c r="R627" i="5"/>
  <c r="H35" i="5"/>
  <c r="G420" i="5"/>
  <c r="G155" i="5"/>
  <c r="H1218" i="5"/>
  <c r="H660" i="5"/>
  <c r="H1030" i="5"/>
  <c r="G1462" i="5"/>
  <c r="G745" i="5"/>
  <c r="G1553" i="5"/>
  <c r="G1682" i="5"/>
  <c r="G434" i="5"/>
  <c r="H1429" i="5"/>
  <c r="G1419" i="5"/>
  <c r="R1097" i="5"/>
  <c r="H881" i="5"/>
  <c r="V1692" i="5"/>
  <c r="Y467" i="5"/>
  <c r="H726" i="5"/>
  <c r="G972" i="5"/>
  <c r="Y862" i="5"/>
  <c r="H1318" i="5"/>
  <c r="G1039" i="5"/>
  <c r="G855" i="5"/>
  <c r="H1244" i="5"/>
  <c r="H1471" i="5"/>
  <c r="AB1712" i="5"/>
  <c r="G655" i="5"/>
  <c r="G1083" i="5"/>
  <c r="R937" i="5"/>
  <c r="R1052" i="5"/>
  <c r="H1457" i="5"/>
  <c r="R12" i="5"/>
  <c r="G1220" i="5"/>
  <c r="U1647" i="5"/>
  <c r="R1557" i="5"/>
  <c r="Y1012" i="5"/>
  <c r="G835" i="5"/>
  <c r="Y1097" i="5"/>
  <c r="G145" i="5"/>
  <c r="H458" i="5"/>
  <c r="G1445" i="5"/>
  <c r="H662" i="5"/>
  <c r="G1644" i="5"/>
  <c r="U1697" i="5"/>
  <c r="G70" i="5"/>
  <c r="H1515" i="5"/>
  <c r="G1031" i="5"/>
  <c r="G473" i="5"/>
  <c r="G1147" i="5"/>
  <c r="H907" i="5"/>
  <c r="H1449" i="5"/>
  <c r="G885" i="5"/>
  <c r="R1062" i="5"/>
  <c r="H873" i="5"/>
  <c r="H1738" i="5"/>
  <c r="AA1707" i="5"/>
  <c r="R1572" i="5"/>
  <c r="G568" i="5"/>
  <c r="G90" i="5"/>
  <c r="Y667" i="5"/>
  <c r="G55" i="5"/>
  <c r="Y1382" i="5"/>
  <c r="H1012" i="5"/>
  <c r="G596" i="5"/>
  <c r="U1702" i="5"/>
  <c r="G1710" i="5"/>
  <c r="R1022" i="5"/>
  <c r="H1526" i="5"/>
  <c r="G85" i="5"/>
  <c r="Y327" i="5"/>
  <c r="Y302" i="5"/>
  <c r="Y92" i="5"/>
  <c r="W542" i="5"/>
  <c r="W457" i="5"/>
  <c r="W282" i="5"/>
  <c r="W72" i="5"/>
  <c r="W1407" i="5"/>
  <c r="Y1412" i="5"/>
  <c r="G142" i="5"/>
  <c r="H261" i="5"/>
  <c r="G684" i="5"/>
  <c r="R1682" i="5"/>
  <c r="H1671" i="5"/>
  <c r="G858" i="5"/>
  <c r="G332" i="5"/>
  <c r="R292" i="5"/>
  <c r="Y52" i="5"/>
  <c r="G7" i="5"/>
  <c r="G500" i="5"/>
  <c r="AA1637" i="5"/>
  <c r="Y1537" i="5"/>
  <c r="G747" i="5"/>
  <c r="G1034" i="5"/>
  <c r="W1432" i="5"/>
  <c r="W1557" i="5"/>
  <c r="G1630" i="5"/>
  <c r="G367" i="5"/>
  <c r="G321" i="5"/>
  <c r="G160" i="5"/>
  <c r="H618" i="5"/>
  <c r="Y972" i="5"/>
  <c r="H893" i="5"/>
  <c r="H577" i="5"/>
  <c r="H1409" i="5"/>
  <c r="H310" i="5"/>
  <c r="G1345" i="5"/>
  <c r="G529" i="5"/>
  <c r="H1316" i="5"/>
  <c r="G293" i="5"/>
  <c r="H1718" i="5"/>
  <c r="R347" i="5"/>
  <c r="H1602" i="5"/>
  <c r="G771" i="5"/>
  <c r="G1738" i="5"/>
  <c r="G594" i="5"/>
  <c r="H1022" i="5"/>
  <c r="Y212" i="5"/>
  <c r="G455" i="5"/>
  <c r="H210" i="5"/>
  <c r="H364" i="5"/>
  <c r="R1742" i="5"/>
  <c r="Y1042" i="5"/>
  <c r="H1669" i="5"/>
  <c r="H354" i="5"/>
  <c r="G169" i="5"/>
  <c r="G407" i="5"/>
  <c r="H1485" i="5"/>
  <c r="H878" i="5"/>
  <c r="R447" i="5"/>
  <c r="V1627" i="5"/>
  <c r="R107" i="5"/>
  <c r="R1157" i="5"/>
  <c r="R1402" i="5"/>
  <c r="Y912" i="5"/>
  <c r="G225" i="5"/>
  <c r="U1722" i="5"/>
  <c r="R757" i="5"/>
  <c r="Y202" i="5"/>
  <c r="R717" i="5"/>
  <c r="H711" i="5"/>
  <c r="R817" i="5"/>
  <c r="H87" i="5"/>
  <c r="R1457" i="5"/>
  <c r="G1591" i="5"/>
  <c r="G726" i="5"/>
  <c r="G460" i="5"/>
  <c r="H1438" i="5"/>
  <c r="G1320" i="5"/>
  <c r="G1669" i="5"/>
  <c r="G1026" i="5"/>
  <c r="H1315" i="5"/>
  <c r="H1441" i="5"/>
  <c r="H1364" i="5"/>
  <c r="H504" i="5"/>
  <c r="Y357" i="5"/>
  <c r="G1575" i="5"/>
  <c r="H91" i="5"/>
  <c r="H1181" i="5"/>
  <c r="G821" i="5"/>
  <c r="Y1457" i="5"/>
  <c r="T1652" i="5"/>
  <c r="H689" i="5"/>
  <c r="G1734" i="5"/>
  <c r="H612" i="5"/>
  <c r="AA1672" i="5"/>
  <c r="H1092" i="5"/>
  <c r="H412" i="5"/>
  <c r="G758" i="5"/>
  <c r="Y417" i="5"/>
  <c r="G1319" i="5"/>
  <c r="Y1477" i="5"/>
  <c r="Y742" i="5"/>
  <c r="Y1357" i="5"/>
  <c r="Y1137" i="5"/>
  <c r="G521" i="5"/>
  <c r="R777" i="5"/>
  <c r="H475" i="5"/>
  <c r="R257" i="5"/>
  <c r="G822" i="5"/>
  <c r="H1630" i="5"/>
  <c r="H996" i="5"/>
  <c r="G219" i="5"/>
  <c r="H1230" i="5"/>
  <c r="R22" i="5"/>
  <c r="H52" i="5"/>
  <c r="Y1642" i="5"/>
  <c r="H549" i="5"/>
  <c r="R892" i="5"/>
  <c r="G116" i="5"/>
  <c r="H344" i="5"/>
  <c r="H260" i="5"/>
  <c r="G1700" i="5"/>
  <c r="Y937" i="5"/>
  <c r="Y722" i="5"/>
  <c r="G347" i="5"/>
  <c r="S1667" i="5"/>
  <c r="Y1107" i="5"/>
  <c r="G351" i="5"/>
  <c r="G1424" i="5"/>
  <c r="W1517" i="5"/>
  <c r="W52" i="5"/>
  <c r="W942" i="5"/>
  <c r="W922" i="5"/>
  <c r="W427" i="5"/>
  <c r="G663" i="5"/>
  <c r="H1593" i="5"/>
  <c r="G257" i="5"/>
  <c r="G1549" i="5"/>
  <c r="G875" i="5"/>
  <c r="G256" i="5"/>
  <c r="G1541" i="5"/>
  <c r="G91" i="5"/>
  <c r="G146" i="5"/>
  <c r="R487" i="5"/>
  <c r="H756" i="5"/>
  <c r="H1562" i="5"/>
  <c r="R857" i="5"/>
  <c r="G45" i="5"/>
  <c r="G1221" i="5"/>
  <c r="G626" i="5"/>
  <c r="W682" i="5"/>
  <c r="W507" i="5"/>
  <c r="G1654" i="5"/>
  <c r="H528" i="5"/>
  <c r="H1466" i="5"/>
  <c r="H1696" i="5"/>
  <c r="H409" i="5"/>
  <c r="H1013" i="5"/>
  <c r="H1078" i="5"/>
  <c r="R1382" i="5"/>
  <c r="R992" i="5"/>
  <c r="G977" i="5"/>
  <c r="H533" i="5"/>
  <c r="H1569" i="5"/>
  <c r="G1323" i="5"/>
  <c r="H548" i="5"/>
  <c r="H74" i="5"/>
  <c r="G530" i="5"/>
  <c r="G1612" i="5"/>
  <c r="H149" i="5"/>
  <c r="G1063" i="5"/>
  <c r="G1240" i="5"/>
  <c r="H1597" i="5"/>
  <c r="R1702" i="5"/>
  <c r="G162" i="5"/>
  <c r="H966" i="5"/>
  <c r="H831" i="5"/>
  <c r="Y72" i="5"/>
  <c r="G1707" i="5"/>
  <c r="G782" i="5"/>
  <c r="G637" i="5"/>
  <c r="R1212" i="5"/>
  <c r="R602" i="5"/>
  <c r="G150" i="5"/>
  <c r="G734" i="5"/>
  <c r="H786" i="5"/>
  <c r="G467" i="5"/>
  <c r="G674" i="5"/>
  <c r="H1608" i="5"/>
  <c r="R887" i="5"/>
  <c r="H13" i="5"/>
  <c r="H163" i="5"/>
  <c r="Z1702" i="5"/>
  <c r="R582" i="5"/>
  <c r="G587" i="5"/>
  <c r="Y1427" i="5"/>
  <c r="G135" i="5"/>
  <c r="R1012" i="5"/>
  <c r="G696" i="5"/>
  <c r="H1101" i="5"/>
  <c r="G717" i="5"/>
  <c r="G302" i="5"/>
  <c r="H1655" i="5"/>
  <c r="H584" i="5"/>
  <c r="G1394" i="5"/>
  <c r="G376" i="5"/>
  <c r="H1511" i="5"/>
  <c r="G1526" i="5"/>
  <c r="G461" i="5"/>
  <c r="V1667" i="5"/>
  <c r="G1518" i="5"/>
  <c r="G107" i="5"/>
  <c r="H1399" i="5"/>
  <c r="H151" i="5"/>
  <c r="H770" i="5"/>
  <c r="G1384" i="5"/>
  <c r="V1657" i="5"/>
  <c r="H616" i="5"/>
  <c r="G1233" i="5"/>
  <c r="G502" i="5"/>
  <c r="G998" i="5"/>
  <c r="H486" i="5"/>
  <c r="G939" i="5"/>
  <c r="R1257" i="5"/>
  <c r="G477" i="5"/>
  <c r="G54" i="5"/>
  <c r="Y672" i="5"/>
  <c r="G1631" i="5"/>
  <c r="AA1632" i="5"/>
  <c r="G21" i="5"/>
  <c r="H336" i="5"/>
  <c r="H1286" i="5"/>
  <c r="Z1672" i="5"/>
  <c r="G431" i="5"/>
  <c r="R907" i="5"/>
  <c r="H349" i="5"/>
  <c r="G1079" i="5"/>
  <c r="V1687" i="5"/>
  <c r="G1658" i="5"/>
  <c r="G732" i="5"/>
  <c r="G23" i="5"/>
  <c r="G1304" i="5"/>
  <c r="R1622" i="5"/>
  <c r="R327" i="5"/>
  <c r="G1199" i="5"/>
  <c r="R832" i="5"/>
  <c r="H136" i="5"/>
  <c r="Y1727" i="5"/>
  <c r="Y1627" i="5"/>
  <c r="G790" i="5"/>
  <c r="H320" i="5"/>
  <c r="G1359" i="5"/>
  <c r="R342" i="5"/>
  <c r="H374" i="5"/>
  <c r="R737" i="5"/>
  <c r="G1032" i="5"/>
  <c r="W1477" i="5"/>
  <c r="W1472" i="5"/>
  <c r="W1322" i="5"/>
  <c r="W1572" i="5"/>
  <c r="W107" i="5"/>
  <c r="V1647" i="5"/>
  <c r="G695" i="5"/>
  <c r="G1008" i="5"/>
  <c r="G582" i="5"/>
  <c r="G681" i="5"/>
  <c r="U1662" i="5"/>
  <c r="Y1002" i="5"/>
  <c r="Y27" i="5"/>
  <c r="Y1332" i="5"/>
  <c r="H693" i="5"/>
  <c r="H843" i="5"/>
  <c r="Y257" i="5"/>
  <c r="Y1232" i="5"/>
  <c r="G119" i="5"/>
  <c r="G645" i="5"/>
  <c r="R387" i="5"/>
  <c r="W1347" i="5"/>
  <c r="W547" i="5"/>
  <c r="G244" i="5"/>
  <c r="H1666" i="5"/>
  <c r="R182" i="5"/>
  <c r="G1570" i="5"/>
  <c r="G242" i="5"/>
  <c r="Y107" i="5"/>
  <c r="H1097" i="5"/>
  <c r="H86" i="5"/>
  <c r="H209" i="5"/>
  <c r="G52" i="5"/>
  <c r="H667" i="5"/>
  <c r="Y902" i="5"/>
  <c r="G1328" i="5"/>
  <c r="G518" i="5"/>
  <c r="G1646" i="5"/>
  <c r="H1467" i="5"/>
  <c r="H708" i="5"/>
  <c r="R702" i="5"/>
  <c r="G1181" i="5"/>
  <c r="R1237" i="5"/>
  <c r="Y32" i="5"/>
  <c r="Y1237" i="5"/>
  <c r="G1577" i="5"/>
  <c r="Y1617" i="5"/>
  <c r="G3" i="5"/>
  <c r="R1132" i="5"/>
  <c r="G1395" i="5"/>
  <c r="H979" i="5"/>
  <c r="AA1662" i="5"/>
  <c r="G1411" i="5"/>
  <c r="Y987" i="5"/>
  <c r="Y737" i="5"/>
  <c r="G798" i="5"/>
  <c r="H678" i="5"/>
  <c r="G589" i="5"/>
  <c r="H632" i="5"/>
  <c r="G806" i="5"/>
  <c r="Y277" i="5"/>
  <c r="H1337" i="5"/>
  <c r="G820" i="5"/>
  <c r="H1063" i="5"/>
  <c r="R1642" i="5"/>
  <c r="H686" i="5"/>
  <c r="G1076" i="5"/>
  <c r="G410" i="5"/>
  <c r="H1032" i="5"/>
  <c r="R1337" i="5"/>
  <c r="G1564" i="5"/>
  <c r="Y462" i="5"/>
  <c r="H1287" i="5"/>
  <c r="G831" i="5"/>
  <c r="G817" i="5"/>
  <c r="G573" i="5"/>
  <c r="G506" i="5"/>
  <c r="G317" i="5"/>
  <c r="Y712" i="5"/>
  <c r="G176" i="5"/>
  <c r="G399" i="5"/>
  <c r="G564" i="5"/>
  <c r="G1559" i="5"/>
  <c r="H1547" i="5"/>
  <c r="H1484" i="5"/>
  <c r="AB1687" i="5"/>
  <c r="R27" i="5"/>
  <c r="V1722" i="5"/>
  <c r="G740" i="5"/>
  <c r="R1087" i="5"/>
  <c r="Y272" i="5"/>
  <c r="H542" i="5"/>
  <c r="R1422" i="5"/>
  <c r="H342" i="5"/>
  <c r="H780" i="5"/>
  <c r="G1013" i="5"/>
  <c r="G174" i="5"/>
  <c r="R167" i="5"/>
  <c r="R652" i="5"/>
  <c r="G800" i="5"/>
  <c r="Y662" i="5"/>
  <c r="Y942" i="5"/>
  <c r="H1313" i="5"/>
  <c r="R1127" i="5"/>
  <c r="G775" i="5"/>
  <c r="R1712" i="5"/>
  <c r="R607" i="5"/>
  <c r="G1378" i="5"/>
  <c r="H980" i="5"/>
  <c r="Y1132" i="5"/>
  <c r="H1402" i="5"/>
  <c r="G610" i="5"/>
  <c r="G709" i="5"/>
  <c r="G290" i="5"/>
  <c r="H506" i="5"/>
  <c r="G301" i="5"/>
  <c r="G1525" i="5"/>
  <c r="G845" i="5"/>
  <c r="G247" i="5"/>
  <c r="Y977" i="5"/>
  <c r="Y1192" i="5"/>
  <c r="Y167" i="5"/>
  <c r="H1744" i="5"/>
  <c r="H420" i="5"/>
  <c r="Y507" i="5"/>
  <c r="G565" i="5"/>
  <c r="W1017" i="5"/>
  <c r="W1712" i="5"/>
  <c r="W677" i="5"/>
  <c r="W1152" i="5"/>
  <c r="W352" i="5"/>
  <c r="H599" i="5"/>
  <c r="H978" i="5"/>
  <c r="G1290" i="5"/>
  <c r="H688" i="5"/>
  <c r="G1548" i="5"/>
  <c r="G1578" i="5"/>
  <c r="G1702" i="5"/>
  <c r="G1118" i="5"/>
  <c r="AB1662" i="5"/>
  <c r="Y1657" i="5"/>
  <c r="AA1697" i="5"/>
  <c r="R1137" i="5"/>
  <c r="R947" i="5"/>
  <c r="G42" i="5"/>
  <c r="G1666" i="5"/>
  <c r="H529" i="5"/>
  <c r="W1522" i="5"/>
  <c r="W1317" i="5"/>
  <c r="W572" i="5"/>
  <c r="G867" i="5"/>
  <c r="H1201" i="5"/>
  <c r="H150" i="5"/>
  <c r="H33" i="5"/>
  <c r="G1200" i="5"/>
  <c r="H1046" i="5"/>
  <c r="H596" i="5"/>
  <c r="G1294" i="5"/>
  <c r="G614" i="5"/>
  <c r="H122" i="5"/>
  <c r="Y1662" i="5"/>
  <c r="G847" i="5"/>
  <c r="G570" i="5"/>
  <c r="V1702" i="5"/>
  <c r="H1469" i="5"/>
  <c r="R1512" i="5"/>
  <c r="G874" i="5"/>
  <c r="H1007" i="5"/>
  <c r="H179" i="5"/>
  <c r="S1677" i="5"/>
  <c r="G1500" i="5"/>
  <c r="G56" i="5"/>
  <c r="G1392" i="5"/>
  <c r="G1041" i="5"/>
  <c r="H1692" i="5"/>
  <c r="G1153" i="5"/>
  <c r="S1692" i="5"/>
  <c r="G1054" i="5"/>
  <c r="Y1022" i="5"/>
  <c r="H285" i="5"/>
  <c r="R47" i="5"/>
  <c r="G1562" i="5"/>
  <c r="H836" i="5"/>
  <c r="G852" i="5"/>
  <c r="G235" i="5"/>
  <c r="G1499" i="5"/>
  <c r="G1219" i="5"/>
  <c r="H935" i="5"/>
  <c r="H801" i="5"/>
  <c r="G538" i="5"/>
  <c r="Y1277" i="5"/>
  <c r="G1637" i="5"/>
  <c r="Y7" i="5"/>
  <c r="R177" i="5"/>
  <c r="G1121" i="5"/>
  <c r="Y387" i="5"/>
  <c r="H864" i="5"/>
  <c r="H1183" i="5"/>
  <c r="H1448" i="5"/>
  <c r="R72" i="5"/>
  <c r="H1151" i="5"/>
  <c r="G426" i="5"/>
  <c r="G489" i="5"/>
  <c r="AA1737" i="5"/>
  <c r="Y1057" i="5"/>
  <c r="G92" i="5"/>
  <c r="H1428" i="5"/>
  <c r="G511" i="5"/>
  <c r="R1057" i="5"/>
  <c r="Y1497" i="5"/>
  <c r="G312" i="5"/>
  <c r="R477" i="5"/>
  <c r="H941" i="5"/>
  <c r="R1307" i="5"/>
  <c r="H1567" i="5"/>
  <c r="H1586" i="5"/>
  <c r="G350" i="5"/>
  <c r="G1256" i="5"/>
  <c r="G1140" i="5"/>
  <c r="R1617" i="5"/>
  <c r="G825" i="5"/>
  <c r="T1712" i="5"/>
  <c r="H1128" i="5"/>
  <c r="G619" i="5"/>
  <c r="G1206" i="5"/>
  <c r="G1653" i="5"/>
  <c r="G690" i="5"/>
  <c r="G262" i="5"/>
  <c r="G1672" i="5"/>
  <c r="G1602" i="5"/>
  <c r="H761" i="5"/>
  <c r="H447" i="5"/>
  <c r="H1455" i="5"/>
  <c r="G1115" i="5"/>
  <c r="H1663" i="5"/>
  <c r="G95" i="5"/>
  <c r="S1662" i="5"/>
  <c r="G1475" i="5"/>
  <c r="H1018" i="5"/>
  <c r="H1086" i="5"/>
  <c r="G1309" i="5"/>
  <c r="Y1327" i="5"/>
  <c r="G190" i="5"/>
  <c r="G624" i="5"/>
  <c r="G910" i="5"/>
  <c r="G375" i="5"/>
  <c r="H1544" i="5"/>
  <c r="H1239" i="5"/>
  <c r="G895" i="5"/>
  <c r="H781" i="5"/>
  <c r="G694" i="5"/>
  <c r="H806" i="5"/>
  <c r="R442" i="5"/>
  <c r="W1297" i="5"/>
  <c r="W1402" i="5"/>
  <c r="W267" i="5"/>
  <c r="W42" i="5"/>
  <c r="W1397" i="5"/>
  <c r="Y1582" i="5"/>
  <c r="H1138" i="5"/>
  <c r="H1500" i="5"/>
  <c r="Y782" i="5"/>
  <c r="H19" i="5"/>
  <c r="R692" i="5"/>
  <c r="H1301" i="5"/>
  <c r="Y772" i="5"/>
  <c r="H1073" i="5"/>
  <c r="R427" i="5"/>
  <c r="G334" i="5"/>
  <c r="AB1677" i="5"/>
  <c r="G1225" i="5"/>
  <c r="Y227" i="5"/>
  <c r="Y1077" i="5"/>
  <c r="H1243" i="5"/>
  <c r="W187" i="5"/>
  <c r="W672" i="5"/>
  <c r="W1717" i="5"/>
  <c r="H1558" i="5"/>
  <c r="H262" i="5"/>
  <c r="G759" i="5"/>
  <c r="AA1657" i="5"/>
  <c r="H54" i="5"/>
  <c r="H541" i="5"/>
  <c r="Y1262" i="5"/>
  <c r="G903" i="5"/>
  <c r="H112" i="5"/>
  <c r="H233" i="5"/>
  <c r="G476" i="5"/>
  <c r="H1408" i="5"/>
  <c r="H918" i="5"/>
  <c r="H36" i="5"/>
  <c r="H1604" i="5"/>
  <c r="H740" i="5"/>
  <c r="G754" i="5"/>
  <c r="G230" i="5"/>
  <c r="G689" i="5"/>
  <c r="Z1682" i="5"/>
  <c r="H197" i="5"/>
  <c r="G537" i="5"/>
  <c r="AA1692" i="5"/>
  <c r="H1446" i="5"/>
  <c r="H1553" i="5"/>
  <c r="AA1727" i="5"/>
  <c r="G22" i="5"/>
  <c r="G970" i="5"/>
  <c r="R1187" i="5"/>
  <c r="R1567" i="5"/>
  <c r="G217" i="5"/>
  <c r="G1505" i="5"/>
  <c r="H32" i="5"/>
  <c r="H840" i="5"/>
  <c r="R1072" i="5"/>
  <c r="R437" i="5"/>
  <c r="R1077" i="5"/>
  <c r="G738" i="5"/>
  <c r="G680" i="5"/>
  <c r="H989" i="5"/>
  <c r="H222" i="5"/>
  <c r="H991" i="5"/>
  <c r="G25" i="5"/>
  <c r="R92" i="5"/>
  <c r="H1557" i="5"/>
  <c r="H789" i="5"/>
  <c r="G913" i="5"/>
  <c r="R312" i="5"/>
  <c r="G1139" i="5"/>
  <c r="G468" i="5"/>
  <c r="R1687" i="5"/>
  <c r="R1182" i="5"/>
  <c r="Y82" i="5"/>
  <c r="R1312" i="5"/>
  <c r="H1294" i="5"/>
  <c r="G1174" i="5"/>
  <c r="H962" i="5"/>
  <c r="H1332" i="5"/>
  <c r="G959" i="5"/>
  <c r="G1626" i="5"/>
  <c r="R252" i="5"/>
  <c r="H1610" i="5"/>
  <c r="H796" i="5"/>
  <c r="H915" i="5"/>
  <c r="G1190" i="5"/>
  <c r="G117" i="5"/>
  <c r="R727" i="5"/>
  <c r="AB1682" i="5"/>
  <c r="H1470" i="5"/>
  <c r="H133" i="5"/>
  <c r="G986" i="5"/>
  <c r="H218" i="5"/>
  <c r="G1077" i="5"/>
  <c r="G586" i="5"/>
  <c r="H254" i="5"/>
  <c r="H1353" i="5"/>
  <c r="AB1727" i="5"/>
  <c r="Y127" i="5"/>
  <c r="H1541" i="5"/>
  <c r="Y427" i="5"/>
  <c r="H512" i="5"/>
  <c r="R1032" i="5"/>
  <c r="H849" i="5"/>
  <c r="G69" i="5"/>
  <c r="R422" i="5"/>
  <c r="H431" i="5"/>
  <c r="H28" i="5"/>
  <c r="G1597" i="5"/>
  <c r="H1461" i="5"/>
  <c r="R97" i="5"/>
  <c r="Y1172" i="5"/>
  <c r="G870" i="5"/>
  <c r="Y757" i="5"/>
  <c r="V1697" i="5"/>
  <c r="T1702" i="5"/>
  <c r="S1702" i="5"/>
  <c r="H680" i="5"/>
  <c r="G1679" i="5"/>
  <c r="G1687" i="5"/>
  <c r="G1640" i="5"/>
  <c r="H437" i="5"/>
  <c r="H50" i="5"/>
  <c r="Y607" i="5"/>
  <c r="W782" i="5"/>
  <c r="W67" i="5"/>
  <c r="W687" i="5"/>
  <c r="W887" i="5"/>
  <c r="W577" i="5"/>
  <c r="G1531" i="5"/>
  <c r="S1727" i="5"/>
  <c r="R562" i="5"/>
  <c r="G578" i="5"/>
  <c r="G44" i="5"/>
  <c r="G1358" i="5"/>
  <c r="Y967" i="5"/>
  <c r="G1725" i="5"/>
  <c r="H1733" i="5"/>
  <c r="AA1687" i="5"/>
  <c r="G143" i="5"/>
  <c r="H1214" i="5"/>
  <c r="G976" i="5"/>
  <c r="G264" i="5"/>
  <c r="G1369" i="5"/>
  <c r="Y1052" i="5"/>
  <c r="W1577" i="5"/>
  <c r="W1182" i="5"/>
  <c r="W657" i="5"/>
  <c r="G330" i="5"/>
  <c r="H894" i="5"/>
  <c r="H579" i="5"/>
  <c r="G675" i="5"/>
  <c r="G182" i="5"/>
  <c r="G104" i="5"/>
  <c r="G1104" i="5"/>
  <c r="G238" i="5"/>
  <c r="G1245" i="5"/>
  <c r="G1006" i="5"/>
  <c r="H1418" i="5"/>
  <c r="G789" i="5"/>
  <c r="G1232" i="5"/>
  <c r="G1091" i="5"/>
  <c r="R822" i="5"/>
  <c r="G326" i="5"/>
  <c r="H367" i="5"/>
  <c r="G240" i="5"/>
  <c r="H503" i="5"/>
  <c r="G1484" i="5"/>
  <c r="G1504" i="5"/>
  <c r="G1456" i="5"/>
  <c r="H1241" i="5"/>
  <c r="R372" i="5"/>
  <c r="G1193" i="5"/>
  <c r="G836" i="5"/>
  <c r="G1652" i="5"/>
  <c r="H478" i="5"/>
  <c r="R287" i="5"/>
  <c r="H1042" i="5"/>
  <c r="H735" i="5"/>
  <c r="G1603" i="5"/>
  <c r="S1687" i="5"/>
  <c r="H264" i="5"/>
  <c r="S1632" i="5"/>
  <c r="R1467" i="5"/>
  <c r="G1639" i="5"/>
  <c r="R722" i="5"/>
  <c r="R102" i="5"/>
  <c r="G425" i="5"/>
  <c r="Y767" i="5"/>
  <c r="R1577" i="5"/>
  <c r="Y292" i="5"/>
  <c r="G1727" i="5"/>
  <c r="H1743" i="5"/>
  <c r="H294" i="5"/>
  <c r="G1528" i="5"/>
  <c r="Y1202" i="5"/>
  <c r="R1102" i="5"/>
  <c r="R1707" i="5"/>
  <c r="H1326" i="5"/>
  <c r="G796" i="5"/>
  <c r="R1377" i="5"/>
  <c r="G1745" i="5"/>
  <c r="Y1502" i="5"/>
  <c r="H837" i="5"/>
  <c r="G898" i="5"/>
  <c r="R1657" i="5"/>
  <c r="G1086" i="5"/>
  <c r="T1682" i="5"/>
  <c r="H482" i="5"/>
  <c r="G31" i="5"/>
  <c r="G865" i="5"/>
  <c r="H1115" i="5"/>
  <c r="H278" i="5"/>
  <c r="G196" i="5"/>
  <c r="H401" i="5"/>
  <c r="H1559" i="5"/>
  <c r="H1421" i="5"/>
  <c r="Y1167" i="5"/>
  <c r="G484" i="5"/>
  <c r="H322" i="5"/>
  <c r="G746" i="5"/>
  <c r="G1696" i="5"/>
  <c r="H415" i="5"/>
  <c r="Y1462" i="5"/>
  <c r="G1535" i="5"/>
  <c r="R507" i="5"/>
  <c r="G1607" i="5"/>
  <c r="G983" i="5"/>
  <c r="H170" i="5"/>
  <c r="Y192" i="5"/>
  <c r="AB1652" i="5"/>
  <c r="H1720" i="5"/>
  <c r="R1042" i="5"/>
  <c r="R112" i="5"/>
  <c r="H335" i="5"/>
  <c r="H3" i="5"/>
  <c r="H1091" i="5"/>
  <c r="G1501" i="5"/>
  <c r="H1361" i="5"/>
  <c r="G653" i="5"/>
  <c r="Y372" i="5"/>
  <c r="H147" i="5"/>
  <c r="G1112" i="5"/>
  <c r="G480" i="5"/>
  <c r="H1637" i="5"/>
  <c r="R877" i="5"/>
  <c r="G203" i="5"/>
  <c r="R217" i="5"/>
  <c r="Y762" i="5"/>
  <c r="R787" i="5"/>
  <c r="R7" i="5"/>
  <c r="W1437" i="5"/>
  <c r="W552" i="5"/>
  <c r="W392" i="5"/>
  <c r="W1607" i="5"/>
  <c r="W302" i="5"/>
  <c r="Y352" i="5"/>
  <c r="R1477" i="5"/>
  <c r="G1082" i="5"/>
  <c r="Y847" i="5"/>
  <c r="T1717" i="5"/>
  <c r="H1704" i="5"/>
  <c r="G1212" i="5"/>
  <c r="R862" i="5"/>
  <c r="H947" i="5"/>
  <c r="H204" i="5"/>
  <c r="Y857" i="5"/>
  <c r="H609" i="5"/>
  <c r="H2" i="5"/>
  <c r="H1051" i="5"/>
  <c r="G358" i="5"/>
  <c r="G400" i="5"/>
  <c r="W862" i="5"/>
  <c r="W1177" i="5"/>
  <c r="W652" i="5"/>
  <c r="G859" i="5"/>
  <c r="G1582" i="5"/>
  <c r="H34" i="5"/>
  <c r="H1037" i="5"/>
  <c r="G1728" i="5"/>
  <c r="G748" i="5"/>
  <c r="H397" i="5"/>
  <c r="G535" i="5"/>
  <c r="H1094" i="5"/>
  <c r="H1538" i="5"/>
  <c r="G397" i="5"/>
  <c r="AB1722" i="5"/>
  <c r="H1331" i="5"/>
  <c r="G797" i="5"/>
  <c r="G761" i="5"/>
  <c r="H904" i="5"/>
  <c r="Y682" i="5"/>
  <c r="W1357" i="5"/>
  <c r="R1287" i="5"/>
  <c r="H1571" i="5"/>
  <c r="W522" i="5"/>
  <c r="W1467" i="5"/>
  <c r="W462" i="5"/>
  <c r="G65" i="5"/>
  <c r="H1639" i="5"/>
  <c r="G470" i="5"/>
  <c r="R1587" i="5"/>
  <c r="Y657" i="5"/>
  <c r="Z1652" i="5"/>
  <c r="H1577" i="5"/>
  <c r="H1443" i="5"/>
  <c r="H398" i="5"/>
  <c r="H1406" i="5"/>
  <c r="R837" i="5"/>
  <c r="R767" i="5"/>
  <c r="R1047" i="5"/>
  <c r="G1405" i="5"/>
  <c r="G1205" i="5"/>
  <c r="G1011" i="5"/>
  <c r="W272" i="5"/>
  <c r="W1617" i="5"/>
  <c r="W557" i="5"/>
  <c r="W197" i="5"/>
  <c r="W157" i="5"/>
  <c r="R1662" i="5"/>
  <c r="Y177" i="5"/>
  <c r="H1040" i="5"/>
  <c r="G525" i="5"/>
  <c r="R187" i="5"/>
  <c r="G1148" i="5"/>
  <c r="H441" i="5"/>
  <c r="H1054" i="5"/>
  <c r="H1165" i="5"/>
  <c r="G185" i="5"/>
  <c r="Y1467" i="5"/>
  <c r="G1668" i="5"/>
  <c r="H1672" i="5"/>
  <c r="R592" i="5"/>
  <c r="G1307" i="5"/>
  <c r="G1572" i="5"/>
  <c r="W7" i="5"/>
  <c r="W912" i="5"/>
  <c r="W982" i="5"/>
  <c r="W1067" i="5"/>
  <c r="W667" i="5"/>
  <c r="W1227" i="5"/>
  <c r="W612" i="5"/>
  <c r="W752" i="5"/>
  <c r="W722" i="5"/>
  <c r="W227" i="5"/>
  <c r="W252" i="5"/>
  <c r="W82" i="5"/>
  <c r="W372" i="5"/>
  <c r="W472" i="5"/>
  <c r="S1592" i="5"/>
  <c r="S1617" i="5"/>
  <c r="V1557" i="5"/>
  <c r="AA1587" i="5"/>
  <c r="U1622" i="5"/>
  <c r="AB1587" i="5"/>
  <c r="W97" i="5"/>
  <c r="AB1607" i="5"/>
  <c r="W647" i="5"/>
  <c r="S1607" i="5"/>
  <c r="R677" i="5"/>
  <c r="Y1087" i="5"/>
  <c r="Y492" i="5"/>
  <c r="W1602" i="5"/>
  <c r="V1587" i="5"/>
  <c r="H745" i="5"/>
  <c r="G860" i="5"/>
  <c r="H256" i="5"/>
  <c r="W112" i="5"/>
  <c r="G1485" i="5"/>
  <c r="G755" i="5"/>
  <c r="G60" i="5"/>
  <c r="W1697" i="5"/>
  <c r="G48" i="5"/>
  <c r="H519" i="5"/>
  <c r="Y1717" i="5"/>
  <c r="W1447" i="5"/>
  <c r="W1282" i="5"/>
  <c r="H571" i="5"/>
  <c r="G926" i="5"/>
  <c r="G1042" i="5"/>
  <c r="H1064" i="5"/>
  <c r="R1327" i="5"/>
  <c r="G774" i="5"/>
  <c r="G1587" i="5"/>
  <c r="H1624" i="5"/>
  <c r="H1492" i="5"/>
  <c r="R962" i="5"/>
  <c r="G1067" i="5"/>
  <c r="G1391" i="5"/>
  <c r="Y1372" i="5"/>
  <c r="R32" i="5"/>
  <c r="Y312" i="5"/>
  <c r="G382" i="5"/>
  <c r="R317" i="5"/>
  <c r="W1327" i="5"/>
  <c r="G1571" i="5"/>
  <c r="H345" i="5"/>
  <c r="W1642" i="5"/>
  <c r="W337" i="5"/>
  <c r="W1137" i="5"/>
  <c r="G1436" i="5"/>
  <c r="R1462" i="5"/>
  <c r="V1717" i="5"/>
  <c r="G168" i="5"/>
  <c r="R867" i="5"/>
  <c r="G216" i="5"/>
  <c r="U1657" i="5"/>
  <c r="H1085" i="5"/>
  <c r="G205" i="5"/>
  <c r="R242" i="5"/>
  <c r="Y1557" i="5"/>
  <c r="Y447" i="5"/>
  <c r="AA1742" i="5"/>
  <c r="Y612" i="5"/>
  <c r="G1506" i="5"/>
  <c r="Y1587" i="5"/>
  <c r="W1142" i="5"/>
  <c r="W1727" i="5"/>
  <c r="W1427" i="5"/>
  <c r="W1032" i="5"/>
  <c r="W882" i="5"/>
  <c r="T1727" i="5"/>
  <c r="G1503" i="5"/>
  <c r="G153" i="5"/>
  <c r="G1397" i="5"/>
  <c r="Y637" i="5"/>
  <c r="H784" i="5"/>
  <c r="G123" i="5"/>
  <c r="G122" i="5"/>
  <c r="R377" i="5"/>
  <c r="G1237" i="5"/>
  <c r="G665" i="5"/>
  <c r="G183" i="5"/>
  <c r="R1507" i="5"/>
  <c r="R1547" i="5"/>
  <c r="T1742" i="5"/>
  <c r="R1192" i="5"/>
  <c r="W317" i="5"/>
  <c r="W1622" i="5"/>
  <c r="W787" i="5"/>
  <c r="W662" i="5"/>
  <c r="W1537" i="5"/>
  <c r="W1737" i="5"/>
  <c r="W222" i="5"/>
  <c r="W1482" i="5"/>
  <c r="W827" i="5"/>
  <c r="W1257" i="5"/>
  <c r="W1462" i="5"/>
  <c r="W27" i="5"/>
  <c r="W832" i="5"/>
  <c r="W1677" i="5"/>
  <c r="U1617" i="5"/>
  <c r="AB1617" i="5"/>
  <c r="Z1587" i="5"/>
  <c r="AB1597" i="5"/>
  <c r="V1612" i="5"/>
  <c r="AA1617" i="5"/>
  <c r="W167" i="5"/>
  <c r="AB1557" i="5"/>
  <c r="W1147" i="5"/>
  <c r="U1602" i="5"/>
  <c r="S1622" i="5"/>
  <c r="H1200" i="5"/>
  <c r="H909" i="5"/>
  <c r="G263" i="5"/>
  <c r="H243" i="5"/>
  <c r="G635" i="5"/>
  <c r="W407" i="5"/>
  <c r="W1532" i="5"/>
  <c r="AB1627" i="5"/>
  <c r="G292" i="5"/>
  <c r="R1162" i="5"/>
  <c r="G1234" i="5"/>
  <c r="G416" i="5"/>
  <c r="H270" i="5"/>
  <c r="W127" i="5"/>
  <c r="T1707" i="5"/>
  <c r="H1228" i="5"/>
  <c r="R697" i="5"/>
  <c r="G1659" i="5"/>
  <c r="S1732" i="5"/>
  <c r="V1727" i="5"/>
  <c r="H340" i="5"/>
  <c r="S1637" i="5"/>
  <c r="G147" i="5"/>
  <c r="H709" i="5"/>
  <c r="G1379" i="5"/>
  <c r="R247" i="5"/>
  <c r="R417" i="5"/>
  <c r="R127" i="5"/>
  <c r="R482" i="5"/>
  <c r="G1269" i="5"/>
  <c r="R1272" i="5"/>
  <c r="W327" i="5"/>
  <c r="G1314" i="5"/>
  <c r="H47" i="5"/>
  <c r="W37" i="5"/>
  <c r="W607" i="5"/>
  <c r="W847" i="5"/>
  <c r="G335" i="5"/>
  <c r="H582" i="5"/>
  <c r="G719" i="5"/>
  <c r="AB1667" i="5"/>
  <c r="G930" i="5"/>
  <c r="H422" i="5"/>
  <c r="G488" i="5"/>
  <c r="H1715" i="5"/>
  <c r="Y577" i="5"/>
  <c r="G469" i="5"/>
  <c r="Y982" i="5"/>
  <c r="G266" i="5"/>
  <c r="T1692" i="5"/>
  <c r="R1672" i="5"/>
  <c r="H65" i="5"/>
  <c r="G1675" i="5"/>
  <c r="W1052" i="5"/>
  <c r="W117" i="5"/>
  <c r="W1112" i="5"/>
  <c r="W247" i="5"/>
  <c r="W1352" i="5"/>
  <c r="H479" i="5"/>
  <c r="G545" i="5"/>
  <c r="G1371" i="5"/>
  <c r="Y552" i="5"/>
  <c r="G1045" i="5"/>
  <c r="G1611" i="5"/>
  <c r="Z1657" i="5"/>
  <c r="V1707" i="5"/>
  <c r="G108" i="5"/>
  <c r="H154" i="5"/>
  <c r="H1606" i="5"/>
  <c r="G1583" i="5"/>
  <c r="R572" i="5"/>
  <c r="G685" i="5"/>
  <c r="H605" i="5"/>
  <c r="G581" i="5"/>
  <c r="W802" i="5"/>
  <c r="W637" i="5"/>
  <c r="W727" i="5"/>
  <c r="W1567" i="5"/>
  <c r="W1382" i="5"/>
  <c r="W747" i="5"/>
  <c r="W1022" i="5"/>
  <c r="W627" i="5"/>
  <c r="W837" i="5"/>
  <c r="W1497" i="5"/>
  <c r="W712" i="5"/>
  <c r="W1392" i="5"/>
  <c r="W867" i="5"/>
  <c r="W1662" i="5"/>
  <c r="AB1602" i="5"/>
  <c r="V1622" i="5"/>
  <c r="U1557" i="5"/>
  <c r="Z1552" i="5"/>
  <c r="AA1592" i="5"/>
  <c r="Z1592" i="5"/>
  <c r="Z1612" i="5"/>
  <c r="V1577" i="5"/>
  <c r="AB1582" i="5"/>
  <c r="W1632" i="5"/>
  <c r="W492" i="5"/>
  <c r="Z1607" i="5"/>
  <c r="H1269" i="5"/>
  <c r="R657" i="5"/>
  <c r="H1591" i="5"/>
  <c r="R1652" i="5"/>
  <c r="H1319" i="5"/>
  <c r="W152" i="5"/>
  <c r="R1217" i="5"/>
  <c r="Y1122" i="5"/>
  <c r="W1742" i="5"/>
  <c r="W1552" i="5"/>
  <c r="Z1622" i="5"/>
  <c r="H613" i="5"/>
  <c r="R157" i="5"/>
  <c r="G996" i="5"/>
  <c r="G588" i="5"/>
  <c r="G9" i="5"/>
  <c r="G221" i="5"/>
  <c r="G547" i="5"/>
  <c r="W852" i="5"/>
  <c r="W92" i="5"/>
  <c r="AA1612" i="5"/>
  <c r="H79" i="5"/>
  <c r="G897" i="5"/>
  <c r="G1203" i="5"/>
  <c r="H1473" i="5"/>
  <c r="G1474" i="5"/>
  <c r="G14" i="5"/>
  <c r="H1330" i="5"/>
  <c r="H62" i="5"/>
  <c r="G443" i="5"/>
  <c r="T1642" i="5"/>
  <c r="H850" i="5"/>
  <c r="H641" i="5"/>
  <c r="Y537" i="5"/>
  <c r="H920" i="5"/>
  <c r="G402" i="5"/>
  <c r="H820" i="5"/>
  <c r="G1235" i="5"/>
  <c r="Y1227" i="5"/>
  <c r="G1618" i="5"/>
  <c r="G213" i="5"/>
  <c r="R137" i="5"/>
  <c r="W1507" i="5"/>
  <c r="W1207" i="5"/>
  <c r="W692" i="5"/>
  <c r="H1236" i="5"/>
  <c r="H1389" i="5"/>
  <c r="H658" i="5"/>
  <c r="H369" i="5"/>
  <c r="H706" i="5"/>
  <c r="G779" i="5"/>
  <c r="H1177" i="5"/>
  <c r="Y697" i="5"/>
  <c r="G152" i="5"/>
  <c r="G1090" i="5"/>
  <c r="G1244" i="5"/>
  <c r="G1069" i="5"/>
  <c r="G1573" i="5"/>
  <c r="Y887" i="5"/>
  <c r="G1055" i="5"/>
  <c r="R547" i="5"/>
  <c r="W447" i="5"/>
  <c r="W532" i="5"/>
  <c r="W567" i="5"/>
  <c r="W397" i="5"/>
  <c r="W1012" i="5"/>
  <c r="V1742" i="5"/>
  <c r="G463" i="5"/>
  <c r="G1547" i="5"/>
  <c r="Y297" i="5"/>
  <c r="Y1322" i="5"/>
  <c r="T1732" i="5"/>
  <c r="G1028" i="5"/>
  <c r="G1342" i="5"/>
  <c r="S1657" i="5"/>
  <c r="Y1347" i="5"/>
  <c r="H682" i="5"/>
  <c r="H232" i="5"/>
  <c r="G1263" i="5"/>
  <c r="H1636" i="5"/>
  <c r="G1356" i="5"/>
  <c r="G1598" i="5"/>
  <c r="W1002" i="5"/>
  <c r="W822" i="5"/>
  <c r="W1077" i="5"/>
  <c r="W262" i="5"/>
  <c r="W617" i="5"/>
  <c r="W792" i="5"/>
  <c r="W1452" i="5"/>
  <c r="W1342" i="5"/>
  <c r="W717" i="5"/>
  <c r="W897" i="5"/>
  <c r="W62" i="5"/>
  <c r="W1082" i="5"/>
  <c r="AB1577" i="5"/>
  <c r="U1577" i="5"/>
  <c r="Y502" i="5"/>
  <c r="G1560" i="5"/>
  <c r="W412" i="5"/>
  <c r="H1652" i="5"/>
  <c r="H1425" i="5"/>
  <c r="H42" i="5"/>
  <c r="G1396" i="5"/>
  <c r="G103" i="5"/>
  <c r="R1372" i="5"/>
  <c r="G1308" i="5"/>
  <c r="G452" i="5"/>
  <c r="R1537" i="5"/>
  <c r="H1676" i="5"/>
  <c r="Z1632" i="5"/>
  <c r="G1348" i="5"/>
  <c r="R262" i="5"/>
  <c r="S1647" i="5"/>
  <c r="G503" i="5"/>
  <c r="Y752" i="5"/>
  <c r="G1642" i="5"/>
  <c r="H779" i="5"/>
  <c r="H901" i="5"/>
  <c r="G956" i="5"/>
  <c r="Y1507" i="5"/>
  <c r="W977" i="5"/>
  <c r="W537" i="5"/>
  <c r="W1062" i="5"/>
  <c r="H1590" i="5"/>
  <c r="G1594" i="5"/>
  <c r="T1662" i="5"/>
  <c r="Y547" i="5"/>
  <c r="G1719" i="5"/>
  <c r="H760" i="5"/>
  <c r="G73" i="5"/>
  <c r="H355" i="5"/>
  <c r="H1388" i="5"/>
  <c r="G124" i="5"/>
  <c r="Y867" i="5"/>
  <c r="G1298" i="5"/>
  <c r="H776" i="5"/>
  <c r="G359" i="5"/>
  <c r="Y1517" i="5"/>
  <c r="G178" i="5"/>
  <c r="W767" i="5"/>
  <c r="W277" i="5"/>
  <c r="W1047" i="5"/>
  <c r="W1242" i="5"/>
  <c r="W872" i="5"/>
  <c r="U1727" i="5"/>
  <c r="G871" i="5"/>
  <c r="V1712" i="5"/>
  <c r="G1721" i="5"/>
  <c r="R792" i="5"/>
  <c r="H1625" i="5"/>
  <c r="U1627" i="5"/>
  <c r="Y1387" i="5"/>
  <c r="G1015" i="5"/>
  <c r="Y287" i="5"/>
  <c r="H1612" i="5"/>
  <c r="H1087" i="5"/>
  <c r="H1724" i="5"/>
  <c r="G1566" i="5"/>
  <c r="Y542" i="5"/>
  <c r="H410" i="5"/>
  <c r="W342" i="5"/>
  <c r="W732" i="5"/>
  <c r="W1627" i="5"/>
  <c r="W962" i="5"/>
  <c r="W387" i="5"/>
  <c r="W1307" i="5"/>
  <c r="W1262" i="5"/>
  <c r="W1372" i="5"/>
  <c r="W12" i="5"/>
  <c r="W1157" i="5"/>
  <c r="Z1572" i="5"/>
  <c r="H1556" i="5"/>
  <c r="G419" i="5"/>
  <c r="V1582" i="5"/>
  <c r="H141" i="5"/>
  <c r="G38" i="5"/>
  <c r="G1713" i="5"/>
  <c r="H671" i="5"/>
  <c r="G723" i="5"/>
  <c r="H1623" i="5"/>
  <c r="R957" i="5"/>
  <c r="Y1217" i="5"/>
  <c r="H1700" i="5"/>
  <c r="H1647" i="5"/>
  <c r="G1605" i="5"/>
  <c r="R297" i="5"/>
  <c r="Y1692" i="5"/>
  <c r="H1000" i="5"/>
  <c r="H1717" i="5"/>
  <c r="R1317" i="5"/>
  <c r="H537" i="5"/>
  <c r="W1042" i="5"/>
  <c r="G657" i="5"/>
  <c r="H1648" i="5"/>
  <c r="H1348" i="5"/>
  <c r="W1527" i="5"/>
  <c r="W437" i="5"/>
  <c r="W952" i="5"/>
  <c r="H25" i="5"/>
  <c r="H853" i="5"/>
  <c r="H1521" i="5"/>
  <c r="G204" i="5"/>
  <c r="G777" i="5"/>
  <c r="G1390" i="5"/>
  <c r="Y602" i="5"/>
  <c r="Y377" i="5"/>
  <c r="AA1702" i="5"/>
  <c r="R532" i="5"/>
  <c r="G188" i="5"/>
  <c r="H1650" i="5"/>
  <c r="R972" i="5"/>
  <c r="G132" i="5"/>
  <c r="H393" i="5"/>
  <c r="H1008" i="5"/>
  <c r="W642" i="5"/>
  <c r="W1192" i="5"/>
  <c r="W857" i="5"/>
  <c r="W1687" i="5"/>
  <c r="W742" i="5"/>
  <c r="Y892" i="5"/>
  <c r="Y1707" i="5"/>
  <c r="R1677" i="5"/>
  <c r="R1347" i="5"/>
  <c r="G995" i="5"/>
  <c r="R212" i="5"/>
  <c r="G1478" i="5"/>
  <c r="R812" i="5"/>
  <c r="G1367" i="5"/>
  <c r="G1678" i="5"/>
  <c r="H1426" i="5"/>
  <c r="Y1422" i="5"/>
  <c r="R1082" i="5"/>
  <c r="G287" i="5"/>
  <c r="G134" i="5"/>
  <c r="H1189" i="5"/>
  <c r="W1412" i="5"/>
  <c r="W87" i="5"/>
  <c r="W1337" i="5"/>
  <c r="W232" i="5"/>
  <c r="W322" i="5"/>
  <c r="W737" i="5"/>
  <c r="W137" i="5"/>
  <c r="W592" i="5"/>
  <c r="W957" i="5"/>
  <c r="W797" i="5"/>
  <c r="W1287" i="5"/>
  <c r="W807" i="5"/>
  <c r="W1652" i="5"/>
  <c r="W1097" i="5"/>
  <c r="V1592" i="5"/>
  <c r="U1562" i="5"/>
  <c r="AA1552" i="5"/>
  <c r="U1607" i="5"/>
  <c r="Z1597" i="5"/>
  <c r="S1602" i="5"/>
  <c r="G1146" i="5"/>
  <c r="G729" i="5"/>
  <c r="W177" i="5"/>
  <c r="R1037" i="5"/>
  <c r="W772" i="5"/>
  <c r="W1657" i="5"/>
  <c r="U1612" i="5"/>
  <c r="G1068" i="5"/>
  <c r="G1447" i="5"/>
  <c r="W1672" i="5"/>
  <c r="Y817" i="5"/>
  <c r="H905" i="5"/>
  <c r="U1717" i="5"/>
  <c r="W762" i="5"/>
  <c r="U1592" i="5"/>
  <c r="H961" i="5"/>
  <c r="H296" i="5"/>
  <c r="R392" i="5"/>
  <c r="H1460" i="5"/>
  <c r="Y1302" i="5"/>
  <c r="R282" i="5"/>
  <c r="H1111" i="5"/>
  <c r="R17" i="5"/>
  <c r="H1252" i="5"/>
  <c r="G478" i="5"/>
  <c r="U1672" i="5"/>
  <c r="Y1402" i="5"/>
  <c r="H602" i="5"/>
  <c r="R1227" i="5"/>
  <c r="R1482" i="5"/>
  <c r="H1265" i="5"/>
  <c r="Y1697" i="5"/>
  <c r="W1422" i="5"/>
  <c r="H275" i="5"/>
  <c r="H379" i="5"/>
  <c r="G647" i="5"/>
  <c r="W967" i="5"/>
  <c r="W442" i="5"/>
  <c r="W362" i="5"/>
  <c r="G1184" i="5"/>
  <c r="G1471" i="5"/>
  <c r="G1464" i="5"/>
  <c r="R337" i="5"/>
  <c r="G34" i="5"/>
  <c r="G1735" i="5"/>
  <c r="G955" i="5"/>
  <c r="G1511" i="5"/>
  <c r="H823" i="5"/>
  <c r="Y1092" i="5"/>
  <c r="G1025" i="5"/>
  <c r="Y1252" i="5"/>
  <c r="R852" i="5"/>
  <c r="H742" i="5"/>
  <c r="H288" i="5"/>
  <c r="Y97" i="5"/>
  <c r="W172" i="5"/>
  <c r="W212" i="5"/>
  <c r="W777" i="5"/>
  <c r="W1302" i="5"/>
  <c r="W132" i="5"/>
  <c r="Z1687" i="5"/>
  <c r="G1224" i="5"/>
  <c r="R2" i="5"/>
  <c r="H211" i="5"/>
  <c r="R57" i="5"/>
  <c r="H535" i="5"/>
  <c r="G139" i="5"/>
  <c r="G171" i="5"/>
  <c r="Y142" i="5"/>
  <c r="H1551" i="5"/>
  <c r="H510" i="5"/>
  <c r="G18" i="5"/>
  <c r="H863" i="5"/>
  <c r="R397" i="5"/>
  <c r="G1645" i="5"/>
  <c r="H1397" i="5"/>
  <c r="W1202" i="5"/>
  <c r="W1547" i="5"/>
  <c r="W142" i="5"/>
  <c r="W907" i="5"/>
  <c r="W312" i="5"/>
  <c r="W182" i="5"/>
  <c r="W1377" i="5"/>
  <c r="W1587" i="5"/>
  <c r="W382" i="5"/>
  <c r="W992" i="5"/>
  <c r="W1722" i="5"/>
  <c r="W32" i="5"/>
  <c r="W1087" i="5"/>
  <c r="W432" i="5"/>
  <c r="U1587" i="5"/>
  <c r="Z1617" i="5"/>
  <c r="AA1582" i="5"/>
  <c r="Z1602" i="5"/>
  <c r="U1567" i="5"/>
  <c r="V1617" i="5"/>
  <c r="G1580" i="5"/>
  <c r="G322" i="5"/>
  <c r="R1177" i="5"/>
  <c r="Y1392" i="5"/>
  <c r="Y432" i="5"/>
  <c r="W237" i="5"/>
  <c r="H821" i="5"/>
  <c r="H215" i="5"/>
  <c r="R1437" i="5"/>
  <c r="W292" i="5"/>
  <c r="W502" i="5"/>
  <c r="G68" i="5"/>
  <c r="H1005" i="5"/>
  <c r="W2" i="5"/>
  <c r="W1132" i="5"/>
  <c r="G33" i="5"/>
  <c r="Y617" i="5"/>
  <c r="H1198" i="5"/>
  <c r="G661" i="5"/>
  <c r="W1562" i="5"/>
  <c r="H1611" i="5"/>
  <c r="W527" i="5"/>
  <c r="W1332" i="5"/>
  <c r="AA1622" i="5"/>
  <c r="H702" i="5"/>
  <c r="H108" i="5"/>
  <c r="H747" i="5"/>
  <c r="G1733" i="5"/>
  <c r="H1197" i="5"/>
  <c r="AA1627" i="5"/>
  <c r="Y822" i="5"/>
  <c r="H465" i="5"/>
  <c r="H72" i="5"/>
  <c r="R122" i="5"/>
  <c r="G1550" i="5"/>
  <c r="Y527" i="5"/>
  <c r="R492" i="5"/>
  <c r="G1520" i="5"/>
  <c r="H1102" i="5"/>
  <c r="Y1222" i="5"/>
  <c r="R37" i="5"/>
  <c r="W307" i="5"/>
  <c r="G600" i="5"/>
  <c r="H656" i="5"/>
  <c r="Y837" i="5"/>
  <c r="W377" i="5"/>
  <c r="W697" i="5"/>
  <c r="W1187" i="5"/>
  <c r="G318" i="5"/>
  <c r="G1014" i="5"/>
  <c r="G398" i="5"/>
  <c r="R912" i="5"/>
  <c r="Y397" i="5"/>
  <c r="Y1637" i="5"/>
  <c r="G386" i="5"/>
  <c r="R802" i="5"/>
  <c r="H1392" i="5"/>
  <c r="R237" i="5"/>
  <c r="H1662" i="5"/>
  <c r="H1619" i="5"/>
  <c r="G82" i="5"/>
  <c r="H10" i="5"/>
  <c r="AA1647" i="5"/>
  <c r="V1672" i="5"/>
  <c r="W217" i="5"/>
  <c r="W1312" i="5"/>
  <c r="W1647" i="5"/>
  <c r="W22" i="5"/>
  <c r="W1502" i="5"/>
  <c r="G1533" i="5"/>
  <c r="G808" i="5"/>
  <c r="Y1017" i="5"/>
  <c r="S1652" i="5"/>
  <c r="Y877" i="5"/>
  <c r="H1594" i="5"/>
  <c r="G805" i="5"/>
  <c r="H669" i="5"/>
  <c r="H202" i="5"/>
  <c r="G274" i="5"/>
  <c r="H1058" i="5"/>
  <c r="H1034" i="5"/>
  <c r="H1431" i="5"/>
  <c r="G890" i="5"/>
  <c r="U1737" i="5"/>
  <c r="G329" i="5"/>
  <c r="W257" i="5"/>
  <c r="W297" i="5"/>
  <c r="W1272" i="5"/>
  <c r="W1037" i="5"/>
  <c r="W987" i="5"/>
  <c r="W242" i="5"/>
  <c r="W1122" i="5"/>
  <c r="W892" i="5"/>
  <c r="W17" i="5"/>
  <c r="W902" i="5"/>
  <c r="W757" i="5"/>
  <c r="W1127" i="5"/>
  <c r="W487" i="5"/>
  <c r="W162" i="5"/>
  <c r="S1597" i="5"/>
  <c r="S1582" i="5"/>
  <c r="Z1562" i="5"/>
  <c r="AB1622" i="5"/>
  <c r="S1612" i="5"/>
  <c r="AB1592" i="5"/>
  <c r="G1507" i="5"/>
  <c r="G720" i="5"/>
  <c r="S1717" i="5"/>
  <c r="W1212" i="5"/>
  <c r="AA1562" i="5"/>
  <c r="G189" i="5"/>
  <c r="H1139" i="5"/>
  <c r="W1667" i="5"/>
  <c r="H715" i="5"/>
  <c r="H175" i="5"/>
  <c r="Y592" i="5"/>
  <c r="G1004" i="5"/>
  <c r="W1197" i="5"/>
  <c r="Y1577" i="5"/>
  <c r="Z1742" i="5"/>
  <c r="W1732" i="5"/>
  <c r="W357" i="5"/>
  <c r="V1607" i="5"/>
  <c r="H60" i="5"/>
  <c r="G346" i="5"/>
  <c r="G1271" i="5"/>
  <c r="H155" i="5"/>
  <c r="R1002" i="5"/>
  <c r="H846" i="5"/>
  <c r="H580" i="5"/>
  <c r="G1671" i="5"/>
  <c r="R522" i="5"/>
  <c r="Y242" i="5"/>
  <c r="U1692" i="5"/>
  <c r="R1442" i="5"/>
  <c r="U1707" i="5"/>
  <c r="G708" i="5"/>
  <c r="G1357" i="5"/>
  <c r="G964" i="5"/>
  <c r="Y1452" i="5"/>
  <c r="W332" i="5"/>
  <c r="G286" i="5"/>
  <c r="R322" i="5"/>
  <c r="R307" i="5"/>
  <c r="W1162" i="5"/>
  <c r="W702" i="5"/>
  <c r="W1252" i="5"/>
  <c r="G606" i="5"/>
  <c r="Y262" i="5"/>
  <c r="G691" i="5"/>
  <c r="G284" i="5"/>
  <c r="G949" i="5"/>
  <c r="Y1312" i="5"/>
  <c r="G1110" i="5"/>
  <c r="G842" i="5"/>
  <c r="Y1032" i="5"/>
  <c r="H799" i="5"/>
  <c r="R192" i="5"/>
  <c r="H1070" i="5"/>
  <c r="G180" i="5"/>
  <c r="G1347" i="5"/>
  <c r="H396" i="5"/>
  <c r="Y582" i="5"/>
  <c r="W1222" i="5"/>
  <c r="W477" i="5"/>
  <c r="W972" i="5"/>
  <c r="W632" i="5"/>
  <c r="W1267" i="5"/>
  <c r="G914" i="5"/>
  <c r="G1425" i="5"/>
  <c r="G297" i="5"/>
  <c r="G928" i="5"/>
  <c r="H1616" i="5"/>
  <c r="H239" i="5"/>
  <c r="G1409" i="5"/>
  <c r="G1261" i="5"/>
  <c r="R632" i="5"/>
  <c r="R1492" i="5"/>
  <c r="H166" i="5"/>
  <c r="U1652" i="5"/>
  <c r="G520" i="5"/>
  <c r="H41" i="5"/>
  <c r="G276" i="5"/>
  <c r="R1207" i="5"/>
  <c r="W1492" i="5"/>
  <c r="W1367" i="5"/>
  <c r="W207" i="5"/>
  <c r="W937" i="5"/>
  <c r="W367" i="5"/>
  <c r="W497" i="5"/>
  <c r="W947" i="5"/>
  <c r="W1092" i="5"/>
  <c r="W1292" i="5"/>
  <c r="W1232" i="5"/>
  <c r="W202" i="5"/>
  <c r="W1387" i="5"/>
  <c r="W1442" i="5"/>
  <c r="W597" i="5"/>
  <c r="U1597" i="5"/>
  <c r="AA1572" i="5"/>
  <c r="Z1582" i="5"/>
  <c r="AA1597" i="5"/>
  <c r="U1582" i="5"/>
  <c r="R1007" i="5"/>
  <c r="G1398" i="5"/>
  <c r="W287" i="5"/>
  <c r="G670" i="5"/>
  <c r="Y1102" i="5"/>
  <c r="W1237" i="5"/>
  <c r="AB1637" i="5"/>
  <c r="G1159" i="5"/>
  <c r="W47" i="5"/>
  <c r="W877" i="5"/>
  <c r="AB1567" i="5"/>
  <c r="G662" i="5"/>
  <c r="Y882" i="5"/>
  <c r="W192" i="5"/>
  <c r="G304" i="5"/>
  <c r="W1027" i="5"/>
  <c r="H934" i="5"/>
  <c r="Y1212" i="5"/>
  <c r="W102" i="5"/>
  <c r="W1637" i="5"/>
  <c r="H1180" i="5"/>
  <c r="H1716" i="5"/>
  <c r="H1506" i="5"/>
  <c r="H1271" i="5"/>
  <c r="G295" i="5"/>
  <c r="R62" i="5"/>
  <c r="H697" i="5"/>
  <c r="Y237" i="5"/>
  <c r="V1732" i="5"/>
  <c r="H1204" i="5"/>
  <c r="R357" i="5"/>
  <c r="H714" i="5"/>
  <c r="H15" i="5"/>
  <c r="G385" i="5"/>
  <c r="R897" i="5"/>
  <c r="Y567" i="5"/>
  <c r="Y1177" i="5"/>
  <c r="W417" i="5"/>
  <c r="H164" i="5"/>
  <c r="G1554" i="5"/>
  <c r="G1723" i="5"/>
  <c r="W1277" i="5"/>
  <c r="W602" i="5"/>
  <c r="W467" i="5"/>
  <c r="G967" i="5"/>
  <c r="R1107" i="5"/>
  <c r="G1595" i="5"/>
  <c r="T1632" i="5"/>
  <c r="G283" i="5"/>
  <c r="Y1147" i="5"/>
  <c r="Y727" i="5"/>
  <c r="H1148" i="5"/>
  <c r="H1687" i="5"/>
  <c r="H319" i="5"/>
  <c r="H380" i="5"/>
  <c r="H1257" i="5"/>
  <c r="R1387" i="5"/>
  <c r="R52" i="5"/>
  <c r="H279" i="5"/>
  <c r="G454" i="5"/>
  <c r="W1707" i="5"/>
  <c r="W1247" i="5"/>
  <c r="W147" i="5"/>
  <c r="W1612" i="5"/>
  <c r="W1362" i="5"/>
  <c r="Y1742" i="5"/>
  <c r="Y407" i="5"/>
  <c r="AB1672" i="5"/>
  <c r="G924" i="5"/>
  <c r="H1354" i="5"/>
  <c r="T1677" i="5"/>
  <c r="Y187" i="5"/>
  <c r="G1157" i="5"/>
  <c r="G812" i="5"/>
  <c r="Y922" i="5"/>
  <c r="G208" i="5"/>
  <c r="G1737" i="5"/>
  <c r="Z1737" i="5"/>
  <c r="R1417" i="5"/>
  <c r="H1343" i="5"/>
  <c r="H865" i="5"/>
  <c r="W1102" i="5"/>
  <c r="W927" i="5"/>
  <c r="W482" i="5"/>
  <c r="W997" i="5"/>
  <c r="W812" i="5"/>
  <c r="W57" i="5"/>
  <c r="W1692" i="5"/>
  <c r="W512" i="5"/>
  <c r="W77" i="5"/>
  <c r="W1592" i="5"/>
  <c r="W422" i="5"/>
  <c r="W1487" i="5"/>
  <c r="W1167" i="5"/>
  <c r="V1597" i="5"/>
  <c r="AA1607" i="5"/>
  <c r="AB1612" i="5"/>
  <c r="U1572" i="5"/>
  <c r="U1552" i="5"/>
  <c r="AA1602" i="5"/>
  <c r="Y1432" i="5"/>
  <c r="H949" i="5"/>
  <c r="G1267" i="5"/>
  <c r="W1417" i="5"/>
  <c r="H1563" i="5"/>
  <c r="W517" i="5"/>
  <c r="H1519" i="5"/>
  <c r="G641" i="5"/>
  <c r="AA1717" i="5"/>
  <c r="W707" i="5"/>
  <c r="Y267" i="5"/>
  <c r="G700" i="5"/>
  <c r="W1682" i="5"/>
  <c r="W452" i="5"/>
  <c r="V1602" i="5"/>
  <c r="G354" i="5"/>
  <c r="Y197" i="5"/>
  <c r="U1682" i="5"/>
  <c r="G492" i="5"/>
  <c r="R452" i="5"/>
  <c r="G786" i="5"/>
  <c r="W1542" i="5"/>
  <c r="W1582" i="5"/>
  <c r="S1587" i="5"/>
  <c r="P320" i="1" l="1"/>
  <c r="I326" i="7"/>
  <c r="I325" i="7"/>
  <c r="I324" i="7"/>
  <c r="P323" i="1"/>
  <c r="P319" i="1"/>
  <c r="P322" i="1"/>
  <c r="P318" i="1"/>
  <c r="K326" i="7"/>
  <c r="K325" i="7"/>
  <c r="K324" i="7"/>
  <c r="P321" i="1"/>
  <c r="J325" i="7"/>
  <c r="J324" i="7"/>
  <c r="M326" i="7"/>
  <c r="M325" i="7"/>
  <c r="J326" i="7"/>
  <c r="N325" i="7"/>
  <c r="M324" i="7"/>
  <c r="N326" i="7"/>
  <c r="N324" i="7"/>
  <c r="Y29" i="1"/>
  <c r="Y137" i="1"/>
  <c r="Y269" i="1"/>
  <c r="W97" i="1"/>
  <c r="Y225" i="1"/>
  <c r="Z73" i="1"/>
  <c r="Z310" i="1"/>
  <c r="Z306" i="1"/>
  <c r="Z302" i="1"/>
  <c r="Z298" i="1"/>
  <c r="Z294" i="1"/>
  <c r="W181" i="1"/>
  <c r="Z49" i="1"/>
  <c r="Z305" i="1"/>
  <c r="W289" i="1"/>
  <c r="Z281" i="1"/>
  <c r="Z277" i="1"/>
  <c r="W273" i="1"/>
  <c r="X265" i="1"/>
  <c r="Z261" i="1"/>
  <c r="Y257" i="1"/>
  <c r="W249" i="1"/>
  <c r="W241" i="1"/>
  <c r="X233" i="1"/>
  <c r="W229" i="1"/>
  <c r="X221" i="1"/>
  <c r="W209" i="1"/>
  <c r="Z201" i="1"/>
  <c r="Y193" i="1"/>
  <c r="Z189" i="1"/>
  <c r="W185" i="1"/>
  <c r="Y173" i="1"/>
  <c r="Y169" i="1"/>
  <c r="Z161" i="1"/>
  <c r="Z157" i="1"/>
  <c r="W153" i="1"/>
  <c r="W149" i="1"/>
  <c r="Y141" i="1"/>
  <c r="Z129" i="1"/>
  <c r="Z125" i="1"/>
  <c r="W121" i="1"/>
  <c r="W117" i="1"/>
  <c r="Z109" i="1"/>
  <c r="Z105" i="1"/>
  <c r="W101" i="1"/>
  <c r="X89" i="1"/>
  <c r="X85" i="1"/>
  <c r="Z77" i="1"/>
  <c r="W69" i="1"/>
  <c r="X65" i="1"/>
  <c r="Z53" i="1"/>
  <c r="X45" i="1"/>
  <c r="X41" i="1"/>
  <c r="Y33" i="1"/>
  <c r="Y21" i="1"/>
  <c r="P325" i="1"/>
  <c r="G325" i="7"/>
  <c r="P324" i="1"/>
  <c r="G324" i="7"/>
  <c r="P326" i="1"/>
  <c r="G326" i="7"/>
  <c r="X217" i="1"/>
  <c r="W285" i="1"/>
  <c r="X305" i="1"/>
  <c r="Z290" i="1"/>
  <c r="Z286" i="1"/>
  <c r="Z282" i="1"/>
  <c r="Z278" i="1"/>
  <c r="Z274" i="1"/>
  <c r="Z270" i="1"/>
  <c r="W262" i="1"/>
  <c r="Y258" i="1"/>
  <c r="Z254" i="1"/>
  <c r="W246" i="1"/>
  <c r="X234" i="1"/>
  <c r="Y230" i="1"/>
  <c r="Z226" i="1"/>
  <c r="X218" i="1"/>
  <c r="Y214" i="1"/>
  <c r="Z210" i="1"/>
  <c r="X194" i="1"/>
  <c r="X110" i="1"/>
  <c r="W309" i="1"/>
  <c r="Y301" i="1"/>
  <c r="Y293" i="1"/>
  <c r="Y281" i="1"/>
  <c r="Z253" i="1"/>
  <c r="Y189" i="1"/>
  <c r="Y157" i="1"/>
  <c r="Z113" i="1"/>
  <c r="X105" i="1"/>
  <c r="Z93" i="1"/>
  <c r="W85" i="1"/>
  <c r="X73" i="1"/>
  <c r="W65" i="1"/>
  <c r="Y49" i="1"/>
  <c r="X300" i="1"/>
  <c r="Y235" i="1"/>
  <c r="Y307" i="1"/>
  <c r="Y291" i="1"/>
  <c r="Y287" i="1"/>
  <c r="Y279" i="1"/>
  <c r="Y275" i="1"/>
  <c r="X296" i="1"/>
  <c r="X251" i="1"/>
  <c r="X309" i="1"/>
  <c r="Z293" i="1"/>
  <c r="Z301" i="1"/>
  <c r="Z243" i="1"/>
  <c r="Y311" i="1"/>
  <c r="X276" i="1"/>
  <c r="D309" i="15"/>
  <c r="Z309" i="1"/>
  <c r="D305" i="15"/>
  <c r="Y305" i="1"/>
  <c r="Y303" i="1"/>
  <c r="D297" i="15"/>
  <c r="X297" i="1"/>
  <c r="Z297" i="1"/>
  <c r="Y295" i="1"/>
  <c r="C292" i="15"/>
  <c r="X292" i="1"/>
  <c r="D289" i="15"/>
  <c r="Z289" i="1"/>
  <c r="X289" i="1"/>
  <c r="Y289" i="1"/>
  <c r="D285" i="15"/>
  <c r="Y285" i="1"/>
  <c r="Z285" i="1"/>
  <c r="Y283" i="1"/>
  <c r="C280" i="15"/>
  <c r="X280" i="1"/>
  <c r="D273" i="15"/>
  <c r="Z273" i="1"/>
  <c r="Y273" i="1"/>
  <c r="D269" i="15"/>
  <c r="X269" i="1"/>
  <c r="Z269" i="1"/>
  <c r="X267" i="1"/>
  <c r="D261" i="15"/>
  <c r="X261" i="1"/>
  <c r="W261" i="1"/>
  <c r="Z259" i="1"/>
  <c r="C256" i="15"/>
  <c r="X256" i="1"/>
  <c r="D249" i="15"/>
  <c r="Z249" i="1"/>
  <c r="X249" i="1"/>
  <c r="Y249" i="1"/>
  <c r="Y247" i="1"/>
  <c r="D245" i="15"/>
  <c r="X245" i="1"/>
  <c r="Y245" i="1"/>
  <c r="Z245" i="1"/>
  <c r="D241" i="15"/>
  <c r="Y241" i="1"/>
  <c r="X241" i="1"/>
  <c r="Z241" i="1"/>
  <c r="X239" i="1"/>
  <c r="D233" i="15"/>
  <c r="Y233" i="1"/>
  <c r="Z233" i="1"/>
  <c r="D229" i="15"/>
  <c r="Z229" i="1"/>
  <c r="Y229" i="1"/>
  <c r="D225" i="15"/>
  <c r="X225" i="1"/>
  <c r="Z225" i="1"/>
  <c r="X223" i="1"/>
  <c r="C212" i="15"/>
  <c r="X212" i="1"/>
  <c r="D197" i="15"/>
  <c r="Z197" i="1"/>
  <c r="W197" i="1"/>
  <c r="X197" i="1"/>
  <c r="D185" i="15"/>
  <c r="X185" i="1"/>
  <c r="Z185" i="1"/>
  <c r="D177" i="15"/>
  <c r="X177" i="1"/>
  <c r="W177" i="1"/>
  <c r="Y177" i="1"/>
  <c r="D169" i="15"/>
  <c r="X169" i="1"/>
  <c r="Z169" i="1"/>
  <c r="D161" i="15"/>
  <c r="X161" i="1"/>
  <c r="W161" i="1"/>
  <c r="Y161" i="1"/>
  <c r="D153" i="15"/>
  <c r="X153" i="1"/>
  <c r="Z153" i="1"/>
  <c r="D145" i="15"/>
  <c r="X145" i="1"/>
  <c r="W145" i="1"/>
  <c r="Y145" i="1"/>
  <c r="D137" i="15"/>
  <c r="X137" i="1"/>
  <c r="Z137" i="1"/>
  <c r="D133" i="15"/>
  <c r="X133" i="1"/>
  <c r="Y133" i="1"/>
  <c r="Z133" i="1"/>
  <c r="D129" i="15"/>
  <c r="X129" i="1"/>
  <c r="W129" i="1"/>
  <c r="Y129" i="1"/>
  <c r="D125" i="15"/>
  <c r="X125" i="1"/>
  <c r="W125" i="1"/>
  <c r="D121" i="15"/>
  <c r="X121" i="1"/>
  <c r="Z121" i="1"/>
  <c r="D117" i="15"/>
  <c r="X117" i="1"/>
  <c r="Y117" i="1"/>
  <c r="Z117" i="1"/>
  <c r="D69" i="15"/>
  <c r="Y69" i="1"/>
  <c r="Z69" i="1"/>
  <c r="D45" i="15"/>
  <c r="W45" i="1"/>
  <c r="Z45" i="1"/>
  <c r="D37" i="15"/>
  <c r="W37" i="1"/>
  <c r="X37" i="1"/>
  <c r="Y37" i="1"/>
  <c r="D29" i="15"/>
  <c r="W29" i="1"/>
  <c r="Z29" i="1"/>
  <c r="D21" i="15"/>
  <c r="Z21" i="1"/>
  <c r="W21" i="1"/>
  <c r="X21" i="1"/>
  <c r="D17" i="15"/>
  <c r="W17" i="1"/>
  <c r="X17" i="1"/>
  <c r="D13" i="15"/>
  <c r="W13" i="1"/>
  <c r="X13" i="1"/>
  <c r="Y13" i="1"/>
  <c r="Z13" i="1"/>
  <c r="W305" i="1"/>
  <c r="Y297" i="1"/>
  <c r="W269" i="1"/>
  <c r="Y261" i="1"/>
  <c r="Z240" i="1"/>
  <c r="W233" i="1"/>
  <c r="W225" i="1"/>
  <c r="Z208" i="1"/>
  <c r="Y197" i="1"/>
  <c r="Z177" i="1"/>
  <c r="W169" i="1"/>
  <c r="Z145" i="1"/>
  <c r="W137" i="1"/>
  <c r="Y125" i="1"/>
  <c r="Z37" i="1"/>
  <c r="X29" i="1"/>
  <c r="Z17" i="1"/>
  <c r="Y199" i="1"/>
  <c r="C308" i="15"/>
  <c r="X308" i="1"/>
  <c r="D301" i="15"/>
  <c r="X301" i="1"/>
  <c r="Y299" i="1"/>
  <c r="D293" i="15"/>
  <c r="W293" i="1"/>
  <c r="X293" i="1"/>
  <c r="C288" i="15"/>
  <c r="X288" i="1"/>
  <c r="C284" i="15"/>
  <c r="X284" i="1"/>
  <c r="D281" i="15"/>
  <c r="X281" i="1"/>
  <c r="W281" i="1"/>
  <c r="D277" i="15"/>
  <c r="W277" i="1"/>
  <c r="X277" i="1"/>
  <c r="Y277" i="1"/>
  <c r="C272" i="15"/>
  <c r="W272" i="1"/>
  <c r="C268" i="15"/>
  <c r="Y268" i="1"/>
  <c r="D265" i="15"/>
  <c r="Z265" i="1"/>
  <c r="W265" i="1"/>
  <c r="Y263" i="1"/>
  <c r="D257" i="15"/>
  <c r="Z257" i="1"/>
  <c r="W257" i="1"/>
  <c r="X257" i="1"/>
  <c r="D253" i="15"/>
  <c r="X253" i="1"/>
  <c r="W253" i="1"/>
  <c r="Y253" i="1"/>
  <c r="D237" i="15"/>
  <c r="W237" i="1"/>
  <c r="Y237" i="1"/>
  <c r="Z237" i="1"/>
  <c r="C228" i="15"/>
  <c r="X228" i="1"/>
  <c r="C224" i="15"/>
  <c r="Z224" i="1"/>
  <c r="D221" i="15"/>
  <c r="Z221" i="1"/>
  <c r="W221" i="1"/>
  <c r="Y219" i="1"/>
  <c r="D213" i="15"/>
  <c r="Z213" i="1"/>
  <c r="X213" i="1"/>
  <c r="Y213" i="1"/>
  <c r="D209" i="15"/>
  <c r="X209" i="1"/>
  <c r="Y209" i="1"/>
  <c r="Z209" i="1"/>
  <c r="D205" i="15"/>
  <c r="Y205" i="1"/>
  <c r="X205" i="1"/>
  <c r="Z205" i="1"/>
  <c r="D201" i="15"/>
  <c r="Y201" i="1"/>
  <c r="W201" i="1"/>
  <c r="X201" i="1"/>
  <c r="D193" i="15"/>
  <c r="W193" i="1"/>
  <c r="X193" i="1"/>
  <c r="W191" i="1"/>
  <c r="D189" i="15"/>
  <c r="X189" i="1"/>
  <c r="W189" i="1"/>
  <c r="D181" i="15"/>
  <c r="X181" i="1"/>
  <c r="Y181" i="1"/>
  <c r="Z181" i="1"/>
  <c r="D173" i="15"/>
  <c r="X173" i="1"/>
  <c r="W173" i="1"/>
  <c r="D165" i="15"/>
  <c r="X165" i="1"/>
  <c r="Y165" i="1"/>
  <c r="Z165" i="1"/>
  <c r="D157" i="15"/>
  <c r="X157" i="1"/>
  <c r="W157" i="1"/>
  <c r="D149" i="15"/>
  <c r="X149" i="1"/>
  <c r="Y149" i="1"/>
  <c r="Z149" i="1"/>
  <c r="D141" i="15"/>
  <c r="X141" i="1"/>
  <c r="W141" i="1"/>
  <c r="D113" i="15"/>
  <c r="X113" i="1"/>
  <c r="W113" i="1"/>
  <c r="Y113" i="1"/>
  <c r="D109" i="15"/>
  <c r="Y109" i="1"/>
  <c r="W109" i="1"/>
  <c r="X109" i="1"/>
  <c r="D105" i="15"/>
  <c r="Y105" i="1"/>
  <c r="W105" i="1"/>
  <c r="D101" i="15"/>
  <c r="Y101" i="1"/>
  <c r="Z101" i="1"/>
  <c r="D97" i="15"/>
  <c r="Y97" i="1"/>
  <c r="X97" i="1"/>
  <c r="Z97" i="1"/>
  <c r="D93" i="15"/>
  <c r="Y93" i="1"/>
  <c r="W93" i="1"/>
  <c r="X93" i="1"/>
  <c r="D89" i="15"/>
  <c r="Y89" i="1"/>
  <c r="W89" i="1"/>
  <c r="D85" i="15"/>
  <c r="Y85" i="1"/>
  <c r="Z85" i="1"/>
  <c r="D81" i="15"/>
  <c r="Y81" i="1"/>
  <c r="X81" i="1"/>
  <c r="Z81" i="1"/>
  <c r="D77" i="15"/>
  <c r="Y77" i="1"/>
  <c r="W77" i="1"/>
  <c r="X77" i="1"/>
  <c r="D73" i="15"/>
  <c r="Y73" i="1"/>
  <c r="W73" i="1"/>
  <c r="X67" i="1"/>
  <c r="D65" i="15"/>
  <c r="Z65" i="1"/>
  <c r="Y65" i="1"/>
  <c r="D61" i="15"/>
  <c r="Y61" i="1"/>
  <c r="D57" i="15"/>
  <c r="W57" i="1"/>
  <c r="Y57" i="1"/>
  <c r="Z57" i="1"/>
  <c r="D53" i="15"/>
  <c r="W53" i="1"/>
  <c r="X53" i="1"/>
  <c r="Y53" i="1"/>
  <c r="D49" i="15"/>
  <c r="W49" i="1"/>
  <c r="X49" i="1"/>
  <c r="D41" i="15"/>
  <c r="W41" i="1"/>
  <c r="Y41" i="1"/>
  <c r="Z41" i="1"/>
  <c r="D33" i="15"/>
  <c r="W33" i="1"/>
  <c r="X33" i="1"/>
  <c r="D25" i="15"/>
  <c r="W25" i="1"/>
  <c r="Y25" i="1"/>
  <c r="Z25" i="1"/>
  <c r="Y309" i="1"/>
  <c r="X304" i="1"/>
  <c r="W301" i="1"/>
  <c r="W297" i="1"/>
  <c r="X285" i="1"/>
  <c r="X273" i="1"/>
  <c r="Y265" i="1"/>
  <c r="Y252" i="1"/>
  <c r="W245" i="1"/>
  <c r="X237" i="1"/>
  <c r="X229" i="1"/>
  <c r="Y221" i="1"/>
  <c r="W213" i="1"/>
  <c r="W205" i="1"/>
  <c r="Z193" i="1"/>
  <c r="Y185" i="1"/>
  <c r="Z173" i="1"/>
  <c r="W165" i="1"/>
  <c r="Y153" i="1"/>
  <c r="Z141" i="1"/>
  <c r="W133" i="1"/>
  <c r="Y121" i="1"/>
  <c r="X101" i="1"/>
  <c r="Z89" i="1"/>
  <c r="W81" i="1"/>
  <c r="X69" i="1"/>
  <c r="X57" i="1"/>
  <c r="Y45" i="1"/>
  <c r="Z33" i="1"/>
  <c r="X25" i="1"/>
  <c r="Y17" i="1"/>
  <c r="B10" i="15"/>
  <c r="B310" i="15"/>
  <c r="Q310" i="15" s="1"/>
  <c r="V310" i="1"/>
  <c r="B306" i="15"/>
  <c r="Q306" i="15" s="1"/>
  <c r="V306" i="1"/>
  <c r="B302" i="15"/>
  <c r="Q302" i="15" s="1"/>
  <c r="V302" i="1"/>
  <c r="B298" i="15"/>
  <c r="Q298" i="15" s="1"/>
  <c r="V298" i="1"/>
  <c r="B294" i="15"/>
  <c r="Q294" i="15" s="1"/>
  <c r="V294" i="1"/>
  <c r="B290" i="15"/>
  <c r="Q290" i="15" s="1"/>
  <c r="V290" i="1"/>
  <c r="B286" i="15"/>
  <c r="Q286" i="15" s="1"/>
  <c r="V286" i="1"/>
  <c r="B282" i="15"/>
  <c r="Q282" i="15" s="1"/>
  <c r="V282" i="1"/>
  <c r="B278" i="15"/>
  <c r="Q278" i="15" s="1"/>
  <c r="V278" i="1"/>
  <c r="B274" i="15"/>
  <c r="Q274" i="15" s="1"/>
  <c r="V274" i="1"/>
  <c r="B270" i="15"/>
  <c r="Q270" i="15" s="1"/>
  <c r="V270" i="1"/>
  <c r="B266" i="15"/>
  <c r="Q266" i="15" s="1"/>
  <c r="V266" i="1"/>
  <c r="B262" i="15"/>
  <c r="Q262" i="15" s="1"/>
  <c r="V262" i="1"/>
  <c r="B258" i="15"/>
  <c r="Q258" i="15" s="1"/>
  <c r="V258" i="1"/>
  <c r="B254" i="15"/>
  <c r="Q254" i="15" s="1"/>
  <c r="V254" i="1"/>
  <c r="B250" i="15"/>
  <c r="Q250" i="15" s="1"/>
  <c r="V250" i="1"/>
  <c r="B246" i="15"/>
  <c r="Q246" i="15" s="1"/>
  <c r="V246" i="1"/>
  <c r="B242" i="15"/>
  <c r="Q242" i="15" s="1"/>
  <c r="V242" i="1"/>
  <c r="B238" i="15"/>
  <c r="Q238" i="15" s="1"/>
  <c r="V238" i="1"/>
  <c r="B234" i="15"/>
  <c r="Q234" i="15" s="1"/>
  <c r="V234" i="1"/>
  <c r="B230" i="15"/>
  <c r="Q230" i="15" s="1"/>
  <c r="V230" i="1"/>
  <c r="B226" i="15"/>
  <c r="Q226" i="15" s="1"/>
  <c r="V226" i="1"/>
  <c r="B222" i="15"/>
  <c r="Q222" i="15" s="1"/>
  <c r="V222" i="1"/>
  <c r="B218" i="15"/>
  <c r="Q218" i="15" s="1"/>
  <c r="V218" i="1"/>
  <c r="B214" i="15"/>
  <c r="Q214" i="15" s="1"/>
  <c r="V214" i="1"/>
  <c r="B210" i="15"/>
  <c r="Q210" i="15" s="1"/>
  <c r="V210" i="1"/>
  <c r="B206" i="15"/>
  <c r="Q206" i="15" s="1"/>
  <c r="V206" i="1"/>
  <c r="B202" i="15"/>
  <c r="Q202" i="15" s="1"/>
  <c r="V202" i="1"/>
  <c r="B198" i="15"/>
  <c r="Q198" i="15" s="1"/>
  <c r="V198" i="1"/>
  <c r="B194" i="15"/>
  <c r="Q194" i="15" s="1"/>
  <c r="V194" i="1"/>
  <c r="B190" i="15"/>
  <c r="Q190" i="15" s="1"/>
  <c r="V190" i="1"/>
  <c r="B186" i="15"/>
  <c r="Q186" i="15" s="1"/>
  <c r="V186" i="1"/>
  <c r="B182" i="15"/>
  <c r="Q182" i="15" s="1"/>
  <c r="V182" i="1"/>
  <c r="B178" i="15"/>
  <c r="Q178" i="15" s="1"/>
  <c r="V178" i="1"/>
  <c r="B174" i="15"/>
  <c r="Q174" i="15" s="1"/>
  <c r="V174" i="1"/>
  <c r="B170" i="15"/>
  <c r="Q170" i="15" s="1"/>
  <c r="V170" i="1"/>
  <c r="B166" i="15"/>
  <c r="Q166" i="15" s="1"/>
  <c r="V166" i="1"/>
  <c r="B162" i="15"/>
  <c r="Q162" i="15" s="1"/>
  <c r="V162" i="1"/>
  <c r="B158" i="15"/>
  <c r="Q158" i="15" s="1"/>
  <c r="V158" i="1"/>
  <c r="B154" i="15"/>
  <c r="Q154" i="15" s="1"/>
  <c r="V154" i="1"/>
  <c r="B150" i="15"/>
  <c r="Q150" i="15" s="1"/>
  <c r="V150" i="1"/>
  <c r="B146" i="15"/>
  <c r="Q146" i="15" s="1"/>
  <c r="V146" i="1"/>
  <c r="B142" i="15"/>
  <c r="Q142" i="15" s="1"/>
  <c r="V142" i="1"/>
  <c r="B138" i="15"/>
  <c r="Q138" i="15" s="1"/>
  <c r="V138" i="1"/>
  <c r="B134" i="15"/>
  <c r="Q134" i="15" s="1"/>
  <c r="V134" i="1"/>
  <c r="B130" i="15"/>
  <c r="Q130" i="15" s="1"/>
  <c r="V130" i="1"/>
  <c r="B126" i="15"/>
  <c r="Q126" i="15" s="1"/>
  <c r="V126" i="1"/>
  <c r="B122" i="15"/>
  <c r="Q122" i="15" s="1"/>
  <c r="V122" i="1"/>
  <c r="B118" i="15"/>
  <c r="Q118" i="15" s="1"/>
  <c r="V118" i="1"/>
  <c r="B114" i="15"/>
  <c r="Q114" i="15" s="1"/>
  <c r="V114" i="1"/>
  <c r="B110" i="15"/>
  <c r="Q110" i="15" s="1"/>
  <c r="V110" i="1"/>
  <c r="B106" i="15"/>
  <c r="Q106" i="15" s="1"/>
  <c r="V106" i="1"/>
  <c r="B102" i="15"/>
  <c r="Q102" i="15" s="1"/>
  <c r="V102" i="1"/>
  <c r="B98" i="15"/>
  <c r="Q98" i="15" s="1"/>
  <c r="V98" i="1"/>
  <c r="B94" i="15"/>
  <c r="Q94" i="15" s="1"/>
  <c r="V94" i="1"/>
  <c r="B90" i="15"/>
  <c r="Q90" i="15" s="1"/>
  <c r="V90" i="1"/>
  <c r="B86" i="15"/>
  <c r="Q86" i="15" s="1"/>
  <c r="V86" i="1"/>
  <c r="B82" i="15"/>
  <c r="Q82" i="15" s="1"/>
  <c r="V82" i="1"/>
  <c r="B78" i="15"/>
  <c r="Q78" i="15" s="1"/>
  <c r="V78" i="1"/>
  <c r="B74" i="15"/>
  <c r="Q74" i="15" s="1"/>
  <c r="V74" i="1"/>
  <c r="B70" i="15"/>
  <c r="Q70" i="15" s="1"/>
  <c r="V70" i="1"/>
  <c r="B66" i="15"/>
  <c r="Q66" i="15" s="1"/>
  <c r="V66" i="1"/>
  <c r="B62" i="15"/>
  <c r="Q62" i="15" s="1"/>
  <c r="V62" i="1"/>
  <c r="B58" i="15"/>
  <c r="Q58" i="15" s="1"/>
  <c r="V58" i="1"/>
  <c r="B54" i="15"/>
  <c r="Q54" i="15" s="1"/>
  <c r="V54" i="1"/>
  <c r="B50" i="15"/>
  <c r="Q50" i="15" s="1"/>
  <c r="V50" i="1"/>
  <c r="B46" i="15"/>
  <c r="Q46" i="15" s="1"/>
  <c r="V46" i="1"/>
  <c r="B42" i="15"/>
  <c r="Q42" i="15" s="1"/>
  <c r="V42" i="1"/>
  <c r="B38" i="15"/>
  <c r="Q38" i="15" s="1"/>
  <c r="V38" i="1"/>
  <c r="B34" i="15"/>
  <c r="Q34" i="15" s="1"/>
  <c r="V34" i="1"/>
  <c r="B30" i="15"/>
  <c r="Q30" i="15" s="1"/>
  <c r="V30" i="1"/>
  <c r="B26" i="15"/>
  <c r="Q26" i="15" s="1"/>
  <c r="V26" i="1"/>
  <c r="B22" i="15"/>
  <c r="Q22" i="15" s="1"/>
  <c r="V22" i="1"/>
  <c r="B18" i="15"/>
  <c r="Q18" i="15" s="1"/>
  <c r="V18" i="1"/>
  <c r="B14" i="15"/>
  <c r="Q14" i="15" s="1"/>
  <c r="V14" i="1"/>
  <c r="B8" i="15"/>
  <c r="B6" i="15"/>
  <c r="B4" i="15"/>
  <c r="B2" i="15"/>
  <c r="B311" i="15"/>
  <c r="Q311" i="15" s="1"/>
  <c r="V311" i="1"/>
  <c r="B307" i="15"/>
  <c r="Q307" i="15" s="1"/>
  <c r="V307" i="1"/>
  <c r="B303" i="15"/>
  <c r="Q303" i="15" s="1"/>
  <c r="V303" i="1"/>
  <c r="B299" i="15"/>
  <c r="Q299" i="15" s="1"/>
  <c r="V299" i="1"/>
  <c r="B295" i="15"/>
  <c r="Q295" i="15" s="1"/>
  <c r="V295" i="1"/>
  <c r="B291" i="15"/>
  <c r="Q291" i="15" s="1"/>
  <c r="V291" i="1"/>
  <c r="B287" i="15"/>
  <c r="Q287" i="15" s="1"/>
  <c r="V287" i="1"/>
  <c r="B283" i="15"/>
  <c r="Q283" i="15" s="1"/>
  <c r="V283" i="1"/>
  <c r="B279" i="15"/>
  <c r="Q279" i="15" s="1"/>
  <c r="V279" i="1"/>
  <c r="B275" i="15"/>
  <c r="Q275" i="15" s="1"/>
  <c r="V275" i="1"/>
  <c r="B271" i="15"/>
  <c r="Q271" i="15" s="1"/>
  <c r="V271" i="1"/>
  <c r="B267" i="15"/>
  <c r="Q267" i="15" s="1"/>
  <c r="V267" i="1"/>
  <c r="B263" i="15"/>
  <c r="Q263" i="15" s="1"/>
  <c r="V263" i="1"/>
  <c r="B259" i="15"/>
  <c r="Q259" i="15" s="1"/>
  <c r="V259" i="1"/>
  <c r="B255" i="15"/>
  <c r="Q255" i="15" s="1"/>
  <c r="V255" i="1"/>
  <c r="B251" i="15"/>
  <c r="Q251" i="15" s="1"/>
  <c r="V251" i="1"/>
  <c r="B247" i="15"/>
  <c r="Q247" i="15" s="1"/>
  <c r="V247" i="1"/>
  <c r="B243" i="15"/>
  <c r="Q243" i="15" s="1"/>
  <c r="V243" i="1"/>
  <c r="B239" i="15"/>
  <c r="Q239" i="15" s="1"/>
  <c r="V239" i="1"/>
  <c r="B235" i="15"/>
  <c r="Q235" i="15" s="1"/>
  <c r="V235" i="1"/>
  <c r="B231" i="15"/>
  <c r="Q231" i="15" s="1"/>
  <c r="V231" i="1"/>
  <c r="B227" i="15"/>
  <c r="Q227" i="15" s="1"/>
  <c r="V227" i="1"/>
  <c r="B223" i="15"/>
  <c r="Q223" i="15" s="1"/>
  <c r="V223" i="1"/>
  <c r="B219" i="15"/>
  <c r="Q219" i="15" s="1"/>
  <c r="V219" i="1"/>
  <c r="B215" i="15"/>
  <c r="Q215" i="15" s="1"/>
  <c r="V215" i="1"/>
  <c r="B211" i="15"/>
  <c r="Q211" i="15" s="1"/>
  <c r="V211" i="1"/>
  <c r="B207" i="15"/>
  <c r="Q207" i="15" s="1"/>
  <c r="V207" i="1"/>
  <c r="B203" i="15"/>
  <c r="Q203" i="15" s="1"/>
  <c r="V203" i="1"/>
  <c r="B199" i="15"/>
  <c r="Q199" i="15" s="1"/>
  <c r="V199" i="1"/>
  <c r="B195" i="15"/>
  <c r="Q195" i="15" s="1"/>
  <c r="V195" i="1"/>
  <c r="B191" i="15"/>
  <c r="Q191" i="15" s="1"/>
  <c r="V191" i="1"/>
  <c r="B187" i="15"/>
  <c r="Q187" i="15" s="1"/>
  <c r="V187" i="1"/>
  <c r="B183" i="15"/>
  <c r="Q183" i="15" s="1"/>
  <c r="V183" i="1"/>
  <c r="B179" i="15"/>
  <c r="Q179" i="15" s="1"/>
  <c r="V179" i="1"/>
  <c r="B175" i="15"/>
  <c r="Q175" i="15" s="1"/>
  <c r="V175" i="1"/>
  <c r="B171" i="15"/>
  <c r="Q171" i="15" s="1"/>
  <c r="V171" i="1"/>
  <c r="B167" i="15"/>
  <c r="Q167" i="15" s="1"/>
  <c r="V167" i="1"/>
  <c r="B163" i="15"/>
  <c r="Q163" i="15" s="1"/>
  <c r="V163" i="1"/>
  <c r="B159" i="15"/>
  <c r="Q159" i="15" s="1"/>
  <c r="V159" i="1"/>
  <c r="B155" i="15"/>
  <c r="Q155" i="15" s="1"/>
  <c r="V155" i="1"/>
  <c r="B151" i="15"/>
  <c r="Q151" i="15" s="1"/>
  <c r="V151" i="1"/>
  <c r="B147" i="15"/>
  <c r="Q147" i="15" s="1"/>
  <c r="V147" i="1"/>
  <c r="B143" i="15"/>
  <c r="Q143" i="15" s="1"/>
  <c r="V143" i="1"/>
  <c r="B139" i="15"/>
  <c r="Q139" i="15" s="1"/>
  <c r="V139" i="1"/>
  <c r="B135" i="15"/>
  <c r="Q135" i="15" s="1"/>
  <c r="V135" i="1"/>
  <c r="B131" i="15"/>
  <c r="Q131" i="15" s="1"/>
  <c r="V131" i="1"/>
  <c r="B127" i="15"/>
  <c r="Q127" i="15" s="1"/>
  <c r="V127" i="1"/>
  <c r="B123" i="15"/>
  <c r="Q123" i="15" s="1"/>
  <c r="V123" i="1"/>
  <c r="B119" i="15"/>
  <c r="Q119" i="15" s="1"/>
  <c r="V119" i="1"/>
  <c r="B115" i="15"/>
  <c r="Q115" i="15" s="1"/>
  <c r="V115" i="1"/>
  <c r="B111" i="15"/>
  <c r="Q111" i="15" s="1"/>
  <c r="V111" i="1"/>
  <c r="B107" i="15"/>
  <c r="Q107" i="15" s="1"/>
  <c r="V107" i="1"/>
  <c r="B103" i="15"/>
  <c r="Q103" i="15" s="1"/>
  <c r="V103" i="1"/>
  <c r="B99" i="15"/>
  <c r="Q99" i="15" s="1"/>
  <c r="V99" i="1"/>
  <c r="B95" i="15"/>
  <c r="Q95" i="15" s="1"/>
  <c r="V95" i="1"/>
  <c r="B91" i="15"/>
  <c r="Q91" i="15" s="1"/>
  <c r="V91" i="1"/>
  <c r="B87" i="15"/>
  <c r="Q87" i="15" s="1"/>
  <c r="V87" i="1"/>
  <c r="B83" i="15"/>
  <c r="Q83" i="15" s="1"/>
  <c r="V83" i="1"/>
  <c r="B79" i="15"/>
  <c r="Q79" i="15" s="1"/>
  <c r="V79" i="1"/>
  <c r="B75" i="15"/>
  <c r="Q75" i="15" s="1"/>
  <c r="V75" i="1"/>
  <c r="B71" i="15"/>
  <c r="Q71" i="15" s="1"/>
  <c r="V71" i="1"/>
  <c r="B67" i="15"/>
  <c r="Q67" i="15" s="1"/>
  <c r="V67" i="1"/>
  <c r="B63" i="15"/>
  <c r="Q63" i="15" s="1"/>
  <c r="V63" i="1"/>
  <c r="B59" i="15"/>
  <c r="Q59" i="15" s="1"/>
  <c r="V59" i="1"/>
  <c r="B55" i="15"/>
  <c r="Q55" i="15" s="1"/>
  <c r="V55" i="1"/>
  <c r="B51" i="15"/>
  <c r="Q51" i="15" s="1"/>
  <c r="V51" i="1"/>
  <c r="B47" i="15"/>
  <c r="Q47" i="15" s="1"/>
  <c r="V47" i="1"/>
  <c r="B43" i="15"/>
  <c r="Q43" i="15" s="1"/>
  <c r="V43" i="1"/>
  <c r="B39" i="15"/>
  <c r="Q39" i="15" s="1"/>
  <c r="V39" i="1"/>
  <c r="B35" i="15"/>
  <c r="Q35" i="15" s="1"/>
  <c r="V35" i="1"/>
  <c r="B31" i="15"/>
  <c r="Q31" i="15" s="1"/>
  <c r="V31" i="1"/>
  <c r="B27" i="15"/>
  <c r="Q27" i="15" s="1"/>
  <c r="V27" i="1"/>
  <c r="B23" i="15"/>
  <c r="Q23" i="15" s="1"/>
  <c r="V23" i="1"/>
  <c r="B19" i="15"/>
  <c r="Q19" i="15" s="1"/>
  <c r="V19" i="1"/>
  <c r="B15" i="15"/>
  <c r="Q15" i="15" s="1"/>
  <c r="V15" i="1"/>
  <c r="B11" i="15"/>
  <c r="Q11" i="15" s="1"/>
  <c r="V11" i="1"/>
  <c r="B308" i="15"/>
  <c r="Q308" i="15" s="1"/>
  <c r="V308" i="1"/>
  <c r="B304" i="15"/>
  <c r="Q304" i="15" s="1"/>
  <c r="V304" i="1"/>
  <c r="B300" i="15"/>
  <c r="Q300" i="15" s="1"/>
  <c r="V300" i="1"/>
  <c r="B296" i="15"/>
  <c r="Q296" i="15" s="1"/>
  <c r="V296" i="1"/>
  <c r="B292" i="15"/>
  <c r="Q292" i="15" s="1"/>
  <c r="V292" i="1"/>
  <c r="B288" i="15"/>
  <c r="V288" i="1"/>
  <c r="B284" i="15"/>
  <c r="V284" i="1"/>
  <c r="B280" i="15"/>
  <c r="Q280" i="15" s="1"/>
  <c r="V280" i="1"/>
  <c r="B276" i="15"/>
  <c r="Q276" i="15" s="1"/>
  <c r="V276" i="1"/>
  <c r="B272" i="15"/>
  <c r="V272" i="1"/>
  <c r="B268" i="15"/>
  <c r="V268" i="1"/>
  <c r="B264" i="15"/>
  <c r="Q264" i="15" s="1"/>
  <c r="V264" i="1"/>
  <c r="B260" i="15"/>
  <c r="Q260" i="15" s="1"/>
  <c r="V260" i="1"/>
  <c r="B256" i="15"/>
  <c r="V256" i="1"/>
  <c r="B252" i="15"/>
  <c r="Q252" i="15" s="1"/>
  <c r="V252" i="1"/>
  <c r="B248" i="15"/>
  <c r="Q248" i="15" s="1"/>
  <c r="V248" i="1"/>
  <c r="B244" i="15"/>
  <c r="Q244" i="15" s="1"/>
  <c r="V244" i="1"/>
  <c r="B240" i="15"/>
  <c r="Q240" i="15" s="1"/>
  <c r="V240" i="1"/>
  <c r="B236" i="15"/>
  <c r="Q236" i="15" s="1"/>
  <c r="V236" i="1"/>
  <c r="B232" i="15"/>
  <c r="Q232" i="15" s="1"/>
  <c r="V232" i="1"/>
  <c r="B228" i="15"/>
  <c r="V228" i="1"/>
  <c r="B224" i="15"/>
  <c r="V224" i="1"/>
  <c r="B220" i="15"/>
  <c r="Q220" i="15" s="1"/>
  <c r="V220" i="1"/>
  <c r="B216" i="15"/>
  <c r="Q216" i="15" s="1"/>
  <c r="V216" i="1"/>
  <c r="B212" i="15"/>
  <c r="V212" i="1"/>
  <c r="B208" i="15"/>
  <c r="Q208" i="15" s="1"/>
  <c r="V208" i="1"/>
  <c r="B204" i="15"/>
  <c r="Q204" i="15" s="1"/>
  <c r="V204" i="1"/>
  <c r="B200" i="15"/>
  <c r="Q200" i="15" s="1"/>
  <c r="V200" i="1"/>
  <c r="B196" i="15"/>
  <c r="Q196" i="15" s="1"/>
  <c r="V196" i="1"/>
  <c r="B192" i="15"/>
  <c r="Q192" i="15" s="1"/>
  <c r="V192" i="1"/>
  <c r="B188" i="15"/>
  <c r="Q188" i="15" s="1"/>
  <c r="V188" i="1"/>
  <c r="B184" i="15"/>
  <c r="Q184" i="15" s="1"/>
  <c r="V184" i="1"/>
  <c r="B180" i="15"/>
  <c r="Q180" i="15" s="1"/>
  <c r="V180" i="1"/>
  <c r="B176" i="15"/>
  <c r="Q176" i="15" s="1"/>
  <c r="V176" i="1"/>
  <c r="B172" i="15"/>
  <c r="Q172" i="15" s="1"/>
  <c r="V172" i="1"/>
  <c r="B168" i="15"/>
  <c r="Q168" i="15" s="1"/>
  <c r="V168" i="1"/>
  <c r="B164" i="15"/>
  <c r="Q164" i="15" s="1"/>
  <c r="V164" i="1"/>
  <c r="B160" i="15"/>
  <c r="Q160" i="15" s="1"/>
  <c r="V160" i="1"/>
  <c r="B156" i="15"/>
  <c r="Q156" i="15" s="1"/>
  <c r="V156" i="1"/>
  <c r="B152" i="15"/>
  <c r="Q152" i="15" s="1"/>
  <c r="V152" i="1"/>
  <c r="B148" i="15"/>
  <c r="Q148" i="15" s="1"/>
  <c r="V148" i="1"/>
  <c r="B144" i="15"/>
  <c r="Q144" i="15" s="1"/>
  <c r="V144" i="1"/>
  <c r="B140" i="15"/>
  <c r="Q140" i="15" s="1"/>
  <c r="V140" i="1"/>
  <c r="B136" i="15"/>
  <c r="Q136" i="15" s="1"/>
  <c r="V136" i="1"/>
  <c r="B132" i="15"/>
  <c r="Q132" i="15" s="1"/>
  <c r="V132" i="1"/>
  <c r="B128" i="15"/>
  <c r="Q128" i="15" s="1"/>
  <c r="V128" i="1"/>
  <c r="B124" i="15"/>
  <c r="Q124" i="15" s="1"/>
  <c r="V124" i="1"/>
  <c r="B120" i="15"/>
  <c r="Q120" i="15" s="1"/>
  <c r="V120" i="1"/>
  <c r="B116" i="15"/>
  <c r="Q116" i="15" s="1"/>
  <c r="V116" i="1"/>
  <c r="B112" i="15"/>
  <c r="Q112" i="15" s="1"/>
  <c r="V112" i="1"/>
  <c r="B108" i="15"/>
  <c r="Q108" i="15" s="1"/>
  <c r="V108" i="1"/>
  <c r="B104" i="15"/>
  <c r="Q104" i="15" s="1"/>
  <c r="V104" i="1"/>
  <c r="B100" i="15"/>
  <c r="Q100" i="15" s="1"/>
  <c r="V100" i="1"/>
  <c r="B96" i="15"/>
  <c r="Q96" i="15" s="1"/>
  <c r="V96" i="1"/>
  <c r="B92" i="15"/>
  <c r="Q92" i="15" s="1"/>
  <c r="V92" i="1"/>
  <c r="B88" i="15"/>
  <c r="Q88" i="15" s="1"/>
  <c r="V88" i="1"/>
  <c r="B84" i="15"/>
  <c r="Q84" i="15" s="1"/>
  <c r="V84" i="1"/>
  <c r="B80" i="15"/>
  <c r="Q80" i="15" s="1"/>
  <c r="V80" i="1"/>
  <c r="B76" i="15"/>
  <c r="Q76" i="15" s="1"/>
  <c r="V76" i="1"/>
  <c r="B72" i="15"/>
  <c r="Q72" i="15" s="1"/>
  <c r="V72" i="1"/>
  <c r="B68" i="15"/>
  <c r="Q68" i="15" s="1"/>
  <c r="V68" i="1"/>
  <c r="B64" i="15"/>
  <c r="Q64" i="15" s="1"/>
  <c r="V64" i="1"/>
  <c r="B60" i="15"/>
  <c r="Q60" i="15" s="1"/>
  <c r="V60" i="1"/>
  <c r="B56" i="15"/>
  <c r="Q56" i="15" s="1"/>
  <c r="V56" i="1"/>
  <c r="B52" i="15"/>
  <c r="Q52" i="15" s="1"/>
  <c r="V52" i="1"/>
  <c r="B48" i="15"/>
  <c r="Q48" i="15" s="1"/>
  <c r="V48" i="1"/>
  <c r="B44" i="15"/>
  <c r="Q44" i="15" s="1"/>
  <c r="V44" i="1"/>
  <c r="B40" i="15"/>
  <c r="Q40" i="15" s="1"/>
  <c r="V40" i="1"/>
  <c r="B36" i="15"/>
  <c r="Q36" i="15" s="1"/>
  <c r="V36" i="1"/>
  <c r="B32" i="15"/>
  <c r="Q32" i="15" s="1"/>
  <c r="V32" i="1"/>
  <c r="B28" i="15"/>
  <c r="Q28" i="15" s="1"/>
  <c r="V28" i="1"/>
  <c r="B24" i="15"/>
  <c r="Q24" i="15" s="1"/>
  <c r="V24" i="1"/>
  <c r="B20" i="15"/>
  <c r="Q20" i="15" s="1"/>
  <c r="V20" i="1"/>
  <c r="B16" i="15"/>
  <c r="Q16" i="15" s="1"/>
  <c r="V16" i="1"/>
  <c r="B12" i="15"/>
  <c r="Q12" i="15" s="1"/>
  <c r="V12" i="1"/>
  <c r="B9" i="15"/>
  <c r="B7" i="15"/>
  <c r="B5" i="15"/>
  <c r="B3" i="15"/>
  <c r="B309" i="15"/>
  <c r="V309" i="1"/>
  <c r="B305" i="15"/>
  <c r="V305" i="1"/>
  <c r="B301" i="15"/>
  <c r="Q301" i="15" s="1"/>
  <c r="V301" i="1"/>
  <c r="B297" i="15"/>
  <c r="Q297" i="15" s="1"/>
  <c r="V297" i="1"/>
  <c r="B293" i="15"/>
  <c r="V293" i="1"/>
  <c r="B289" i="15"/>
  <c r="V289" i="1"/>
  <c r="B285" i="15"/>
  <c r="Q285" i="15" s="1"/>
  <c r="V285" i="1"/>
  <c r="B281" i="15"/>
  <c r="Q281" i="15" s="1"/>
  <c r="V281" i="1"/>
  <c r="B277" i="15"/>
  <c r="V277" i="1"/>
  <c r="B273" i="15"/>
  <c r="Q273" i="15" s="1"/>
  <c r="V273" i="1"/>
  <c r="B269" i="15"/>
  <c r="V269" i="1"/>
  <c r="B265" i="15"/>
  <c r="V265" i="1"/>
  <c r="B261" i="15"/>
  <c r="V261" i="1"/>
  <c r="B257" i="15"/>
  <c r="V257" i="1"/>
  <c r="B253" i="15"/>
  <c r="V253" i="1"/>
  <c r="B249" i="15"/>
  <c r="V249" i="1"/>
  <c r="B245" i="15"/>
  <c r="Q245" i="15" s="1"/>
  <c r="V245" i="1"/>
  <c r="B241" i="15"/>
  <c r="V241" i="1"/>
  <c r="B237" i="15"/>
  <c r="V237" i="1"/>
  <c r="B233" i="15"/>
  <c r="V233" i="1"/>
  <c r="B229" i="15"/>
  <c r="Q229" i="15" s="1"/>
  <c r="V229" i="1"/>
  <c r="B225" i="15"/>
  <c r="V225" i="1"/>
  <c r="B221" i="15"/>
  <c r="V221" i="1"/>
  <c r="B217" i="15"/>
  <c r="Q217" i="15" s="1"/>
  <c r="V217" i="1"/>
  <c r="B213" i="15"/>
  <c r="V213" i="1"/>
  <c r="B209" i="15"/>
  <c r="V209" i="1"/>
  <c r="B205" i="15"/>
  <c r="V205" i="1"/>
  <c r="B201" i="15"/>
  <c r="V201" i="1"/>
  <c r="B197" i="15"/>
  <c r="V197" i="1"/>
  <c r="B193" i="15"/>
  <c r="V193" i="1"/>
  <c r="B189" i="15"/>
  <c r="V189" i="1"/>
  <c r="B185" i="15"/>
  <c r="V185" i="1"/>
  <c r="B181" i="15"/>
  <c r="Q181" i="15" s="1"/>
  <c r="V181" i="1"/>
  <c r="B177" i="15"/>
  <c r="V177" i="1"/>
  <c r="B173" i="15"/>
  <c r="Q173" i="15" s="1"/>
  <c r="V173" i="1"/>
  <c r="B169" i="15"/>
  <c r="V169" i="1"/>
  <c r="B165" i="15"/>
  <c r="V165" i="1"/>
  <c r="B161" i="15"/>
  <c r="V161" i="1"/>
  <c r="B157" i="15"/>
  <c r="V157" i="1"/>
  <c r="B153" i="15"/>
  <c r="V153" i="1"/>
  <c r="B149" i="15"/>
  <c r="V149" i="1"/>
  <c r="B145" i="15"/>
  <c r="Q145" i="15" s="1"/>
  <c r="V145" i="1"/>
  <c r="B141" i="15"/>
  <c r="V141" i="1"/>
  <c r="B137" i="15"/>
  <c r="Q137" i="15" s="1"/>
  <c r="V137" i="1"/>
  <c r="B133" i="15"/>
  <c r="V133" i="1"/>
  <c r="B129" i="15"/>
  <c r="V129" i="1"/>
  <c r="B125" i="15"/>
  <c r="V125" i="1"/>
  <c r="B121" i="15"/>
  <c r="V121" i="1"/>
  <c r="B117" i="15"/>
  <c r="V117" i="1"/>
  <c r="B113" i="15"/>
  <c r="V113" i="1"/>
  <c r="B109" i="15"/>
  <c r="V109" i="1"/>
  <c r="B105" i="15"/>
  <c r="V105" i="1"/>
  <c r="B101" i="15"/>
  <c r="Q101" i="15" s="1"/>
  <c r="V101" i="1"/>
  <c r="B97" i="15"/>
  <c r="V97" i="1"/>
  <c r="B93" i="15"/>
  <c r="V93" i="1"/>
  <c r="B89" i="15"/>
  <c r="V89" i="1"/>
  <c r="B85" i="15"/>
  <c r="V85" i="1"/>
  <c r="B81" i="15"/>
  <c r="V81" i="1"/>
  <c r="B77" i="15"/>
  <c r="V77" i="1"/>
  <c r="B73" i="15"/>
  <c r="V73" i="1"/>
  <c r="B69" i="15"/>
  <c r="V69" i="1"/>
  <c r="B65" i="15"/>
  <c r="V65" i="1"/>
  <c r="B61" i="15"/>
  <c r="V61" i="1"/>
  <c r="B57" i="15"/>
  <c r="Q57" i="15" s="1"/>
  <c r="V57" i="1"/>
  <c r="B53" i="15"/>
  <c r="V53" i="1"/>
  <c r="B49" i="15"/>
  <c r="Q49" i="15" s="1"/>
  <c r="V49" i="1"/>
  <c r="B45" i="15"/>
  <c r="V45" i="1"/>
  <c r="B41" i="15"/>
  <c r="V41" i="1"/>
  <c r="B37" i="15"/>
  <c r="V37" i="1"/>
  <c r="B33" i="15"/>
  <c r="V33" i="1"/>
  <c r="B29" i="15"/>
  <c r="V29" i="1"/>
  <c r="B25" i="15"/>
  <c r="V25" i="1"/>
  <c r="B21" i="15"/>
  <c r="Q21" i="15" s="1"/>
  <c r="V21" i="1"/>
  <c r="B17" i="15"/>
  <c r="V17" i="1"/>
  <c r="B13" i="15"/>
  <c r="V13" i="1"/>
  <c r="Z206" i="1"/>
  <c r="Y187" i="1"/>
  <c r="Y99" i="1"/>
  <c r="AC326" i="1"/>
  <c r="AC322" i="1"/>
  <c r="AC318" i="1"/>
  <c r="AC325" i="1"/>
  <c r="AC321" i="1"/>
  <c r="AC324" i="1"/>
  <c r="AC320" i="1"/>
  <c r="AC323" i="1"/>
  <c r="AC319" i="1"/>
  <c r="J322" i="7"/>
  <c r="K321" i="7"/>
  <c r="J318" i="7"/>
  <c r="K317" i="7"/>
  <c r="I312" i="7"/>
  <c r="K302" i="7"/>
  <c r="K293" i="7"/>
  <c r="J283" i="7"/>
  <c r="K277" i="7"/>
  <c r="K269" i="7"/>
  <c r="J263" i="7"/>
  <c r="J249" i="7"/>
  <c r="J237" i="7"/>
  <c r="J157" i="7"/>
  <c r="J85" i="7"/>
  <c r="J25" i="7"/>
  <c r="J314" i="7"/>
  <c r="I323" i="7"/>
  <c r="I319" i="7"/>
  <c r="I322" i="7"/>
  <c r="J321" i="7"/>
  <c r="K320" i="7"/>
  <c r="I318" i="7"/>
  <c r="I314" i="7"/>
  <c r="I297" i="7"/>
  <c r="J293" i="7"/>
  <c r="J252" i="7"/>
  <c r="J225" i="7"/>
  <c r="K208" i="7"/>
  <c r="I194" i="7"/>
  <c r="J181" i="7"/>
  <c r="J169" i="7"/>
  <c r="J137" i="7"/>
  <c r="K117" i="7"/>
  <c r="K49" i="7"/>
  <c r="I41" i="7"/>
  <c r="Q325" i="1"/>
  <c r="H325" i="7" s="1"/>
  <c r="Q321" i="1"/>
  <c r="H321" i="7" s="1"/>
  <c r="K323" i="7"/>
  <c r="I321" i="7"/>
  <c r="J320" i="7"/>
  <c r="K319" i="7"/>
  <c r="I316" i="7"/>
  <c r="K313" i="7"/>
  <c r="I277" i="7"/>
  <c r="J257" i="7"/>
  <c r="I251" i="7"/>
  <c r="K245" i="7"/>
  <c r="I217" i="7"/>
  <c r="K89" i="7"/>
  <c r="I37" i="7"/>
  <c r="Q320" i="1"/>
  <c r="H320" i="7" s="1"/>
  <c r="J316" i="7"/>
  <c r="J312" i="7"/>
  <c r="J323" i="7"/>
  <c r="K322" i="7"/>
  <c r="I320" i="7"/>
  <c r="J319" i="7"/>
  <c r="K318" i="7"/>
  <c r="K315" i="7"/>
  <c r="I300" i="7"/>
  <c r="K290" i="7"/>
  <c r="J287" i="7"/>
  <c r="K274" i="7"/>
  <c r="J261" i="7"/>
  <c r="K254" i="7"/>
  <c r="K243" i="7"/>
  <c r="K226" i="7"/>
  <c r="I213" i="7"/>
  <c r="J193" i="7"/>
  <c r="J161" i="7"/>
  <c r="I65" i="7"/>
  <c r="J29" i="7"/>
  <c r="K13" i="7"/>
  <c r="Q323" i="1"/>
  <c r="H323" i="7" s="1"/>
  <c r="Q319" i="1"/>
  <c r="O241" i="1"/>
  <c r="O237" i="1"/>
  <c r="O233" i="1"/>
  <c r="O229" i="1"/>
  <c r="O225" i="1"/>
  <c r="O221" i="1"/>
  <c r="O113" i="1"/>
  <c r="O109" i="1"/>
  <c r="O105" i="1"/>
  <c r="O101" i="1"/>
  <c r="O97" i="1"/>
  <c r="U57" i="1"/>
  <c r="U49" i="1"/>
  <c r="U45" i="1"/>
  <c r="U41" i="1"/>
  <c r="U33" i="1"/>
  <c r="U29" i="1"/>
  <c r="U25" i="1"/>
  <c r="U17" i="1"/>
  <c r="U13" i="1"/>
  <c r="W310" i="1"/>
  <c r="Y308" i="1"/>
  <c r="W306" i="1"/>
  <c r="Y304" i="1"/>
  <c r="W302" i="1"/>
  <c r="Y300" i="1"/>
  <c r="W298" i="1"/>
  <c r="Y296" i="1"/>
  <c r="W294" i="1"/>
  <c r="Y292" i="1"/>
  <c r="W290" i="1"/>
  <c r="Y288" i="1"/>
  <c r="W286" i="1"/>
  <c r="Y284" i="1"/>
  <c r="W282" i="1"/>
  <c r="Y280" i="1"/>
  <c r="W278" i="1"/>
  <c r="Y276" i="1"/>
  <c r="W274" i="1"/>
  <c r="X268" i="1"/>
  <c r="Z266" i="1"/>
  <c r="X263" i="1"/>
  <c r="Z262" i="1"/>
  <c r="Y259" i="1"/>
  <c r="W258" i="1"/>
  <c r="Y254" i="1"/>
  <c r="X252" i="1"/>
  <c r="Z250" i="1"/>
  <c r="X248" i="1"/>
  <c r="Z238" i="1"/>
  <c r="X236" i="1"/>
  <c r="X231" i="1"/>
  <c r="X230" i="1"/>
  <c r="Y226" i="1"/>
  <c r="Z220" i="1"/>
  <c r="X219" i="1"/>
  <c r="Z218" i="1"/>
  <c r="Y215" i="1"/>
  <c r="X214" i="1"/>
  <c r="X208" i="1"/>
  <c r="Y207" i="1"/>
  <c r="Y203" i="1"/>
  <c r="X200" i="1"/>
  <c r="X196" i="1"/>
  <c r="Z190" i="1"/>
  <c r="W183" i="1"/>
  <c r="Z176" i="1"/>
  <c r="W171" i="1"/>
  <c r="Z164" i="1"/>
  <c r="W155" i="1"/>
  <c r="Z148" i="1"/>
  <c r="X60" i="1"/>
  <c r="M58" i="7"/>
  <c r="B315" i="1"/>
  <c r="W271" i="1"/>
  <c r="X270" i="1"/>
  <c r="Z264" i="1"/>
  <c r="W264" i="1"/>
  <c r="Z260" i="1"/>
  <c r="W260" i="1"/>
  <c r="W255" i="1"/>
  <c r="W251" i="1"/>
  <c r="W247" i="1"/>
  <c r="X246" i="1"/>
  <c r="M244" i="7"/>
  <c r="Z244" i="1"/>
  <c r="W244" i="1"/>
  <c r="Y240" i="1"/>
  <c r="W240" i="1"/>
  <c r="O235" i="1"/>
  <c r="Z235" i="1"/>
  <c r="W235" i="1"/>
  <c r="W234" i="1"/>
  <c r="Y228" i="1"/>
  <c r="W228" i="1"/>
  <c r="O223" i="1"/>
  <c r="Z223" i="1"/>
  <c r="W223" i="1"/>
  <c r="W222" i="1"/>
  <c r="Y216" i="1"/>
  <c r="W216" i="1"/>
  <c r="Z211" i="1"/>
  <c r="W211" i="1"/>
  <c r="W210" i="1"/>
  <c r="W204" i="1"/>
  <c r="Y204" i="1"/>
  <c r="X204" i="1"/>
  <c r="X199" i="1"/>
  <c r="Z199" i="1"/>
  <c r="W199" i="1"/>
  <c r="Y198" i="1"/>
  <c r="W198" i="1"/>
  <c r="W192" i="1"/>
  <c r="Y192" i="1"/>
  <c r="X187" i="1"/>
  <c r="Z187" i="1"/>
  <c r="Y186" i="1"/>
  <c r="W186" i="1"/>
  <c r="X186" i="1"/>
  <c r="Z186" i="1"/>
  <c r="W180" i="1"/>
  <c r="X180" i="1"/>
  <c r="Y180" i="1"/>
  <c r="X175" i="1"/>
  <c r="Y175" i="1"/>
  <c r="Z175" i="1"/>
  <c r="W175" i="1"/>
  <c r="Y174" i="1"/>
  <c r="Z174" i="1"/>
  <c r="W174" i="1"/>
  <c r="W168" i="1"/>
  <c r="X168" i="1"/>
  <c r="Y168" i="1"/>
  <c r="Z168" i="1"/>
  <c r="X163" i="1"/>
  <c r="Y163" i="1"/>
  <c r="Z163" i="1"/>
  <c r="W163" i="1"/>
  <c r="Y162" i="1"/>
  <c r="Z162" i="1"/>
  <c r="W162" i="1"/>
  <c r="X162" i="1"/>
  <c r="W156" i="1"/>
  <c r="X156" i="1"/>
  <c r="Y156" i="1"/>
  <c r="Z156" i="1"/>
  <c r="W152" i="1"/>
  <c r="X152" i="1"/>
  <c r="Y152" i="1"/>
  <c r="Z152" i="1"/>
  <c r="X147" i="1"/>
  <c r="Y147" i="1"/>
  <c r="Z147" i="1"/>
  <c r="W147" i="1"/>
  <c r="Y146" i="1"/>
  <c r="Z146" i="1"/>
  <c r="W146" i="1"/>
  <c r="X146" i="1"/>
  <c r="Z139" i="1"/>
  <c r="W139" i="1"/>
  <c r="X139" i="1"/>
  <c r="Y139" i="1"/>
  <c r="W138" i="1"/>
  <c r="Z138" i="1"/>
  <c r="X138" i="1"/>
  <c r="Y138" i="1"/>
  <c r="Z131" i="1"/>
  <c r="W131" i="1"/>
  <c r="X131" i="1"/>
  <c r="Y131" i="1"/>
  <c r="Z127" i="1"/>
  <c r="W127" i="1"/>
  <c r="X127" i="1"/>
  <c r="Y127" i="1"/>
  <c r="W126" i="1"/>
  <c r="Z126" i="1"/>
  <c r="X126" i="1"/>
  <c r="Y126" i="1"/>
  <c r="W120" i="1"/>
  <c r="Y120" i="1"/>
  <c r="X120" i="1"/>
  <c r="Z120" i="1"/>
  <c r="X115" i="1"/>
  <c r="Z115" i="1"/>
  <c r="W115" i="1"/>
  <c r="Y114" i="1"/>
  <c r="W114" i="1"/>
  <c r="X114" i="1"/>
  <c r="Z114" i="1"/>
  <c r="W108" i="1"/>
  <c r="Y108" i="1"/>
  <c r="Z108" i="1"/>
  <c r="M108" i="7"/>
  <c r="X108" i="1"/>
  <c r="O103" i="1"/>
  <c r="X103" i="1"/>
  <c r="Z103" i="1"/>
  <c r="Y103" i="1"/>
  <c r="W103" i="1"/>
  <c r="O99" i="1"/>
  <c r="X99" i="1"/>
  <c r="Z99" i="1"/>
  <c r="W99" i="1"/>
  <c r="Y98" i="1"/>
  <c r="W98" i="1"/>
  <c r="X98" i="1"/>
  <c r="Z98" i="1"/>
  <c r="Y91" i="1"/>
  <c r="Z91" i="1"/>
  <c r="W91" i="1"/>
  <c r="X91" i="1"/>
  <c r="X88" i="1"/>
  <c r="Z88" i="1"/>
  <c r="W88" i="1"/>
  <c r="Y88" i="1"/>
  <c r="Y83" i="1"/>
  <c r="W83" i="1"/>
  <c r="Z83" i="1"/>
  <c r="Y79" i="1"/>
  <c r="W79" i="1"/>
  <c r="Z79" i="1"/>
  <c r="X79" i="1"/>
  <c r="Y75" i="1"/>
  <c r="W75" i="1"/>
  <c r="Z75" i="1"/>
  <c r="X72" i="1"/>
  <c r="Z72" i="1"/>
  <c r="Y72" i="1"/>
  <c r="W72" i="1"/>
  <c r="Z70" i="1"/>
  <c r="X70" i="1"/>
  <c r="W70" i="1"/>
  <c r="Y70" i="1"/>
  <c r="X68" i="1"/>
  <c r="M68" i="7"/>
  <c r="Z68" i="1"/>
  <c r="Y68" i="1"/>
  <c r="W68" i="1"/>
  <c r="Z66" i="1"/>
  <c r="X66" i="1"/>
  <c r="W66" i="1"/>
  <c r="Y66" i="1"/>
  <c r="X64" i="1"/>
  <c r="Z64" i="1"/>
  <c r="Y64" i="1"/>
  <c r="W64" i="1"/>
  <c r="Z62" i="1"/>
  <c r="X62" i="1"/>
  <c r="W62" i="1"/>
  <c r="Y62" i="1"/>
  <c r="Y59" i="1"/>
  <c r="W59" i="1"/>
  <c r="Z59" i="1"/>
  <c r="X59" i="1"/>
  <c r="Y55" i="1"/>
  <c r="W55" i="1"/>
  <c r="M55" i="7"/>
  <c r="X55" i="1"/>
  <c r="Z55" i="1"/>
  <c r="Z54" i="1"/>
  <c r="X54" i="1"/>
  <c r="W54" i="1"/>
  <c r="Y54" i="1"/>
  <c r="Y47" i="1"/>
  <c r="W47" i="1"/>
  <c r="X47" i="1"/>
  <c r="Z47" i="1"/>
  <c r="Y43" i="1"/>
  <c r="W43" i="1"/>
  <c r="X43" i="1"/>
  <c r="Z43" i="1"/>
  <c r="M42" i="7"/>
  <c r="Z42" i="1"/>
  <c r="X42" i="1"/>
  <c r="W42" i="1"/>
  <c r="Y42" i="1"/>
  <c r="X36" i="1"/>
  <c r="Y36" i="1"/>
  <c r="Z36" i="1"/>
  <c r="W36" i="1"/>
  <c r="Y31" i="1"/>
  <c r="Z31" i="1"/>
  <c r="W31" i="1"/>
  <c r="X31" i="1"/>
  <c r="X28" i="1"/>
  <c r="Y28" i="1"/>
  <c r="Z28" i="1"/>
  <c r="W28" i="1"/>
  <c r="X24" i="1"/>
  <c r="Y24" i="1"/>
  <c r="Z24" i="1"/>
  <c r="W24" i="1"/>
  <c r="X20" i="1"/>
  <c r="Y20" i="1"/>
  <c r="Z20" i="1"/>
  <c r="W20" i="1"/>
  <c r="W18" i="1"/>
  <c r="X18" i="1"/>
  <c r="Y18" i="1"/>
  <c r="Z18" i="1"/>
  <c r="Y12" i="1"/>
  <c r="Z12" i="1"/>
  <c r="W12" i="1"/>
  <c r="X12" i="1"/>
  <c r="X311" i="1"/>
  <c r="Y310" i="1"/>
  <c r="W308" i="1"/>
  <c r="X307" i="1"/>
  <c r="Y306" i="1"/>
  <c r="W304" i="1"/>
  <c r="X303" i="1"/>
  <c r="Y302" i="1"/>
  <c r="W300" i="1"/>
  <c r="X299" i="1"/>
  <c r="Y298" i="1"/>
  <c r="W296" i="1"/>
  <c r="X295" i="1"/>
  <c r="Y294" i="1"/>
  <c r="W292" i="1"/>
  <c r="X291" i="1"/>
  <c r="Y290" i="1"/>
  <c r="W288" i="1"/>
  <c r="X287" i="1"/>
  <c r="Y286" i="1"/>
  <c r="W284" i="1"/>
  <c r="X283" i="1"/>
  <c r="Y282" i="1"/>
  <c r="W280" i="1"/>
  <c r="X279" i="1"/>
  <c r="Y278" i="1"/>
  <c r="W276" i="1"/>
  <c r="X275" i="1"/>
  <c r="Y274" i="1"/>
  <c r="Z271" i="1"/>
  <c r="Y270" i="1"/>
  <c r="Y264" i="1"/>
  <c r="Z255" i="1"/>
  <c r="Y248" i="1"/>
  <c r="X247" i="1"/>
  <c r="Y243" i="1"/>
  <c r="X240" i="1"/>
  <c r="Z236" i="1"/>
  <c r="X235" i="1"/>
  <c r="Y231" i="1"/>
  <c r="X224" i="1"/>
  <c r="Z222" i="1"/>
  <c r="Y210" i="1"/>
  <c r="Z198" i="1"/>
  <c r="W187" i="1"/>
  <c r="X75" i="1"/>
  <c r="Z272" i="1"/>
  <c r="W267" i="1"/>
  <c r="X266" i="1"/>
  <c r="M266" i="7"/>
  <c r="W259" i="1"/>
  <c r="X258" i="1"/>
  <c r="M258" i="7"/>
  <c r="X254" i="1"/>
  <c r="X250" i="1"/>
  <c r="O239" i="1"/>
  <c r="Z239" i="1"/>
  <c r="W239" i="1"/>
  <c r="W238" i="1"/>
  <c r="Y232" i="1"/>
  <c r="W232" i="1"/>
  <c r="O227" i="1"/>
  <c r="Z227" i="1"/>
  <c r="W227" i="1"/>
  <c r="W226" i="1"/>
  <c r="M226" i="7"/>
  <c r="Y220" i="1"/>
  <c r="W220" i="1"/>
  <c r="Z215" i="1"/>
  <c r="W215" i="1"/>
  <c r="W214" i="1"/>
  <c r="W208" i="1"/>
  <c r="Y208" i="1"/>
  <c r="X203" i="1"/>
  <c r="Z203" i="1"/>
  <c r="Y202" i="1"/>
  <c r="W202" i="1"/>
  <c r="Z202" i="1"/>
  <c r="W196" i="1"/>
  <c r="Y196" i="1"/>
  <c r="Z196" i="1"/>
  <c r="X191" i="1"/>
  <c r="Z191" i="1"/>
  <c r="Y191" i="1"/>
  <c r="Y190" i="1"/>
  <c r="W190" i="1"/>
  <c r="X190" i="1"/>
  <c r="W184" i="1"/>
  <c r="Y184" i="1"/>
  <c r="X184" i="1"/>
  <c r="Z184" i="1"/>
  <c r="X179" i="1"/>
  <c r="Y179" i="1"/>
  <c r="Z179" i="1"/>
  <c r="W179" i="1"/>
  <c r="Y178" i="1"/>
  <c r="Z178" i="1"/>
  <c r="W178" i="1"/>
  <c r="X178" i="1"/>
  <c r="W172" i="1"/>
  <c r="X172" i="1"/>
  <c r="Y172" i="1"/>
  <c r="Z172" i="1"/>
  <c r="X167" i="1"/>
  <c r="Y167" i="1"/>
  <c r="Z167" i="1"/>
  <c r="W167" i="1"/>
  <c r="Y166" i="1"/>
  <c r="Z166" i="1"/>
  <c r="W166" i="1"/>
  <c r="X166" i="1"/>
  <c r="W160" i="1"/>
  <c r="X160" i="1"/>
  <c r="Y160" i="1"/>
  <c r="Z160" i="1"/>
  <c r="X155" i="1"/>
  <c r="Y155" i="1"/>
  <c r="Z155" i="1"/>
  <c r="Y154" i="1"/>
  <c r="Z154" i="1"/>
  <c r="W154" i="1"/>
  <c r="X154" i="1"/>
  <c r="W148" i="1"/>
  <c r="X148" i="1"/>
  <c r="Y148" i="1"/>
  <c r="Y144" i="1"/>
  <c r="W144" i="1"/>
  <c r="X144" i="1"/>
  <c r="Z144" i="1"/>
  <c r="Y140" i="1"/>
  <c r="W140" i="1"/>
  <c r="X140" i="1"/>
  <c r="Z140" i="1"/>
  <c r="Y136" i="1"/>
  <c r="W136" i="1"/>
  <c r="X136" i="1"/>
  <c r="Z136" i="1"/>
  <c r="Y132" i="1"/>
  <c r="W132" i="1"/>
  <c r="X132" i="1"/>
  <c r="Z132" i="1"/>
  <c r="W130" i="1"/>
  <c r="Z130" i="1"/>
  <c r="X130" i="1"/>
  <c r="Y130" i="1"/>
  <c r="Y124" i="1"/>
  <c r="W124" i="1"/>
  <c r="X124" i="1"/>
  <c r="Z124" i="1"/>
  <c r="X119" i="1"/>
  <c r="Z119" i="1"/>
  <c r="Y119" i="1"/>
  <c r="W119" i="1"/>
  <c r="Y118" i="1"/>
  <c r="W118" i="1"/>
  <c r="X118" i="1"/>
  <c r="Z118" i="1"/>
  <c r="W112" i="1"/>
  <c r="Y112" i="1"/>
  <c r="X112" i="1"/>
  <c r="Z112" i="1"/>
  <c r="O107" i="1"/>
  <c r="X107" i="1"/>
  <c r="Z107" i="1"/>
  <c r="W107" i="1"/>
  <c r="Y107" i="1"/>
  <c r="Y106" i="1"/>
  <c r="W106" i="1"/>
  <c r="X106" i="1"/>
  <c r="Z106" i="1"/>
  <c r="W100" i="1"/>
  <c r="Y100" i="1"/>
  <c r="X100" i="1"/>
  <c r="Z100" i="1"/>
  <c r="X96" i="1"/>
  <c r="Z96" i="1"/>
  <c r="W96" i="1"/>
  <c r="Y96" i="1"/>
  <c r="X92" i="1"/>
  <c r="Z92" i="1"/>
  <c r="W92" i="1"/>
  <c r="Y92" i="1"/>
  <c r="Y87" i="1"/>
  <c r="Z87" i="1"/>
  <c r="W87" i="1"/>
  <c r="X87" i="1"/>
  <c r="X84" i="1"/>
  <c r="Z84" i="1"/>
  <c r="Y84" i="1"/>
  <c r="W84" i="1"/>
  <c r="X80" i="1"/>
  <c r="Z80" i="1"/>
  <c r="Y80" i="1"/>
  <c r="W80" i="1"/>
  <c r="Z78" i="1"/>
  <c r="X78" i="1"/>
  <c r="W78" i="1"/>
  <c r="Y78" i="1"/>
  <c r="Z74" i="1"/>
  <c r="X74" i="1"/>
  <c r="W74" i="1"/>
  <c r="Y74" i="1"/>
  <c r="Y71" i="1"/>
  <c r="W71" i="1"/>
  <c r="M71" i="7"/>
  <c r="Z71" i="1"/>
  <c r="X71" i="1"/>
  <c r="Y67" i="1"/>
  <c r="W67" i="1"/>
  <c r="Z67" i="1"/>
  <c r="Y63" i="1"/>
  <c r="W63" i="1"/>
  <c r="X63" i="1"/>
  <c r="Z63" i="1"/>
  <c r="Y51" i="1"/>
  <c r="W51" i="1"/>
  <c r="X51" i="1"/>
  <c r="Z51" i="1"/>
  <c r="Z50" i="1"/>
  <c r="X50" i="1"/>
  <c r="W50" i="1"/>
  <c r="Y50" i="1"/>
  <c r="X44" i="1"/>
  <c r="Z44" i="1"/>
  <c r="Y44" i="1"/>
  <c r="W44" i="1"/>
  <c r="Y39" i="1"/>
  <c r="W39" i="1"/>
  <c r="X39" i="1"/>
  <c r="Z39" i="1"/>
  <c r="Z38" i="1"/>
  <c r="X38" i="1"/>
  <c r="W38" i="1"/>
  <c r="Y38" i="1"/>
  <c r="X32" i="1"/>
  <c r="Y32" i="1"/>
  <c r="Z32" i="1"/>
  <c r="W32" i="1"/>
  <c r="Z30" i="1"/>
  <c r="W30" i="1"/>
  <c r="X30" i="1"/>
  <c r="Y30" i="1"/>
  <c r="Z26" i="1"/>
  <c r="W26" i="1"/>
  <c r="X26" i="1"/>
  <c r="Y26" i="1"/>
  <c r="Z22" i="1"/>
  <c r="W22" i="1"/>
  <c r="X22" i="1"/>
  <c r="Y22" i="1"/>
  <c r="Y16" i="1"/>
  <c r="Z16" i="1"/>
  <c r="W16" i="1"/>
  <c r="X16" i="1"/>
  <c r="W14" i="1"/>
  <c r="X14" i="1"/>
  <c r="Y14" i="1"/>
  <c r="Z14" i="1"/>
  <c r="W311" i="1"/>
  <c r="X310" i="1"/>
  <c r="Z308" i="1"/>
  <c r="W307" i="1"/>
  <c r="X306" i="1"/>
  <c r="Z304" i="1"/>
  <c r="W303" i="1"/>
  <c r="X302" i="1"/>
  <c r="Z300" i="1"/>
  <c r="W299" i="1"/>
  <c r="X298" i="1"/>
  <c r="Z296" i="1"/>
  <c r="W295" i="1"/>
  <c r="X294" i="1"/>
  <c r="Z292" i="1"/>
  <c r="W291" i="1"/>
  <c r="X290" i="1"/>
  <c r="Z288" i="1"/>
  <c r="W287" i="1"/>
  <c r="X286" i="1"/>
  <c r="Z284" i="1"/>
  <c r="W283" i="1"/>
  <c r="X282" i="1"/>
  <c r="Z280" i="1"/>
  <c r="W279" i="1"/>
  <c r="X278" i="1"/>
  <c r="Z276" i="1"/>
  <c r="W275" i="1"/>
  <c r="X274" i="1"/>
  <c r="Y272" i="1"/>
  <c r="Y271" i="1"/>
  <c r="W270" i="1"/>
  <c r="Z267" i="1"/>
  <c r="Y266" i="1"/>
  <c r="X264" i="1"/>
  <c r="Y260" i="1"/>
  <c r="X259" i="1"/>
  <c r="Y255" i="1"/>
  <c r="W254" i="1"/>
  <c r="Z251" i="1"/>
  <c r="Y250" i="1"/>
  <c r="Z246" i="1"/>
  <c r="Y244" i="1"/>
  <c r="X243" i="1"/>
  <c r="Y238" i="1"/>
  <c r="Z234" i="1"/>
  <c r="Z232" i="1"/>
  <c r="Y227" i="1"/>
  <c r="X226" i="1"/>
  <c r="Y222" i="1"/>
  <c r="X220" i="1"/>
  <c r="Z216" i="1"/>
  <c r="X215" i="1"/>
  <c r="Y211" i="1"/>
  <c r="X210" i="1"/>
  <c r="W203" i="1"/>
  <c r="X198" i="1"/>
  <c r="M196" i="7"/>
  <c r="Z192" i="1"/>
  <c r="M186" i="7"/>
  <c r="Y115" i="1"/>
  <c r="X83" i="1"/>
  <c r="Z268" i="1"/>
  <c r="W268" i="1"/>
  <c r="W263" i="1"/>
  <c r="X262" i="1"/>
  <c r="Z256" i="1"/>
  <c r="W256" i="1"/>
  <c r="Z252" i="1"/>
  <c r="W252" i="1"/>
  <c r="Z248" i="1"/>
  <c r="W248" i="1"/>
  <c r="Y236" i="1"/>
  <c r="W236" i="1"/>
  <c r="O231" i="1"/>
  <c r="Z231" i="1"/>
  <c r="W231" i="1"/>
  <c r="W230" i="1"/>
  <c r="Y224" i="1"/>
  <c r="W224" i="1"/>
  <c r="O219" i="1"/>
  <c r="Z219" i="1"/>
  <c r="W219" i="1"/>
  <c r="W218" i="1"/>
  <c r="Y212" i="1"/>
  <c r="W212" i="1"/>
  <c r="X207" i="1"/>
  <c r="Z207" i="1"/>
  <c r="Y206" i="1"/>
  <c r="W206" i="1"/>
  <c r="X206" i="1"/>
  <c r="W200" i="1"/>
  <c r="Y200" i="1"/>
  <c r="Z200" i="1"/>
  <c r="X195" i="1"/>
  <c r="Z195" i="1"/>
  <c r="W195" i="1"/>
  <c r="Y195" i="1"/>
  <c r="Y194" i="1"/>
  <c r="W194" i="1"/>
  <c r="W188" i="1"/>
  <c r="Y188" i="1"/>
  <c r="M188" i="7"/>
  <c r="X188" i="1"/>
  <c r="X183" i="1"/>
  <c r="Y183" i="1"/>
  <c r="M183" i="7"/>
  <c r="Z183" i="1"/>
  <c r="Y182" i="1"/>
  <c r="Z182" i="1"/>
  <c r="W182" i="1"/>
  <c r="X182" i="1"/>
  <c r="W176" i="1"/>
  <c r="X176" i="1"/>
  <c r="Y176" i="1"/>
  <c r="X171" i="1"/>
  <c r="Y171" i="1"/>
  <c r="Z171" i="1"/>
  <c r="Y170" i="1"/>
  <c r="M170" i="7"/>
  <c r="Z170" i="1"/>
  <c r="W170" i="1"/>
  <c r="X170" i="1"/>
  <c r="W164" i="1"/>
  <c r="X164" i="1"/>
  <c r="Y164" i="1"/>
  <c r="X159" i="1"/>
  <c r="Y159" i="1"/>
  <c r="Z159" i="1"/>
  <c r="W159" i="1"/>
  <c r="Y158" i="1"/>
  <c r="Z158" i="1"/>
  <c r="W158" i="1"/>
  <c r="X151" i="1"/>
  <c r="Y151" i="1"/>
  <c r="Z151" i="1"/>
  <c r="W151" i="1"/>
  <c r="Y150" i="1"/>
  <c r="Z150" i="1"/>
  <c r="W150" i="1"/>
  <c r="X150" i="1"/>
  <c r="Z143" i="1"/>
  <c r="W143" i="1"/>
  <c r="X143" i="1"/>
  <c r="Y143" i="1"/>
  <c r="W142" i="1"/>
  <c r="Z142" i="1"/>
  <c r="X142" i="1"/>
  <c r="Y142" i="1"/>
  <c r="Z135" i="1"/>
  <c r="W135" i="1"/>
  <c r="X135" i="1"/>
  <c r="Y135" i="1"/>
  <c r="W134" i="1"/>
  <c r="Z134" i="1"/>
  <c r="X134" i="1"/>
  <c r="Y134" i="1"/>
  <c r="Y128" i="1"/>
  <c r="W128" i="1"/>
  <c r="X128" i="1"/>
  <c r="Z128" i="1"/>
  <c r="Z123" i="1"/>
  <c r="W123" i="1"/>
  <c r="X123" i="1"/>
  <c r="Y123" i="1"/>
  <c r="W122" i="1"/>
  <c r="Z122" i="1"/>
  <c r="X122" i="1"/>
  <c r="Y122" i="1"/>
  <c r="W116" i="1"/>
  <c r="Y116" i="1"/>
  <c r="M116" i="7"/>
  <c r="X116" i="1"/>
  <c r="Z116" i="1"/>
  <c r="O111" i="1"/>
  <c r="X111" i="1"/>
  <c r="Z111" i="1"/>
  <c r="W111" i="1"/>
  <c r="Y111" i="1"/>
  <c r="Y110" i="1"/>
  <c r="W110" i="1"/>
  <c r="Z110" i="1"/>
  <c r="W104" i="1"/>
  <c r="Y104" i="1"/>
  <c r="X104" i="1"/>
  <c r="Z104" i="1"/>
  <c r="Y102" i="1"/>
  <c r="W102" i="1"/>
  <c r="X102" i="1"/>
  <c r="Z102" i="1"/>
  <c r="Y95" i="1"/>
  <c r="Z95" i="1"/>
  <c r="W95" i="1"/>
  <c r="X95" i="1"/>
  <c r="Z94" i="1"/>
  <c r="Y94" i="1"/>
  <c r="W94" i="1"/>
  <c r="X94" i="1"/>
  <c r="Z90" i="1"/>
  <c r="Y90" i="1"/>
  <c r="W90" i="1"/>
  <c r="X90" i="1"/>
  <c r="Z86" i="1"/>
  <c r="Y86" i="1"/>
  <c r="W86" i="1"/>
  <c r="X86" i="1"/>
  <c r="Z82" i="1"/>
  <c r="X82" i="1"/>
  <c r="W82" i="1"/>
  <c r="Y82" i="1"/>
  <c r="X76" i="1"/>
  <c r="Z76" i="1"/>
  <c r="Y76" i="1"/>
  <c r="W76" i="1"/>
  <c r="X56" i="1"/>
  <c r="Z56" i="1"/>
  <c r="Y56" i="1"/>
  <c r="W56" i="1"/>
  <c r="X52" i="1"/>
  <c r="Z52" i="1"/>
  <c r="Y52" i="1"/>
  <c r="W52" i="1"/>
  <c r="X48" i="1"/>
  <c r="Z48" i="1"/>
  <c r="Y48" i="1"/>
  <c r="W48" i="1"/>
  <c r="Z46" i="1"/>
  <c r="X46" i="1"/>
  <c r="W46" i="1"/>
  <c r="Y46" i="1"/>
  <c r="X40" i="1"/>
  <c r="Z40" i="1"/>
  <c r="Y40" i="1"/>
  <c r="W40" i="1"/>
  <c r="Y35" i="1"/>
  <c r="Z35" i="1"/>
  <c r="W35" i="1"/>
  <c r="X35" i="1"/>
  <c r="Z34" i="1"/>
  <c r="W34" i="1"/>
  <c r="X34" i="1"/>
  <c r="Y34" i="1"/>
  <c r="Y27" i="1"/>
  <c r="Z27" i="1"/>
  <c r="W27" i="1"/>
  <c r="X27" i="1"/>
  <c r="Y23" i="1"/>
  <c r="Z23" i="1"/>
  <c r="W23" i="1"/>
  <c r="X23" i="1"/>
  <c r="Y19" i="1"/>
  <c r="Z19" i="1"/>
  <c r="W19" i="1"/>
  <c r="X19" i="1"/>
  <c r="Z15" i="1"/>
  <c r="W15" i="1"/>
  <c r="X15" i="1"/>
  <c r="Y15" i="1"/>
  <c r="Z11" i="1"/>
  <c r="W11" i="1"/>
  <c r="X11" i="1"/>
  <c r="Y11" i="1"/>
  <c r="Z311" i="1"/>
  <c r="Z307" i="1"/>
  <c r="Z303" i="1"/>
  <c r="Z299" i="1"/>
  <c r="Z295" i="1"/>
  <c r="Z291" i="1"/>
  <c r="Z287" i="1"/>
  <c r="Z283" i="1"/>
  <c r="Z279" i="1"/>
  <c r="Z275" i="1"/>
  <c r="X272" i="1"/>
  <c r="X271" i="1"/>
  <c r="Y267" i="1"/>
  <c r="W266" i="1"/>
  <c r="Z263" i="1"/>
  <c r="Y262" i="1"/>
  <c r="X260" i="1"/>
  <c r="Z258" i="1"/>
  <c r="Y256" i="1"/>
  <c r="X255" i="1"/>
  <c r="Y251" i="1"/>
  <c r="W250" i="1"/>
  <c r="Z247" i="1"/>
  <c r="Y246" i="1"/>
  <c r="X244" i="1"/>
  <c r="Y239" i="1"/>
  <c r="X238" i="1"/>
  <c r="M236" i="7"/>
  <c r="Y234" i="1"/>
  <c r="X232" i="1"/>
  <c r="Z230" i="1"/>
  <c r="Z228" i="1"/>
  <c r="X227" i="1"/>
  <c r="Y223" i="1"/>
  <c r="X222" i="1"/>
  <c r="M220" i="7"/>
  <c r="Y218" i="1"/>
  <c r="X216" i="1"/>
  <c r="Z214" i="1"/>
  <c r="Z212" i="1"/>
  <c r="X211" i="1"/>
  <c r="W207" i="1"/>
  <c r="Z204" i="1"/>
  <c r="X202" i="1"/>
  <c r="Z194" i="1"/>
  <c r="X192" i="1"/>
  <c r="Z188" i="1"/>
  <c r="Z180" i="1"/>
  <c r="X174" i="1"/>
  <c r="X158" i="1"/>
  <c r="O256" i="1"/>
  <c r="Q326" i="1"/>
  <c r="H326" i="7" s="1"/>
  <c r="Q322" i="1"/>
  <c r="Q318" i="1"/>
  <c r="U94" i="1"/>
  <c r="U90" i="1"/>
  <c r="U86" i="1"/>
  <c r="U82" i="1"/>
  <c r="U78" i="1"/>
  <c r="U74" i="1"/>
  <c r="U72" i="1"/>
  <c r="U70" i="1"/>
  <c r="U66" i="1"/>
  <c r="U64" i="1"/>
  <c r="U62" i="1"/>
  <c r="Y60" i="1"/>
  <c r="Q324" i="1"/>
  <c r="H324" i="7" s="1"/>
  <c r="L321" i="7"/>
  <c r="N321" i="7"/>
  <c r="L319" i="7"/>
  <c r="N319" i="7"/>
  <c r="L317" i="7"/>
  <c r="L314" i="7"/>
  <c r="M313" i="7"/>
  <c r="M311" i="7"/>
  <c r="M303" i="7"/>
  <c r="M295" i="7"/>
  <c r="M287" i="7"/>
  <c r="M283" i="7"/>
  <c r="M279" i="7"/>
  <c r="M271" i="7"/>
  <c r="M265" i="7"/>
  <c r="M255" i="7"/>
  <c r="M247" i="7"/>
  <c r="L242" i="7"/>
  <c r="L218" i="7"/>
  <c r="L210" i="7"/>
  <c r="N210" i="7"/>
  <c r="L208" i="7"/>
  <c r="L206" i="7"/>
  <c r="L198" i="7"/>
  <c r="N198" i="7"/>
  <c r="L194" i="7"/>
  <c r="L192" i="7"/>
  <c r="L190" i="7"/>
  <c r="L188" i="7"/>
  <c r="L186" i="7"/>
  <c r="L184" i="7"/>
  <c r="L182" i="7"/>
  <c r="L180" i="7"/>
  <c r="L178" i="7"/>
  <c r="L176" i="7"/>
  <c r="L174" i="7"/>
  <c r="L172" i="7"/>
  <c r="L170" i="7"/>
  <c r="L168" i="7"/>
  <c r="L166" i="7"/>
  <c r="L164" i="7"/>
  <c r="L162" i="7"/>
  <c r="L160" i="7"/>
  <c r="L158" i="7"/>
  <c r="L156" i="7"/>
  <c r="L154" i="7"/>
  <c r="L152" i="7"/>
  <c r="L150" i="7"/>
  <c r="L148" i="7"/>
  <c r="L146" i="7"/>
  <c r="L144" i="7"/>
  <c r="L142" i="7"/>
  <c r="L140" i="7"/>
  <c r="L138" i="7"/>
  <c r="L136" i="7"/>
  <c r="L134" i="7"/>
  <c r="L132" i="7"/>
  <c r="L128" i="7"/>
  <c r="L126" i="7"/>
  <c r="L122" i="7"/>
  <c r="L120" i="7"/>
  <c r="L116" i="7"/>
  <c r="L114" i="7"/>
  <c r="L112" i="7"/>
  <c r="L110" i="7"/>
  <c r="L108" i="7"/>
  <c r="L106" i="7"/>
  <c r="L104" i="7"/>
  <c r="L100" i="7"/>
  <c r="L98" i="7"/>
  <c r="L92" i="7"/>
  <c r="N70" i="7"/>
  <c r="L64" i="7"/>
  <c r="L62" i="7"/>
  <c r="L60" i="7"/>
  <c r="L58" i="7"/>
  <c r="L16" i="7"/>
  <c r="L12" i="7"/>
  <c r="U54" i="1"/>
  <c r="U50" i="1"/>
  <c r="U46" i="1"/>
  <c r="N323" i="7"/>
  <c r="M321" i="7"/>
  <c r="L315" i="7"/>
  <c r="L312" i="7"/>
  <c r="L298" i="7"/>
  <c r="L294" i="7"/>
  <c r="L292" i="7"/>
  <c r="L290" i="7"/>
  <c r="L286" i="7"/>
  <c r="L276" i="7"/>
  <c r="L274" i="7"/>
  <c r="L268" i="7"/>
  <c r="L264" i="7"/>
  <c r="L262" i="7"/>
  <c r="L260" i="7"/>
  <c r="L258" i="7"/>
  <c r="L248" i="7"/>
  <c r="L246" i="7"/>
  <c r="N246" i="7"/>
  <c r="L244" i="7"/>
  <c r="M242" i="7"/>
  <c r="M210" i="7"/>
  <c r="M202" i="7"/>
  <c r="M194" i="7"/>
  <c r="M180" i="7"/>
  <c r="M172" i="7"/>
  <c r="M164" i="7"/>
  <c r="M154" i="7"/>
  <c r="M148" i="7"/>
  <c r="M146" i="7"/>
  <c r="M140" i="7"/>
  <c r="M132" i="7"/>
  <c r="M130" i="7"/>
  <c r="M122" i="7"/>
  <c r="M114" i="7"/>
  <c r="M106" i="7"/>
  <c r="M100" i="7"/>
  <c r="M90" i="7"/>
  <c r="M82" i="7"/>
  <c r="M74" i="7"/>
  <c r="M50" i="7"/>
  <c r="M34" i="7"/>
  <c r="M26" i="7"/>
  <c r="M20" i="7"/>
  <c r="M18" i="7"/>
  <c r="M12" i="7"/>
  <c r="N317" i="7"/>
  <c r="N313" i="7"/>
  <c r="M323" i="7"/>
  <c r="N322" i="7"/>
  <c r="L320" i="7"/>
  <c r="L318" i="7"/>
  <c r="N318" i="7"/>
  <c r="M317" i="7"/>
  <c r="L313" i="7"/>
  <c r="M306" i="7"/>
  <c r="M300" i="7"/>
  <c r="M298" i="7"/>
  <c r="M290" i="7"/>
  <c r="M284" i="7"/>
  <c r="M282" i="7"/>
  <c r="M274" i="7"/>
  <c r="M260" i="7"/>
  <c r="M250" i="7"/>
  <c r="N229" i="7"/>
  <c r="L221" i="7"/>
  <c r="N221" i="7"/>
  <c r="L219" i="7"/>
  <c r="L209" i="7"/>
  <c r="L207" i="7"/>
  <c r="N201" i="7"/>
  <c r="L199" i="7"/>
  <c r="N197" i="7"/>
  <c r="L195" i="7"/>
  <c r="N193" i="7"/>
  <c r="L191" i="7"/>
  <c r="L189" i="7"/>
  <c r="N189" i="7"/>
  <c r="L187" i="7"/>
  <c r="L185" i="7"/>
  <c r="L183" i="7"/>
  <c r="L181" i="7"/>
  <c r="L179" i="7"/>
  <c r="L177" i="7"/>
  <c r="L175" i="7"/>
  <c r="L173" i="7"/>
  <c r="L171" i="7"/>
  <c r="L169" i="7"/>
  <c r="L165" i="7"/>
  <c r="L163" i="7"/>
  <c r="L161" i="7"/>
  <c r="L159" i="7"/>
  <c r="L157" i="7"/>
  <c r="L155" i="7"/>
  <c r="L153" i="7"/>
  <c r="L151" i="7"/>
  <c r="L149" i="7"/>
  <c r="N149" i="7"/>
  <c r="L147" i="7"/>
  <c r="L145" i="7"/>
  <c r="L143" i="7"/>
  <c r="L141" i="7"/>
  <c r="L139" i="7"/>
  <c r="L137" i="7"/>
  <c r="L135" i="7"/>
  <c r="L133" i="7"/>
  <c r="L131" i="7"/>
  <c r="N131" i="7"/>
  <c r="L129" i="7"/>
  <c r="N129" i="7"/>
  <c r="L127" i="7"/>
  <c r="N127" i="7"/>
  <c r="L125" i="7"/>
  <c r="N125" i="7"/>
  <c r="L123" i="7"/>
  <c r="L121" i="7"/>
  <c r="N121" i="7"/>
  <c r="L119" i="7"/>
  <c r="L117" i="7"/>
  <c r="N117" i="7"/>
  <c r="L115" i="7"/>
  <c r="L113" i="7"/>
  <c r="N113" i="7"/>
  <c r="L109" i="7"/>
  <c r="N109" i="7"/>
  <c r="L107" i="7"/>
  <c r="L105" i="7"/>
  <c r="N105" i="7"/>
  <c r="L103" i="7"/>
  <c r="L101" i="7"/>
  <c r="N101" i="7"/>
  <c r="L99" i="7"/>
  <c r="L97" i="7"/>
  <c r="N97" i="7"/>
  <c r="L93" i="7"/>
  <c r="L89" i="7"/>
  <c r="N85" i="7"/>
  <c r="N79" i="7"/>
  <c r="N77" i="7"/>
  <c r="N73" i="7"/>
  <c r="N69" i="7"/>
  <c r="L65" i="7"/>
  <c r="L63" i="7"/>
  <c r="L61" i="7"/>
  <c r="L59" i="7"/>
  <c r="L57" i="7"/>
  <c r="N57" i="7"/>
  <c r="N53" i="7"/>
  <c r="N49" i="7"/>
  <c r="N45" i="7"/>
  <c r="N37" i="7"/>
  <c r="L31" i="7"/>
  <c r="N29" i="7"/>
  <c r="L25" i="7"/>
  <c r="N21" i="7"/>
  <c r="L13" i="7"/>
  <c r="L11" i="7"/>
  <c r="L323" i="7"/>
  <c r="M319" i="7"/>
  <c r="L322" i="7"/>
  <c r="N320" i="7"/>
  <c r="M322" i="7"/>
  <c r="M320" i="7"/>
  <c r="M318" i="7"/>
  <c r="L316" i="7"/>
  <c r="M315" i="7"/>
  <c r="L311" i="7"/>
  <c r="L297" i="7"/>
  <c r="N297" i="7"/>
  <c r="L293" i="7"/>
  <c r="L291" i="7"/>
  <c r="L289" i="7"/>
  <c r="L287" i="7"/>
  <c r="L285" i="7"/>
  <c r="N277" i="7"/>
  <c r="L275" i="7"/>
  <c r="L273" i="7"/>
  <c r="N273" i="7"/>
  <c r="L267" i="7"/>
  <c r="L265" i="7"/>
  <c r="N265" i="7"/>
  <c r="L263" i="7"/>
  <c r="L261" i="7"/>
  <c r="N261" i="7"/>
  <c r="L259" i="7"/>
  <c r="N257" i="7"/>
  <c r="N253" i="7"/>
  <c r="L249" i="7"/>
  <c r="N249" i="7"/>
  <c r="L247" i="7"/>
  <c r="L245" i="7"/>
  <c r="L243" i="7"/>
  <c r="M239" i="7"/>
  <c r="M233" i="7"/>
  <c r="M225" i="7"/>
  <c r="M215" i="7"/>
  <c r="M209" i="7"/>
  <c r="M207" i="7"/>
  <c r="M193" i="7"/>
  <c r="M185" i="7"/>
  <c r="M177" i="7"/>
  <c r="M167" i="7"/>
  <c r="M159" i="7"/>
  <c r="M153" i="7"/>
  <c r="M143" i="7"/>
  <c r="M137" i="7"/>
  <c r="M135" i="7"/>
  <c r="M127" i="7"/>
  <c r="M121" i="7"/>
  <c r="M113" i="7"/>
  <c r="M103" i="7"/>
  <c r="M97" i="7"/>
  <c r="M89" i="7"/>
  <c r="M73" i="7"/>
  <c r="M63" i="7"/>
  <c r="M57" i="7"/>
  <c r="M41" i="7"/>
  <c r="M33" i="7"/>
  <c r="M25" i="7"/>
  <c r="M15" i="7"/>
  <c r="H319" i="7"/>
  <c r="U53" i="1"/>
  <c r="U37" i="1"/>
  <c r="U21" i="1"/>
  <c r="L222" i="7"/>
  <c r="L214" i="7"/>
  <c r="L204" i="7"/>
  <c r="L200" i="7"/>
  <c r="L118" i="7"/>
  <c r="L96" i="7"/>
  <c r="L88" i="7"/>
  <c r="L84" i="7"/>
  <c r="L82" i="7"/>
  <c r="L80" i="7"/>
  <c r="L78" i="7"/>
  <c r="L76" i="7"/>
  <c r="L74" i="7"/>
  <c r="L72" i="7"/>
  <c r="L70" i="7"/>
  <c r="L68" i="7"/>
  <c r="L66" i="7"/>
  <c r="L56" i="7"/>
  <c r="L54" i="7"/>
  <c r="L52" i="7"/>
  <c r="L50" i="7"/>
  <c r="L48" i="7"/>
  <c r="L46" i="7"/>
  <c r="L44" i="7"/>
  <c r="L42" i="7"/>
  <c r="L40" i="7"/>
  <c r="L38" i="7"/>
  <c r="L36" i="7"/>
  <c r="L34" i="7"/>
  <c r="L32" i="7"/>
  <c r="L30" i="7"/>
  <c r="L28" i="7"/>
  <c r="L26" i="7"/>
  <c r="L24" i="7"/>
  <c r="L22" i="7"/>
  <c r="L20" i="7"/>
  <c r="L216" i="7"/>
  <c r="L212" i="7"/>
  <c r="L202" i="7"/>
  <c r="L196" i="7"/>
  <c r="L124" i="7"/>
  <c r="L102" i="7"/>
  <c r="L94" i="7"/>
  <c r="L90" i="7"/>
  <c r="L86" i="7"/>
  <c r="L284" i="7"/>
  <c r="L280" i="7"/>
  <c r="L278" i="7"/>
  <c r="L270" i="7"/>
  <c r="L256" i="7"/>
  <c r="L217" i="7"/>
  <c r="L205" i="7"/>
  <c r="L201" i="7"/>
  <c r="L193" i="7"/>
  <c r="L111" i="7"/>
  <c r="L87" i="7"/>
  <c r="L83" i="7"/>
  <c r="L81" i="7"/>
  <c r="L77" i="7"/>
  <c r="L75" i="7"/>
  <c r="L73" i="7"/>
  <c r="L71" i="7"/>
  <c r="L67" i="7"/>
  <c r="L55" i="7"/>
  <c r="L53" i="7"/>
  <c r="L51" i="7"/>
  <c r="L49" i="7"/>
  <c r="L47" i="7"/>
  <c r="L45" i="7"/>
  <c r="L43" i="7"/>
  <c r="L41" i="7"/>
  <c r="L39" i="7"/>
  <c r="L37" i="7"/>
  <c r="L35" i="7"/>
  <c r="L33" i="7"/>
  <c r="L29" i="7"/>
  <c r="L27" i="7"/>
  <c r="L23" i="7"/>
  <c r="L21" i="7"/>
  <c r="L19" i="7"/>
  <c r="L213" i="7"/>
  <c r="L203" i="7"/>
  <c r="L197" i="7"/>
  <c r="L167" i="7"/>
  <c r="L95" i="7"/>
  <c r="L91" i="7"/>
  <c r="L85" i="7"/>
  <c r="L79" i="7"/>
  <c r="L257" i="7"/>
  <c r="L238" i="7"/>
  <c r="L234" i="7"/>
  <c r="L230" i="7"/>
  <c r="L226" i="7"/>
  <c r="L220" i="7"/>
  <c r="L14" i="7"/>
  <c r="L308" i="7"/>
  <c r="L306" i="7"/>
  <c r="L304" i="7"/>
  <c r="L302" i="7"/>
  <c r="L300" i="7"/>
  <c r="L296" i="7"/>
  <c r="L288" i="7"/>
  <c r="L282" i="7"/>
  <c r="L272" i="7"/>
  <c r="L266" i="7"/>
  <c r="L254" i="7"/>
  <c r="L252" i="7"/>
  <c r="L250" i="7"/>
  <c r="L310" i="7"/>
  <c r="L241" i="7"/>
  <c r="L239" i="7"/>
  <c r="L237" i="7"/>
  <c r="L235" i="7"/>
  <c r="L233" i="7"/>
  <c r="L231" i="7"/>
  <c r="L229" i="7"/>
  <c r="L227" i="7"/>
  <c r="L225" i="7"/>
  <c r="L223" i="7"/>
  <c r="L215" i="7"/>
  <c r="L211" i="7"/>
  <c r="L69" i="7"/>
  <c r="L15" i="7"/>
  <c r="L240" i="7"/>
  <c r="L236" i="7"/>
  <c r="L232" i="7"/>
  <c r="L228" i="7"/>
  <c r="L224" i="7"/>
  <c r="L130" i="7"/>
  <c r="L309" i="7"/>
  <c r="L307" i="7"/>
  <c r="L305" i="7"/>
  <c r="L303" i="7"/>
  <c r="L301" i="7"/>
  <c r="L299" i="7"/>
  <c r="L295" i="7"/>
  <c r="L283" i="7"/>
  <c r="L281" i="7"/>
  <c r="L279" i="7"/>
  <c r="L277" i="7"/>
  <c r="L271" i="7"/>
  <c r="L269" i="7"/>
  <c r="L255" i="7"/>
  <c r="L253" i="7"/>
  <c r="L251" i="7"/>
  <c r="L17" i="7"/>
  <c r="U308" i="1"/>
  <c r="O300" i="1"/>
  <c r="O292" i="1"/>
  <c r="U284" i="1"/>
  <c r="U276" i="1"/>
  <c r="O268" i="1"/>
  <c r="G268" i="7" s="1"/>
  <c r="O260" i="1"/>
  <c r="U252" i="1"/>
  <c r="U216" i="1"/>
  <c r="U208" i="1"/>
  <c r="O200" i="1"/>
  <c r="U42" i="1"/>
  <c r="U38" i="1"/>
  <c r="U34" i="1"/>
  <c r="U30" i="1"/>
  <c r="U26" i="1"/>
  <c r="U22" i="1"/>
  <c r="U18" i="1"/>
  <c r="U14" i="1"/>
  <c r="U241" i="1"/>
  <c r="O238" i="1"/>
  <c r="O234" i="1"/>
  <c r="U233" i="1"/>
  <c r="O230" i="1"/>
  <c r="O226" i="1"/>
  <c r="U225" i="1"/>
  <c r="O222" i="1"/>
  <c r="O218" i="1"/>
  <c r="O110" i="1"/>
  <c r="O106" i="1"/>
  <c r="O102" i="1"/>
  <c r="O98" i="1"/>
  <c r="U81" i="1"/>
  <c r="U77" i="1"/>
  <c r="U73" i="1"/>
  <c r="U69" i="1"/>
  <c r="U65" i="1"/>
  <c r="O240" i="1"/>
  <c r="O236" i="1"/>
  <c r="O232" i="1"/>
  <c r="O228" i="1"/>
  <c r="O224" i="1"/>
  <c r="O220" i="1"/>
  <c r="Y217" i="1"/>
  <c r="O112" i="1"/>
  <c r="O108" i="1"/>
  <c r="O104" i="1"/>
  <c r="O100" i="1"/>
  <c r="O96" i="1"/>
  <c r="G229" i="7"/>
  <c r="G109" i="7"/>
  <c r="G223" i="7"/>
  <c r="G99" i="7"/>
  <c r="U300" i="1"/>
  <c r="U268" i="1"/>
  <c r="U200" i="1"/>
  <c r="U311" i="1"/>
  <c r="U310" i="1"/>
  <c r="U309" i="1"/>
  <c r="U307" i="1"/>
  <c r="U306" i="1"/>
  <c r="U305" i="1"/>
  <c r="U304" i="1"/>
  <c r="U303" i="1"/>
  <c r="U302" i="1"/>
  <c r="U301" i="1"/>
  <c r="U299" i="1"/>
  <c r="U298" i="1"/>
  <c r="U297" i="1"/>
  <c r="U296" i="1"/>
  <c r="U295" i="1"/>
  <c r="U294" i="1"/>
  <c r="U293" i="1"/>
  <c r="U291" i="1"/>
  <c r="U290" i="1"/>
  <c r="U289" i="1"/>
  <c r="U288" i="1"/>
  <c r="U287" i="1"/>
  <c r="U286" i="1"/>
  <c r="U285" i="1"/>
  <c r="U283" i="1"/>
  <c r="U282" i="1"/>
  <c r="U281" i="1"/>
  <c r="U280" i="1"/>
  <c r="U279" i="1"/>
  <c r="U278" i="1"/>
  <c r="U277" i="1"/>
  <c r="U275" i="1"/>
  <c r="U274" i="1"/>
  <c r="U273" i="1"/>
  <c r="U272" i="1"/>
  <c r="U271" i="1"/>
  <c r="U270" i="1"/>
  <c r="U269" i="1"/>
  <c r="U267" i="1"/>
  <c r="U266" i="1"/>
  <c r="U265" i="1"/>
  <c r="U264" i="1"/>
  <c r="U263" i="1"/>
  <c r="U262" i="1"/>
  <c r="U261" i="1"/>
  <c r="U259" i="1"/>
  <c r="U258" i="1"/>
  <c r="U257" i="1"/>
  <c r="U256" i="1"/>
  <c r="U255" i="1"/>
  <c r="U254" i="1"/>
  <c r="U253" i="1"/>
  <c r="U251" i="1"/>
  <c r="U250" i="1"/>
  <c r="U249" i="1"/>
  <c r="U248" i="1"/>
  <c r="U247" i="1"/>
  <c r="U246" i="1"/>
  <c r="U245" i="1"/>
  <c r="O244" i="1"/>
  <c r="U215" i="1"/>
  <c r="U214" i="1"/>
  <c r="U213" i="1"/>
  <c r="U212" i="1"/>
  <c r="U211" i="1"/>
  <c r="U210" i="1"/>
  <c r="U209" i="1"/>
  <c r="U207" i="1"/>
  <c r="U206" i="1"/>
  <c r="U205" i="1"/>
  <c r="U204" i="1"/>
  <c r="U203" i="1"/>
  <c r="U202" i="1"/>
  <c r="U201"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1" i="1"/>
  <c r="U87" i="1"/>
  <c r="U59" i="1"/>
  <c r="U292" i="1"/>
  <c r="U260" i="1"/>
  <c r="O311" i="1"/>
  <c r="O310" i="1"/>
  <c r="O309" i="1"/>
  <c r="O308" i="1"/>
  <c r="O307" i="1"/>
  <c r="O306" i="1"/>
  <c r="O305" i="1"/>
  <c r="O304" i="1"/>
  <c r="O303" i="1"/>
  <c r="O302" i="1"/>
  <c r="O301" i="1"/>
  <c r="O299" i="1"/>
  <c r="O298" i="1"/>
  <c r="O297" i="1"/>
  <c r="O296" i="1"/>
  <c r="O295" i="1"/>
  <c r="O294" i="1"/>
  <c r="O293" i="1"/>
  <c r="O291" i="1"/>
  <c r="O290" i="1"/>
  <c r="O289" i="1"/>
  <c r="O288" i="1"/>
  <c r="O287" i="1"/>
  <c r="O286" i="1"/>
  <c r="O285" i="1"/>
  <c r="O284" i="1"/>
  <c r="O283" i="1"/>
  <c r="O282" i="1"/>
  <c r="O281" i="1"/>
  <c r="O280" i="1"/>
  <c r="O279" i="1"/>
  <c r="O278" i="1"/>
  <c r="O277" i="1"/>
  <c r="O276" i="1"/>
  <c r="O275" i="1"/>
  <c r="O274" i="1"/>
  <c r="O273" i="1"/>
  <c r="O272" i="1"/>
  <c r="O271" i="1"/>
  <c r="O270" i="1"/>
  <c r="O269" i="1"/>
  <c r="O267" i="1"/>
  <c r="O266" i="1"/>
  <c r="O265" i="1"/>
  <c r="O264" i="1"/>
  <c r="O263" i="1"/>
  <c r="O262" i="1"/>
  <c r="O261" i="1"/>
  <c r="O259" i="1"/>
  <c r="O258" i="1"/>
  <c r="O257" i="1"/>
  <c r="O255" i="1"/>
  <c r="O254" i="1"/>
  <c r="O253" i="1"/>
  <c r="O252" i="1"/>
  <c r="O251" i="1"/>
  <c r="O250" i="1"/>
  <c r="O249" i="1"/>
  <c r="O248" i="1"/>
  <c r="O247" i="1"/>
  <c r="O246" i="1"/>
  <c r="O245" i="1"/>
  <c r="U240" i="1"/>
  <c r="U239" i="1"/>
  <c r="U238" i="1"/>
  <c r="U237" i="1"/>
  <c r="U236" i="1"/>
  <c r="U235" i="1"/>
  <c r="U234" i="1"/>
  <c r="U232" i="1"/>
  <c r="U231" i="1"/>
  <c r="U230" i="1"/>
  <c r="U229" i="1"/>
  <c r="U228" i="1"/>
  <c r="U227" i="1"/>
  <c r="U226" i="1"/>
  <c r="U224" i="1"/>
  <c r="U223" i="1"/>
  <c r="U222" i="1"/>
  <c r="U221" i="1"/>
  <c r="U220" i="1"/>
  <c r="U219" i="1"/>
  <c r="U218" i="1"/>
  <c r="O217" i="1"/>
  <c r="O216" i="1"/>
  <c r="O215" i="1"/>
  <c r="O214" i="1"/>
  <c r="O213" i="1"/>
  <c r="O212" i="1"/>
  <c r="O211" i="1"/>
  <c r="O210" i="1"/>
  <c r="O209" i="1"/>
  <c r="O208" i="1"/>
  <c r="O207" i="1"/>
  <c r="O206" i="1"/>
  <c r="O205" i="1"/>
  <c r="O204" i="1"/>
  <c r="O203" i="1"/>
  <c r="O202" i="1"/>
  <c r="O201"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92" i="1"/>
  <c r="U92" i="1"/>
  <c r="O88" i="1"/>
  <c r="U88" i="1"/>
  <c r="O84" i="1"/>
  <c r="U84" i="1"/>
  <c r="U80" i="1"/>
  <c r="W243" i="1"/>
  <c r="U93" i="1"/>
  <c r="U89" i="1"/>
  <c r="U85" i="1"/>
  <c r="U83" i="1"/>
  <c r="U79" i="1"/>
  <c r="U75" i="1"/>
  <c r="U71" i="1"/>
  <c r="U67" i="1"/>
  <c r="U63" i="1"/>
  <c r="W61" i="1"/>
  <c r="U55" i="1"/>
  <c r="U51" i="1"/>
  <c r="U47" i="1"/>
  <c r="O43" i="1"/>
  <c r="U43" i="1"/>
  <c r="O39" i="1"/>
  <c r="U39" i="1"/>
  <c r="O35" i="1"/>
  <c r="U35" i="1"/>
  <c r="O31" i="1"/>
  <c r="U31" i="1"/>
  <c r="O27" i="1"/>
  <c r="U27" i="1"/>
  <c r="O23" i="1"/>
  <c r="U23" i="1"/>
  <c r="O19" i="1"/>
  <c r="U19" i="1"/>
  <c r="O15" i="1"/>
  <c r="U15" i="1"/>
  <c r="O11" i="1"/>
  <c r="U11" i="1"/>
  <c r="O80" i="1"/>
  <c r="O76" i="1"/>
  <c r="O72" i="1"/>
  <c r="O68" i="1"/>
  <c r="O64" i="1"/>
  <c r="W58" i="1"/>
  <c r="O56" i="1"/>
  <c r="U56" i="1"/>
  <c r="O52" i="1"/>
  <c r="U52" i="1"/>
  <c r="O48" i="1"/>
  <c r="U48" i="1"/>
  <c r="O44" i="1"/>
  <c r="U44" i="1"/>
  <c r="O40" i="1"/>
  <c r="U40" i="1"/>
  <c r="O36" i="1"/>
  <c r="U36" i="1"/>
  <c r="O32" i="1"/>
  <c r="U32" i="1"/>
  <c r="O28" i="1"/>
  <c r="U28" i="1"/>
  <c r="O24" i="1"/>
  <c r="U24" i="1"/>
  <c r="O20" i="1"/>
  <c r="U20" i="1"/>
  <c r="O16" i="1"/>
  <c r="U16" i="1"/>
  <c r="O12" i="1"/>
  <c r="U12" i="1"/>
  <c r="U76" i="1"/>
  <c r="U68" i="1"/>
  <c r="G323" i="7"/>
  <c r="G322" i="7"/>
  <c r="G321" i="7"/>
  <c r="G320" i="7"/>
  <c r="G319" i="7"/>
  <c r="G318" i="7"/>
  <c r="U243" i="1"/>
  <c r="W242" i="1"/>
  <c r="U242" i="1"/>
  <c r="Z242" i="1"/>
  <c r="O243" i="1"/>
  <c r="U244" i="1"/>
  <c r="Y242" i="1"/>
  <c r="X242" i="1"/>
  <c r="O242" i="1"/>
  <c r="U314" i="1"/>
  <c r="Y317" i="1"/>
  <c r="Y315" i="1"/>
  <c r="W314" i="1"/>
  <c r="W312" i="1"/>
  <c r="O317" i="1"/>
  <c r="O315" i="1"/>
  <c r="O312" i="1"/>
  <c r="U317" i="1"/>
  <c r="X317" i="1"/>
  <c r="Z316" i="1"/>
  <c r="X315" i="1"/>
  <c r="Z314" i="1"/>
  <c r="X313" i="1"/>
  <c r="Z312" i="1"/>
  <c r="U316" i="1"/>
  <c r="U312" i="1"/>
  <c r="W316" i="1"/>
  <c r="Y313" i="1"/>
  <c r="O316" i="1"/>
  <c r="O314" i="1"/>
  <c r="O313" i="1"/>
  <c r="U313" i="1"/>
  <c r="W315" i="1"/>
  <c r="U217" i="1"/>
  <c r="W217" i="1"/>
  <c r="Z217" i="1"/>
  <c r="W60" i="1"/>
  <c r="Z60" i="1"/>
  <c r="O60" i="1"/>
  <c r="U60" i="1"/>
  <c r="X61" i="1"/>
  <c r="U61" i="1"/>
  <c r="Z61" i="1"/>
  <c r="Z58" i="1"/>
  <c r="U58" i="1"/>
  <c r="Y58" i="1"/>
  <c r="X58" i="1"/>
  <c r="O93" i="1"/>
  <c r="O89" i="1"/>
  <c r="O85" i="1"/>
  <c r="O81" i="1"/>
  <c r="O77" i="1"/>
  <c r="O73" i="1"/>
  <c r="O69" i="1"/>
  <c r="O65" i="1"/>
  <c r="O61" i="1"/>
  <c r="O57" i="1"/>
  <c r="O53" i="1"/>
  <c r="O49" i="1"/>
  <c r="O45" i="1"/>
  <c r="O41" i="1"/>
  <c r="O37" i="1"/>
  <c r="O33" i="1"/>
  <c r="O29" i="1"/>
  <c r="O25" i="1"/>
  <c r="O21" i="1"/>
  <c r="O17" i="1"/>
  <c r="O13" i="1"/>
  <c r="O94" i="1"/>
  <c r="O90" i="1"/>
  <c r="O86" i="1"/>
  <c r="O82" i="1"/>
  <c r="O78" i="1"/>
  <c r="O74" i="1"/>
  <c r="O70" i="1"/>
  <c r="O66" i="1"/>
  <c r="O62" i="1"/>
  <c r="O58" i="1"/>
  <c r="O54" i="1"/>
  <c r="O50" i="1"/>
  <c r="O46" i="1"/>
  <c r="O42" i="1"/>
  <c r="O38" i="1"/>
  <c r="O34" i="1"/>
  <c r="O30" i="1"/>
  <c r="O26" i="1"/>
  <c r="O22" i="1"/>
  <c r="O18" i="1"/>
  <c r="O14" i="1"/>
  <c r="O95" i="1"/>
  <c r="O91" i="1"/>
  <c r="O87" i="1"/>
  <c r="O83" i="1"/>
  <c r="O79" i="1"/>
  <c r="O75" i="1"/>
  <c r="O71" i="1"/>
  <c r="O67" i="1"/>
  <c r="O63" i="1"/>
  <c r="O59" i="1"/>
  <c r="O55" i="1"/>
  <c r="O51" i="1"/>
  <c r="O47" i="1"/>
  <c r="Q61" i="15" l="1"/>
  <c r="P55" i="1"/>
  <c r="P34" i="1"/>
  <c r="P13" i="1"/>
  <c r="P45" i="1"/>
  <c r="P77" i="1"/>
  <c r="P59" i="1"/>
  <c r="P22" i="1"/>
  <c r="P70" i="1"/>
  <c r="P17" i="1"/>
  <c r="P33" i="1"/>
  <c r="P49" i="1"/>
  <c r="P65" i="1"/>
  <c r="P81" i="1"/>
  <c r="P317" i="1"/>
  <c r="P12" i="1"/>
  <c r="P28" i="1"/>
  <c r="P52" i="1"/>
  <c r="P15" i="1"/>
  <c r="P31" i="1"/>
  <c r="P122" i="1"/>
  <c r="P134" i="1"/>
  <c r="P146" i="1"/>
  <c r="P154" i="1"/>
  <c r="P166" i="1"/>
  <c r="P178" i="1"/>
  <c r="P186" i="1"/>
  <c r="P198" i="1"/>
  <c r="P211" i="1"/>
  <c r="P249" i="1"/>
  <c r="P263" i="1"/>
  <c r="P267" i="1"/>
  <c r="P280" i="1"/>
  <c r="P293" i="1"/>
  <c r="P302" i="1"/>
  <c r="P47" i="1"/>
  <c r="P79" i="1"/>
  <c r="P26" i="1"/>
  <c r="P58" i="1"/>
  <c r="P90" i="1"/>
  <c r="P37" i="1"/>
  <c r="P53" i="1"/>
  <c r="P85" i="1"/>
  <c r="P51" i="1"/>
  <c r="P67" i="1"/>
  <c r="P83" i="1"/>
  <c r="P14" i="1"/>
  <c r="P30" i="1"/>
  <c r="P46" i="1"/>
  <c r="P62" i="1"/>
  <c r="P78" i="1"/>
  <c r="P94" i="1"/>
  <c r="P25" i="1"/>
  <c r="P41" i="1"/>
  <c r="P57" i="1"/>
  <c r="P73" i="1"/>
  <c r="P89" i="1"/>
  <c r="P316" i="1"/>
  <c r="P312" i="1"/>
  <c r="P242" i="1"/>
  <c r="P243" i="1"/>
  <c r="P16" i="1"/>
  <c r="P24" i="1"/>
  <c r="P32" i="1"/>
  <c r="P40" i="1"/>
  <c r="P48" i="1"/>
  <c r="P56" i="1"/>
  <c r="P72" i="1"/>
  <c r="P11" i="1"/>
  <c r="P19" i="1"/>
  <c r="P27" i="1"/>
  <c r="P35" i="1"/>
  <c r="P43" i="1"/>
  <c r="P116" i="1"/>
  <c r="P120" i="1"/>
  <c r="P124" i="1"/>
  <c r="P128" i="1"/>
  <c r="P132" i="1"/>
  <c r="P136" i="1"/>
  <c r="P140" i="1"/>
  <c r="P144" i="1"/>
  <c r="P148" i="1"/>
  <c r="P152" i="1"/>
  <c r="P156" i="1"/>
  <c r="P160" i="1"/>
  <c r="P164" i="1"/>
  <c r="P168" i="1"/>
  <c r="P172" i="1"/>
  <c r="P176" i="1"/>
  <c r="P180" i="1"/>
  <c r="P184" i="1"/>
  <c r="P188" i="1"/>
  <c r="P192" i="1"/>
  <c r="P196" i="1"/>
  <c r="P201" i="1"/>
  <c r="P205" i="1"/>
  <c r="P209" i="1"/>
  <c r="P213" i="1"/>
  <c r="P217" i="1"/>
  <c r="P247" i="1"/>
  <c r="P251" i="1"/>
  <c r="P255" i="1"/>
  <c r="P261" i="1"/>
  <c r="P265" i="1"/>
  <c r="P270" i="1"/>
  <c r="P274" i="1"/>
  <c r="P278" i="1"/>
  <c r="P282" i="1"/>
  <c r="P286" i="1"/>
  <c r="P290" i="1"/>
  <c r="P295" i="1"/>
  <c r="P299" i="1"/>
  <c r="P304" i="1"/>
  <c r="P308" i="1"/>
  <c r="P244" i="1"/>
  <c r="P96" i="1"/>
  <c r="P112" i="1"/>
  <c r="P228" i="1"/>
  <c r="P110" i="1"/>
  <c r="P226" i="1"/>
  <c r="P238" i="1"/>
  <c r="P256" i="1"/>
  <c r="P219" i="1"/>
  <c r="P71" i="1"/>
  <c r="P50" i="1"/>
  <c r="P315" i="1"/>
  <c r="P76" i="1"/>
  <c r="P84" i="1"/>
  <c r="P92" i="1"/>
  <c r="P117" i="1"/>
  <c r="P121" i="1"/>
  <c r="P125" i="1"/>
  <c r="P129" i="1"/>
  <c r="P133" i="1"/>
  <c r="P137" i="1"/>
  <c r="P141" i="1"/>
  <c r="P145" i="1"/>
  <c r="P149" i="1"/>
  <c r="P153" i="1"/>
  <c r="P157" i="1"/>
  <c r="P161" i="1"/>
  <c r="P165" i="1"/>
  <c r="P169" i="1"/>
  <c r="P173" i="1"/>
  <c r="P177" i="1"/>
  <c r="P181" i="1"/>
  <c r="P185" i="1"/>
  <c r="P189" i="1"/>
  <c r="P193" i="1"/>
  <c r="P197" i="1"/>
  <c r="P202" i="1"/>
  <c r="P206" i="1"/>
  <c r="P210" i="1"/>
  <c r="P214" i="1"/>
  <c r="P248" i="1"/>
  <c r="P252" i="1"/>
  <c r="P257" i="1"/>
  <c r="P262" i="1"/>
  <c r="P266" i="1"/>
  <c r="P271" i="1"/>
  <c r="P275" i="1"/>
  <c r="P279" i="1"/>
  <c r="P283" i="1"/>
  <c r="P287" i="1"/>
  <c r="P291" i="1"/>
  <c r="P296" i="1"/>
  <c r="P301" i="1"/>
  <c r="P305" i="1"/>
  <c r="P309" i="1"/>
  <c r="P100" i="1"/>
  <c r="P232" i="1"/>
  <c r="P98" i="1"/>
  <c r="P218" i="1"/>
  <c r="P230" i="1"/>
  <c r="P18" i="1"/>
  <c r="P82" i="1"/>
  <c r="P29" i="1"/>
  <c r="P61" i="1"/>
  <c r="P93" i="1"/>
  <c r="P75" i="1"/>
  <c r="P38" i="1"/>
  <c r="P86" i="1"/>
  <c r="P60" i="1"/>
  <c r="P313" i="1"/>
  <c r="P36" i="1"/>
  <c r="P80" i="1"/>
  <c r="P118" i="1"/>
  <c r="P130" i="1"/>
  <c r="P142" i="1"/>
  <c r="P158" i="1"/>
  <c r="P170" i="1"/>
  <c r="P182" i="1"/>
  <c r="P194" i="1"/>
  <c r="P207" i="1"/>
  <c r="P253" i="1"/>
  <c r="P272" i="1"/>
  <c r="P284" i="1"/>
  <c r="P297" i="1"/>
  <c r="P310" i="1"/>
  <c r="P104" i="1"/>
  <c r="P220" i="1"/>
  <c r="P236" i="1"/>
  <c r="P102" i="1"/>
  <c r="P222" i="1"/>
  <c r="P200" i="1"/>
  <c r="P260" i="1"/>
  <c r="P292" i="1"/>
  <c r="P111" i="1"/>
  <c r="P231" i="1"/>
  <c r="P87" i="1"/>
  <c r="P66" i="1"/>
  <c r="P91" i="1"/>
  <c r="P54" i="1"/>
  <c r="P20" i="1"/>
  <c r="P44" i="1"/>
  <c r="P64" i="1"/>
  <c r="P23" i="1"/>
  <c r="P39" i="1"/>
  <c r="P114" i="1"/>
  <c r="P126" i="1"/>
  <c r="P138" i="1"/>
  <c r="P150" i="1"/>
  <c r="P162" i="1"/>
  <c r="P174" i="1"/>
  <c r="P190" i="1"/>
  <c r="P203" i="1"/>
  <c r="P215" i="1"/>
  <c r="P245" i="1"/>
  <c r="P258" i="1"/>
  <c r="P276" i="1"/>
  <c r="P288" i="1"/>
  <c r="P306" i="1"/>
  <c r="P63" i="1"/>
  <c r="P95" i="1"/>
  <c r="P42" i="1"/>
  <c r="P74" i="1"/>
  <c r="P21" i="1"/>
  <c r="P69" i="1"/>
  <c r="P314" i="1"/>
  <c r="P68" i="1"/>
  <c r="P88" i="1"/>
  <c r="P115" i="1"/>
  <c r="P119" i="1"/>
  <c r="P123" i="1"/>
  <c r="P127" i="1"/>
  <c r="P131" i="1"/>
  <c r="P135" i="1"/>
  <c r="P139" i="1"/>
  <c r="P143" i="1"/>
  <c r="P147" i="1"/>
  <c r="P151" i="1"/>
  <c r="P155" i="1"/>
  <c r="P159" i="1"/>
  <c r="P163" i="1"/>
  <c r="P167" i="1"/>
  <c r="P171" i="1"/>
  <c r="P175" i="1"/>
  <c r="P179" i="1"/>
  <c r="P183" i="1"/>
  <c r="P187" i="1"/>
  <c r="P191" i="1"/>
  <c r="P195" i="1"/>
  <c r="P199" i="1"/>
  <c r="P204" i="1"/>
  <c r="P208" i="1"/>
  <c r="P212" i="1"/>
  <c r="P216" i="1"/>
  <c r="P246" i="1"/>
  <c r="P250" i="1"/>
  <c r="P254" i="1"/>
  <c r="P259" i="1"/>
  <c r="P264" i="1"/>
  <c r="P269" i="1"/>
  <c r="P273" i="1"/>
  <c r="P277" i="1"/>
  <c r="P281" i="1"/>
  <c r="P285" i="1"/>
  <c r="P289" i="1"/>
  <c r="P294" i="1"/>
  <c r="P298" i="1"/>
  <c r="P303" i="1"/>
  <c r="P307" i="1"/>
  <c r="P311" i="1"/>
  <c r="P108" i="1"/>
  <c r="P224" i="1"/>
  <c r="P240" i="1"/>
  <c r="P106" i="1"/>
  <c r="P234" i="1"/>
  <c r="P268" i="1"/>
  <c r="P300" i="1"/>
  <c r="P103" i="1"/>
  <c r="P227" i="1"/>
  <c r="P105" i="1"/>
  <c r="P225" i="1"/>
  <c r="P241" i="1"/>
  <c r="P239" i="1"/>
  <c r="P97" i="1"/>
  <c r="P113" i="1"/>
  <c r="P233" i="1"/>
  <c r="P101" i="1"/>
  <c r="P221" i="1"/>
  <c r="P237" i="1"/>
  <c r="K206" i="7"/>
  <c r="P99" i="1"/>
  <c r="P223" i="1"/>
  <c r="P109" i="1"/>
  <c r="P229" i="1"/>
  <c r="K33" i="7"/>
  <c r="K173" i="7"/>
  <c r="I285" i="7"/>
  <c r="J309" i="7"/>
  <c r="K41" i="7"/>
  <c r="I49" i="7"/>
  <c r="I53" i="7"/>
  <c r="I67" i="7"/>
  <c r="I77" i="7"/>
  <c r="K81" i="7"/>
  <c r="K85" i="7"/>
  <c r="J97" i="7"/>
  <c r="I109" i="7"/>
  <c r="J149" i="7"/>
  <c r="I157" i="7"/>
  <c r="I165" i="7"/>
  <c r="I201" i="7"/>
  <c r="K205" i="7"/>
  <c r="K209" i="7"/>
  <c r="K224" i="7"/>
  <c r="K237" i="7"/>
  <c r="I257" i="7"/>
  <c r="J277" i="7"/>
  <c r="N281" i="7"/>
  <c r="K17" i="7"/>
  <c r="K240" i="7"/>
  <c r="N13" i="7"/>
  <c r="K45" i="7"/>
  <c r="I117" i="7"/>
  <c r="K133" i="7"/>
  <c r="K137" i="7"/>
  <c r="I153" i="7"/>
  <c r="I161" i="7"/>
  <c r="I197" i="7"/>
  <c r="I212" i="7"/>
  <c r="I225" i="7"/>
  <c r="I239" i="7"/>
  <c r="K249" i="7"/>
  <c r="K259" i="7"/>
  <c r="I267" i="7"/>
  <c r="K297" i="7"/>
  <c r="J305" i="7"/>
  <c r="I276" i="7"/>
  <c r="I105" i="7"/>
  <c r="K253" i="7"/>
  <c r="N309" i="7"/>
  <c r="I234" i="7"/>
  <c r="K282" i="7"/>
  <c r="K53" i="7"/>
  <c r="I85" i="7"/>
  <c r="K109" i="7"/>
  <c r="K129" i="7"/>
  <c r="K157" i="7"/>
  <c r="N185" i="7"/>
  <c r="N241" i="7"/>
  <c r="I265" i="7"/>
  <c r="N289" i="7"/>
  <c r="K294" i="7"/>
  <c r="K310" i="7"/>
  <c r="K141" i="7"/>
  <c r="K25" i="7"/>
  <c r="I33" i="7"/>
  <c r="I81" i="7"/>
  <c r="I141" i="7"/>
  <c r="I149" i="7"/>
  <c r="K181" i="7"/>
  <c r="I193" i="7"/>
  <c r="I205" i="7"/>
  <c r="I281" i="7"/>
  <c r="I288" i="7"/>
  <c r="I308" i="7"/>
  <c r="I29" i="7"/>
  <c r="K145" i="7"/>
  <c r="I21" i="7"/>
  <c r="K29" i="7"/>
  <c r="I137" i="7"/>
  <c r="I145" i="7"/>
  <c r="K185" i="7"/>
  <c r="K233" i="7"/>
  <c r="K241" i="7"/>
  <c r="K273" i="7"/>
  <c r="I292" i="7"/>
  <c r="I309" i="7"/>
  <c r="I73" i="7"/>
  <c r="K113" i="7"/>
  <c r="I110" i="7"/>
  <c r="I218" i="7"/>
  <c r="K270" i="7"/>
  <c r="K286" i="7"/>
  <c r="I89" i="7"/>
  <c r="K161" i="7"/>
  <c r="K189" i="7"/>
  <c r="I221" i="7"/>
  <c r="K305" i="7"/>
  <c r="K298" i="7"/>
  <c r="K73" i="7"/>
  <c r="I57" i="7"/>
  <c r="I101" i="7"/>
  <c r="K193" i="7"/>
  <c r="I229" i="7"/>
  <c r="K65" i="7"/>
  <c r="I93" i="7"/>
  <c r="K97" i="7"/>
  <c r="K101" i="7"/>
  <c r="I113" i="7"/>
  <c r="K165" i="7"/>
  <c r="I189" i="7"/>
  <c r="I209" i="7"/>
  <c r="K213" i="7"/>
  <c r="K221" i="7"/>
  <c r="I228" i="7"/>
  <c r="I253" i="7"/>
  <c r="K257" i="7"/>
  <c r="K265" i="7"/>
  <c r="K37" i="7"/>
  <c r="I17" i="7"/>
  <c r="K121" i="7"/>
  <c r="I125" i="7"/>
  <c r="I129" i="7"/>
  <c r="I133" i="7"/>
  <c r="K169" i="7"/>
  <c r="I185" i="7"/>
  <c r="K197" i="7"/>
  <c r="I223" i="7"/>
  <c r="I241" i="7"/>
  <c r="I256" i="7"/>
  <c r="I261" i="7"/>
  <c r="I269" i="7"/>
  <c r="K285" i="7"/>
  <c r="I289" i="7"/>
  <c r="K309" i="7"/>
  <c r="I25" i="7"/>
  <c r="I69" i="7"/>
  <c r="I237" i="7"/>
  <c r="I273" i="7"/>
  <c r="I304" i="7"/>
  <c r="K57" i="7"/>
  <c r="I97" i="7"/>
  <c r="K149" i="7"/>
  <c r="I173" i="7"/>
  <c r="I181" i="7"/>
  <c r="I284" i="7"/>
  <c r="I293" i="7"/>
  <c r="I301" i="7"/>
  <c r="K177" i="7"/>
  <c r="I13" i="7"/>
  <c r="K21" i="7"/>
  <c r="K69" i="7"/>
  <c r="I121" i="7"/>
  <c r="K153" i="7"/>
  <c r="I169" i="7"/>
  <c r="I177" i="7"/>
  <c r="K225" i="7"/>
  <c r="K229" i="7"/>
  <c r="I245" i="7"/>
  <c r="I249" i="7"/>
  <c r="I280" i="7"/>
  <c r="K289" i="7"/>
  <c r="K301" i="7"/>
  <c r="I296" i="7"/>
  <c r="K93" i="7"/>
  <c r="K210" i="7"/>
  <c r="K278" i="7"/>
  <c r="I305" i="7"/>
  <c r="I45" i="7"/>
  <c r="K77" i="7"/>
  <c r="K105" i="7"/>
  <c r="K125" i="7"/>
  <c r="K201" i="7"/>
  <c r="I233" i="7"/>
  <c r="K261" i="7"/>
  <c r="K281" i="7"/>
  <c r="K306" i="7"/>
  <c r="N245" i="7"/>
  <c r="J57" i="7"/>
  <c r="J93" i="7"/>
  <c r="J268" i="7"/>
  <c r="N305" i="7"/>
  <c r="J129" i="7"/>
  <c r="J275" i="7"/>
  <c r="N65" i="7"/>
  <c r="J21" i="7"/>
  <c r="J269" i="7"/>
  <c r="J213" i="7"/>
  <c r="J37" i="7"/>
  <c r="J214" i="7"/>
  <c r="J99" i="7"/>
  <c r="N81" i="7"/>
  <c r="N133" i="7"/>
  <c r="N213" i="7"/>
  <c r="J89" i="7"/>
  <c r="N141" i="7"/>
  <c r="N191" i="7"/>
  <c r="J219" i="7"/>
  <c r="J253" i="7"/>
  <c r="N293" i="7"/>
  <c r="N145" i="7"/>
  <c r="J307" i="7"/>
  <c r="N262" i="7"/>
  <c r="N285" i="7"/>
  <c r="N209" i="7"/>
  <c r="N137" i="7"/>
  <c r="J113" i="7"/>
  <c r="J273" i="7"/>
  <c r="J69" i="7"/>
  <c r="N207" i="7"/>
  <c r="N250" i="7"/>
  <c r="N266" i="7"/>
  <c r="N11" i="7"/>
  <c r="N15" i="7"/>
  <c r="N34" i="7"/>
  <c r="N102" i="7"/>
  <c r="N150" i="7"/>
  <c r="N164" i="7"/>
  <c r="N194" i="7"/>
  <c r="N200" i="7"/>
  <c r="N218" i="7"/>
  <c r="N224" i="7"/>
  <c r="N248" i="7"/>
  <c r="N256" i="7"/>
  <c r="N268" i="7"/>
  <c r="N203" i="7"/>
  <c r="N270" i="7"/>
  <c r="N275" i="7"/>
  <c r="N291" i="7"/>
  <c r="N307" i="7"/>
  <c r="N32" i="7"/>
  <c r="N44" i="7"/>
  <c r="N80" i="7"/>
  <c r="N84" i="7"/>
  <c r="N112" i="7"/>
  <c r="N130" i="7"/>
  <c r="N166" i="7"/>
  <c r="N178" i="7"/>
  <c r="N190" i="7"/>
  <c r="N215" i="7"/>
  <c r="N239" i="7"/>
  <c r="N288" i="7"/>
  <c r="N304" i="7"/>
  <c r="N54" i="7"/>
  <c r="N64" i="7"/>
  <c r="N68" i="7"/>
  <c r="N88" i="7"/>
  <c r="N91" i="7"/>
  <c r="N108" i="7"/>
  <c r="N147" i="7"/>
  <c r="N163" i="7"/>
  <c r="N174" i="7"/>
  <c r="N186" i="7"/>
  <c r="N199" i="7"/>
  <c r="N223" i="7"/>
  <c r="P235" i="1"/>
  <c r="G235" i="7"/>
  <c r="N251" i="7"/>
  <c r="N264" i="7"/>
  <c r="N155" i="7"/>
  <c r="N183" i="7"/>
  <c r="J197" i="7"/>
  <c r="N104" i="7"/>
  <c r="N123" i="7"/>
  <c r="N128" i="7"/>
  <c r="N135" i="7"/>
  <c r="N143" i="7"/>
  <c r="N182" i="7"/>
  <c r="N219" i="7"/>
  <c r="N254" i="7"/>
  <c r="N287" i="7"/>
  <c r="N303" i="7"/>
  <c r="N16" i="7"/>
  <c r="N38" i="7"/>
  <c r="N50" i="7"/>
  <c r="N67" i="7"/>
  <c r="N74" i="7"/>
  <c r="N78" i="7"/>
  <c r="N87" i="7"/>
  <c r="N92" i="7"/>
  <c r="N96" i="7"/>
  <c r="N107" i="7"/>
  <c r="N119" i="7"/>
  <c r="N154" i="7"/>
  <c r="N202" i="7"/>
  <c r="N226" i="7"/>
  <c r="N232" i="7"/>
  <c r="N187" i="7"/>
  <c r="N284" i="7"/>
  <c r="N300" i="7"/>
  <c r="N18" i="7"/>
  <c r="N43" i="7"/>
  <c r="N47" i="7"/>
  <c r="N62" i="7"/>
  <c r="N66" i="7"/>
  <c r="N72" i="7"/>
  <c r="N83" i="7"/>
  <c r="N98" i="7"/>
  <c r="N115" i="7"/>
  <c r="N146" i="7"/>
  <c r="N162" i="7"/>
  <c r="N180" i="7"/>
  <c r="N192" i="7"/>
  <c r="N204" i="7"/>
  <c r="N216" i="7"/>
  <c r="N234" i="7"/>
  <c r="N240" i="7"/>
  <c r="N255" i="7"/>
  <c r="N258" i="7"/>
  <c r="N278" i="7"/>
  <c r="N286" i="7"/>
  <c r="N294" i="7"/>
  <c r="N302" i="7"/>
  <c r="N310" i="7"/>
  <c r="J187" i="7"/>
  <c r="M17" i="7"/>
  <c r="M49" i="7"/>
  <c r="M65" i="7"/>
  <c r="M81" i="7"/>
  <c r="M105" i="7"/>
  <c r="M129" i="7"/>
  <c r="M145" i="7"/>
  <c r="M161" i="7"/>
  <c r="M169" i="7"/>
  <c r="M201" i="7"/>
  <c r="M241" i="7"/>
  <c r="M249" i="7"/>
  <c r="M257" i="7"/>
  <c r="M273" i="7"/>
  <c r="M281" i="7"/>
  <c r="M289" i="7"/>
  <c r="M297" i="7"/>
  <c r="M305" i="7"/>
  <c r="N40" i="7"/>
  <c r="N48" i="7"/>
  <c r="N52" i="7"/>
  <c r="N56" i="7"/>
  <c r="N76" i="7"/>
  <c r="N111" i="7"/>
  <c r="N116" i="7"/>
  <c r="N122" i="7"/>
  <c r="N134" i="7"/>
  <c r="N142" i="7"/>
  <c r="N159" i="7"/>
  <c r="N170" i="7"/>
  <c r="N206" i="7"/>
  <c r="N212" i="7"/>
  <c r="N230" i="7"/>
  <c r="N236" i="7"/>
  <c r="N252" i="7"/>
  <c r="N283" i="7"/>
  <c r="N299" i="7"/>
  <c r="N22" i="7"/>
  <c r="N26" i="7"/>
  <c r="N30" i="7"/>
  <c r="N39" i="7"/>
  <c r="N51" i="7"/>
  <c r="N63" i="7"/>
  <c r="N71" i="7"/>
  <c r="N106" i="7"/>
  <c r="N160" i="7"/>
  <c r="N172" i="7"/>
  <c r="N184" i="7"/>
  <c r="N208" i="7"/>
  <c r="N220" i="7"/>
  <c r="N227" i="7"/>
  <c r="N267" i="7"/>
  <c r="N280" i="7"/>
  <c r="N296" i="7"/>
  <c r="N20" i="7"/>
  <c r="N24" i="7"/>
  <c r="N28" i="7"/>
  <c r="N36" i="7"/>
  <c r="N55" i="7"/>
  <c r="N59" i="7"/>
  <c r="N75" i="7"/>
  <c r="N139" i="7"/>
  <c r="N235" i="7"/>
  <c r="N260" i="7"/>
  <c r="N171" i="7"/>
  <c r="Q17" i="15"/>
  <c r="Q25" i="15"/>
  <c r="Q121" i="15"/>
  <c r="Q169" i="15"/>
  <c r="Q177" i="15"/>
  <c r="Q241" i="15"/>
  <c r="Q289" i="15"/>
  <c r="Q284" i="15"/>
  <c r="N19" i="7"/>
  <c r="N23" i="7"/>
  <c r="N27" i="7"/>
  <c r="N35" i="7"/>
  <c r="N46" i="7"/>
  <c r="N82" i="7"/>
  <c r="N86" i="7"/>
  <c r="N90" i="7"/>
  <c r="N94" i="7"/>
  <c r="N95" i="7"/>
  <c r="N110" i="7"/>
  <c r="N151" i="7"/>
  <c r="N158" i="7"/>
  <c r="N176" i="7"/>
  <c r="N188" i="7"/>
  <c r="N195" i="7"/>
  <c r="N231" i="7"/>
  <c r="N263" i="7"/>
  <c r="N279" i="7"/>
  <c r="N295" i="7"/>
  <c r="N311" i="7"/>
  <c r="N14" i="7"/>
  <c r="N100" i="7"/>
  <c r="N118" i="7"/>
  <c r="N124" i="7"/>
  <c r="N132" i="7"/>
  <c r="N136" i="7"/>
  <c r="N140" i="7"/>
  <c r="N144" i="7"/>
  <c r="N148" i="7"/>
  <c r="N167" i="7"/>
  <c r="N179" i="7"/>
  <c r="N196" i="7"/>
  <c r="N214" i="7"/>
  <c r="N238" i="7"/>
  <c r="N259" i="7"/>
  <c r="N276" i="7"/>
  <c r="N292" i="7"/>
  <c r="N308" i="7"/>
  <c r="N12" i="7"/>
  <c r="N31" i="7"/>
  <c r="N42" i="7"/>
  <c r="N99" i="7"/>
  <c r="N103" i="7"/>
  <c r="N114" i="7"/>
  <c r="N120" i="7"/>
  <c r="N126" i="7"/>
  <c r="N138" i="7"/>
  <c r="N152" i="7"/>
  <c r="N156" i="7"/>
  <c r="N168" i="7"/>
  <c r="N175" i="7"/>
  <c r="N211" i="7"/>
  <c r="N222" i="7"/>
  <c r="N228" i="7"/>
  <c r="N244" i="7"/>
  <c r="N247" i="7"/>
  <c r="N271" i="7"/>
  <c r="N274" i="7"/>
  <c r="N282" i="7"/>
  <c r="N290" i="7"/>
  <c r="N298" i="7"/>
  <c r="N306" i="7"/>
  <c r="M13" i="7"/>
  <c r="M21" i="7"/>
  <c r="M29" i="7"/>
  <c r="M37" i="7"/>
  <c r="M45" i="7"/>
  <c r="M53" i="7"/>
  <c r="M69" i="7"/>
  <c r="M77" i="7"/>
  <c r="M85" i="7"/>
  <c r="M93" i="7"/>
  <c r="M101" i="7"/>
  <c r="M109" i="7"/>
  <c r="M117" i="7"/>
  <c r="M125" i="7"/>
  <c r="M133" i="7"/>
  <c r="M141" i="7"/>
  <c r="M149" i="7"/>
  <c r="M157" i="7"/>
  <c r="M165" i="7"/>
  <c r="M173" i="7"/>
  <c r="M181" i="7"/>
  <c r="M189" i="7"/>
  <c r="M197" i="7"/>
  <c r="M205" i="7"/>
  <c r="M213" i="7"/>
  <c r="M221" i="7"/>
  <c r="M229" i="7"/>
  <c r="M237" i="7"/>
  <c r="M245" i="7"/>
  <c r="M253" i="7"/>
  <c r="M261" i="7"/>
  <c r="M269" i="7"/>
  <c r="M277" i="7"/>
  <c r="M285" i="7"/>
  <c r="M293" i="7"/>
  <c r="M301" i="7"/>
  <c r="M309" i="7"/>
  <c r="M16" i="7"/>
  <c r="M28" i="7"/>
  <c r="M36" i="7"/>
  <c r="M44" i="7"/>
  <c r="M52" i="7"/>
  <c r="M76" i="7"/>
  <c r="M84" i="7"/>
  <c r="M92" i="7"/>
  <c r="M124" i="7"/>
  <c r="M156" i="7"/>
  <c r="M204" i="7"/>
  <c r="M212" i="7"/>
  <c r="M228" i="7"/>
  <c r="M252" i="7"/>
  <c r="M268" i="7"/>
  <c r="M276" i="7"/>
  <c r="M292" i="7"/>
  <c r="M308" i="7"/>
  <c r="M23" i="7"/>
  <c r="M31" i="7"/>
  <c r="M39" i="7"/>
  <c r="M47" i="7"/>
  <c r="M79" i="7"/>
  <c r="M87" i="7"/>
  <c r="M95" i="7"/>
  <c r="M111" i="7"/>
  <c r="M119" i="7"/>
  <c r="M151" i="7"/>
  <c r="M175" i="7"/>
  <c r="M191" i="7"/>
  <c r="M199" i="7"/>
  <c r="M223" i="7"/>
  <c r="M231" i="7"/>
  <c r="M263" i="7"/>
  <c r="M66" i="7"/>
  <c r="M98" i="7"/>
  <c r="M138" i="7"/>
  <c r="M162" i="7"/>
  <c r="M178" i="7"/>
  <c r="M218" i="7"/>
  <c r="M234" i="7"/>
  <c r="J45" i="7"/>
  <c r="J185" i="7"/>
  <c r="J221" i="7"/>
  <c r="J41" i="7"/>
  <c r="J65" i="7"/>
  <c r="J209" i="7"/>
  <c r="J133" i="7"/>
  <c r="J177" i="7"/>
  <c r="J247" i="7"/>
  <c r="J289" i="7"/>
  <c r="J311" i="7"/>
  <c r="J279" i="7"/>
  <c r="J235" i="7"/>
  <c r="J281" i="7"/>
  <c r="J33" i="7"/>
  <c r="J141" i="7"/>
  <c r="J17" i="7"/>
  <c r="J153" i="7"/>
  <c r="J265" i="7"/>
  <c r="N301" i="7"/>
  <c r="N33" i="7"/>
  <c r="N41" i="7"/>
  <c r="J73" i="7"/>
  <c r="J77" i="7"/>
  <c r="J81" i="7"/>
  <c r="J105" i="7"/>
  <c r="J109" i="7"/>
  <c r="N173" i="7"/>
  <c r="J201" i="7"/>
  <c r="J205" i="7"/>
  <c r="N237" i="7"/>
  <c r="N272" i="7"/>
  <c r="J299" i="7"/>
  <c r="N169" i="7"/>
  <c r="N225" i="7"/>
  <c r="N269" i="7"/>
  <c r="J13" i="7"/>
  <c r="N177" i="7"/>
  <c r="J229" i="7"/>
  <c r="J233" i="7"/>
  <c r="J245" i="7"/>
  <c r="M24" i="7"/>
  <c r="M32" i="7"/>
  <c r="M40" i="7"/>
  <c r="M48" i="7"/>
  <c r="M56" i="7"/>
  <c r="M64" i="7"/>
  <c r="M72" i="7"/>
  <c r="M80" i="7"/>
  <c r="M88" i="7"/>
  <c r="M96" i="7"/>
  <c r="M104" i="7"/>
  <c r="M112" i="7"/>
  <c r="M120" i="7"/>
  <c r="M128" i="7"/>
  <c r="M136" i="7"/>
  <c r="M144" i="7"/>
  <c r="M152" i="7"/>
  <c r="M160" i="7"/>
  <c r="M168" i="7"/>
  <c r="M176" i="7"/>
  <c r="M184" i="7"/>
  <c r="M192" i="7"/>
  <c r="M200" i="7"/>
  <c r="M208" i="7"/>
  <c r="M216" i="7"/>
  <c r="M224" i="7"/>
  <c r="M232" i="7"/>
  <c r="M240" i="7"/>
  <c r="M248" i="7"/>
  <c r="M256" i="7"/>
  <c r="M264" i="7"/>
  <c r="M272" i="7"/>
  <c r="M280" i="7"/>
  <c r="M288" i="7"/>
  <c r="M296" i="7"/>
  <c r="M304" i="7"/>
  <c r="M11" i="7"/>
  <c r="M19" i="7"/>
  <c r="M27" i="7"/>
  <c r="M35" i="7"/>
  <c r="M43" i="7"/>
  <c r="M51" i="7"/>
  <c r="M59" i="7"/>
  <c r="M67" i="7"/>
  <c r="M75" i="7"/>
  <c r="M83" i="7"/>
  <c r="M91" i="7"/>
  <c r="M99" i="7"/>
  <c r="M107" i="7"/>
  <c r="M115" i="7"/>
  <c r="M123" i="7"/>
  <c r="M131" i="7"/>
  <c r="M139" i="7"/>
  <c r="M147" i="7"/>
  <c r="M155" i="7"/>
  <c r="M163" i="7"/>
  <c r="M171" i="7"/>
  <c r="M179" i="7"/>
  <c r="M187" i="7"/>
  <c r="M195" i="7"/>
  <c r="M203" i="7"/>
  <c r="M211" i="7"/>
  <c r="M219" i="7"/>
  <c r="M227" i="7"/>
  <c r="M235" i="7"/>
  <c r="M243" i="7"/>
  <c r="M251" i="7"/>
  <c r="M259" i="7"/>
  <c r="M267" i="7"/>
  <c r="M275" i="7"/>
  <c r="M291" i="7"/>
  <c r="M299" i="7"/>
  <c r="M307" i="7"/>
  <c r="M14" i="7"/>
  <c r="M22" i="7"/>
  <c r="M30" i="7"/>
  <c r="M38" i="7"/>
  <c r="M46" i="7"/>
  <c r="M54" i="7"/>
  <c r="M62" i="7"/>
  <c r="M70" i="7"/>
  <c r="M78" i="7"/>
  <c r="M86" i="7"/>
  <c r="M94" i="7"/>
  <c r="M102" i="7"/>
  <c r="M110" i="7"/>
  <c r="M118" i="7"/>
  <c r="M126" i="7"/>
  <c r="M134" i="7"/>
  <c r="M142" i="7"/>
  <c r="M150" i="7"/>
  <c r="M158" i="7"/>
  <c r="M166" i="7"/>
  <c r="M174" i="7"/>
  <c r="M182" i="7"/>
  <c r="M190" i="7"/>
  <c r="M198" i="7"/>
  <c r="M206" i="7"/>
  <c r="M214" i="7"/>
  <c r="M222" i="7"/>
  <c r="M230" i="7"/>
  <c r="M238" i="7"/>
  <c r="M246" i="7"/>
  <c r="M254" i="7"/>
  <c r="M262" i="7"/>
  <c r="M270" i="7"/>
  <c r="M278" i="7"/>
  <c r="M286" i="7"/>
  <c r="M294" i="7"/>
  <c r="M302" i="7"/>
  <c r="M310" i="7"/>
  <c r="J121" i="7"/>
  <c r="N165" i="7"/>
  <c r="N205" i="7"/>
  <c r="N25" i="7"/>
  <c r="J53" i="7"/>
  <c r="J61" i="7"/>
  <c r="N89" i="7"/>
  <c r="N93" i="7"/>
  <c r="J101" i="7"/>
  <c r="N157" i="7"/>
  <c r="J165" i="7"/>
  <c r="J199" i="7"/>
  <c r="J125" i="7"/>
  <c r="N233" i="7"/>
  <c r="J297" i="7"/>
  <c r="N17" i="7"/>
  <c r="J117" i="7"/>
  <c r="J145" i="7"/>
  <c r="N161" i="7"/>
  <c r="J241" i="7"/>
  <c r="J285" i="7"/>
  <c r="J295" i="7"/>
  <c r="J303" i="7"/>
  <c r="J291" i="7"/>
  <c r="J49" i="7"/>
  <c r="J189" i="7"/>
  <c r="J301" i="7"/>
  <c r="J230" i="7"/>
  <c r="J258" i="7"/>
  <c r="N153" i="7"/>
  <c r="J173" i="7"/>
  <c r="N181" i="7"/>
  <c r="G233" i="7"/>
  <c r="G105" i="7"/>
  <c r="G241" i="7"/>
  <c r="G225" i="7"/>
  <c r="G227" i="7"/>
  <c r="P107" i="1"/>
  <c r="G107" i="7"/>
  <c r="Q29" i="15"/>
  <c r="Q37" i="15"/>
  <c r="Q77" i="15"/>
  <c r="Q109" i="15"/>
  <c r="Q125" i="15"/>
  <c r="Q133" i="15"/>
  <c r="Q189" i="15"/>
  <c r="Q197" i="15"/>
  <c r="Q205" i="15"/>
  <c r="Q213" i="15"/>
  <c r="Q221" i="15"/>
  <c r="Q237" i="15"/>
  <c r="Q253" i="15"/>
  <c r="Q261" i="15"/>
  <c r="Q269" i="15"/>
  <c r="Q277" i="15"/>
  <c r="Q309" i="15"/>
  <c r="Q256" i="15"/>
  <c r="Q272" i="15"/>
  <c r="Q33" i="15"/>
  <c r="Q41" i="15"/>
  <c r="Q65" i="15"/>
  <c r="Q73" i="15"/>
  <c r="Q81" i="15"/>
  <c r="Q105" i="15"/>
  <c r="Q113" i="15"/>
  <c r="Q129" i="15"/>
  <c r="Q185" i="15"/>
  <c r="Q193" i="15"/>
  <c r="Q201" i="15"/>
  <c r="Q209" i="15"/>
  <c r="Q233" i="15"/>
  <c r="Q257" i="15"/>
  <c r="Q265" i="15"/>
  <c r="Q228" i="15"/>
  <c r="Q89" i="15"/>
  <c r="Q97" i="15"/>
  <c r="Q153" i="15"/>
  <c r="Q161" i="15"/>
  <c r="Q225" i="15"/>
  <c r="Q249" i="15"/>
  <c r="Q305" i="15"/>
  <c r="Q212" i="15"/>
  <c r="Q268" i="15"/>
  <c r="G219" i="7"/>
  <c r="Q13" i="15"/>
  <c r="Q69" i="15"/>
  <c r="Q93" i="15"/>
  <c r="Q117" i="15"/>
  <c r="Q157" i="15"/>
  <c r="Q165" i="15"/>
  <c r="Q293" i="15"/>
  <c r="Q224" i="15"/>
  <c r="G231" i="7"/>
  <c r="G111" i="7"/>
  <c r="G239" i="7"/>
  <c r="G221" i="7"/>
  <c r="Q45" i="15"/>
  <c r="Q53" i="15"/>
  <c r="Q85" i="15"/>
  <c r="Q141" i="15"/>
  <c r="Q149" i="15"/>
  <c r="Q288" i="15"/>
  <c r="G101" i="7"/>
  <c r="G97" i="7"/>
  <c r="G113" i="7"/>
  <c r="G237" i="7"/>
  <c r="G103" i="7"/>
  <c r="AC102" i="1"/>
  <c r="AC46" i="1"/>
  <c r="AC47" i="1"/>
  <c r="AC63" i="1"/>
  <c r="AC79" i="1"/>
  <c r="AC95" i="1"/>
  <c r="AC26" i="1"/>
  <c r="AC42" i="1"/>
  <c r="AC58" i="1"/>
  <c r="AC74" i="1"/>
  <c r="AC90" i="1"/>
  <c r="AC21" i="1"/>
  <c r="AC37" i="1"/>
  <c r="AC53" i="1"/>
  <c r="AC69" i="1"/>
  <c r="AC85" i="1"/>
  <c r="AC317" i="1"/>
  <c r="AC12" i="1"/>
  <c r="AC20" i="1"/>
  <c r="AC28" i="1"/>
  <c r="AC36" i="1"/>
  <c r="AC44" i="1"/>
  <c r="AC52" i="1"/>
  <c r="AC64" i="1"/>
  <c r="AC80" i="1"/>
  <c r="AC15" i="1"/>
  <c r="AC23" i="1"/>
  <c r="AC31" i="1"/>
  <c r="AC39" i="1"/>
  <c r="AC114" i="1"/>
  <c r="AC118" i="1"/>
  <c r="AC122" i="1"/>
  <c r="AC126" i="1"/>
  <c r="AC130" i="1"/>
  <c r="AC134" i="1"/>
  <c r="AC138" i="1"/>
  <c r="AC142" i="1"/>
  <c r="AC146" i="1"/>
  <c r="AC150" i="1"/>
  <c r="AC154" i="1"/>
  <c r="AC158" i="1"/>
  <c r="AC162" i="1"/>
  <c r="AC166" i="1"/>
  <c r="AC170" i="1"/>
  <c r="AC174" i="1"/>
  <c r="AC178" i="1"/>
  <c r="AC182" i="1"/>
  <c r="AC186" i="1"/>
  <c r="AC190" i="1"/>
  <c r="AC194" i="1"/>
  <c r="AC198" i="1"/>
  <c r="AC203" i="1"/>
  <c r="AC207" i="1"/>
  <c r="AC211" i="1"/>
  <c r="AC215" i="1"/>
  <c r="AC245" i="1"/>
  <c r="AC249" i="1"/>
  <c r="AC253" i="1"/>
  <c r="AC258" i="1"/>
  <c r="AC263" i="1"/>
  <c r="AC267" i="1"/>
  <c r="AC272" i="1"/>
  <c r="AC276" i="1"/>
  <c r="AC280" i="1"/>
  <c r="AC284" i="1"/>
  <c r="AC288" i="1"/>
  <c r="AC293" i="1"/>
  <c r="AC297" i="1"/>
  <c r="AC302" i="1"/>
  <c r="AC306" i="1"/>
  <c r="AC310" i="1"/>
  <c r="AC100" i="1"/>
  <c r="AC232" i="1"/>
  <c r="AC98" i="1"/>
  <c r="AC218" i="1"/>
  <c r="AC230" i="1"/>
  <c r="AC111" i="1"/>
  <c r="AC227" i="1"/>
  <c r="AC239" i="1"/>
  <c r="AC223" i="1"/>
  <c r="AC235" i="1"/>
  <c r="AC109" i="1"/>
  <c r="AC225" i="1"/>
  <c r="AC83" i="1"/>
  <c r="AC313" i="1"/>
  <c r="AC68" i="1"/>
  <c r="AC115" i="1"/>
  <c r="AC119" i="1"/>
  <c r="AC123" i="1"/>
  <c r="AC127" i="1"/>
  <c r="AC131" i="1"/>
  <c r="AC135" i="1"/>
  <c r="AC143" i="1"/>
  <c r="AC147" i="1"/>
  <c r="AC151" i="1"/>
  <c r="AC155" i="1"/>
  <c r="AC159" i="1"/>
  <c r="AC163" i="1"/>
  <c r="AC167" i="1"/>
  <c r="AC171" i="1"/>
  <c r="AC175" i="1"/>
  <c r="AC179" i="1"/>
  <c r="AC183" i="1"/>
  <c r="AC187" i="1"/>
  <c r="AC191" i="1"/>
  <c r="AC195" i="1"/>
  <c r="AC199" i="1"/>
  <c r="AC204" i="1"/>
  <c r="AC208" i="1"/>
  <c r="AC212" i="1"/>
  <c r="AC216" i="1"/>
  <c r="AC246" i="1"/>
  <c r="AC250" i="1"/>
  <c r="AC254" i="1"/>
  <c r="AC259" i="1"/>
  <c r="AC264" i="1"/>
  <c r="AC269" i="1"/>
  <c r="AC273" i="1"/>
  <c r="AC277" i="1"/>
  <c r="AC281" i="1"/>
  <c r="AC285" i="1"/>
  <c r="AC289" i="1"/>
  <c r="AC294" i="1"/>
  <c r="AC298" i="1"/>
  <c r="AC303" i="1"/>
  <c r="AC307" i="1"/>
  <c r="AC311" i="1"/>
  <c r="AC104" i="1"/>
  <c r="AC220" i="1"/>
  <c r="AC236" i="1"/>
  <c r="AC222" i="1"/>
  <c r="AC200" i="1"/>
  <c r="AC260" i="1"/>
  <c r="AC292" i="1"/>
  <c r="AC99" i="1"/>
  <c r="AC101" i="1"/>
  <c r="AC105" i="1"/>
  <c r="AC233" i="1"/>
  <c r="AC241" i="1"/>
  <c r="AC51" i="1"/>
  <c r="AC14" i="1"/>
  <c r="AC62" i="1"/>
  <c r="AC94" i="1"/>
  <c r="AC41" i="1"/>
  <c r="AC57" i="1"/>
  <c r="AC89" i="1"/>
  <c r="AC88" i="1"/>
  <c r="AC139" i="1"/>
  <c r="AC55" i="1"/>
  <c r="AC71" i="1"/>
  <c r="AC87" i="1"/>
  <c r="AC18" i="1"/>
  <c r="AC34" i="1"/>
  <c r="AC50" i="1"/>
  <c r="AC66" i="1"/>
  <c r="AC82" i="1"/>
  <c r="AC29" i="1"/>
  <c r="AC45" i="1"/>
  <c r="AC61" i="1"/>
  <c r="AC77" i="1"/>
  <c r="AC93" i="1"/>
  <c r="AC314" i="1"/>
  <c r="AC312" i="1"/>
  <c r="AC242" i="1"/>
  <c r="AC243" i="1"/>
  <c r="AC16" i="1"/>
  <c r="AC24" i="1"/>
  <c r="AC32" i="1"/>
  <c r="AC40" i="1"/>
  <c r="AC48" i="1"/>
  <c r="AC56" i="1"/>
  <c r="AC72" i="1"/>
  <c r="AC11" i="1"/>
  <c r="AC19" i="1"/>
  <c r="AC27" i="1"/>
  <c r="AC35" i="1"/>
  <c r="AC43" i="1"/>
  <c r="AC116" i="1"/>
  <c r="AC120" i="1"/>
  <c r="AC124" i="1"/>
  <c r="AC128" i="1"/>
  <c r="AC132" i="1"/>
  <c r="AC136" i="1"/>
  <c r="AC140" i="1"/>
  <c r="AC144" i="1"/>
  <c r="AC148" i="1"/>
  <c r="AC152" i="1"/>
  <c r="AC156" i="1"/>
  <c r="AC160" i="1"/>
  <c r="AC164" i="1"/>
  <c r="AC168" i="1"/>
  <c r="AC172" i="1"/>
  <c r="AC176" i="1"/>
  <c r="AC180" i="1"/>
  <c r="AC184" i="1"/>
  <c r="AC188" i="1"/>
  <c r="AC192" i="1"/>
  <c r="AC196" i="1"/>
  <c r="AC201" i="1"/>
  <c r="AC205" i="1"/>
  <c r="AC209" i="1"/>
  <c r="AC213" i="1"/>
  <c r="AC217" i="1"/>
  <c r="AC247" i="1"/>
  <c r="AC251" i="1"/>
  <c r="AC255" i="1"/>
  <c r="AC261" i="1"/>
  <c r="AC265" i="1"/>
  <c r="AC270" i="1"/>
  <c r="AC274" i="1"/>
  <c r="AC278" i="1"/>
  <c r="AC282" i="1"/>
  <c r="AC286" i="1"/>
  <c r="AC290" i="1"/>
  <c r="AC295" i="1"/>
  <c r="AC299" i="1"/>
  <c r="AC304" i="1"/>
  <c r="AC308" i="1"/>
  <c r="AC244" i="1"/>
  <c r="AC108" i="1"/>
  <c r="AC224" i="1"/>
  <c r="AC240" i="1"/>
  <c r="AC106" i="1"/>
  <c r="AC234" i="1"/>
  <c r="AC268" i="1"/>
  <c r="AC300" i="1"/>
  <c r="AC219" i="1"/>
  <c r="AC231" i="1"/>
  <c r="AC97" i="1"/>
  <c r="AC113" i="1"/>
  <c r="AC221" i="1"/>
  <c r="AC229" i="1"/>
  <c r="AC67" i="1"/>
  <c r="AC30" i="1"/>
  <c r="AC78" i="1"/>
  <c r="AC25" i="1"/>
  <c r="AC73" i="1"/>
  <c r="AC59" i="1"/>
  <c r="AC75" i="1"/>
  <c r="AC91" i="1"/>
  <c r="AC22" i="1"/>
  <c r="AC38" i="1"/>
  <c r="AC54" i="1"/>
  <c r="AC70" i="1"/>
  <c r="AC86" i="1"/>
  <c r="AC17" i="1"/>
  <c r="AC33" i="1"/>
  <c r="AC49" i="1"/>
  <c r="AC65" i="1"/>
  <c r="AC81" i="1"/>
  <c r="AC60" i="1"/>
  <c r="AC316" i="1"/>
  <c r="AC315" i="1"/>
  <c r="AC76" i="1"/>
  <c r="AC84" i="1"/>
  <c r="AC92" i="1"/>
  <c r="AC117" i="1"/>
  <c r="AC121" i="1"/>
  <c r="AC125" i="1"/>
  <c r="AC129" i="1"/>
  <c r="AC133" i="1"/>
  <c r="AC137" i="1"/>
  <c r="AC141" i="1"/>
  <c r="AC145" i="1"/>
  <c r="AC149" i="1"/>
  <c r="AC153" i="1"/>
  <c r="AC157" i="1"/>
  <c r="AC161" i="1"/>
  <c r="AC165" i="1"/>
  <c r="AC169" i="1"/>
  <c r="AC173" i="1"/>
  <c r="AC177" i="1"/>
  <c r="AC181" i="1"/>
  <c r="AC185" i="1"/>
  <c r="AC189" i="1"/>
  <c r="AC193" i="1"/>
  <c r="AC197" i="1"/>
  <c r="AC202" i="1"/>
  <c r="AC206" i="1"/>
  <c r="AC210" i="1"/>
  <c r="AC214" i="1"/>
  <c r="AC248" i="1"/>
  <c r="AC252" i="1"/>
  <c r="AC257" i="1"/>
  <c r="AC262" i="1"/>
  <c r="AC266" i="1"/>
  <c r="AC271" i="1"/>
  <c r="AC275" i="1"/>
  <c r="AC279" i="1"/>
  <c r="AC283" i="1"/>
  <c r="AC287" i="1"/>
  <c r="AC291" i="1"/>
  <c r="AC296" i="1"/>
  <c r="AC301" i="1"/>
  <c r="AC305" i="1"/>
  <c r="AC309" i="1"/>
  <c r="AC96" i="1"/>
  <c r="AC112" i="1"/>
  <c r="AC228" i="1"/>
  <c r="AC110" i="1"/>
  <c r="AC226" i="1"/>
  <c r="AC238" i="1"/>
  <c r="AC256" i="1"/>
  <c r="AC107" i="1"/>
  <c r="AC103" i="1"/>
  <c r="AC237" i="1"/>
  <c r="AC13" i="1"/>
  <c r="G224" i="7"/>
  <c r="G98" i="7"/>
  <c r="G244" i="7"/>
  <c r="J315" i="7"/>
  <c r="Q24" i="1"/>
  <c r="Q11" i="1"/>
  <c r="J58" i="7"/>
  <c r="K217" i="7"/>
  <c r="K314" i="7"/>
  <c r="J242" i="7"/>
  <c r="I61" i="7"/>
  <c r="K60" i="7"/>
  <c r="Q313" i="1"/>
  <c r="K312" i="7"/>
  <c r="I315" i="7"/>
  <c r="Q12" i="1"/>
  <c r="Q20" i="1"/>
  <c r="Q28" i="1"/>
  <c r="Q36" i="1"/>
  <c r="Q44" i="1"/>
  <c r="Q52" i="1"/>
  <c r="Q64" i="1"/>
  <c r="Q80" i="1"/>
  <c r="Q15" i="1"/>
  <c r="Q23" i="1"/>
  <c r="Q31" i="1"/>
  <c r="Q39" i="1"/>
  <c r="Q114" i="1"/>
  <c r="Q118" i="1"/>
  <c r="Q122" i="1"/>
  <c r="Q126" i="1"/>
  <c r="Q130" i="1"/>
  <c r="Q134" i="1"/>
  <c r="Q138" i="1"/>
  <c r="Q142" i="1"/>
  <c r="Q146" i="1"/>
  <c r="Q150" i="1"/>
  <c r="Q154" i="1"/>
  <c r="Q158" i="1"/>
  <c r="H158" i="7" s="1"/>
  <c r="Q162" i="1"/>
  <c r="Q166" i="1"/>
  <c r="Q170" i="1"/>
  <c r="Q174" i="1"/>
  <c r="H174" i="7" s="1"/>
  <c r="Q178" i="1"/>
  <c r="Q182" i="1"/>
  <c r="H182" i="7" s="1"/>
  <c r="Q186" i="1"/>
  <c r="Q190" i="1"/>
  <c r="H190" i="7" s="1"/>
  <c r="Q194" i="1"/>
  <c r="Q198" i="1"/>
  <c r="H198" i="7" s="1"/>
  <c r="Q203" i="1"/>
  <c r="Q207" i="1"/>
  <c r="Q211" i="1"/>
  <c r="Q215" i="1"/>
  <c r="Q245" i="1"/>
  <c r="Q249" i="1"/>
  <c r="Q253" i="1"/>
  <c r="Q258" i="1"/>
  <c r="Q263" i="1"/>
  <c r="Q272" i="1"/>
  <c r="Q276" i="1"/>
  <c r="H276" i="7" s="1"/>
  <c r="Q280" i="1"/>
  <c r="Q284" i="1"/>
  <c r="H284" i="7" s="1"/>
  <c r="Q288" i="1"/>
  <c r="Q293" i="1"/>
  <c r="Q297" i="1"/>
  <c r="Q302" i="1"/>
  <c r="H302" i="7" s="1"/>
  <c r="Q306" i="1"/>
  <c r="Q310" i="1"/>
  <c r="H310" i="7" s="1"/>
  <c r="Q108" i="1"/>
  <c r="H108" i="7" s="1"/>
  <c r="Q224" i="1"/>
  <c r="H224" i="7" s="1"/>
  <c r="Q240" i="1"/>
  <c r="H240" i="7" s="1"/>
  <c r="Q106" i="1"/>
  <c r="H106" i="7" s="1"/>
  <c r="Q234" i="1"/>
  <c r="Q268" i="1"/>
  <c r="H268" i="7" s="1"/>
  <c r="Q300" i="1"/>
  <c r="H300" i="7" s="1"/>
  <c r="Q256" i="1"/>
  <c r="I192" i="7"/>
  <c r="I202" i="7"/>
  <c r="K212" i="7"/>
  <c r="K228" i="7"/>
  <c r="J246" i="7"/>
  <c r="I255" i="7"/>
  <c r="J262" i="7"/>
  <c r="I271" i="7"/>
  <c r="K283" i="7"/>
  <c r="K299" i="7"/>
  <c r="J11" i="7"/>
  <c r="K15" i="7"/>
  <c r="K19" i="7"/>
  <c r="I27" i="7"/>
  <c r="J27" i="7"/>
  <c r="K34" i="7"/>
  <c r="K35" i="7"/>
  <c r="J40" i="7"/>
  <c r="J46" i="7"/>
  <c r="K52" i="7"/>
  <c r="J56" i="7"/>
  <c r="I76" i="7"/>
  <c r="K82" i="7"/>
  <c r="J86" i="7"/>
  <c r="I94" i="7"/>
  <c r="K95" i="7"/>
  <c r="I104" i="7"/>
  <c r="J111" i="7"/>
  <c r="I111" i="7"/>
  <c r="I122" i="7"/>
  <c r="J123" i="7"/>
  <c r="I135" i="7"/>
  <c r="J142" i="7"/>
  <c r="K143" i="7"/>
  <c r="K150" i="7"/>
  <c r="K151" i="7"/>
  <c r="I159" i="7"/>
  <c r="J171" i="7"/>
  <c r="I176" i="7"/>
  <c r="K182" i="7"/>
  <c r="K195" i="7"/>
  <c r="J200" i="7"/>
  <c r="J206" i="7"/>
  <c r="I262" i="7"/>
  <c r="K268" i="7"/>
  <c r="K216" i="7"/>
  <c r="J227" i="7"/>
  <c r="J250" i="7"/>
  <c r="I259" i="7"/>
  <c r="K267" i="7"/>
  <c r="I274" i="7"/>
  <c r="I278" i="7"/>
  <c r="I282" i="7"/>
  <c r="I286" i="7"/>
  <c r="I290" i="7"/>
  <c r="I294" i="7"/>
  <c r="I298" i="7"/>
  <c r="I302" i="7"/>
  <c r="I306" i="7"/>
  <c r="I310" i="7"/>
  <c r="J14" i="7"/>
  <c r="J22" i="7"/>
  <c r="K26" i="7"/>
  <c r="K32" i="7"/>
  <c r="J38" i="7"/>
  <c r="K44" i="7"/>
  <c r="K51" i="7"/>
  <c r="J51" i="7"/>
  <c r="J78" i="7"/>
  <c r="K84" i="7"/>
  <c r="I87" i="7"/>
  <c r="J92" i="7"/>
  <c r="J96" i="7"/>
  <c r="I96" i="7"/>
  <c r="J100" i="7"/>
  <c r="Q107" i="1"/>
  <c r="J112" i="7"/>
  <c r="J119" i="7"/>
  <c r="K124" i="7"/>
  <c r="J124" i="7"/>
  <c r="K130" i="7"/>
  <c r="I136" i="7"/>
  <c r="K140" i="7"/>
  <c r="J140" i="7"/>
  <c r="I148" i="7"/>
  <c r="K154" i="7"/>
  <c r="I166" i="7"/>
  <c r="J166" i="7"/>
  <c r="J167" i="7"/>
  <c r="J172" i="7"/>
  <c r="I179" i="7"/>
  <c r="J190" i="7"/>
  <c r="I191" i="7"/>
  <c r="K202" i="7"/>
  <c r="K215" i="7"/>
  <c r="I75" i="7"/>
  <c r="K222" i="7"/>
  <c r="I235" i="7"/>
  <c r="I247" i="7"/>
  <c r="J270" i="7"/>
  <c r="J282" i="7"/>
  <c r="I287" i="7"/>
  <c r="J298" i="7"/>
  <c r="I303" i="7"/>
  <c r="K18" i="7"/>
  <c r="J20" i="7"/>
  <c r="K28" i="7"/>
  <c r="I31" i="7"/>
  <c r="J31" i="7"/>
  <c r="J36" i="7"/>
  <c r="I42" i="7"/>
  <c r="I43" i="7"/>
  <c r="K47" i="7"/>
  <c r="J47" i="7"/>
  <c r="K54" i="7"/>
  <c r="J62" i="7"/>
  <c r="I66" i="7"/>
  <c r="J68" i="7"/>
  <c r="J70" i="7"/>
  <c r="I91" i="7"/>
  <c r="J91" i="7"/>
  <c r="J98" i="7"/>
  <c r="J103" i="7"/>
  <c r="Q103" i="1"/>
  <c r="J108" i="7"/>
  <c r="I114" i="7"/>
  <c r="K115" i="7"/>
  <c r="I120" i="7"/>
  <c r="J126" i="7"/>
  <c r="K127" i="7"/>
  <c r="I138" i="7"/>
  <c r="J139" i="7"/>
  <c r="J152" i="7"/>
  <c r="I162" i="7"/>
  <c r="J162" i="7"/>
  <c r="J163" i="7"/>
  <c r="I168" i="7"/>
  <c r="I180" i="7"/>
  <c r="I187" i="7"/>
  <c r="K211" i="7"/>
  <c r="I246" i="7"/>
  <c r="K260" i="7"/>
  <c r="K148" i="7"/>
  <c r="K164" i="7"/>
  <c r="K176" i="7"/>
  <c r="K190" i="7"/>
  <c r="I200" i="7"/>
  <c r="I208" i="7"/>
  <c r="I214" i="7"/>
  <c r="K218" i="7"/>
  <c r="K220" i="7"/>
  <c r="J226" i="7"/>
  <c r="I231" i="7"/>
  <c r="K238" i="7"/>
  <c r="K250" i="7"/>
  <c r="J254" i="7"/>
  <c r="J259" i="7"/>
  <c r="I263" i="7"/>
  <c r="I268" i="7"/>
  <c r="Q237" i="1"/>
  <c r="K58" i="7"/>
  <c r="Q314" i="1"/>
  <c r="I313" i="7"/>
  <c r="Q312" i="1"/>
  <c r="Q242" i="1"/>
  <c r="Q68" i="1"/>
  <c r="Q88" i="1"/>
  <c r="Q119" i="1"/>
  <c r="Q127" i="1"/>
  <c r="Q135" i="1"/>
  <c r="Q143" i="1"/>
  <c r="Q151" i="1"/>
  <c r="Q155" i="1"/>
  <c r="Q159" i="1"/>
  <c r="Q167" i="1"/>
  <c r="Q171" i="1"/>
  <c r="Q175" i="1"/>
  <c r="Q183" i="1"/>
  <c r="Q187" i="1"/>
  <c r="Q191" i="1"/>
  <c r="Q199" i="1"/>
  <c r="Q204" i="1"/>
  <c r="H204" i="7" s="1"/>
  <c r="Q208" i="1"/>
  <c r="Q212" i="1"/>
  <c r="H212" i="7" s="1"/>
  <c r="Q216" i="1"/>
  <c r="Q246" i="1"/>
  <c r="H246" i="7" s="1"/>
  <c r="Q250" i="1"/>
  <c r="Q254" i="1"/>
  <c r="H254" i="7" s="1"/>
  <c r="Q259" i="1"/>
  <c r="Q264" i="1"/>
  <c r="Q269" i="1"/>
  <c r="Q273" i="1"/>
  <c r="Q277" i="1"/>
  <c r="Q281" i="1"/>
  <c r="Q285" i="1"/>
  <c r="Q289" i="1"/>
  <c r="Q294" i="1"/>
  <c r="H294" i="7" s="1"/>
  <c r="Q298" i="1"/>
  <c r="Q303" i="1"/>
  <c r="Q307" i="1"/>
  <c r="Q311" i="1"/>
  <c r="Q96" i="1"/>
  <c r="H96" i="7" s="1"/>
  <c r="Q112" i="1"/>
  <c r="H112" i="7" s="1"/>
  <c r="Q226" i="1"/>
  <c r="H226" i="7" s="1"/>
  <c r="Q238" i="1"/>
  <c r="H238" i="7" s="1"/>
  <c r="J60" i="7"/>
  <c r="I174" i="7"/>
  <c r="K194" i="7"/>
  <c r="K204" i="7"/>
  <c r="K214" i="7"/>
  <c r="I222" i="7"/>
  <c r="K230" i="7"/>
  <c r="I238" i="7"/>
  <c r="K247" i="7"/>
  <c r="J256" i="7"/>
  <c r="K263" i="7"/>
  <c r="I272" i="7"/>
  <c r="K287" i="7"/>
  <c r="K303" i="7"/>
  <c r="I11" i="7"/>
  <c r="J15" i="7"/>
  <c r="K23" i="7"/>
  <c r="J34" i="7"/>
  <c r="K40" i="7"/>
  <c r="I48" i="7"/>
  <c r="K56" i="7"/>
  <c r="J76" i="7"/>
  <c r="J82" i="7"/>
  <c r="K86" i="7"/>
  <c r="J90" i="7"/>
  <c r="J95" i="7"/>
  <c r="K110" i="7"/>
  <c r="Q111" i="1"/>
  <c r="H111" i="7" s="1"/>
  <c r="J116" i="7"/>
  <c r="I123" i="7"/>
  <c r="K128" i="7"/>
  <c r="J128" i="7"/>
  <c r="K134" i="7"/>
  <c r="I142" i="7"/>
  <c r="J143" i="7"/>
  <c r="K158" i="7"/>
  <c r="K159" i="7"/>
  <c r="I170" i="7"/>
  <c r="J170" i="7"/>
  <c r="I171" i="7"/>
  <c r="J183" i="7"/>
  <c r="J188" i="7"/>
  <c r="J194" i="7"/>
  <c r="K207" i="7"/>
  <c r="J212" i="7"/>
  <c r="K219" i="7"/>
  <c r="J224" i="7"/>
  <c r="K231" i="7"/>
  <c r="J236" i="7"/>
  <c r="K256" i="7"/>
  <c r="K192" i="7"/>
  <c r="I210" i="7"/>
  <c r="I220" i="7"/>
  <c r="K232" i="7"/>
  <c r="I243" i="7"/>
  <c r="K251" i="7"/>
  <c r="J260" i="7"/>
  <c r="I14" i="7"/>
  <c r="K16" i="7"/>
  <c r="I22" i="7"/>
  <c r="J26" i="7"/>
  <c r="K30" i="7"/>
  <c r="K39" i="7"/>
  <c r="J39" i="7"/>
  <c r="I50" i="7"/>
  <c r="I51" i="7"/>
  <c r="K63" i="7"/>
  <c r="J63" i="7"/>
  <c r="J67" i="7"/>
  <c r="I74" i="7"/>
  <c r="I80" i="7"/>
  <c r="K100" i="7"/>
  <c r="K107" i="7"/>
  <c r="K119" i="7"/>
  <c r="I124" i="7"/>
  <c r="J130" i="7"/>
  <c r="I140" i="7"/>
  <c r="K144" i="7"/>
  <c r="J144" i="7"/>
  <c r="J155" i="7"/>
  <c r="J160" i="7"/>
  <c r="I167" i="7"/>
  <c r="I172" i="7"/>
  <c r="K178" i="7"/>
  <c r="K179" i="7"/>
  <c r="K184" i="7"/>
  <c r="I190" i="7"/>
  <c r="J191" i="7"/>
  <c r="K196" i="7"/>
  <c r="I203" i="7"/>
  <c r="Q227" i="1"/>
  <c r="H227" i="7" s="1"/>
  <c r="Q239" i="1"/>
  <c r="H239" i="7" s="1"/>
  <c r="I254" i="7"/>
  <c r="I224" i="7"/>
  <c r="K236" i="7"/>
  <c r="J248" i="7"/>
  <c r="K271" i="7"/>
  <c r="J278" i="7"/>
  <c r="I283" i="7"/>
  <c r="J294" i="7"/>
  <c r="I299" i="7"/>
  <c r="J310" i="7"/>
  <c r="K12" i="7"/>
  <c r="I20" i="7"/>
  <c r="J24" i="7"/>
  <c r="I36" i="7"/>
  <c r="K42" i="7"/>
  <c r="I47" i="7"/>
  <c r="J54" i="7"/>
  <c r="K59" i="7"/>
  <c r="I64" i="7"/>
  <c r="K66" i="7"/>
  <c r="K68" i="7"/>
  <c r="I72" i="7"/>
  <c r="J75" i="7"/>
  <c r="K98" i="7"/>
  <c r="I99" i="7"/>
  <c r="K103" i="7"/>
  <c r="I108" i="7"/>
  <c r="I126" i="7"/>
  <c r="J127" i="7"/>
  <c r="K131" i="7"/>
  <c r="I139" i="7"/>
  <c r="I146" i="7"/>
  <c r="J146" i="7"/>
  <c r="J147" i="7"/>
  <c r="I152" i="7"/>
  <c r="J156" i="7"/>
  <c r="I163" i="7"/>
  <c r="J174" i="7"/>
  <c r="J175" i="7"/>
  <c r="J186" i="7"/>
  <c r="J198" i="7"/>
  <c r="I199" i="7"/>
  <c r="Q223" i="1"/>
  <c r="H223" i="7" s="1"/>
  <c r="Q235" i="1"/>
  <c r="H235" i="7" s="1"/>
  <c r="K244" i="7"/>
  <c r="J280" i="7"/>
  <c r="J288" i="7"/>
  <c r="J296" i="7"/>
  <c r="J304" i="7"/>
  <c r="Q109" i="1"/>
  <c r="H109" i="7" s="1"/>
  <c r="Q225" i="1"/>
  <c r="H225" i="7" s="1"/>
  <c r="K61" i="7"/>
  <c r="I242" i="7"/>
  <c r="Q16" i="1"/>
  <c r="Q40" i="1"/>
  <c r="Q48" i="1"/>
  <c r="Q56" i="1"/>
  <c r="Q19" i="1"/>
  <c r="Q27" i="1"/>
  <c r="Q35" i="1"/>
  <c r="Q43" i="1"/>
  <c r="Q116" i="1"/>
  <c r="Q120" i="1"/>
  <c r="Q124" i="1"/>
  <c r="Q128" i="1"/>
  <c r="Q132" i="1"/>
  <c r="Q136" i="1"/>
  <c r="Q140" i="1"/>
  <c r="Q144" i="1"/>
  <c r="Q148" i="1"/>
  <c r="Q152" i="1"/>
  <c r="Q156" i="1"/>
  <c r="H156" i="7" s="1"/>
  <c r="Q160" i="1"/>
  <c r="Q164" i="1"/>
  <c r="H164" i="7" s="1"/>
  <c r="Q168" i="1"/>
  <c r="Q172" i="1"/>
  <c r="H172" i="7" s="1"/>
  <c r="Q176" i="1"/>
  <c r="Q180" i="1"/>
  <c r="H180" i="7" s="1"/>
  <c r="Q184" i="1"/>
  <c r="Q188" i="1"/>
  <c r="H188" i="7" s="1"/>
  <c r="Q192" i="1"/>
  <c r="Q196" i="1"/>
  <c r="H196" i="7" s="1"/>
  <c r="Q201" i="1"/>
  <c r="Q205" i="1"/>
  <c r="Q209" i="1"/>
  <c r="Q213" i="1"/>
  <c r="Q217" i="1"/>
  <c r="Q247" i="1"/>
  <c r="Q251" i="1"/>
  <c r="Q255" i="1"/>
  <c r="Q261" i="1"/>
  <c r="Q265" i="1"/>
  <c r="Q270" i="1"/>
  <c r="H270" i="7" s="1"/>
  <c r="Q274" i="1"/>
  <c r="Q278" i="1"/>
  <c r="H278" i="7" s="1"/>
  <c r="Q282" i="1"/>
  <c r="Q286" i="1"/>
  <c r="H286" i="7" s="1"/>
  <c r="Q290" i="1"/>
  <c r="Q295" i="1"/>
  <c r="Q304" i="1"/>
  <c r="Q308" i="1"/>
  <c r="H308" i="7" s="1"/>
  <c r="Q100" i="1"/>
  <c r="H100" i="7" s="1"/>
  <c r="J217" i="7"/>
  <c r="Q232" i="1"/>
  <c r="H232" i="7" s="1"/>
  <c r="Q98" i="1"/>
  <c r="H98" i="7" s="1"/>
  <c r="Q218" i="1"/>
  <c r="H218" i="7" s="1"/>
  <c r="Q230" i="1"/>
  <c r="H230" i="7" s="1"/>
  <c r="K180" i="7"/>
  <c r="I216" i="7"/>
  <c r="J223" i="7"/>
  <c r="I232" i="7"/>
  <c r="J239" i="7"/>
  <c r="K258" i="7"/>
  <c r="K275" i="7"/>
  <c r="K291" i="7"/>
  <c r="K307" i="7"/>
  <c r="I15" i="7"/>
  <c r="I19" i="7"/>
  <c r="J19" i="7"/>
  <c r="K27" i="7"/>
  <c r="I34" i="7"/>
  <c r="I35" i="7"/>
  <c r="J35" i="7"/>
  <c r="I46" i="7"/>
  <c r="J48" i="7"/>
  <c r="I52" i="7"/>
  <c r="K76" i="7"/>
  <c r="I86" i="7"/>
  <c r="K90" i="7"/>
  <c r="J94" i="7"/>
  <c r="I95" i="7"/>
  <c r="K102" i="7"/>
  <c r="J102" i="7"/>
  <c r="J104" i="7"/>
  <c r="K111" i="7"/>
  <c r="K116" i="7"/>
  <c r="K122" i="7"/>
  <c r="I128" i="7"/>
  <c r="J134" i="7"/>
  <c r="K135" i="7"/>
  <c r="I143" i="7"/>
  <c r="I150" i="7"/>
  <c r="J150" i="7"/>
  <c r="J151" i="7"/>
  <c r="J164" i="7"/>
  <c r="K171" i="7"/>
  <c r="I182" i="7"/>
  <c r="J182" i="7"/>
  <c r="I183" i="7"/>
  <c r="J195" i="7"/>
  <c r="I195" i="7"/>
  <c r="I206" i="7"/>
  <c r="K252" i="7"/>
  <c r="I83" i="7"/>
  <c r="J211" i="7"/>
  <c r="J222" i="7"/>
  <c r="K234" i="7"/>
  <c r="J244" i="7"/>
  <c r="I264" i="7"/>
  <c r="J271" i="7"/>
  <c r="I26" i="7"/>
  <c r="J30" i="7"/>
  <c r="J32" i="7"/>
  <c r="I38" i="7"/>
  <c r="I39" i="7"/>
  <c r="I44" i="7"/>
  <c r="K50" i="7"/>
  <c r="I63" i="7"/>
  <c r="K67" i="7"/>
  <c r="I71" i="7"/>
  <c r="J71" i="7"/>
  <c r="K74" i="7"/>
  <c r="I78" i="7"/>
  <c r="J80" i="7"/>
  <c r="I84" i="7"/>
  <c r="K87" i="7"/>
  <c r="K92" i="7"/>
  <c r="I100" i="7"/>
  <c r="K106" i="7"/>
  <c r="J106" i="7"/>
  <c r="K112" i="7"/>
  <c r="K118" i="7"/>
  <c r="J118" i="7"/>
  <c r="I130" i="7"/>
  <c r="K132" i="7"/>
  <c r="J132" i="7"/>
  <c r="I144" i="7"/>
  <c r="I154" i="7"/>
  <c r="J154" i="7"/>
  <c r="I155" i="7"/>
  <c r="I160" i="7"/>
  <c r="K166" i="7"/>
  <c r="K167" i="7"/>
  <c r="K172" i="7"/>
  <c r="I184" i="7"/>
  <c r="K191" i="7"/>
  <c r="J196" i="7"/>
  <c r="J202" i="7"/>
  <c r="K272" i="7"/>
  <c r="K198" i="7"/>
  <c r="I240" i="7"/>
  <c r="K255" i="7"/>
  <c r="J274" i="7"/>
  <c r="I279" i="7"/>
  <c r="J290" i="7"/>
  <c r="I295" i="7"/>
  <c r="J306" i="7"/>
  <c r="I311" i="7"/>
  <c r="J18" i="7"/>
  <c r="K20" i="7"/>
  <c r="I24" i="7"/>
  <c r="J28" i="7"/>
  <c r="K31" i="7"/>
  <c r="K36" i="7"/>
  <c r="J42" i="7"/>
  <c r="K55" i="7"/>
  <c r="J55" i="7"/>
  <c r="I62" i="7"/>
  <c r="J64" i="7"/>
  <c r="J66" i="7"/>
  <c r="I70" i="7"/>
  <c r="J72" i="7"/>
  <c r="K75" i="7"/>
  <c r="I79" i="7"/>
  <c r="J79" i="7"/>
  <c r="J83" i="7"/>
  <c r="K88" i="7"/>
  <c r="I98" i="7"/>
  <c r="Q99" i="1"/>
  <c r="H99" i="7" s="1"/>
  <c r="J114" i="7"/>
  <c r="I115" i="7"/>
  <c r="J120" i="7"/>
  <c r="I127" i="7"/>
  <c r="J131" i="7"/>
  <c r="K138" i="7"/>
  <c r="I147" i="7"/>
  <c r="I156" i="7"/>
  <c r="K162" i="7"/>
  <c r="K163" i="7"/>
  <c r="K168" i="7"/>
  <c r="I175" i="7"/>
  <c r="K186" i="7"/>
  <c r="K187" i="7"/>
  <c r="J192" i="7"/>
  <c r="I204" i="7"/>
  <c r="I270" i="7"/>
  <c r="I60" i="7"/>
  <c r="I196" i="7"/>
  <c r="J203" i="7"/>
  <c r="J207" i="7"/>
  <c r="J215" i="7"/>
  <c r="I219" i="7"/>
  <c r="I230" i="7"/>
  <c r="I236" i="7"/>
  <c r="I248" i="7"/>
  <c r="I252" i="7"/>
  <c r="K262" i="7"/>
  <c r="K266" i="7"/>
  <c r="Q101" i="1"/>
  <c r="H101" i="7" s="1"/>
  <c r="Q105" i="1"/>
  <c r="H105" i="7" s="1"/>
  <c r="Q233" i="1"/>
  <c r="H233" i="7" s="1"/>
  <c r="Q241" i="1"/>
  <c r="H241" i="7" s="1"/>
  <c r="I58" i="7"/>
  <c r="Q316" i="1"/>
  <c r="H316" i="7" s="1"/>
  <c r="K316" i="7"/>
  <c r="Q243" i="1"/>
  <c r="H243" i="7" s="1"/>
  <c r="Q32" i="1"/>
  <c r="Q72" i="1"/>
  <c r="J313" i="7"/>
  <c r="I317" i="7"/>
  <c r="Q317" i="1"/>
  <c r="J317" i="7"/>
  <c r="K242" i="7"/>
  <c r="Q76" i="1"/>
  <c r="Q84" i="1"/>
  <c r="Q92" i="1"/>
  <c r="Q121" i="1"/>
  <c r="Q129" i="1"/>
  <c r="Q137" i="1"/>
  <c r="Q145" i="1"/>
  <c r="Q153" i="1"/>
  <c r="Q157" i="1"/>
  <c r="Q161" i="1"/>
  <c r="Q165" i="1"/>
  <c r="Q169" i="1"/>
  <c r="Q173" i="1"/>
  <c r="Q177" i="1"/>
  <c r="Q181" i="1"/>
  <c r="Q185" i="1"/>
  <c r="Q189" i="1"/>
  <c r="Q193" i="1"/>
  <c r="Q197" i="1"/>
  <c r="Q202" i="1"/>
  <c r="Q206" i="1"/>
  <c r="H206" i="7" s="1"/>
  <c r="Q210" i="1"/>
  <c r="Q214" i="1"/>
  <c r="H214" i="7" s="1"/>
  <c r="Q248" i="1"/>
  <c r="Q252" i="1"/>
  <c r="H252" i="7" s="1"/>
  <c r="Q257" i="1"/>
  <c r="Q262" i="1"/>
  <c r="H262" i="7" s="1"/>
  <c r="Q266" i="1"/>
  <c r="Q271" i="1"/>
  <c r="Q275" i="1"/>
  <c r="Q279" i="1"/>
  <c r="Q283" i="1"/>
  <c r="Q287" i="1"/>
  <c r="Q291" i="1"/>
  <c r="Q296" i="1"/>
  <c r="Q301" i="1"/>
  <c r="Q305" i="1"/>
  <c r="Q309" i="1"/>
  <c r="Q220" i="1"/>
  <c r="H220" i="7" s="1"/>
  <c r="G236" i="7"/>
  <c r="G222" i="7"/>
  <c r="G260" i="7"/>
  <c r="G292" i="7"/>
  <c r="I158" i="7"/>
  <c r="K188" i="7"/>
  <c r="I211" i="7"/>
  <c r="J218" i="7"/>
  <c r="I227" i="7"/>
  <c r="J234" i="7"/>
  <c r="I244" i="7"/>
  <c r="J251" i="7"/>
  <c r="I260" i="7"/>
  <c r="J267" i="7"/>
  <c r="K279" i="7"/>
  <c r="K295" i="7"/>
  <c r="K311" i="7"/>
  <c r="K11" i="7"/>
  <c r="I23" i="7"/>
  <c r="J23" i="7"/>
  <c r="I40" i="7"/>
  <c r="K46" i="7"/>
  <c r="K48" i="7"/>
  <c r="J52" i="7"/>
  <c r="I56" i="7"/>
  <c r="I82" i="7"/>
  <c r="I90" i="7"/>
  <c r="K94" i="7"/>
  <c r="I102" i="7"/>
  <c r="K104" i="7"/>
  <c r="J110" i="7"/>
  <c r="I116" i="7"/>
  <c r="J122" i="7"/>
  <c r="K123" i="7"/>
  <c r="I134" i="7"/>
  <c r="J135" i="7"/>
  <c r="K142" i="7"/>
  <c r="I151" i="7"/>
  <c r="J158" i="7"/>
  <c r="J159" i="7"/>
  <c r="I164" i="7"/>
  <c r="K170" i="7"/>
  <c r="J176" i="7"/>
  <c r="K183" i="7"/>
  <c r="I188" i="7"/>
  <c r="K200" i="7"/>
  <c r="I207" i="7"/>
  <c r="Q219" i="1"/>
  <c r="H219" i="7" s="1"/>
  <c r="Q231" i="1"/>
  <c r="H231" i="7" s="1"/>
  <c r="K248" i="7"/>
  <c r="J115" i="7"/>
  <c r="I198" i="7"/>
  <c r="I215" i="7"/>
  <c r="I226" i="7"/>
  <c r="J238" i="7"/>
  <c r="K246" i="7"/>
  <c r="J255" i="7"/>
  <c r="J266" i="7"/>
  <c r="J272" i="7"/>
  <c r="K276" i="7"/>
  <c r="K280" i="7"/>
  <c r="K284" i="7"/>
  <c r="K288" i="7"/>
  <c r="K292" i="7"/>
  <c r="K296" i="7"/>
  <c r="K300" i="7"/>
  <c r="K304" i="7"/>
  <c r="K308" i="7"/>
  <c r="K14" i="7"/>
  <c r="I16" i="7"/>
  <c r="J16" i="7"/>
  <c r="K22" i="7"/>
  <c r="I30" i="7"/>
  <c r="I32" i="7"/>
  <c r="K38" i="7"/>
  <c r="J44" i="7"/>
  <c r="J50" i="7"/>
  <c r="K71" i="7"/>
  <c r="J74" i="7"/>
  <c r="K78" i="7"/>
  <c r="K80" i="7"/>
  <c r="J84" i="7"/>
  <c r="J87" i="7"/>
  <c r="I92" i="7"/>
  <c r="K96" i="7"/>
  <c r="I106" i="7"/>
  <c r="J107" i="7"/>
  <c r="I107" i="7"/>
  <c r="I112" i="7"/>
  <c r="I118" i="7"/>
  <c r="I119" i="7"/>
  <c r="I132" i="7"/>
  <c r="K136" i="7"/>
  <c r="J136" i="7"/>
  <c r="J148" i="7"/>
  <c r="K155" i="7"/>
  <c r="K160" i="7"/>
  <c r="I178" i="7"/>
  <c r="J178" i="7"/>
  <c r="J179" i="7"/>
  <c r="J184" i="7"/>
  <c r="K203" i="7"/>
  <c r="J208" i="7"/>
  <c r="J220" i="7"/>
  <c r="K227" i="7"/>
  <c r="J232" i="7"/>
  <c r="K239" i="7"/>
  <c r="I250" i="7"/>
  <c r="I258" i="7"/>
  <c r="I266" i="7"/>
  <c r="J210" i="7"/>
  <c r="J231" i="7"/>
  <c r="J243" i="7"/>
  <c r="J264" i="7"/>
  <c r="I275" i="7"/>
  <c r="J286" i="7"/>
  <c r="I291" i="7"/>
  <c r="J302" i="7"/>
  <c r="I307" i="7"/>
  <c r="I12" i="7"/>
  <c r="J12" i="7"/>
  <c r="I18" i="7"/>
  <c r="K24" i="7"/>
  <c r="I28" i="7"/>
  <c r="K43" i="7"/>
  <c r="J43" i="7"/>
  <c r="I54" i="7"/>
  <c r="I55" i="7"/>
  <c r="I59" i="7"/>
  <c r="J59" i="7"/>
  <c r="K62" i="7"/>
  <c r="K64" i="7"/>
  <c r="I68" i="7"/>
  <c r="K70" i="7"/>
  <c r="K72" i="7"/>
  <c r="K79" i="7"/>
  <c r="K83" i="7"/>
  <c r="J88" i="7"/>
  <c r="I88" i="7"/>
  <c r="K91" i="7"/>
  <c r="K99" i="7"/>
  <c r="I103" i="7"/>
  <c r="K108" i="7"/>
  <c r="K114" i="7"/>
  <c r="K120" i="7"/>
  <c r="K126" i="7"/>
  <c r="I131" i="7"/>
  <c r="J138" i="7"/>
  <c r="K139" i="7"/>
  <c r="K146" i="7"/>
  <c r="K147" i="7"/>
  <c r="K152" i="7"/>
  <c r="K156" i="7"/>
  <c r="J168" i="7"/>
  <c r="K174" i="7"/>
  <c r="K175" i="7"/>
  <c r="J180" i="7"/>
  <c r="I186" i="7"/>
  <c r="K199" i="7"/>
  <c r="J204" i="7"/>
  <c r="J216" i="7"/>
  <c r="K223" i="7"/>
  <c r="J228" i="7"/>
  <c r="K235" i="7"/>
  <c r="J240" i="7"/>
  <c r="K264" i="7"/>
  <c r="J276" i="7"/>
  <c r="J284" i="7"/>
  <c r="J292" i="7"/>
  <c r="J300" i="7"/>
  <c r="J308" i="7"/>
  <c r="Q97" i="1"/>
  <c r="H97" i="7" s="1"/>
  <c r="Q113" i="1"/>
  <c r="H113" i="7" s="1"/>
  <c r="Q221" i="1"/>
  <c r="H221" i="7" s="1"/>
  <c r="Q229" i="1"/>
  <c r="H229" i="7" s="1"/>
  <c r="G108" i="7"/>
  <c r="G240" i="7"/>
  <c r="G218" i="7"/>
  <c r="G234" i="7"/>
  <c r="B312" i="1"/>
  <c r="B313" i="1"/>
  <c r="G112" i="7"/>
  <c r="G232" i="7"/>
  <c r="G106" i="7"/>
  <c r="G230" i="7"/>
  <c r="G300" i="7"/>
  <c r="B314" i="1"/>
  <c r="G100" i="7"/>
  <c r="G96" i="7"/>
  <c r="G67" i="7"/>
  <c r="Q67" i="1"/>
  <c r="G46" i="7"/>
  <c r="Q46" i="1"/>
  <c r="G25" i="7"/>
  <c r="Q25" i="1"/>
  <c r="G59" i="7"/>
  <c r="Q59" i="1"/>
  <c r="G91" i="7"/>
  <c r="Q91" i="1"/>
  <c r="G38" i="7"/>
  <c r="Q38" i="1"/>
  <c r="G70" i="7"/>
  <c r="Q70" i="1"/>
  <c r="G17" i="7"/>
  <c r="Q17" i="1"/>
  <c r="G49" i="7"/>
  <c r="Q49" i="1"/>
  <c r="G81" i="7"/>
  <c r="Q81" i="1"/>
  <c r="Q115" i="1"/>
  <c r="Q131" i="1"/>
  <c r="Q147" i="1"/>
  <c r="G228" i="7"/>
  <c r="Q228" i="1"/>
  <c r="G110" i="7"/>
  <c r="Q110" i="1"/>
  <c r="H110" i="7" s="1"/>
  <c r="G47" i="7"/>
  <c r="Q47" i="1"/>
  <c r="G63" i="7"/>
  <c r="Q63" i="1"/>
  <c r="G79" i="7"/>
  <c r="Q79" i="1"/>
  <c r="G95" i="7"/>
  <c r="Q95" i="1"/>
  <c r="G26" i="7"/>
  <c r="Q26" i="1"/>
  <c r="G42" i="7"/>
  <c r="Q42" i="1"/>
  <c r="G58" i="7"/>
  <c r="Q58" i="1"/>
  <c r="G74" i="7"/>
  <c r="Q74" i="1"/>
  <c r="G90" i="7"/>
  <c r="Q90" i="1"/>
  <c r="G21" i="7"/>
  <c r="Q21" i="1"/>
  <c r="G37" i="7"/>
  <c r="Q37" i="1"/>
  <c r="G53" i="7"/>
  <c r="Q53" i="1"/>
  <c r="G69" i="7"/>
  <c r="Q69" i="1"/>
  <c r="G85" i="7"/>
  <c r="Q85" i="1"/>
  <c r="Q299" i="1"/>
  <c r="Q244" i="1"/>
  <c r="G14" i="7"/>
  <c r="Q14" i="1"/>
  <c r="G94" i="7"/>
  <c r="Q94" i="1"/>
  <c r="G73" i="7"/>
  <c r="Q73" i="1"/>
  <c r="Q117" i="1"/>
  <c r="Q141" i="1"/>
  <c r="Q149" i="1"/>
  <c r="Q222" i="1"/>
  <c r="Q292" i="1"/>
  <c r="G51" i="7"/>
  <c r="Q51" i="1"/>
  <c r="G30" i="7"/>
  <c r="Q30" i="1"/>
  <c r="G78" i="7"/>
  <c r="Q78" i="1"/>
  <c r="G57" i="7"/>
  <c r="Q57" i="1"/>
  <c r="G89" i="7"/>
  <c r="Q89" i="1"/>
  <c r="Q125" i="1"/>
  <c r="Q133" i="1"/>
  <c r="Q104" i="1"/>
  <c r="Q236" i="1"/>
  <c r="G102" i="7"/>
  <c r="Q102" i="1"/>
  <c r="G200" i="7"/>
  <c r="Q200" i="1"/>
  <c r="Q260" i="1"/>
  <c r="G55" i="7"/>
  <c r="Q55" i="1"/>
  <c r="G71" i="7"/>
  <c r="Q71" i="1"/>
  <c r="G87" i="7"/>
  <c r="Q87" i="1"/>
  <c r="G18" i="7"/>
  <c r="Q18" i="1"/>
  <c r="G34" i="7"/>
  <c r="Q34" i="1"/>
  <c r="G50" i="7"/>
  <c r="Q50" i="1"/>
  <c r="G66" i="7"/>
  <c r="Q66" i="1"/>
  <c r="G82" i="7"/>
  <c r="Q82" i="1"/>
  <c r="G13" i="7"/>
  <c r="Q13" i="1"/>
  <c r="G29" i="7"/>
  <c r="Q29" i="1"/>
  <c r="G45" i="7"/>
  <c r="Q45" i="1"/>
  <c r="G61" i="7"/>
  <c r="Q61" i="1"/>
  <c r="G77" i="7"/>
  <c r="Q77" i="1"/>
  <c r="G93" i="7"/>
  <c r="Q93" i="1"/>
  <c r="G60" i="7"/>
  <c r="Q60" i="1"/>
  <c r="Q315" i="1"/>
  <c r="Q267" i="1"/>
  <c r="G104" i="7"/>
  <c r="G220" i="7"/>
  <c r="G83" i="7"/>
  <c r="Q83" i="1"/>
  <c r="G62" i="7"/>
  <c r="Q62" i="1"/>
  <c r="G41" i="7"/>
  <c r="Q41" i="1"/>
  <c r="G75" i="7"/>
  <c r="Q75" i="1"/>
  <c r="G22" i="7"/>
  <c r="Q22" i="1"/>
  <c r="G54" i="7"/>
  <c r="Q54" i="1"/>
  <c r="G86" i="7"/>
  <c r="Q86" i="1"/>
  <c r="G33" i="7"/>
  <c r="Q33" i="1"/>
  <c r="G65" i="7"/>
  <c r="Q65" i="1"/>
  <c r="Q123" i="1"/>
  <c r="Q139" i="1"/>
  <c r="Q163" i="1"/>
  <c r="Q179" i="1"/>
  <c r="Q195" i="1"/>
  <c r="N217" i="7"/>
  <c r="N316" i="7"/>
  <c r="N312" i="7"/>
  <c r="G238" i="7"/>
  <c r="H166" i="7"/>
  <c r="N60" i="7"/>
  <c r="M316" i="7"/>
  <c r="N314" i="7"/>
  <c r="N242" i="7"/>
  <c r="N61" i="7"/>
  <c r="G226" i="7"/>
  <c r="H234" i="7"/>
  <c r="M217" i="7"/>
  <c r="H103" i="7"/>
  <c r="H318" i="7"/>
  <c r="N315" i="7"/>
  <c r="M314" i="7"/>
  <c r="H322" i="7"/>
  <c r="N58" i="7"/>
  <c r="M60" i="7"/>
  <c r="M312" i="7"/>
  <c r="M61" i="7"/>
  <c r="N243" i="7"/>
  <c r="H237" i="7"/>
  <c r="H107" i="7"/>
  <c r="G76" i="7"/>
  <c r="G84" i="7"/>
  <c r="G92" i="7"/>
  <c r="G117" i="7"/>
  <c r="G121" i="7"/>
  <c r="G125" i="7"/>
  <c r="G129" i="7"/>
  <c r="G133" i="7"/>
  <c r="G137" i="7"/>
  <c r="G141" i="7"/>
  <c r="G145" i="7"/>
  <c r="G149" i="7"/>
  <c r="G153" i="7"/>
  <c r="G157" i="7"/>
  <c r="G161" i="7"/>
  <c r="G165" i="7"/>
  <c r="G169" i="7"/>
  <c r="G173" i="7"/>
  <c r="G177" i="7"/>
  <c r="G181" i="7"/>
  <c r="G185" i="7"/>
  <c r="G189" i="7"/>
  <c r="G193" i="7"/>
  <c r="G197" i="7"/>
  <c r="G202" i="7"/>
  <c r="G206" i="7"/>
  <c r="G210" i="7"/>
  <c r="G214" i="7"/>
  <c r="G248" i="7"/>
  <c r="G252" i="7"/>
  <c r="G256" i="7"/>
  <c r="G261" i="7"/>
  <c r="G265" i="7"/>
  <c r="G270" i="7"/>
  <c r="G274" i="7"/>
  <c r="G278" i="7"/>
  <c r="G282" i="7"/>
  <c r="G286" i="7"/>
  <c r="G290" i="7"/>
  <c r="G295" i="7"/>
  <c r="G299" i="7"/>
  <c r="G304" i="7"/>
  <c r="G308" i="7"/>
  <c r="G12" i="7"/>
  <c r="G20" i="7"/>
  <c r="G28" i="7"/>
  <c r="G36" i="7"/>
  <c r="G44" i="7"/>
  <c r="G52" i="7"/>
  <c r="G64" i="7"/>
  <c r="G80" i="7"/>
  <c r="G15" i="7"/>
  <c r="G23" i="7"/>
  <c r="G31" i="7"/>
  <c r="G39" i="7"/>
  <c r="G114" i="7"/>
  <c r="G118" i="7"/>
  <c r="G122" i="7"/>
  <c r="G126" i="7"/>
  <c r="G130" i="7"/>
  <c r="G134" i="7"/>
  <c r="G138" i="7"/>
  <c r="G142" i="7"/>
  <c r="G146" i="7"/>
  <c r="G150" i="7"/>
  <c r="G154" i="7"/>
  <c r="G158" i="7"/>
  <c r="G162" i="7"/>
  <c r="G166" i="7"/>
  <c r="G170" i="7"/>
  <c r="G174" i="7"/>
  <c r="G178" i="7"/>
  <c r="G182" i="7"/>
  <c r="G186" i="7"/>
  <c r="G190" i="7"/>
  <c r="G194" i="7"/>
  <c r="G198" i="7"/>
  <c r="G203" i="7"/>
  <c r="G207" i="7"/>
  <c r="G211" i="7"/>
  <c r="G215" i="7"/>
  <c r="G245" i="7"/>
  <c r="G249" i="7"/>
  <c r="G253" i="7"/>
  <c r="G257" i="7"/>
  <c r="G262" i="7"/>
  <c r="G266" i="7"/>
  <c r="G271" i="7"/>
  <c r="G275" i="7"/>
  <c r="G279" i="7"/>
  <c r="G283" i="7"/>
  <c r="G287" i="7"/>
  <c r="G291" i="7"/>
  <c r="G296" i="7"/>
  <c r="G301" i="7"/>
  <c r="G305" i="7"/>
  <c r="G309" i="7"/>
  <c r="G68" i="7"/>
  <c r="G88" i="7"/>
  <c r="G115" i="7"/>
  <c r="G119" i="7"/>
  <c r="G123" i="7"/>
  <c r="G127" i="7"/>
  <c r="G131" i="7"/>
  <c r="G135" i="7"/>
  <c r="G139" i="7"/>
  <c r="G143" i="7"/>
  <c r="G147" i="7"/>
  <c r="G151" i="7"/>
  <c r="G155" i="7"/>
  <c r="G159" i="7"/>
  <c r="G163" i="7"/>
  <c r="G167" i="7"/>
  <c r="G171" i="7"/>
  <c r="G175" i="7"/>
  <c r="G179" i="7"/>
  <c r="G183" i="7"/>
  <c r="G187" i="7"/>
  <c r="G191" i="7"/>
  <c r="G195" i="7"/>
  <c r="G199" i="7"/>
  <c r="G204" i="7"/>
  <c r="G208" i="7"/>
  <c r="G212" i="7"/>
  <c r="G216" i="7"/>
  <c r="G246" i="7"/>
  <c r="G250" i="7"/>
  <c r="G254" i="7"/>
  <c r="G258" i="7"/>
  <c r="G263" i="7"/>
  <c r="G267" i="7"/>
  <c r="G272" i="7"/>
  <c r="G276" i="7"/>
  <c r="G280" i="7"/>
  <c r="G284" i="7"/>
  <c r="G288" i="7"/>
  <c r="G293" i="7"/>
  <c r="G297" i="7"/>
  <c r="G302" i="7"/>
  <c r="G306" i="7"/>
  <c r="G310" i="7"/>
  <c r="G16" i="7"/>
  <c r="G24" i="7"/>
  <c r="G32" i="7"/>
  <c r="G40" i="7"/>
  <c r="G48" i="7"/>
  <c r="G56" i="7"/>
  <c r="G72" i="7"/>
  <c r="G11" i="7"/>
  <c r="G19" i="7"/>
  <c r="G27" i="7"/>
  <c r="G35" i="7"/>
  <c r="G43" i="7"/>
  <c r="G116" i="7"/>
  <c r="G120" i="7"/>
  <c r="G124" i="7"/>
  <c r="G128" i="7"/>
  <c r="G132" i="7"/>
  <c r="G136" i="7"/>
  <c r="G140" i="7"/>
  <c r="G144" i="7"/>
  <c r="G148" i="7"/>
  <c r="G152" i="7"/>
  <c r="G156" i="7"/>
  <c r="G160" i="7"/>
  <c r="G164" i="7"/>
  <c r="G168" i="7"/>
  <c r="G172" i="7"/>
  <c r="G176" i="7"/>
  <c r="G180" i="7"/>
  <c r="G184" i="7"/>
  <c r="G188" i="7"/>
  <c r="G192" i="7"/>
  <c r="G196" i="7"/>
  <c r="G201" i="7"/>
  <c r="G205" i="7"/>
  <c r="G209" i="7"/>
  <c r="G213" i="7"/>
  <c r="G217" i="7"/>
  <c r="G247" i="7"/>
  <c r="G251" i="7"/>
  <c r="G255" i="7"/>
  <c r="G259" i="7"/>
  <c r="G264" i="7"/>
  <c r="G269" i="7"/>
  <c r="G273" i="7"/>
  <c r="G277" i="7"/>
  <c r="G281" i="7"/>
  <c r="G285" i="7"/>
  <c r="G289" i="7"/>
  <c r="G294" i="7"/>
  <c r="G298" i="7"/>
  <c r="G303" i="7"/>
  <c r="G307" i="7"/>
  <c r="G311" i="7"/>
  <c r="G243" i="7"/>
  <c r="G242" i="7"/>
  <c r="G313" i="7"/>
  <c r="G314" i="7"/>
  <c r="G312" i="7"/>
  <c r="G316" i="7"/>
  <c r="G315" i="7"/>
  <c r="G317" i="7"/>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E3" i="8"/>
  <c r="E2" i="8"/>
  <c r="P2" i="7"/>
  <c r="L3" i="7"/>
  <c r="L4" i="7"/>
  <c r="L5" i="7"/>
  <c r="L6" i="7"/>
  <c r="L7" i="7"/>
  <c r="L8" i="7"/>
  <c r="L9" i="7"/>
  <c r="L2" i="7"/>
  <c r="H200" i="7" l="1"/>
  <c r="H102" i="7"/>
  <c r="H75" i="7"/>
  <c r="H73" i="7"/>
  <c r="L10" i="7"/>
  <c r="H85" i="7"/>
  <c r="H42" i="7"/>
  <c r="H63" i="7"/>
  <c r="H49" i="7"/>
  <c r="H38" i="7"/>
  <c r="H93" i="7"/>
  <c r="H50" i="7"/>
  <c r="H81" i="7"/>
  <c r="H22" i="7"/>
  <c r="H82" i="7"/>
  <c r="H45" i="7"/>
  <c r="H89" i="7"/>
  <c r="H57" i="7"/>
  <c r="H25" i="7"/>
  <c r="H78" i="7"/>
  <c r="H46" i="7"/>
  <c r="H14" i="7"/>
  <c r="H67" i="7"/>
  <c r="H69" i="7"/>
  <c r="H37" i="7"/>
  <c r="H74" i="7"/>
  <c r="H26" i="7"/>
  <c r="H65" i="7"/>
  <c r="H86" i="7"/>
  <c r="H91" i="7"/>
  <c r="H77" i="7"/>
  <c r="H66" i="7"/>
  <c r="H55" i="7"/>
  <c r="H312" i="7"/>
  <c r="H242" i="7"/>
  <c r="H289" i="7"/>
  <c r="H277" i="7"/>
  <c r="H264" i="7"/>
  <c r="H255" i="7"/>
  <c r="H247" i="7"/>
  <c r="H201" i="7"/>
  <c r="H168" i="7"/>
  <c r="H144" i="7"/>
  <c r="H128" i="7"/>
  <c r="H27" i="7"/>
  <c r="H40" i="7"/>
  <c r="H24" i="7"/>
  <c r="H306" i="7"/>
  <c r="H288" i="7"/>
  <c r="H267" i="7"/>
  <c r="H250" i="7"/>
  <c r="H208" i="7"/>
  <c r="H199" i="7"/>
  <c r="H191" i="7"/>
  <c r="H183" i="7"/>
  <c r="H175" i="7"/>
  <c r="H167" i="7"/>
  <c r="H159" i="7"/>
  <c r="H151" i="7"/>
  <c r="H143" i="7"/>
  <c r="H135" i="7"/>
  <c r="H127" i="7"/>
  <c r="H119" i="7"/>
  <c r="H68" i="7"/>
  <c r="H301" i="7"/>
  <c r="H266" i="7"/>
  <c r="H215" i="7"/>
  <c r="H207" i="7"/>
  <c r="H170" i="7"/>
  <c r="H142" i="7"/>
  <c r="H126" i="7"/>
  <c r="H23" i="7"/>
  <c r="H80" i="7"/>
  <c r="H36" i="7"/>
  <c r="H20" i="7"/>
  <c r="H299" i="7"/>
  <c r="H282" i="7"/>
  <c r="H189" i="7"/>
  <c r="H169" i="7"/>
  <c r="H157" i="7"/>
  <c r="H149" i="7"/>
  <c r="H141" i="7"/>
  <c r="H133" i="7"/>
  <c r="H125" i="7"/>
  <c r="H117" i="7"/>
  <c r="H244" i="7"/>
  <c r="H90" i="7"/>
  <c r="H29" i="7"/>
  <c r="H34" i="7"/>
  <c r="H317" i="7"/>
  <c r="H311" i="7"/>
  <c r="H303" i="7"/>
  <c r="H281" i="7"/>
  <c r="H269" i="7"/>
  <c r="H213" i="7"/>
  <c r="H192" i="7"/>
  <c r="H160" i="7"/>
  <c r="H148" i="7"/>
  <c r="H132" i="7"/>
  <c r="H116" i="7"/>
  <c r="H35" i="7"/>
  <c r="H48" i="7"/>
  <c r="H32" i="7"/>
  <c r="H293" i="7"/>
  <c r="H280" i="7"/>
  <c r="H88" i="7"/>
  <c r="H305" i="7"/>
  <c r="H291" i="7"/>
  <c r="H283" i="7"/>
  <c r="H275" i="7"/>
  <c r="H253" i="7"/>
  <c r="H194" i="7"/>
  <c r="H162" i="7"/>
  <c r="H146" i="7"/>
  <c r="H130" i="7"/>
  <c r="H114" i="7"/>
  <c r="H31" i="7"/>
  <c r="H44" i="7"/>
  <c r="H28" i="7"/>
  <c r="H274" i="7"/>
  <c r="H256" i="7"/>
  <c r="H210" i="7"/>
  <c r="H193" i="7"/>
  <c r="H181" i="7"/>
  <c r="H161" i="7"/>
  <c r="H76" i="7"/>
  <c r="H228" i="7"/>
  <c r="H47" i="7"/>
  <c r="H87" i="7"/>
  <c r="H61" i="7"/>
  <c r="H71" i="7"/>
  <c r="H41" i="7"/>
  <c r="H94" i="7"/>
  <c r="H62" i="7"/>
  <c r="H30" i="7"/>
  <c r="H83" i="7"/>
  <c r="H51" i="7"/>
  <c r="H53" i="7"/>
  <c r="H21" i="7"/>
  <c r="H58" i="7"/>
  <c r="H79" i="7"/>
  <c r="H33" i="7"/>
  <c r="H54" i="7"/>
  <c r="H59" i="7"/>
  <c r="H13" i="7"/>
  <c r="H18" i="7"/>
  <c r="H60" i="7"/>
  <c r="H314" i="7"/>
  <c r="H313" i="7"/>
  <c r="H298" i="7"/>
  <c r="H273" i="7"/>
  <c r="H259" i="7"/>
  <c r="H251" i="7"/>
  <c r="H217" i="7"/>
  <c r="H205" i="7"/>
  <c r="H184" i="7"/>
  <c r="H152" i="7"/>
  <c r="H136" i="7"/>
  <c r="H120" i="7"/>
  <c r="H43" i="7"/>
  <c r="H11" i="7"/>
  <c r="H56" i="7"/>
  <c r="H297" i="7"/>
  <c r="H272" i="7"/>
  <c r="H263" i="7"/>
  <c r="H195" i="7"/>
  <c r="H187" i="7"/>
  <c r="H179" i="7"/>
  <c r="H171" i="7"/>
  <c r="H163" i="7"/>
  <c r="H155" i="7"/>
  <c r="H147" i="7"/>
  <c r="H139" i="7"/>
  <c r="H131" i="7"/>
  <c r="H123" i="7"/>
  <c r="H115" i="7"/>
  <c r="H257" i="7"/>
  <c r="H245" i="7"/>
  <c r="H211" i="7"/>
  <c r="H203" i="7"/>
  <c r="H186" i="7"/>
  <c r="H154" i="7"/>
  <c r="H150" i="7"/>
  <c r="H134" i="7"/>
  <c r="H118" i="7"/>
  <c r="H52" i="7"/>
  <c r="H304" i="7"/>
  <c r="H295" i="7"/>
  <c r="H261" i="7"/>
  <c r="H248" i="7"/>
  <c r="H202" i="7"/>
  <c r="H185" i="7"/>
  <c r="H173" i="7"/>
  <c r="H153" i="7"/>
  <c r="H145" i="7"/>
  <c r="H137" i="7"/>
  <c r="H129" i="7"/>
  <c r="H121" i="7"/>
  <c r="H84" i="7"/>
  <c r="H236" i="7"/>
  <c r="H222" i="7"/>
  <c r="H104" i="7"/>
  <c r="H292" i="7"/>
  <c r="H95" i="7"/>
  <c r="H70" i="7"/>
  <c r="H17" i="7"/>
  <c r="H315" i="7"/>
  <c r="H307" i="7"/>
  <c r="H285" i="7"/>
  <c r="H209" i="7"/>
  <c r="H176" i="7"/>
  <c r="H140" i="7"/>
  <c r="H124" i="7"/>
  <c r="H19" i="7"/>
  <c r="H72" i="7"/>
  <c r="H16" i="7"/>
  <c r="H258" i="7"/>
  <c r="H216" i="7"/>
  <c r="H309" i="7"/>
  <c r="H296" i="7"/>
  <c r="H287" i="7"/>
  <c r="H279" i="7"/>
  <c r="H271" i="7"/>
  <c r="H249" i="7"/>
  <c r="H178" i="7"/>
  <c r="H138" i="7"/>
  <c r="H122" i="7"/>
  <c r="H39" i="7"/>
  <c r="H15" i="7"/>
  <c r="H64" i="7"/>
  <c r="H12" i="7"/>
  <c r="H290" i="7"/>
  <c r="H265" i="7"/>
  <c r="H197" i="7"/>
  <c r="H177" i="7"/>
  <c r="H165" i="7"/>
  <c r="H92" i="7"/>
  <c r="H260" i="7"/>
  <c r="P2" i="5"/>
  <c r="S3" i="1"/>
  <c r="T3" i="1"/>
  <c r="D3" i="15" s="1"/>
  <c r="S4" i="1"/>
  <c r="T4" i="1"/>
  <c r="D4" i="15" s="1"/>
  <c r="S5" i="1"/>
  <c r="T5" i="1"/>
  <c r="D5" i="15" s="1"/>
  <c r="S6" i="1"/>
  <c r="T6" i="1"/>
  <c r="D6" i="15" s="1"/>
  <c r="S7" i="1"/>
  <c r="T7" i="1"/>
  <c r="D7" i="15" s="1"/>
  <c r="S8" i="1"/>
  <c r="T8" i="1"/>
  <c r="D8" i="15" s="1"/>
  <c r="S9" i="1"/>
  <c r="T9" i="1"/>
  <c r="D9" i="15" s="1"/>
  <c r="S10" i="1"/>
  <c r="T10" i="1"/>
  <c r="D10" i="15" s="1"/>
  <c r="T2" i="1"/>
  <c r="D2" i="15" s="1"/>
  <c r="S2" i="1"/>
  <c r="C10" i="15" l="1"/>
  <c r="Q10" i="15" s="1"/>
  <c r="V10" i="1"/>
  <c r="C8" i="15"/>
  <c r="Q8" i="15" s="1"/>
  <c r="V8" i="1"/>
  <c r="C6" i="15"/>
  <c r="Q6" i="15" s="1"/>
  <c r="V6" i="1"/>
  <c r="C4" i="15"/>
  <c r="Q4" i="15" s="1"/>
  <c r="V4" i="1"/>
  <c r="C9" i="15"/>
  <c r="Q9" i="15" s="1"/>
  <c r="V9" i="1"/>
  <c r="M9" i="7" s="1"/>
  <c r="C7" i="15"/>
  <c r="Q7" i="15" s="1"/>
  <c r="V7" i="1"/>
  <c r="C5" i="15"/>
  <c r="Q5" i="15" s="1"/>
  <c r="V5" i="1"/>
  <c r="C3" i="15"/>
  <c r="Q3" i="15" s="1"/>
  <c r="V3" i="1"/>
  <c r="C2" i="15"/>
  <c r="Q2" i="15" s="1"/>
  <c r="V2" i="1"/>
  <c r="O5" i="1"/>
  <c r="O9" i="1"/>
  <c r="O3" i="1"/>
  <c r="O7" i="1"/>
  <c r="Y7" i="1"/>
  <c r="O10" i="1"/>
  <c r="U8" i="1"/>
  <c r="X7" i="1"/>
  <c r="Z10" i="1"/>
  <c r="Z3" i="1"/>
  <c r="U7" i="1"/>
  <c r="Z8" i="1"/>
  <c r="O8" i="1"/>
  <c r="O6" i="1"/>
  <c r="O4" i="1"/>
  <c r="Z7" i="1"/>
  <c r="O2" i="1"/>
  <c r="U9" i="1"/>
  <c r="W9" i="1"/>
  <c r="U6" i="1"/>
  <c r="W6" i="1"/>
  <c r="W3" i="1"/>
  <c r="W4" i="1"/>
  <c r="U5" i="1"/>
  <c r="W5" i="1"/>
  <c r="Z4" i="1"/>
  <c r="Z9" i="1"/>
  <c r="U4" i="1"/>
  <c r="U10" i="1"/>
  <c r="W10" i="1"/>
  <c r="W7" i="1"/>
  <c r="W2" i="1"/>
  <c r="W8" i="1"/>
  <c r="Z6" i="1"/>
  <c r="Z5" i="1"/>
  <c r="Y3" i="1"/>
  <c r="U3" i="1"/>
  <c r="X3" i="1"/>
  <c r="X10" i="1"/>
  <c r="X6" i="1"/>
  <c r="Y10" i="1"/>
  <c r="Y6" i="1"/>
  <c r="X9" i="1"/>
  <c r="X5" i="1"/>
  <c r="Y9" i="1"/>
  <c r="Y5" i="1"/>
  <c r="X8" i="1"/>
  <c r="X4" i="1"/>
  <c r="Y8" i="1"/>
  <c r="Y4" i="1"/>
  <c r="U2" i="1"/>
  <c r="Z2" i="1"/>
  <c r="X2" i="1"/>
  <c r="Y2" i="1"/>
  <c r="K2" i="7" l="1"/>
  <c r="P4" i="1"/>
  <c r="P3" i="1"/>
  <c r="I2" i="7"/>
  <c r="P6" i="1"/>
  <c r="P10" i="1"/>
  <c r="P9" i="1"/>
  <c r="P2" i="1"/>
  <c r="P8" i="1"/>
  <c r="P5" i="1"/>
  <c r="P7" i="1"/>
  <c r="N8" i="7"/>
  <c r="N5" i="7"/>
  <c r="N6" i="7"/>
  <c r="M3" i="7"/>
  <c r="M7" i="7"/>
  <c r="M4" i="7"/>
  <c r="M8" i="7"/>
  <c r="N7" i="7"/>
  <c r="N4" i="7"/>
  <c r="M5" i="7"/>
  <c r="M6" i="7"/>
  <c r="J2" i="7"/>
  <c r="N3" i="7"/>
  <c r="N9" i="7"/>
  <c r="AC8" i="1"/>
  <c r="AC6" i="1"/>
  <c r="AC10" i="1"/>
  <c r="AC3" i="1"/>
  <c r="AC2" i="1"/>
  <c r="AC9" i="1"/>
  <c r="AC5" i="1"/>
  <c r="AC4" i="1"/>
  <c r="AC7" i="1"/>
  <c r="Q7" i="1"/>
  <c r="H7" i="7" s="1"/>
  <c r="I8" i="7"/>
  <c r="K5" i="7"/>
  <c r="K9" i="7"/>
  <c r="J6" i="7"/>
  <c r="I3" i="7"/>
  <c r="K4" i="7"/>
  <c r="K8" i="7"/>
  <c r="I4" i="7"/>
  <c r="I5" i="7"/>
  <c r="I6" i="7"/>
  <c r="J3" i="7"/>
  <c r="G6" i="7"/>
  <c r="K3" i="7"/>
  <c r="G3" i="7"/>
  <c r="I9" i="7"/>
  <c r="J7" i="7"/>
  <c r="J4" i="7"/>
  <c r="I10" i="7"/>
  <c r="K7" i="7"/>
  <c r="K10" i="7"/>
  <c r="J5" i="7"/>
  <c r="K6" i="7"/>
  <c r="I7" i="7"/>
  <c r="G5" i="7"/>
  <c r="J8" i="7"/>
  <c r="J9" i="7"/>
  <c r="J10" i="7"/>
  <c r="G4" i="7"/>
  <c r="G7" i="7"/>
  <c r="Q3" i="1"/>
  <c r="G8" i="7"/>
  <c r="Q8" i="1"/>
  <c r="H8" i="7" s="1"/>
  <c r="Q5" i="1"/>
  <c r="G10" i="7"/>
  <c r="Q10" i="1"/>
  <c r="G9" i="7"/>
  <c r="Q9" i="1"/>
  <c r="M10" i="7"/>
  <c r="N10" i="7"/>
  <c r="Q4" i="1"/>
  <c r="Q6" i="1"/>
  <c r="G2" i="7"/>
  <c r="Q2" i="1"/>
  <c r="M2" i="7"/>
  <c r="N2" i="7"/>
  <c r="J2" i="5"/>
  <c r="H6" i="7" l="1"/>
  <c r="H4" i="7"/>
  <c r="H5" i="7"/>
  <c r="H9" i="7"/>
  <c r="H3" i="7"/>
  <c r="H10" i="7"/>
  <c r="H2" i="7"/>
  <c r="P27" i="5" l="1"/>
  <c r="Q27" i="5" s="1"/>
  <c r="P28" i="5"/>
  <c r="Q28" i="5" s="1"/>
  <c r="P29" i="5"/>
  <c r="Q29" i="5" s="1"/>
  <c r="P30" i="5"/>
  <c r="Q30" i="5" s="1"/>
  <c r="P31" i="5"/>
  <c r="Q31" i="5" s="1"/>
  <c r="P32" i="5"/>
  <c r="Q32" i="5" s="1"/>
  <c r="P33" i="5"/>
  <c r="Q33" i="5" s="1"/>
  <c r="P34" i="5"/>
  <c r="Q34" i="5" s="1"/>
  <c r="P35" i="5"/>
  <c r="Q35" i="5" s="1"/>
  <c r="P36" i="5"/>
  <c r="Q36" i="5" s="1"/>
  <c r="P37" i="5"/>
  <c r="Q37" i="5" s="1"/>
  <c r="P38" i="5"/>
  <c r="Q38" i="5" s="1"/>
  <c r="P39" i="5"/>
  <c r="Q39" i="5" s="1"/>
  <c r="P40" i="5"/>
  <c r="Q40" i="5" s="1"/>
  <c r="P41" i="5"/>
  <c r="Q41" i="5" s="1"/>
  <c r="F2" i="7" l="1"/>
  <c r="C2" i="7"/>
  <c r="E2" i="7"/>
  <c r="D2" i="7"/>
  <c r="P11" i="5" l="1"/>
  <c r="Q11" i="5" s="1"/>
  <c r="P3" i="5"/>
  <c r="Q3" i="5" s="1"/>
  <c r="P5" i="5"/>
  <c r="Q5" i="5" s="1"/>
  <c r="P8" i="5"/>
  <c r="Q8" i="5" s="1"/>
  <c r="P22" i="5"/>
  <c r="Q22" i="5" s="1"/>
  <c r="P15" i="5"/>
  <c r="Q15" i="5" s="1"/>
  <c r="P14" i="5"/>
  <c r="Q14" i="5" s="1"/>
  <c r="P16" i="5"/>
  <c r="Q16" i="5" s="1"/>
  <c r="P26" i="5"/>
  <c r="Q26" i="5" s="1"/>
  <c r="P10" i="5"/>
  <c r="Q10" i="5" s="1"/>
  <c r="P6" i="5"/>
  <c r="Q6" i="5" s="1"/>
  <c r="P23" i="5"/>
  <c r="Q23" i="5" s="1"/>
  <c r="P18" i="5"/>
  <c r="Q18" i="5" s="1"/>
  <c r="P12" i="5"/>
  <c r="Q12" i="5" s="1"/>
  <c r="P21" i="5"/>
  <c r="Q21" i="5" s="1"/>
  <c r="P24" i="5"/>
  <c r="Q24" i="5" s="1"/>
  <c r="P20" i="5"/>
  <c r="Q20" i="5" s="1"/>
  <c r="P9" i="5"/>
  <c r="Q9" i="5" s="1"/>
  <c r="P17" i="5"/>
  <c r="Q17" i="5" s="1"/>
  <c r="P25" i="5"/>
  <c r="Q25" i="5" s="1"/>
  <c r="P13" i="5"/>
  <c r="Q13" i="5" s="1"/>
  <c r="P19" i="5"/>
  <c r="Q19" i="5" s="1"/>
  <c r="P7" i="5"/>
  <c r="Q7" i="5" s="1"/>
  <c r="Q2" i="5"/>
  <c r="P4" i="5"/>
  <c r="Q4" i="5" s="1"/>
  <c r="A2" i="7" l="1"/>
  <c r="J26" i="5" l="1"/>
  <c r="J25" i="5"/>
  <c r="J24" i="5"/>
  <c r="J23" i="5"/>
  <c r="J22" i="5"/>
  <c r="J21" i="5"/>
  <c r="J20" i="5"/>
  <c r="J19" i="5"/>
  <c r="J18" i="5"/>
  <c r="J17" i="5"/>
  <c r="J16" i="5"/>
  <c r="J15" i="5"/>
  <c r="J14" i="5"/>
  <c r="J13" i="5"/>
  <c r="J12" i="5"/>
  <c r="J11" i="5"/>
  <c r="J10" i="5"/>
  <c r="J9" i="5"/>
  <c r="J8" i="5"/>
  <c r="J7" i="5"/>
  <c r="J6" i="5"/>
  <c r="J5" i="5"/>
  <c r="J4" i="5"/>
  <c r="J3" i="5"/>
  <c r="AC157" i="5" l="1"/>
  <c r="AD157" i="5"/>
  <c r="S1182" i="5"/>
  <c r="U137" i="5"/>
  <c r="C1256" i="5"/>
  <c r="C437" i="5"/>
  <c r="U1152" i="5"/>
  <c r="Z407" i="5"/>
  <c r="U1437" i="5"/>
  <c r="T467" i="5"/>
  <c r="Z32" i="5"/>
  <c r="E772" i="5"/>
  <c r="AA137" i="5"/>
  <c r="X387" i="5"/>
  <c r="C1320" i="5"/>
  <c r="S667" i="5"/>
  <c r="C1714" i="5"/>
  <c r="X842" i="5"/>
  <c r="S1497" i="5"/>
  <c r="T947" i="5"/>
  <c r="AA812" i="5"/>
  <c r="AA1567" i="5"/>
  <c r="E812" i="5"/>
  <c r="X152" i="5"/>
  <c r="C1395" i="5"/>
  <c r="Z197" i="5"/>
  <c r="V1537" i="5"/>
  <c r="X1297" i="5"/>
  <c r="AA757" i="5"/>
  <c r="U227" i="5"/>
  <c r="T1342" i="5"/>
  <c r="Z1357" i="5"/>
  <c r="C1371" i="5"/>
  <c r="C412" i="5"/>
  <c r="X312" i="5"/>
  <c r="V1377" i="5"/>
  <c r="C1541" i="5"/>
  <c r="AA67" i="5"/>
  <c r="E122" i="5"/>
  <c r="U457" i="5"/>
  <c r="AA797" i="5"/>
  <c r="C1230" i="5"/>
  <c r="AB1512" i="5"/>
  <c r="F1232" i="5"/>
  <c r="C900" i="5"/>
  <c r="C905" i="5"/>
  <c r="AB802" i="5"/>
  <c r="V887" i="5"/>
  <c r="X1497" i="5"/>
  <c r="C864" i="5"/>
  <c r="AA1382" i="5"/>
  <c r="C59" i="5"/>
  <c r="S1152" i="5"/>
  <c r="U1207" i="5"/>
  <c r="X1247" i="5"/>
  <c r="C974" i="5"/>
  <c r="U1397" i="5"/>
  <c r="V1532" i="5"/>
  <c r="T232" i="5"/>
  <c r="E747" i="5"/>
  <c r="X1432" i="5"/>
  <c r="AB362" i="5"/>
  <c r="T657" i="5"/>
  <c r="C1018" i="5"/>
  <c r="T1197" i="5"/>
  <c r="X237" i="5"/>
  <c r="C714" i="5"/>
  <c r="X822" i="5"/>
  <c r="AA177" i="5"/>
  <c r="T137" i="5"/>
  <c r="Z992" i="5"/>
  <c r="C899" i="5"/>
  <c r="V292" i="5"/>
  <c r="V397" i="5"/>
  <c r="C129" i="5"/>
  <c r="C1690" i="5"/>
  <c r="U907" i="5"/>
  <c r="U1362" i="5"/>
  <c r="U1482" i="5"/>
  <c r="Z1547" i="5"/>
  <c r="C1623" i="5"/>
  <c r="U537" i="5"/>
  <c r="AA602" i="5"/>
  <c r="S427" i="5"/>
  <c r="C297" i="5"/>
  <c r="C1554" i="5"/>
  <c r="E507" i="5"/>
  <c r="AB722" i="5"/>
  <c r="F1592" i="5"/>
  <c r="V522" i="5"/>
  <c r="S1447" i="5"/>
  <c r="C1163" i="5"/>
  <c r="X1357" i="5"/>
  <c r="X857" i="5"/>
  <c r="S532" i="5"/>
  <c r="C1010" i="5"/>
  <c r="AB1112" i="5"/>
  <c r="AB462" i="5"/>
  <c r="E1232" i="5"/>
  <c r="Z1042" i="5"/>
  <c r="V417" i="5"/>
  <c r="U1357" i="5"/>
  <c r="V937" i="5"/>
  <c r="Z1157" i="5"/>
  <c r="U1302" i="5"/>
  <c r="T1467" i="5"/>
  <c r="AB942" i="5"/>
  <c r="E527" i="5"/>
  <c r="S367" i="5"/>
  <c r="Z1527" i="5"/>
  <c r="T1142" i="5"/>
  <c r="F812" i="5"/>
  <c r="U17" i="5"/>
  <c r="C136" i="5"/>
  <c r="S1517" i="5"/>
  <c r="F1357" i="5"/>
  <c r="Z1192" i="5"/>
  <c r="E927" i="5"/>
  <c r="C215" i="5"/>
  <c r="U132" i="5"/>
  <c r="V897" i="5"/>
  <c r="AA1407" i="5"/>
  <c r="S557" i="5"/>
  <c r="V1292" i="5"/>
  <c r="T727" i="5"/>
  <c r="T1482" i="5"/>
  <c r="T1262" i="5"/>
  <c r="S1292" i="5"/>
  <c r="AB167" i="5"/>
  <c r="X1292" i="5"/>
  <c r="Z167" i="5"/>
  <c r="V1047" i="5"/>
  <c r="S232" i="5"/>
  <c r="Z772" i="5"/>
  <c r="X1227" i="5"/>
  <c r="S1202" i="5"/>
  <c r="X482" i="5"/>
  <c r="T877" i="5"/>
  <c r="F1572" i="5"/>
  <c r="C724" i="5"/>
  <c r="Z1477" i="5"/>
  <c r="S357" i="5"/>
  <c r="T1612" i="5"/>
  <c r="F272" i="5"/>
  <c r="X487" i="5"/>
  <c r="C984" i="5"/>
  <c r="E982" i="5"/>
  <c r="Z1332" i="5"/>
  <c r="U422" i="5"/>
  <c r="Z1402" i="5"/>
  <c r="T402" i="5"/>
  <c r="C331" i="5"/>
  <c r="Z787" i="5"/>
  <c r="Z747" i="5"/>
  <c r="AA1172" i="5"/>
  <c r="S1387" i="5"/>
  <c r="AB62" i="5"/>
  <c r="C527" i="5"/>
  <c r="C740" i="5"/>
  <c r="T277" i="5"/>
  <c r="AB102" i="5"/>
  <c r="C1392" i="5"/>
  <c r="Z912" i="5"/>
  <c r="AA527" i="5"/>
  <c r="AB72" i="5"/>
  <c r="AA842" i="5"/>
  <c r="C1127" i="5"/>
  <c r="V1242" i="5"/>
  <c r="C978" i="5"/>
  <c r="F622" i="5"/>
  <c r="C390" i="5"/>
  <c r="AA1337" i="5"/>
  <c r="F562" i="5"/>
  <c r="C72" i="5"/>
  <c r="E57" i="5"/>
  <c r="C1461" i="5"/>
  <c r="T272" i="5"/>
  <c r="U207" i="5"/>
  <c r="X172" i="5"/>
  <c r="C1713" i="5"/>
  <c r="X377" i="5"/>
  <c r="X1052" i="5"/>
  <c r="AA912" i="5"/>
  <c r="T217" i="5"/>
  <c r="C105" i="5"/>
  <c r="F1252" i="5"/>
  <c r="AA1477" i="5"/>
  <c r="C634" i="5"/>
  <c r="U1427" i="5"/>
  <c r="X1282" i="5"/>
  <c r="AB477" i="5"/>
  <c r="X1232" i="5"/>
  <c r="V377" i="5"/>
  <c r="AA312" i="5"/>
  <c r="C617" i="5"/>
  <c r="Z632" i="5"/>
  <c r="AB1297" i="5"/>
  <c r="U1472" i="5"/>
  <c r="U467" i="5"/>
  <c r="Z432" i="5"/>
  <c r="C1720" i="5"/>
  <c r="AB817" i="5"/>
  <c r="C1170" i="5"/>
  <c r="C1599" i="5"/>
  <c r="U807" i="5"/>
  <c r="AB257" i="5"/>
  <c r="AB597" i="5"/>
  <c r="C176" i="5"/>
  <c r="S247" i="5"/>
  <c r="C407" i="5"/>
  <c r="C981" i="5"/>
  <c r="C247" i="5"/>
  <c r="C1312" i="5"/>
  <c r="X337" i="5"/>
  <c r="X927" i="5"/>
  <c r="T522" i="5"/>
  <c r="AA1472" i="5"/>
  <c r="S202" i="5"/>
  <c r="C825" i="5"/>
  <c r="Z27" i="5"/>
  <c r="T432" i="5"/>
  <c r="C1447" i="5"/>
  <c r="V92" i="5"/>
  <c r="T422" i="5"/>
  <c r="AA1302" i="5"/>
  <c r="AA1537" i="5"/>
  <c r="X977" i="5"/>
  <c r="V777" i="5"/>
  <c r="T1112" i="5"/>
  <c r="Z1322" i="5"/>
  <c r="C1458" i="5"/>
  <c r="X627" i="5"/>
  <c r="S762" i="5"/>
  <c r="Z532" i="5"/>
  <c r="V1117" i="5"/>
  <c r="E382" i="5"/>
  <c r="C610" i="5"/>
  <c r="AA1037" i="5"/>
  <c r="U987" i="5"/>
  <c r="X1377" i="5"/>
  <c r="U1342" i="5"/>
  <c r="C723" i="5"/>
  <c r="AB1247" i="5"/>
  <c r="X1717" i="5"/>
  <c r="C928" i="5"/>
  <c r="S272" i="5"/>
  <c r="AA1442" i="5"/>
  <c r="X1632" i="5"/>
  <c r="C755" i="5"/>
  <c r="S117" i="5"/>
  <c r="C1449" i="5"/>
  <c r="V642" i="5"/>
  <c r="AA297" i="5"/>
  <c r="S547" i="5"/>
  <c r="T1527" i="5"/>
  <c r="U1237" i="5"/>
  <c r="AA902" i="5"/>
  <c r="Z902" i="5"/>
  <c r="AA892" i="5"/>
  <c r="E752" i="5"/>
  <c r="F72" i="5"/>
  <c r="T1462" i="5"/>
  <c r="C875" i="5"/>
  <c r="C104" i="5"/>
  <c r="C1321" i="5"/>
  <c r="C1413" i="5"/>
  <c r="C301" i="5"/>
  <c r="F502" i="5"/>
  <c r="V342" i="5"/>
  <c r="V1112" i="5"/>
  <c r="AB1042" i="5"/>
  <c r="C1038" i="5"/>
  <c r="Z517" i="5"/>
  <c r="C716" i="5"/>
  <c r="T257" i="5"/>
  <c r="C1424" i="5"/>
  <c r="C1630" i="5"/>
  <c r="T377" i="5"/>
  <c r="F52" i="5"/>
  <c r="Z1302" i="5"/>
  <c r="C1077" i="5"/>
  <c r="E1037" i="5"/>
  <c r="C133" i="5"/>
  <c r="AA1282" i="5"/>
  <c r="AA587" i="5"/>
  <c r="AA47" i="5"/>
  <c r="V1457" i="5"/>
  <c r="Z777" i="5"/>
  <c r="C636" i="5"/>
  <c r="X1532" i="5"/>
  <c r="C263" i="5"/>
  <c r="AB737" i="5"/>
  <c r="C1002" i="5"/>
  <c r="C620" i="5"/>
  <c r="S732" i="5"/>
  <c r="V542" i="5"/>
  <c r="Z1317" i="5"/>
  <c r="C1635" i="5"/>
  <c r="C28" i="5"/>
  <c r="T507" i="5"/>
  <c r="V12" i="5"/>
  <c r="F1002" i="5"/>
  <c r="V1167" i="5"/>
  <c r="C377" i="5"/>
  <c r="AA717" i="5"/>
  <c r="Z122" i="5"/>
  <c r="T1157" i="5"/>
  <c r="C300" i="5"/>
  <c r="S537" i="5"/>
  <c r="AA192" i="5"/>
  <c r="F952" i="5"/>
  <c r="C1446" i="5"/>
  <c r="Z1422" i="5"/>
  <c r="V792" i="5"/>
  <c r="X777" i="5"/>
  <c r="U1367" i="5"/>
  <c r="C1103" i="5"/>
  <c r="E962" i="5"/>
  <c r="C637" i="5"/>
  <c r="C1697" i="5"/>
  <c r="U517" i="5"/>
  <c r="S1237" i="5"/>
  <c r="C504" i="5"/>
  <c r="V717" i="5"/>
  <c r="Z287" i="5"/>
  <c r="C836" i="5"/>
  <c r="C142" i="5"/>
  <c r="T757" i="5"/>
  <c r="T202" i="5"/>
  <c r="T352" i="5"/>
  <c r="AA732" i="5"/>
  <c r="T897" i="5"/>
  <c r="AB1002" i="5"/>
  <c r="C25" i="5"/>
  <c r="AB1352" i="5"/>
  <c r="AA577" i="5"/>
  <c r="C609" i="5"/>
  <c r="V1322" i="5"/>
  <c r="F1127" i="5"/>
  <c r="AB1262" i="5"/>
  <c r="X1242" i="5"/>
  <c r="U267" i="5"/>
  <c r="X162" i="5"/>
  <c r="AA1492" i="5"/>
  <c r="X1087" i="5"/>
  <c r="T1217" i="5"/>
  <c r="C1715" i="5"/>
  <c r="C466" i="5"/>
  <c r="V432" i="5"/>
  <c r="T1212" i="5"/>
  <c r="S1122" i="5"/>
  <c r="C1361" i="5"/>
  <c r="Z822" i="5"/>
  <c r="T7" i="5"/>
  <c r="C161" i="5"/>
  <c r="C606" i="5"/>
  <c r="T1182" i="5"/>
  <c r="C511" i="5"/>
  <c r="E857" i="5"/>
  <c r="U387" i="5"/>
  <c r="T1202" i="5"/>
  <c r="C745" i="5"/>
  <c r="V217" i="5"/>
  <c r="F317" i="5"/>
  <c r="AB142" i="5"/>
  <c r="S867" i="5"/>
  <c r="Z1067" i="5"/>
  <c r="S942" i="5"/>
  <c r="X882" i="5"/>
  <c r="U442" i="5"/>
  <c r="S952" i="5"/>
  <c r="X922" i="5"/>
  <c r="F1132" i="5"/>
  <c r="C1444" i="5"/>
  <c r="C417" i="5"/>
  <c r="C291" i="5"/>
  <c r="C1155" i="5"/>
  <c r="U72" i="5"/>
  <c r="F1172" i="5"/>
  <c r="C1456" i="5"/>
  <c r="C916" i="5"/>
  <c r="F1117" i="5"/>
  <c r="Z422" i="5"/>
  <c r="AA597" i="5"/>
  <c r="S1272" i="5"/>
  <c r="C312" i="5"/>
  <c r="U732" i="5"/>
  <c r="AB347" i="5"/>
  <c r="C1095" i="5"/>
  <c r="C21" i="5"/>
  <c r="C635" i="5"/>
  <c r="U877" i="5"/>
  <c r="V1507" i="5"/>
  <c r="F362" i="5"/>
  <c r="V152" i="5"/>
  <c r="V577" i="5"/>
  <c r="X987" i="5"/>
  <c r="V132" i="5"/>
  <c r="AB712" i="5"/>
  <c r="U497" i="5"/>
  <c r="C1463" i="5"/>
  <c r="U1522" i="5"/>
  <c r="U692" i="5"/>
  <c r="Z397" i="5"/>
  <c r="C1331" i="5"/>
  <c r="C923" i="5"/>
  <c r="V1387" i="5"/>
  <c r="C1046" i="5"/>
  <c r="X1557" i="5"/>
  <c r="AB922" i="5"/>
  <c r="AA1062" i="5"/>
  <c r="C352" i="5"/>
  <c r="E712" i="5"/>
  <c r="E862" i="5"/>
  <c r="S1232" i="5"/>
  <c r="C1530" i="5"/>
  <c r="AA582" i="5"/>
  <c r="E87" i="5"/>
  <c r="U1372" i="5"/>
  <c r="C1709" i="5"/>
  <c r="X502" i="5"/>
  <c r="C1023" i="5"/>
  <c r="U1107" i="5"/>
  <c r="AB407" i="5"/>
  <c r="V562" i="5"/>
  <c r="AA1467" i="5"/>
  <c r="T632" i="5"/>
  <c r="X1342" i="5"/>
  <c r="C372" i="5"/>
  <c r="X1327" i="5"/>
  <c r="C1144" i="5"/>
  <c r="C1719" i="5"/>
  <c r="AB1162" i="5"/>
  <c r="S162" i="5"/>
  <c r="S1132" i="5"/>
  <c r="S1087" i="5"/>
  <c r="C178" i="5"/>
  <c r="C1561" i="5"/>
  <c r="C592" i="5"/>
  <c r="T1417" i="5"/>
  <c r="T977" i="5"/>
  <c r="C1020" i="5"/>
  <c r="X442" i="5"/>
  <c r="Z82" i="5"/>
  <c r="AB297" i="5"/>
  <c r="U182" i="5"/>
  <c r="AB902" i="5"/>
  <c r="C841" i="5"/>
  <c r="T1597" i="5"/>
  <c r="AB1487" i="5"/>
  <c r="V1492" i="5"/>
  <c r="E187" i="5"/>
  <c r="AB87" i="5"/>
  <c r="Z1277" i="5"/>
  <c r="C1068" i="5"/>
  <c r="V782" i="5"/>
  <c r="AA1452" i="5"/>
  <c r="E1237" i="5"/>
  <c r="S1372" i="5"/>
  <c r="AB1172" i="5"/>
  <c r="U972" i="5"/>
  <c r="S892" i="5"/>
  <c r="AA1207" i="5"/>
  <c r="T437" i="5"/>
  <c r="C84" i="5"/>
  <c r="S1527" i="5"/>
  <c r="F297" i="5"/>
  <c r="AA787" i="5"/>
  <c r="AA777" i="5"/>
  <c r="AB187" i="5"/>
  <c r="X32" i="5"/>
  <c r="X1517" i="5"/>
  <c r="X642" i="5"/>
  <c r="AA457" i="5"/>
  <c r="C38" i="5"/>
  <c r="E1072" i="5"/>
  <c r="Z1457" i="5"/>
  <c r="V1522" i="5"/>
  <c r="S197" i="5"/>
  <c r="C185" i="5"/>
  <c r="C1501" i="5"/>
  <c r="E782" i="5"/>
  <c r="Z282" i="5"/>
  <c r="U697" i="5"/>
  <c r="AB812" i="5"/>
  <c r="Z1077" i="5"/>
  <c r="S477" i="5"/>
  <c r="S417" i="5"/>
  <c r="U1532" i="5"/>
  <c r="C97" i="5"/>
  <c r="Z552" i="5"/>
  <c r="C1239" i="5"/>
  <c r="E1547" i="5"/>
  <c r="C1376" i="5"/>
  <c r="C1157" i="5"/>
  <c r="S637" i="5"/>
  <c r="V312" i="5"/>
  <c r="T177" i="5"/>
  <c r="AA1427" i="5"/>
  <c r="AA747" i="5"/>
  <c r="C851" i="5"/>
  <c r="S1017" i="5"/>
  <c r="S122" i="5"/>
  <c r="C597" i="5"/>
  <c r="Z1282" i="5"/>
  <c r="T1332" i="5"/>
  <c r="AA762" i="5"/>
  <c r="F162" i="5"/>
  <c r="C594" i="5"/>
  <c r="AB952" i="5"/>
  <c r="C1401" i="5"/>
  <c r="S717" i="5"/>
  <c r="C522" i="5"/>
  <c r="F312" i="5"/>
  <c r="AB422" i="5"/>
  <c r="C1201" i="5"/>
  <c r="AA357" i="5"/>
  <c r="C1678" i="5"/>
  <c r="C983" i="5"/>
  <c r="AB1187" i="5"/>
  <c r="AA987" i="5"/>
  <c r="X127" i="5"/>
  <c r="F602" i="5"/>
  <c r="C1058" i="5"/>
  <c r="C1431" i="5"/>
  <c r="Z1522" i="5"/>
  <c r="V987" i="5"/>
  <c r="X1642" i="5"/>
  <c r="AA1232" i="5"/>
  <c r="C586" i="5"/>
  <c r="X1352" i="5"/>
  <c r="E562" i="5"/>
  <c r="S127" i="5"/>
  <c r="C858" i="5"/>
  <c r="C657" i="5"/>
  <c r="C1655" i="5"/>
  <c r="AB1217" i="5"/>
  <c r="U242" i="5"/>
  <c r="E1152" i="5"/>
  <c r="AB1027" i="5"/>
  <c r="C1730" i="5"/>
  <c r="F897" i="5"/>
  <c r="C929" i="5"/>
  <c r="AA552" i="5"/>
  <c r="C1533" i="5"/>
  <c r="C669" i="5"/>
  <c r="X1637" i="5"/>
  <c r="C1698" i="5"/>
  <c r="F542" i="5"/>
  <c r="C484" i="5"/>
  <c r="T382" i="5"/>
  <c r="F282" i="5"/>
  <c r="V402" i="5"/>
  <c r="C704" i="5"/>
  <c r="S857" i="5"/>
  <c r="C7" i="5"/>
  <c r="T1387" i="5"/>
  <c r="C238" i="5"/>
  <c r="E642" i="5"/>
  <c r="T362" i="5"/>
  <c r="C1212" i="5"/>
  <c r="E912" i="5"/>
  <c r="E1187" i="5"/>
  <c r="C89" i="5"/>
  <c r="E422" i="5"/>
  <c r="U2" i="5"/>
  <c r="C789" i="5"/>
  <c r="S572" i="5"/>
  <c r="C1035" i="5"/>
  <c r="F657" i="5"/>
  <c r="V1017" i="5"/>
  <c r="C356" i="5"/>
  <c r="V1042" i="5"/>
  <c r="AA332" i="5"/>
  <c r="E1577" i="5"/>
  <c r="X607" i="5"/>
  <c r="X92" i="5"/>
  <c r="S82" i="5"/>
  <c r="X1607" i="5"/>
  <c r="C1004" i="5"/>
  <c r="S897" i="5"/>
  <c r="AA637" i="5"/>
  <c r="Z597" i="5"/>
  <c r="V1327" i="5"/>
  <c r="AA1112" i="5"/>
  <c r="C890" i="5"/>
  <c r="C800" i="5"/>
  <c r="F627" i="5"/>
  <c r="AA1347" i="5"/>
  <c r="C1617" i="5"/>
  <c r="T57" i="5"/>
  <c r="V177" i="5"/>
  <c r="S192" i="5"/>
  <c r="T2" i="5"/>
  <c r="T1592" i="5"/>
  <c r="AB1207" i="5"/>
  <c r="V1212" i="5"/>
  <c r="T1257" i="5"/>
  <c r="S347" i="5"/>
  <c r="AB252" i="5"/>
  <c r="AA652" i="5"/>
  <c r="AB637" i="5"/>
  <c r="AB1482" i="5"/>
  <c r="S1022" i="5"/>
  <c r="X1597" i="5"/>
  <c r="C1112" i="5"/>
  <c r="AA557" i="5"/>
  <c r="T397" i="5"/>
  <c r="S112" i="5"/>
  <c r="AB1032" i="5"/>
  <c r="Z92" i="5"/>
  <c r="C1650" i="5"/>
  <c r="E107" i="5"/>
  <c r="E582" i="5"/>
  <c r="S1047" i="5"/>
  <c r="F1337" i="5"/>
  <c r="V1487" i="5"/>
  <c r="Z547" i="5"/>
  <c r="F1072" i="5"/>
  <c r="S517" i="5"/>
  <c r="S107" i="5"/>
  <c r="C250" i="5"/>
  <c r="X512" i="5"/>
  <c r="U607" i="5"/>
  <c r="Z1102" i="5"/>
  <c r="AB527" i="5"/>
  <c r="AA872" i="5"/>
  <c r="S832" i="5"/>
  <c r="AA172" i="5"/>
  <c r="E1347" i="5"/>
  <c r="AB472" i="5"/>
  <c r="AB642" i="5"/>
  <c r="C74" i="5"/>
  <c r="C1369" i="5"/>
  <c r="X682" i="5"/>
  <c r="Z1237" i="5"/>
  <c r="V1552" i="5"/>
  <c r="C605" i="5"/>
  <c r="F1257" i="5"/>
  <c r="AB1497" i="5"/>
  <c r="V1262" i="5"/>
  <c r="AA427" i="5"/>
  <c r="S912" i="5"/>
  <c r="AB147" i="5"/>
  <c r="AB1517" i="5"/>
  <c r="Z1397" i="5"/>
  <c r="E692" i="5"/>
  <c r="S1142" i="5"/>
  <c r="C1616" i="5"/>
  <c r="AB52" i="5"/>
  <c r="X1127" i="5"/>
  <c r="C23" i="5"/>
  <c r="U627" i="5"/>
  <c r="C1669" i="5"/>
  <c r="AB117" i="5"/>
  <c r="C1172" i="5"/>
  <c r="Z1492" i="5"/>
  <c r="AA282" i="5"/>
  <c r="AB587" i="5"/>
  <c r="C957" i="5"/>
  <c r="AA1387" i="5"/>
  <c r="X372" i="5"/>
  <c r="V137" i="5"/>
  <c r="T102" i="5"/>
  <c r="X317" i="5"/>
  <c r="U872" i="5"/>
  <c r="U1497" i="5"/>
  <c r="C1037" i="5"/>
  <c r="Z372" i="5"/>
  <c r="AB1467" i="5"/>
  <c r="U37" i="5"/>
  <c r="U1387" i="5"/>
  <c r="F262" i="5"/>
  <c r="X817" i="5"/>
  <c r="E522" i="5"/>
  <c r="Z877" i="5"/>
  <c r="C1681" i="5"/>
  <c r="F1527" i="5"/>
  <c r="X492" i="5"/>
  <c r="X972" i="5"/>
  <c r="E407" i="5"/>
  <c r="AB292" i="5"/>
  <c r="V1077" i="5"/>
  <c r="V17" i="5"/>
  <c r="AA462" i="5"/>
  <c r="U637" i="5"/>
  <c r="V362" i="5"/>
  <c r="AB667" i="5"/>
  <c r="V1357" i="5"/>
  <c r="C523" i="5"/>
  <c r="T1187" i="5"/>
  <c r="AB1177" i="5"/>
  <c r="C494" i="5"/>
  <c r="Z1352" i="5"/>
  <c r="AB22" i="5"/>
  <c r="C1051" i="5"/>
  <c r="AB1232" i="5"/>
  <c r="S922" i="5"/>
  <c r="X1692" i="5"/>
  <c r="U1067" i="5"/>
  <c r="S177" i="5"/>
  <c r="C343" i="5"/>
  <c r="U372" i="5"/>
  <c r="S1552" i="5"/>
  <c r="F992" i="5"/>
  <c r="C1483" i="5"/>
  <c r="S242" i="5"/>
  <c r="U342" i="5"/>
  <c r="AB1372" i="5"/>
  <c r="Z767" i="5"/>
  <c r="C190" i="5"/>
  <c r="AB92" i="5"/>
  <c r="C174" i="5"/>
  <c r="F737" i="5"/>
  <c r="S172" i="5"/>
  <c r="AA1292" i="5"/>
  <c r="AB262" i="5"/>
  <c r="C454" i="5"/>
  <c r="C1641" i="5"/>
  <c r="T832" i="5"/>
  <c r="C288" i="5"/>
  <c r="C245" i="5"/>
  <c r="X1622" i="5"/>
  <c r="E697" i="5"/>
  <c r="V1447" i="5"/>
  <c r="C1586" i="5"/>
  <c r="S1077" i="5"/>
  <c r="AB747" i="5"/>
  <c r="V252" i="5"/>
  <c r="AB1072" i="5"/>
  <c r="T812" i="5"/>
  <c r="C235" i="5"/>
  <c r="T1037" i="5"/>
  <c r="S77" i="5"/>
  <c r="AB1007" i="5"/>
  <c r="Z447" i="5"/>
  <c r="T1542" i="5"/>
  <c r="C1515" i="5"/>
  <c r="C1739" i="5"/>
  <c r="U1212" i="5"/>
  <c r="C1454" i="5"/>
  <c r="E977" i="5"/>
  <c r="C863" i="5"/>
  <c r="F202" i="5"/>
  <c r="AA417" i="5"/>
  <c r="V1547" i="5"/>
  <c r="V262" i="5"/>
  <c r="U1402" i="5"/>
  <c r="AB702" i="5"/>
  <c r="C930" i="5"/>
  <c r="AB547" i="5"/>
  <c r="X277" i="5"/>
  <c r="V457" i="5"/>
  <c r="C1725" i="5"/>
  <c r="S222" i="5"/>
  <c r="T122" i="5"/>
  <c r="T1077" i="5"/>
  <c r="X762" i="5"/>
  <c r="V102" i="5"/>
  <c r="V502" i="5"/>
  <c r="C1034" i="5"/>
  <c r="E1272" i="5"/>
  <c r="C1084" i="5"/>
  <c r="C689" i="5"/>
  <c r="X1477" i="5"/>
  <c r="Z867" i="5"/>
  <c r="U122" i="5"/>
  <c r="F1707" i="5"/>
  <c r="E1202" i="5"/>
  <c r="F2" i="5"/>
  <c r="X652" i="5"/>
  <c r="AA822" i="5"/>
  <c r="C1741" i="5"/>
  <c r="AA547" i="5"/>
  <c r="U902" i="5"/>
  <c r="Z7" i="5"/>
  <c r="T1172" i="5"/>
  <c r="C953" i="5"/>
  <c r="C216" i="5"/>
  <c r="C1542" i="5"/>
  <c r="C1509" i="5"/>
  <c r="Z1447" i="5"/>
  <c r="S307" i="5"/>
  <c r="X982" i="5"/>
  <c r="X1732" i="5"/>
  <c r="T322" i="5"/>
  <c r="AB1017" i="5"/>
  <c r="AB1412" i="5"/>
  <c r="Z577" i="5"/>
  <c r="E972" i="5"/>
  <c r="C1258" i="5"/>
  <c r="C1052" i="5"/>
  <c r="C968" i="5"/>
  <c r="AB777" i="5"/>
  <c r="C311" i="5"/>
  <c r="C888" i="5"/>
  <c r="V1427" i="5"/>
  <c r="Z1347" i="5"/>
  <c r="C1407" i="5"/>
  <c r="C1026" i="5"/>
  <c r="C499" i="5"/>
  <c r="X362" i="5"/>
  <c r="F632" i="5"/>
  <c r="E917" i="5"/>
  <c r="T1572" i="5"/>
  <c r="C33" i="5"/>
  <c r="AB482" i="5"/>
  <c r="C175" i="5"/>
  <c r="Z927" i="5"/>
  <c r="U557" i="5"/>
  <c r="E1332" i="5"/>
  <c r="E622" i="5"/>
  <c r="C1164" i="5"/>
  <c r="C834" i="5"/>
  <c r="F417" i="5"/>
  <c r="S992" i="5"/>
  <c r="C1193" i="5"/>
  <c r="C507" i="5"/>
  <c r="U852" i="5"/>
  <c r="U1377" i="5"/>
  <c r="V752" i="5"/>
  <c r="V7" i="5"/>
  <c r="C1108" i="5"/>
  <c r="Z887" i="5"/>
  <c r="C1429" i="5"/>
  <c r="C474" i="5"/>
  <c r="T717" i="5"/>
  <c r="Z1047" i="5"/>
  <c r="F772" i="5"/>
  <c r="C574" i="5"/>
  <c r="S847" i="5"/>
  <c r="AB127" i="5"/>
  <c r="U1117" i="5"/>
  <c r="X677" i="5"/>
  <c r="U147" i="5"/>
  <c r="T1477" i="5"/>
  <c r="U747" i="5"/>
  <c r="S882" i="5"/>
  <c r="C1606" i="5"/>
  <c r="T1582" i="5"/>
  <c r="X907" i="5"/>
  <c r="C1292" i="5"/>
  <c r="AB1397" i="5"/>
  <c r="U1222" i="5"/>
  <c r="Z1002" i="5"/>
  <c r="U1082" i="5"/>
  <c r="T1617" i="5"/>
  <c r="C1524" i="5"/>
  <c r="AA237" i="5"/>
  <c r="S402" i="5"/>
  <c r="U622" i="5"/>
  <c r="T1057" i="5"/>
  <c r="C334" i="5"/>
  <c r="C73" i="5"/>
  <c r="X1712" i="5"/>
  <c r="T287" i="5"/>
  <c r="X182" i="5"/>
  <c r="U1077" i="5"/>
  <c r="AB417" i="5"/>
  <c r="S492" i="5"/>
  <c r="Z1442" i="5"/>
  <c r="AA647" i="5"/>
  <c r="V1352" i="5"/>
  <c r="T1277" i="5"/>
  <c r="T222" i="5"/>
  <c r="V257" i="5"/>
  <c r="X37" i="5"/>
  <c r="AB242" i="5"/>
  <c r="U1022" i="5"/>
  <c r="X767" i="5"/>
  <c r="F1382" i="5"/>
  <c r="AA907" i="5"/>
  <c r="AB1227" i="5"/>
  <c r="AB1252" i="5"/>
  <c r="V1297" i="5"/>
  <c r="C1649" i="5"/>
  <c r="AA1027" i="5"/>
  <c r="U1232" i="5"/>
  <c r="C1251" i="5"/>
  <c r="V1502" i="5"/>
  <c r="Z1242" i="5"/>
  <c r="X307" i="5"/>
  <c r="V1342" i="5"/>
  <c r="AB437" i="5"/>
  <c r="AA207" i="5"/>
  <c r="S252" i="5"/>
  <c r="AA992" i="5"/>
  <c r="AA917" i="5"/>
  <c r="C1468" i="5"/>
  <c r="C1181" i="5"/>
  <c r="U867" i="5"/>
  <c r="U1542" i="5"/>
  <c r="Z57" i="5"/>
  <c r="Z1172" i="5"/>
  <c r="V97" i="5"/>
  <c r="AA1197" i="5"/>
  <c r="T182" i="5"/>
  <c r="Z757" i="5"/>
  <c r="E1127" i="5"/>
  <c r="AA1162" i="5"/>
  <c r="S647" i="5"/>
  <c r="T752" i="5"/>
  <c r="AB1202" i="5"/>
  <c r="C426" i="5"/>
  <c r="X1222" i="5"/>
  <c r="T1062" i="5"/>
  <c r="C394" i="5"/>
  <c r="AB1107" i="5"/>
  <c r="V1127" i="5"/>
  <c r="V147" i="5"/>
  <c r="Z427" i="5"/>
  <c r="U437" i="5"/>
  <c r="U1492" i="5"/>
  <c r="F662" i="5"/>
  <c r="S1522" i="5"/>
  <c r="T637" i="5"/>
  <c r="C1503" i="5"/>
  <c r="AA562" i="5"/>
  <c r="X272" i="5"/>
  <c r="X577" i="5"/>
  <c r="X1027" i="5"/>
  <c r="AA362" i="5"/>
  <c r="E222" i="5"/>
  <c r="AB1402" i="5"/>
  <c r="C1066" i="5"/>
  <c r="AB507" i="5"/>
  <c r="V687" i="5"/>
  <c r="Z1467" i="5"/>
  <c r="U722" i="5"/>
  <c r="S567" i="5"/>
  <c r="C987" i="5"/>
  <c r="V472" i="5"/>
  <c r="C1612" i="5"/>
  <c r="Z1472" i="5"/>
  <c r="T797" i="5"/>
  <c r="X1647" i="5"/>
  <c r="C1496" i="5"/>
  <c r="U752" i="5"/>
  <c r="E1147" i="5"/>
  <c r="Z617" i="5"/>
  <c r="C910" i="5"/>
  <c r="F652" i="5"/>
  <c r="C1365" i="5"/>
  <c r="AB1137" i="5"/>
  <c r="F937" i="5"/>
  <c r="AA187" i="5"/>
  <c r="S1452" i="5"/>
  <c r="T1517" i="5"/>
  <c r="AA1402" i="5"/>
  <c r="X1197" i="5"/>
  <c r="X62" i="5"/>
  <c r="C1237" i="5"/>
  <c r="E352" i="5"/>
  <c r="AA222" i="5"/>
  <c r="AA957" i="5"/>
  <c r="V737" i="5"/>
  <c r="C947" i="5"/>
  <c r="C63" i="5"/>
  <c r="C1711" i="5"/>
  <c r="AB1067" i="5"/>
  <c r="S887" i="5"/>
  <c r="T762" i="5"/>
  <c r="C1694" i="5"/>
  <c r="X1672" i="5"/>
  <c r="U57" i="5"/>
  <c r="Z697" i="5"/>
  <c r="T197" i="5"/>
  <c r="U662" i="5"/>
  <c r="V657" i="5"/>
  <c r="AA882" i="5"/>
  <c r="X912" i="5"/>
  <c r="Z1092" i="5"/>
  <c r="AA1222" i="5"/>
  <c r="S482" i="5"/>
  <c r="U1517" i="5"/>
  <c r="S627" i="5"/>
  <c r="T912" i="5"/>
  <c r="F1367" i="5"/>
  <c r="T447" i="5"/>
  <c r="F437" i="5"/>
  <c r="T1082" i="5"/>
  <c r="S902" i="5"/>
  <c r="T1007" i="5"/>
  <c r="X1112" i="5"/>
  <c r="C534" i="5"/>
  <c r="T227" i="5"/>
  <c r="C1440" i="5"/>
  <c r="AA677" i="5"/>
  <c r="C1040" i="5"/>
  <c r="C633" i="5"/>
  <c r="F42" i="5"/>
  <c r="V537" i="5"/>
  <c r="Z1342" i="5"/>
  <c r="C943" i="5"/>
  <c r="C338" i="5"/>
  <c r="V1407" i="5"/>
  <c r="C236" i="5"/>
  <c r="C209" i="5"/>
  <c r="C467" i="5"/>
  <c r="C496" i="5"/>
  <c r="C776" i="5"/>
  <c r="U447" i="5"/>
  <c r="X597" i="5"/>
  <c r="Z1052" i="5"/>
  <c r="C831" i="5"/>
  <c r="AA182" i="5"/>
  <c r="AB377" i="5"/>
  <c r="C99" i="5"/>
  <c r="C560" i="5"/>
  <c r="C434" i="5"/>
  <c r="AA302" i="5"/>
  <c r="C932" i="5"/>
  <c r="E662" i="5"/>
  <c r="AA1202" i="5"/>
  <c r="U62" i="5"/>
  <c r="C528" i="5"/>
  <c r="T117" i="5"/>
  <c r="U917" i="5"/>
  <c r="X117" i="5"/>
  <c r="T147" i="5"/>
  <c r="U1487" i="5"/>
  <c r="AB37" i="5"/>
  <c r="C429" i="5"/>
  <c r="E377" i="5"/>
  <c r="AB972" i="5"/>
  <c r="F572" i="5"/>
  <c r="AA952" i="5"/>
  <c r="AB592" i="5"/>
  <c r="AA112" i="5"/>
  <c r="C945" i="5"/>
  <c r="Z807" i="5"/>
  <c r="T902" i="5"/>
  <c r="S1432" i="5"/>
  <c r="U172" i="5"/>
  <c r="C1657" i="5"/>
  <c r="X177" i="5"/>
  <c r="V242" i="5"/>
  <c r="F647" i="5"/>
  <c r="F352" i="5"/>
  <c r="E182" i="5"/>
  <c r="C1366" i="5"/>
  <c r="F1537" i="5"/>
  <c r="AA197" i="5"/>
  <c r="T907" i="5"/>
  <c r="E1692" i="5"/>
  <c r="V347" i="5"/>
  <c r="T1412" i="5"/>
  <c r="V1032" i="5"/>
  <c r="AB1122" i="5"/>
  <c r="F782" i="5"/>
  <c r="AB572" i="5"/>
  <c r="U797" i="5"/>
  <c r="C172" i="5"/>
  <c r="E902" i="5"/>
  <c r="Z602" i="5"/>
  <c r="T827" i="5"/>
  <c r="C642" i="5"/>
  <c r="C730" i="5"/>
  <c r="U1127" i="5"/>
  <c r="T802" i="5"/>
  <c r="X722" i="5"/>
  <c r="AA1287" i="5"/>
  <c r="T417" i="5"/>
  <c r="F957" i="5"/>
  <c r="AB832" i="5"/>
  <c r="S1352" i="5"/>
  <c r="AB1152" i="5"/>
  <c r="X167" i="5"/>
  <c r="F67" i="5"/>
  <c r="C41" i="5"/>
  <c r="T857" i="5"/>
  <c r="S237" i="5"/>
  <c r="X497" i="5"/>
  <c r="T892" i="5"/>
  <c r="S1297" i="5"/>
  <c r="C732" i="5"/>
  <c r="S1177" i="5"/>
  <c r="AB1307" i="5"/>
  <c r="C114" i="5"/>
  <c r="AB382" i="5"/>
  <c r="AB967" i="5"/>
  <c r="S1567" i="5"/>
  <c r="S1172" i="5"/>
  <c r="AA722" i="5"/>
  <c r="C1693" i="5"/>
  <c r="AA52" i="5"/>
  <c r="S1012" i="5"/>
  <c r="E632" i="5"/>
  <c r="X1472" i="5"/>
  <c r="T62" i="5"/>
  <c r="C1030" i="5"/>
  <c r="C580" i="5"/>
  <c r="AB1012" i="5"/>
  <c r="U142" i="5"/>
  <c r="C120" i="5"/>
  <c r="X1702" i="5"/>
  <c r="C897" i="5"/>
  <c r="C1275" i="5"/>
  <c r="S1417" i="5"/>
  <c r="Z1542" i="5"/>
  <c r="C827" i="5"/>
  <c r="F677" i="5"/>
  <c r="S737" i="5"/>
  <c r="S652" i="5"/>
  <c r="U1262" i="5"/>
  <c r="AB1157" i="5"/>
  <c r="C425" i="5"/>
  <c r="X1267" i="5"/>
  <c r="S327" i="5"/>
  <c r="Z1337" i="5"/>
  <c r="AA702" i="5"/>
  <c r="AA1082" i="5"/>
  <c r="AB2" i="5"/>
  <c r="AA632" i="5"/>
  <c r="S372" i="5"/>
  <c r="C1129" i="5"/>
  <c r="F757" i="5"/>
  <c r="C663" i="5"/>
  <c r="C906" i="5"/>
  <c r="C1589" i="5"/>
  <c r="T1042" i="5"/>
  <c r="C1247" i="5"/>
  <c r="U1352" i="5"/>
  <c r="AB1132" i="5"/>
  <c r="T237" i="5"/>
  <c r="C737" i="5"/>
  <c r="V1442" i="5"/>
  <c r="AA522" i="5"/>
  <c r="U77" i="5"/>
  <c r="C39" i="5"/>
  <c r="V837" i="5"/>
  <c r="X1212" i="5"/>
  <c r="V992" i="5"/>
  <c r="U667" i="5"/>
  <c r="Z442" i="5"/>
  <c r="Z462" i="5"/>
  <c r="U757" i="5"/>
  <c r="AA832" i="5"/>
  <c r="X1067" i="5"/>
  <c r="AA12" i="5"/>
  <c r="C149" i="5"/>
  <c r="S362" i="5"/>
  <c r="T157" i="5"/>
  <c r="X192" i="5"/>
  <c r="U1137" i="5"/>
  <c r="AB652" i="5"/>
  <c r="AA937" i="5"/>
  <c r="AB307" i="5"/>
  <c r="T342" i="5"/>
  <c r="V1392" i="5"/>
  <c r="E1392" i="5"/>
  <c r="Z1107" i="5"/>
  <c r="AA2" i="5"/>
  <c r="F1177" i="5"/>
  <c r="E12" i="5"/>
  <c r="AB1082" i="5"/>
  <c r="S817" i="5"/>
  <c r="F917" i="5"/>
  <c r="C844" i="5"/>
  <c r="AA487" i="5"/>
  <c r="V1067" i="5"/>
  <c r="C376" i="5"/>
  <c r="S642" i="5"/>
  <c r="V847" i="5"/>
  <c r="C1228" i="5"/>
  <c r="T1127" i="5"/>
  <c r="Z1412" i="5"/>
  <c r="U522" i="5"/>
  <c r="U487" i="5"/>
  <c r="X892" i="5"/>
  <c r="C826" i="5"/>
  <c r="Z1222" i="5"/>
  <c r="C583" i="5"/>
  <c r="AA452" i="5"/>
  <c r="C526" i="5"/>
  <c r="Z1217" i="5"/>
  <c r="T1397" i="5"/>
  <c r="AB647" i="5"/>
  <c r="V202" i="5"/>
  <c r="U362" i="5"/>
  <c r="S382" i="5"/>
  <c r="X807" i="5"/>
  <c r="AB962" i="5"/>
  <c r="X1677" i="5"/>
  <c r="C538" i="5"/>
  <c r="X672" i="5"/>
  <c r="C165" i="5"/>
  <c r="X867" i="5"/>
  <c r="C1708" i="5"/>
  <c r="AB1572" i="5"/>
  <c r="C414" i="5"/>
  <c r="C986" i="5"/>
  <c r="E832" i="5"/>
  <c r="X17" i="5"/>
  <c r="F232" i="5"/>
  <c r="AA1217" i="5"/>
  <c r="C1017" i="5"/>
  <c r="U1452" i="5"/>
  <c r="S292" i="5"/>
  <c r="C1592" i="5"/>
  <c r="C181" i="5"/>
  <c r="C616" i="5"/>
  <c r="X547" i="5"/>
  <c r="C1344" i="5"/>
  <c r="X392" i="5"/>
  <c r="U792" i="5"/>
  <c r="Z202" i="5"/>
  <c r="T1207" i="5"/>
  <c r="AA1152" i="5"/>
  <c r="V612" i="5"/>
  <c r="S27" i="5"/>
  <c r="F1467" i="5"/>
  <c r="C98" i="5"/>
  <c r="X622" i="5"/>
  <c r="C517" i="5"/>
  <c r="C108" i="5"/>
  <c r="C1036" i="5"/>
  <c r="C277" i="5"/>
  <c r="U1297" i="5"/>
  <c r="C1459" i="5"/>
  <c r="AB977" i="5"/>
  <c r="X427" i="5"/>
  <c r="F1472" i="5"/>
  <c r="X217" i="5"/>
  <c r="C36" i="5"/>
  <c r="AA292" i="5"/>
  <c r="V957" i="5"/>
  <c r="V1002" i="5"/>
  <c r="F1207" i="5"/>
  <c r="V627" i="5"/>
  <c r="E1312" i="5"/>
  <c r="Z722" i="5"/>
  <c r="C258" i="5"/>
  <c r="AB352" i="5"/>
  <c r="AA1327" i="5"/>
  <c r="S462" i="5"/>
  <c r="V1147" i="5"/>
  <c r="F862" i="5"/>
  <c r="C128" i="5"/>
  <c r="V307" i="5"/>
  <c r="T387" i="5"/>
  <c r="AB727" i="5"/>
  <c r="S932" i="5"/>
  <c r="X112" i="5"/>
  <c r="T602" i="5"/>
  <c r="E162" i="5"/>
  <c r="Z107" i="5"/>
  <c r="T1152" i="5"/>
  <c r="F907" i="5"/>
  <c r="C828" i="5"/>
  <c r="F127" i="5"/>
  <c r="T822" i="5"/>
  <c r="C1139" i="5"/>
  <c r="C520" i="5"/>
  <c r="C659" i="5"/>
  <c r="C734" i="5"/>
  <c r="V57" i="5"/>
  <c r="E592" i="5"/>
  <c r="E887" i="5"/>
  <c r="U177" i="5"/>
  <c r="U1537" i="5"/>
  <c r="Z62" i="5"/>
  <c r="AA962" i="5"/>
  <c r="X1572" i="5"/>
  <c r="T452" i="5"/>
  <c r="F1317" i="5"/>
  <c r="C566" i="5"/>
  <c r="C1415" i="5"/>
  <c r="T1487" i="5"/>
  <c r="C111" i="5"/>
  <c r="Z437" i="5"/>
  <c r="AB1167" i="5"/>
  <c r="T692" i="5"/>
  <c r="T1252" i="5"/>
  <c r="E1317" i="5"/>
  <c r="AB522" i="5"/>
  <c r="S512" i="5"/>
  <c r="V852" i="5"/>
  <c r="AB1342" i="5"/>
  <c r="C1442" i="5"/>
  <c r="AA1177" i="5"/>
  <c r="Z1207" i="5"/>
  <c r="AB1472" i="5"/>
  <c r="X582" i="5"/>
  <c r="C481" i="5"/>
  <c r="V1157" i="5"/>
  <c r="Z612" i="5"/>
  <c r="AB337" i="5"/>
  <c r="Z1437" i="5"/>
  <c r="V732" i="5"/>
  <c r="F1262" i="5"/>
  <c r="Z1167" i="5"/>
  <c r="C1572" i="5"/>
  <c r="C887" i="5"/>
  <c r="U222" i="5"/>
  <c r="Z717" i="5"/>
  <c r="C1013" i="5"/>
  <c r="X702" i="5"/>
  <c r="AB1462" i="5"/>
  <c r="Z457" i="5"/>
  <c r="V1222" i="5"/>
  <c r="AB1427" i="5"/>
  <c r="AA1557" i="5"/>
  <c r="T337" i="5"/>
  <c r="T972" i="5"/>
  <c r="T1362" i="5"/>
  <c r="U1467" i="5"/>
  <c r="AB732" i="5"/>
  <c r="V1417" i="5"/>
  <c r="X592" i="5"/>
  <c r="AB992" i="5"/>
  <c r="F882" i="5"/>
  <c r="C1742" i="5"/>
  <c r="S872" i="5"/>
  <c r="C233" i="5"/>
  <c r="AB122" i="5"/>
  <c r="X1162" i="5"/>
  <c r="T672" i="5"/>
  <c r="U1162" i="5"/>
  <c r="AA1362" i="5"/>
  <c r="X517" i="5"/>
  <c r="V297" i="5"/>
  <c r="E97" i="5"/>
  <c r="S1112" i="5"/>
  <c r="AB792" i="5"/>
  <c r="C1471" i="5"/>
  <c r="Z1297" i="5"/>
  <c r="C1137" i="5"/>
  <c r="Z377" i="5"/>
  <c r="U1392" i="5"/>
  <c r="X507" i="5"/>
  <c r="T1137" i="5"/>
  <c r="C371" i="5"/>
  <c r="V37" i="5"/>
  <c r="C952" i="5"/>
  <c r="U1032" i="5"/>
  <c r="V832" i="5"/>
  <c r="C1581" i="5"/>
  <c r="S1262" i="5"/>
  <c r="T72" i="5"/>
  <c r="AB862" i="5"/>
  <c r="E227" i="5"/>
  <c r="Z142" i="5"/>
  <c r="C615" i="5"/>
  <c r="C1645" i="5"/>
  <c r="V372" i="5"/>
  <c r="AB272" i="5"/>
  <c r="E1642" i="5"/>
  <c r="C1538" i="5"/>
  <c r="AB77" i="5"/>
  <c r="AA472" i="5"/>
  <c r="C230" i="5"/>
  <c r="Z782" i="5"/>
  <c r="S702" i="5"/>
  <c r="V267" i="5"/>
  <c r="X332" i="5"/>
  <c r="AA1102" i="5"/>
  <c r="AA337" i="5"/>
  <c r="T642" i="5"/>
  <c r="V1337" i="5"/>
  <c r="C1472" i="5"/>
  <c r="F857" i="5"/>
  <c r="X532" i="5"/>
  <c r="Z987" i="5"/>
  <c r="AB882" i="5"/>
  <c r="C1560" i="5"/>
  <c r="C640" i="5"/>
  <c r="C715" i="5"/>
  <c r="F172" i="5"/>
  <c r="T572" i="5"/>
  <c r="C1177" i="5"/>
  <c r="Z752" i="5"/>
  <c r="E347" i="5"/>
  <c r="T487" i="5"/>
  <c r="Z637" i="5"/>
  <c r="V547" i="5"/>
  <c r="F432" i="5"/>
  <c r="C307" i="5"/>
  <c r="AB357" i="5"/>
  <c r="AB177" i="5"/>
  <c r="C447" i="5"/>
  <c r="C1039" i="5"/>
  <c r="AA1047" i="5"/>
  <c r="AA122" i="5"/>
  <c r="AA712" i="5"/>
  <c r="AA127" i="5"/>
  <c r="T622" i="5"/>
  <c r="Z317" i="5"/>
  <c r="S597" i="5"/>
  <c r="C655" i="5"/>
  <c r="U302" i="5"/>
  <c r="AB1142" i="5"/>
  <c r="AA617" i="5"/>
  <c r="S1557" i="5"/>
  <c r="F747" i="5"/>
  <c r="C756" i="5"/>
  <c r="T887" i="5"/>
  <c r="C278" i="5"/>
  <c r="E1672" i="5"/>
  <c r="S1307" i="5"/>
  <c r="E802" i="5"/>
  <c r="C1300" i="5"/>
  <c r="U592" i="5"/>
  <c r="Z42" i="5"/>
  <c r="V62" i="5"/>
  <c r="Z267" i="5"/>
  <c r="AB277" i="5"/>
  <c r="Z842" i="5"/>
  <c r="Z1532" i="5"/>
  <c r="S497" i="5"/>
  <c r="V447" i="5"/>
  <c r="AA442" i="5"/>
  <c r="AA272" i="5"/>
  <c r="Z1262" i="5"/>
  <c r="C1319" i="5"/>
  <c r="AB1537" i="5"/>
  <c r="V437" i="5"/>
  <c r="C614" i="5"/>
  <c r="V1207" i="5"/>
  <c r="C656" i="5"/>
  <c r="C971" i="5"/>
  <c r="V482" i="5"/>
  <c r="C1088" i="5"/>
  <c r="AB997" i="5"/>
  <c r="F877" i="5"/>
  <c r="F492" i="5"/>
  <c r="C399" i="5"/>
  <c r="Z917" i="5"/>
  <c r="Z182" i="5"/>
  <c r="C548" i="5"/>
  <c r="AA1032" i="5"/>
  <c r="C1313" i="5"/>
  <c r="C1006" i="5"/>
  <c r="C1672" i="5"/>
  <c r="AB1442" i="5"/>
  <c r="C318" i="5"/>
  <c r="C1027" i="5"/>
  <c r="Z1012" i="5"/>
  <c r="C1305" i="5"/>
  <c r="C409" i="5"/>
  <c r="C964" i="5"/>
  <c r="AA477" i="5"/>
  <c r="T1367" i="5"/>
  <c r="Z1517" i="5"/>
  <c r="C1382" i="5"/>
  <c r="U827" i="5"/>
  <c r="X1217" i="5"/>
  <c r="C1619" i="5"/>
  <c r="X1462" i="5"/>
  <c r="E1627" i="5"/>
  <c r="C1579" i="5"/>
  <c r="C65" i="5"/>
  <c r="T922" i="5"/>
  <c r="X1312" i="5"/>
  <c r="C880" i="5"/>
  <c r="C515" i="5"/>
  <c r="C718" i="5"/>
  <c r="S1462" i="5"/>
  <c r="X302" i="5"/>
  <c r="X1122" i="5"/>
  <c r="AB627" i="5"/>
  <c r="X632" i="5"/>
  <c r="S1002" i="5"/>
  <c r="T647" i="5"/>
  <c r="C1206" i="5"/>
  <c r="T512" i="5"/>
  <c r="Z882" i="5"/>
  <c r="S1547" i="5"/>
  <c r="C1113" i="5"/>
  <c r="X207" i="5"/>
  <c r="U1502" i="5"/>
  <c r="C321" i="5"/>
  <c r="E1092" i="5"/>
  <c r="Z402" i="5"/>
  <c r="AA492" i="5"/>
  <c r="U102" i="5"/>
  <c r="C1296" i="5"/>
  <c r="S507" i="5"/>
  <c r="Z622" i="5"/>
  <c r="C1558" i="5"/>
  <c r="C495" i="5"/>
  <c r="AB852" i="5"/>
  <c r="C1166" i="5"/>
  <c r="V592" i="5"/>
  <c r="AA1547" i="5"/>
  <c r="X432" i="5"/>
  <c r="V1237" i="5"/>
  <c r="C67" i="5"/>
  <c r="C1375" i="5"/>
  <c r="Z642" i="5"/>
  <c r="C1677" i="5"/>
  <c r="Z862" i="5"/>
  <c r="Z562" i="5"/>
  <c r="X1012" i="5"/>
  <c r="V622" i="5"/>
  <c r="F1557" i="5"/>
  <c r="C75" i="5"/>
  <c r="S602" i="5"/>
  <c r="C486" i="5"/>
  <c r="V187" i="5"/>
  <c r="C912" i="5"/>
  <c r="F402" i="5"/>
  <c r="AB707" i="5"/>
  <c r="S1537" i="5"/>
  <c r="S937" i="5"/>
  <c r="AA257" i="5"/>
  <c r="AA1457" i="5"/>
  <c r="E882" i="5"/>
  <c r="C248" i="5"/>
  <c r="AB617" i="5"/>
  <c r="S1397" i="5"/>
  <c r="Z952" i="5"/>
  <c r="AB217" i="5"/>
  <c r="U737" i="5"/>
  <c r="AA142" i="5"/>
  <c r="C22" i="5"/>
  <c r="S1037" i="5"/>
  <c r="C1133" i="5"/>
  <c r="AA887" i="5"/>
  <c r="T1322" i="5"/>
  <c r="F1297" i="5"/>
  <c r="X402" i="5"/>
  <c r="V107" i="5"/>
  <c r="S907" i="5"/>
  <c r="AA967" i="5"/>
  <c r="F1582" i="5"/>
  <c r="C1280" i="5"/>
  <c r="U542" i="5"/>
  <c r="S1507" i="5"/>
  <c r="C188" i="5"/>
  <c r="AB502" i="5"/>
  <c r="AA1077" i="5"/>
  <c r="C1405" i="5"/>
  <c r="C680" i="5"/>
  <c r="F1347" i="5"/>
  <c r="S1422" i="5"/>
  <c r="T807" i="5"/>
  <c r="C1128" i="5"/>
  <c r="C1494" i="5"/>
  <c r="C572" i="5"/>
  <c r="V1367" i="5"/>
  <c r="C1351" i="5"/>
  <c r="U1007" i="5"/>
  <c r="E402" i="5"/>
  <c r="Z1502" i="5"/>
  <c r="AA542" i="5"/>
  <c r="C287" i="5"/>
  <c r="C521" i="5"/>
  <c r="Z1432" i="5"/>
  <c r="AB162" i="5"/>
  <c r="AB937" i="5"/>
  <c r="C1130" i="5"/>
  <c r="X992" i="5"/>
  <c r="C198" i="5"/>
  <c r="C584" i="5"/>
  <c r="AB672" i="5"/>
  <c r="C206" i="5"/>
  <c r="C1232" i="5"/>
  <c r="C433" i="5"/>
  <c r="C541" i="5"/>
  <c r="Z682" i="5"/>
  <c r="Z802" i="5"/>
  <c r="X832" i="5"/>
  <c r="Z277" i="5"/>
  <c r="Z907" i="5"/>
  <c r="C223" i="5"/>
  <c r="U1142" i="5"/>
  <c r="Z1327" i="5"/>
  <c r="AB577" i="5"/>
  <c r="X132" i="5"/>
  <c r="C570" i="5"/>
  <c r="E722" i="5"/>
  <c r="AB1302" i="5"/>
  <c r="C1281" i="5"/>
  <c r="C1272" i="5"/>
  <c r="C917" i="5"/>
  <c r="AA792" i="5"/>
  <c r="V122" i="5"/>
  <c r="S712" i="5"/>
  <c r="C1022" i="5"/>
  <c r="C309" i="5"/>
  <c r="U377" i="5"/>
  <c r="F902" i="5"/>
  <c r="V1472" i="5"/>
  <c r="Z192" i="5"/>
  <c r="AB317" i="5"/>
  <c r="T392" i="5"/>
  <c r="X1132" i="5"/>
  <c r="C702" i="5"/>
  <c r="C1053" i="5"/>
  <c r="T1167" i="5"/>
  <c r="F697" i="5"/>
  <c r="F1532" i="5"/>
  <c r="V912" i="5"/>
  <c r="E717" i="5"/>
  <c r="AB12" i="5"/>
  <c r="C530" i="5"/>
  <c r="C695" i="5"/>
  <c r="C186" i="5"/>
  <c r="E342" i="5"/>
  <c r="T42" i="5"/>
  <c r="C30" i="5"/>
  <c r="E1257" i="5"/>
  <c r="Z322" i="5"/>
  <c r="S582" i="5"/>
  <c r="C1674" i="5"/>
  <c r="F817" i="5"/>
  <c r="S957" i="5"/>
  <c r="C314" i="5"/>
  <c r="C472" i="5"/>
  <c r="C374" i="5"/>
  <c r="E1222" i="5"/>
  <c r="U1507" i="5"/>
  <c r="X457" i="5"/>
  <c r="C1001" i="5"/>
  <c r="AA537" i="5"/>
  <c r="E837" i="5"/>
  <c r="T1567" i="5"/>
  <c r="C1733" i="5"/>
  <c r="V727" i="5"/>
  <c r="C781" i="5"/>
  <c r="T1097" i="5"/>
  <c r="S282" i="5"/>
  <c r="C919" i="5"/>
  <c r="C463" i="5"/>
  <c r="Z1182" i="5"/>
  <c r="V352" i="5"/>
  <c r="AA322" i="5"/>
  <c r="E1042" i="5"/>
  <c r="C1231" i="5"/>
  <c r="F1077" i="5"/>
  <c r="V1012" i="5"/>
  <c r="V902" i="5"/>
  <c r="AB1522" i="5"/>
  <c r="AB757" i="5"/>
  <c r="F1007" i="5"/>
  <c r="C1388" i="5"/>
  <c r="AA1257" i="5"/>
  <c r="C489" i="5"/>
  <c r="AB1392" i="5"/>
  <c r="AA837" i="5"/>
  <c r="C876" i="5"/>
  <c r="F692" i="5"/>
  <c r="C581" i="5"/>
  <c r="C1197" i="5"/>
  <c r="C681" i="5"/>
  <c r="E1157" i="5"/>
  <c r="AB267" i="5"/>
  <c r="AA807" i="5"/>
  <c r="E32" i="5"/>
  <c r="X662" i="5"/>
  <c r="S1042" i="5"/>
  <c r="S612" i="5"/>
  <c r="C768" i="5"/>
  <c r="C533" i="5"/>
  <c r="AA1007" i="5"/>
  <c r="C1123" i="5"/>
  <c r="V1142" i="5"/>
  <c r="AB787" i="5"/>
  <c r="U27" i="5"/>
  <c r="Z232" i="5"/>
  <c r="C1502" i="5"/>
  <c r="S1217" i="5"/>
  <c r="C177" i="5"/>
  <c r="C1640" i="5"/>
  <c r="T537" i="5"/>
  <c r="C1489" i="5"/>
  <c r="X1437" i="5"/>
  <c r="C264" i="5"/>
  <c r="F1107" i="5"/>
  <c r="E1132" i="5"/>
  <c r="T367" i="5"/>
  <c r="C839" i="5"/>
  <c r="AA1017" i="5"/>
  <c r="U1462" i="5"/>
  <c r="C1547" i="5"/>
  <c r="X1452" i="5"/>
  <c r="C10" i="5"/>
  <c r="T22" i="5"/>
  <c r="AA567" i="5"/>
  <c r="U847" i="5"/>
  <c r="S312" i="5"/>
  <c r="F322" i="5"/>
  <c r="C458" i="5"/>
  <c r="X812" i="5"/>
  <c r="S342" i="5"/>
  <c r="Z222" i="5"/>
  <c r="F1672" i="5"/>
  <c r="V822" i="5"/>
  <c r="C767" i="5"/>
  <c r="C696" i="5"/>
  <c r="C1417" i="5"/>
  <c r="E1197" i="5"/>
  <c r="F552" i="5"/>
  <c r="AA307" i="5"/>
  <c r="T962" i="5"/>
  <c r="C810" i="5"/>
  <c r="V2" i="5"/>
  <c r="T627" i="5"/>
  <c r="Z1392" i="5"/>
  <c r="X1662" i="5"/>
  <c r="U527" i="5"/>
  <c r="AB1432" i="5"/>
  <c r="T52" i="5"/>
  <c r="V567" i="5"/>
  <c r="U1422" i="5"/>
  <c r="T242" i="5"/>
  <c r="Z497" i="5"/>
  <c r="C1162" i="5"/>
  <c r="AA287" i="5"/>
  <c r="U92" i="5"/>
  <c r="C894" i="5"/>
  <c r="T317" i="5"/>
  <c r="C1528" i="5"/>
  <c r="AB1057" i="5"/>
  <c r="S317" i="5"/>
  <c r="V442" i="5"/>
  <c r="C289" i="5"/>
  <c r="C1358" i="5"/>
  <c r="E167" i="5"/>
  <c r="C1421" i="5"/>
  <c r="C1151" i="5"/>
  <c r="S472" i="5"/>
  <c r="AA1212" i="5"/>
  <c r="V1232" i="5"/>
  <c r="Z572" i="5"/>
  <c r="C1014" i="5"/>
  <c r="C101" i="5"/>
  <c r="C344" i="5"/>
  <c r="X1457" i="5"/>
  <c r="C1278" i="5"/>
  <c r="U452" i="5"/>
  <c r="V952" i="5"/>
  <c r="V1187" i="5"/>
  <c r="C299" i="5"/>
  <c r="V1402" i="5"/>
  <c r="AB1542" i="5"/>
  <c r="C571" i="5"/>
  <c r="C940" i="5"/>
  <c r="C211" i="5"/>
  <c r="C135" i="5"/>
  <c r="Z337" i="5"/>
  <c r="S577" i="5"/>
  <c r="X1147" i="5"/>
  <c r="C406" i="5"/>
  <c r="U22" i="5"/>
  <c r="Z292" i="5"/>
  <c r="AB1222" i="5"/>
  <c r="Z1307" i="5"/>
  <c r="AB497" i="5"/>
  <c r="V322" i="5"/>
  <c r="S1427" i="5"/>
  <c r="S1477" i="5"/>
  <c r="V172" i="5"/>
  <c r="E787" i="5"/>
  <c r="C361" i="5"/>
  <c r="C1168" i="5"/>
  <c r="X1337" i="5"/>
  <c r="T247" i="5"/>
  <c r="AB1052" i="5"/>
  <c r="F787" i="5"/>
  <c r="Z1062" i="5"/>
  <c r="C45" i="5"/>
  <c r="AA507" i="5"/>
  <c r="AB1237" i="5"/>
  <c r="E1647" i="5"/>
  <c r="S22" i="5"/>
  <c r="T677" i="5"/>
  <c r="C1044" i="5"/>
  <c r="C355" i="5"/>
  <c r="AA97" i="5"/>
  <c r="X42" i="5"/>
  <c r="C424" i="5"/>
  <c r="S1007" i="5"/>
  <c r="Z1407" i="5"/>
  <c r="C547" i="5"/>
  <c r="Z652" i="5"/>
  <c r="C1642" i="5"/>
  <c r="AB387" i="5"/>
  <c r="C590" i="5"/>
  <c r="C315" i="5"/>
  <c r="C1116" i="5"/>
  <c r="C232" i="5"/>
  <c r="E1667" i="5"/>
  <c r="AA1482" i="5"/>
  <c r="T1267" i="5"/>
  <c r="U1122" i="5"/>
  <c r="T607" i="5"/>
  <c r="T697" i="5"/>
  <c r="X347" i="5"/>
  <c r="C1207" i="5"/>
  <c r="S552" i="5"/>
  <c r="X1522" i="5"/>
  <c r="C1696" i="5"/>
  <c r="T1242" i="5"/>
  <c r="U912" i="5"/>
  <c r="C431" i="5"/>
  <c r="F1087" i="5"/>
  <c r="Z1037" i="5"/>
  <c r="C909" i="5"/>
  <c r="X552" i="5"/>
  <c r="U12" i="5"/>
  <c r="AB302" i="5"/>
  <c r="C1565" i="5"/>
  <c r="X477" i="5"/>
  <c r="AB137" i="5"/>
  <c r="V1562" i="5"/>
  <c r="C169" i="5"/>
  <c r="Z1417" i="5"/>
  <c r="C1322" i="5"/>
  <c r="S502" i="5"/>
  <c r="C757" i="5"/>
  <c r="Z1132" i="5"/>
  <c r="U702" i="5"/>
  <c r="V872" i="5"/>
  <c r="C306" i="5"/>
  <c r="AB762" i="5"/>
  <c r="F57" i="5"/>
  <c r="Z997" i="5"/>
  <c r="T1107" i="5"/>
  <c r="C1476" i="5"/>
  <c r="Z2" i="5"/>
  <c r="T707" i="5"/>
  <c r="F672" i="5"/>
  <c r="S262" i="5"/>
  <c r="S757" i="5"/>
  <c r="F792" i="5"/>
  <c r="U707" i="5"/>
  <c r="C1420" i="5"/>
  <c r="Z1187" i="5"/>
  <c r="V1467" i="5"/>
  <c r="Z392" i="5"/>
  <c r="Z1097" i="5"/>
  <c r="AA162" i="5"/>
  <c r="F1022" i="5"/>
  <c r="S1207" i="5"/>
  <c r="T777" i="5"/>
  <c r="E1597" i="5"/>
  <c r="AB1357" i="5"/>
  <c r="V1192" i="5"/>
  <c r="E1437" i="5"/>
  <c r="F1152" i="5"/>
  <c r="C182" i="5"/>
  <c r="V1247" i="5"/>
  <c r="AA227" i="5"/>
  <c r="F717" i="5"/>
  <c r="C83" i="5"/>
  <c r="F12" i="5"/>
  <c r="T747" i="5"/>
  <c r="C852" i="5"/>
  <c r="C85" i="5"/>
  <c r="AB632" i="5"/>
  <c r="C336" i="5"/>
  <c r="T1087" i="5"/>
  <c r="T497" i="5"/>
  <c r="V977" i="5"/>
  <c r="C543" i="5"/>
  <c r="C758" i="5"/>
  <c r="V527" i="5"/>
  <c r="C1569" i="5"/>
  <c r="T12" i="5"/>
  <c r="C1736" i="5"/>
  <c r="X1307" i="5"/>
  <c r="C1485" i="5"/>
  <c r="C1064" i="5"/>
  <c r="C183" i="5"/>
  <c r="E247" i="5"/>
  <c r="AB1362" i="5"/>
  <c r="C1675" i="5"/>
  <c r="AA402" i="5"/>
  <c r="C1263" i="5"/>
  <c r="T667" i="5"/>
  <c r="C761" i="5"/>
  <c r="Z212" i="5"/>
  <c r="C255" i="5"/>
  <c r="X1262" i="5"/>
  <c r="C1633" i="5"/>
  <c r="X727" i="5"/>
  <c r="T82" i="5"/>
  <c r="S437" i="5"/>
  <c r="X1587" i="5"/>
  <c r="Z1482" i="5"/>
  <c r="C1327" i="5"/>
  <c r="U977" i="5"/>
  <c r="C1652" i="5"/>
  <c r="X1302" i="5"/>
  <c r="C895" i="5"/>
  <c r="V192" i="5"/>
  <c r="X712" i="5"/>
  <c r="C271" i="5"/>
  <c r="AA352" i="5"/>
  <c r="X472" i="5"/>
  <c r="T1377" i="5"/>
  <c r="C803" i="5"/>
  <c r="T77" i="5"/>
  <c r="C1253" i="5"/>
  <c r="S967" i="5"/>
  <c r="X717" i="5"/>
  <c r="AB927" i="5"/>
  <c r="E987" i="5"/>
  <c r="C979" i="5"/>
  <c r="C514" i="5"/>
  <c r="T942" i="5"/>
  <c r="AA132" i="5"/>
  <c r="V632" i="5"/>
  <c r="C1716" i="5"/>
  <c r="C535" i="5"/>
  <c r="X902" i="5"/>
  <c r="C4" i="5"/>
  <c r="F112" i="5"/>
  <c r="U547" i="5"/>
  <c r="T207" i="5"/>
  <c r="V1542" i="5"/>
  <c r="E797" i="5"/>
  <c r="T1512" i="5"/>
  <c r="AA657" i="5"/>
  <c r="C189" i="5"/>
  <c r="AA1142" i="5"/>
  <c r="C167" i="5"/>
  <c r="T982" i="5"/>
  <c r="E1297" i="5"/>
  <c r="C1242" i="5"/>
  <c r="C279" i="5"/>
  <c r="F32" i="5"/>
  <c r="C339" i="5"/>
  <c r="F1212" i="5"/>
  <c r="AA1522" i="5"/>
  <c r="C551" i="5"/>
  <c r="T1132" i="5"/>
  <c r="X352" i="5"/>
  <c r="C1183" i="5"/>
  <c r="F1462" i="5"/>
  <c r="U947" i="5"/>
  <c r="F227" i="5"/>
  <c r="C1590" i="5"/>
  <c r="AB1337" i="5"/>
  <c r="C388" i="5"/>
  <c r="AA662" i="5"/>
  <c r="Z1147" i="5"/>
  <c r="C1148" i="5"/>
  <c r="C1443" i="5"/>
  <c r="V452" i="5"/>
  <c r="C317" i="5"/>
  <c r="F487" i="5"/>
  <c r="AA497" i="5"/>
  <c r="C700" i="5"/>
  <c r="C604" i="5"/>
  <c r="E1522" i="5"/>
  <c r="Z1272" i="5"/>
  <c r="C1024" i="5"/>
  <c r="C1571" i="5"/>
  <c r="C1703" i="5"/>
  <c r="E1012" i="5"/>
  <c r="C1345" i="5"/>
  <c r="AA1437" i="5"/>
  <c r="AB97" i="5"/>
  <c r="C1372" i="5"/>
  <c r="AB1272" i="5"/>
  <c r="C1702" i="5"/>
  <c r="C1744" i="5"/>
  <c r="S17" i="5"/>
  <c r="T1177" i="5"/>
  <c r="F852" i="5"/>
  <c r="C40" i="5"/>
  <c r="C1303" i="5"/>
  <c r="E132" i="5"/>
  <c r="C1622" i="5"/>
  <c r="C1200" i="5"/>
  <c r="Z702" i="5"/>
  <c r="S1032" i="5"/>
  <c r="AA157" i="5"/>
  <c r="AA167" i="5"/>
  <c r="E627" i="5"/>
  <c r="AA397" i="5"/>
  <c r="S997" i="5"/>
  <c r="U672" i="5"/>
  <c r="S782" i="5"/>
  <c r="E307" i="5"/>
  <c r="C1575" i="5"/>
  <c r="F1397" i="5"/>
  <c r="S407" i="5"/>
  <c r="C931" i="5"/>
  <c r="C846" i="5"/>
  <c r="C1737" i="5"/>
  <c r="F637" i="5"/>
  <c r="E272" i="5"/>
  <c r="V462" i="5"/>
  <c r="AB1492" i="5"/>
  <c r="C296" i="5"/>
  <c r="T617" i="5"/>
  <c r="AA607" i="5"/>
  <c r="AB372" i="5"/>
  <c r="AA1127" i="5"/>
  <c r="C529" i="5"/>
  <c r="C1495" i="5"/>
  <c r="E1697" i="5"/>
  <c r="C881" i="5"/>
  <c r="E1417" i="5"/>
  <c r="AA1072" i="5"/>
  <c r="X262" i="5"/>
  <c r="C868" i="5"/>
  <c r="U1312" i="5"/>
  <c r="E202" i="5"/>
  <c r="X747" i="5"/>
  <c r="Z537" i="5"/>
  <c r="U1512" i="5"/>
  <c r="AB1282" i="5"/>
  <c r="AB532" i="5"/>
  <c r="C261" i="5"/>
  <c r="X542" i="5"/>
  <c r="F237" i="5"/>
  <c r="Z477" i="5"/>
  <c r="AB202" i="5"/>
  <c r="T1222" i="5"/>
  <c r="C955" i="5"/>
  <c r="C612" i="5"/>
  <c r="S747" i="5"/>
  <c r="AB822" i="5"/>
  <c r="X447" i="5"/>
  <c r="E67" i="5"/>
  <c r="AB1317" i="5"/>
  <c r="C1067" i="5"/>
  <c r="S397" i="5"/>
  <c r="AA422" i="5"/>
  <c r="S727" i="5"/>
  <c r="C227" i="5"/>
  <c r="C1324" i="5"/>
  <c r="C1473" i="5"/>
  <c r="Z507" i="5"/>
  <c r="C1089" i="5"/>
  <c r="F1042" i="5"/>
  <c r="S1277" i="5"/>
  <c r="U1197" i="5"/>
  <c r="E637" i="5"/>
  <c r="C17" i="5"/>
  <c r="T1092" i="5"/>
  <c r="C1349" i="5"/>
  <c r="U812" i="5"/>
  <c r="C1202" i="5"/>
  <c r="U1382" i="5"/>
  <c r="S1392" i="5"/>
  <c r="X1482" i="5"/>
  <c r="C936" i="5"/>
  <c r="T1227" i="5"/>
  <c r="AA1377" i="5"/>
  <c r="U1417" i="5"/>
  <c r="S977" i="5"/>
  <c r="T32" i="5"/>
  <c r="C265" i="5"/>
  <c r="AB542" i="5"/>
  <c r="C593" i="5"/>
  <c r="V507" i="5"/>
  <c r="C1094" i="5"/>
  <c r="AB1212" i="5"/>
  <c r="T532" i="5"/>
  <c r="C893" i="5"/>
  <c r="AA1322" i="5"/>
  <c r="U1242" i="5"/>
  <c r="F832" i="5"/>
  <c r="T1327" i="5"/>
  <c r="C244" i="5"/>
  <c r="V617" i="5"/>
  <c r="X422" i="5"/>
  <c r="C124" i="5"/>
  <c r="C1559" i="5"/>
  <c r="AA512" i="5"/>
  <c r="U992" i="5"/>
  <c r="C562" i="5"/>
  <c r="V1152" i="5"/>
  <c r="AA37" i="5"/>
  <c r="AB467" i="5"/>
  <c r="V1347" i="5"/>
  <c r="C1673" i="5"/>
  <c r="C871" i="5"/>
  <c r="C1393" i="5"/>
  <c r="F1292" i="5"/>
  <c r="Z1367" i="5"/>
  <c r="C725" i="5"/>
  <c r="S522" i="5"/>
  <c r="Z217" i="5"/>
  <c r="E492" i="5"/>
  <c r="C1428" i="5"/>
  <c r="Z382" i="5"/>
  <c r="X1092" i="5"/>
  <c r="AA737" i="5"/>
  <c r="C676" i="5"/>
  <c r="V1007" i="5"/>
  <c r="C973" i="5"/>
  <c r="U462" i="5"/>
  <c r="E1382" i="5"/>
  <c r="C138" i="5"/>
  <c r="C1661" i="5"/>
  <c r="T472" i="5"/>
  <c r="AB452" i="5"/>
  <c r="C1518" i="5"/>
  <c r="U1337" i="5"/>
  <c r="Z847" i="5"/>
  <c r="T127" i="5"/>
  <c r="C748" i="5"/>
  <c r="S1337" i="5"/>
  <c r="X97" i="5"/>
  <c r="AA1227" i="5"/>
  <c r="F707" i="5"/>
  <c r="C512" i="5"/>
  <c r="C843" i="5"/>
  <c r="C79" i="5"/>
  <c r="V1137" i="5"/>
  <c r="V162" i="5"/>
  <c r="C1308" i="5"/>
  <c r="C469" i="5"/>
  <c r="Z817" i="5"/>
  <c r="C1610" i="5"/>
  <c r="Z587" i="5"/>
  <c r="Z37" i="5"/>
  <c r="E1682" i="5"/>
  <c r="C418" i="5"/>
  <c r="X247" i="5"/>
  <c r="S277" i="5"/>
  <c r="F1102" i="5"/>
  <c r="X297" i="5"/>
  <c r="U32" i="5"/>
  <c r="C1738" i="5"/>
  <c r="X692" i="5"/>
  <c r="F597" i="5"/>
  <c r="X1152" i="5"/>
  <c r="F507" i="5"/>
  <c r="U152" i="5"/>
  <c r="C1639" i="5"/>
  <c r="Z647" i="5"/>
  <c r="U657" i="5"/>
  <c r="C796" i="5"/>
  <c r="C884" i="5"/>
  <c r="X772" i="5"/>
  <c r="X932" i="5"/>
  <c r="T1122" i="5"/>
  <c r="X1722" i="5"/>
  <c r="C1643" i="5"/>
  <c r="V1482" i="5"/>
  <c r="AA377" i="5"/>
  <c r="Z147" i="5"/>
  <c r="F1082" i="5"/>
  <c r="C564" i="5"/>
  <c r="C1267" i="5"/>
  <c r="X1277" i="5"/>
  <c r="Z1212" i="5"/>
  <c r="C383" i="5"/>
  <c r="V1267" i="5"/>
  <c r="C439" i="5"/>
  <c r="U717" i="5"/>
  <c r="C627" i="5"/>
  <c r="E742" i="5"/>
  <c r="U1322" i="5"/>
  <c r="C88" i="5"/>
  <c r="E727" i="5"/>
  <c r="V1437" i="5"/>
  <c r="T612" i="5"/>
  <c r="Z1427" i="5"/>
  <c r="C736" i="5"/>
  <c r="V697" i="5"/>
  <c r="C965" i="5"/>
  <c r="Z527" i="5"/>
  <c r="Z1112" i="5"/>
  <c r="Z17" i="5"/>
  <c r="C1118" i="5"/>
  <c r="T1602" i="5"/>
  <c r="E267" i="5"/>
  <c r="AB1117" i="5"/>
  <c r="U1217" i="5"/>
  <c r="AB827" i="5"/>
  <c r="V142" i="5"/>
  <c r="E1482" i="5"/>
  <c r="C613" i="5"/>
  <c r="X1592" i="5"/>
  <c r="V47" i="5"/>
  <c r="E1057" i="5"/>
  <c r="S742" i="5"/>
  <c r="AA972" i="5"/>
  <c r="C290" i="5"/>
  <c r="C359" i="5"/>
  <c r="V652" i="5"/>
  <c r="F1322" i="5"/>
  <c r="AB557" i="5"/>
  <c r="C677" i="5"/>
  <c r="X77" i="5"/>
  <c r="T527" i="5"/>
  <c r="V762" i="5"/>
  <c r="E827" i="5"/>
  <c r="AA927" i="5"/>
  <c r="C626" i="5"/>
  <c r="AB842" i="5"/>
  <c r="C1141" i="5"/>
  <c r="C199" i="5"/>
  <c r="AB327" i="5"/>
  <c r="S447" i="5"/>
  <c r="C774" i="5"/>
  <c r="C1216" i="5"/>
  <c r="C961" i="5"/>
  <c r="U1307" i="5"/>
  <c r="Z1452" i="5"/>
  <c r="C293" i="5"/>
  <c r="C196" i="5"/>
  <c r="C332" i="5"/>
  <c r="C53" i="5"/>
  <c r="C649" i="5"/>
  <c r="AA117" i="5"/>
  <c r="F407" i="5"/>
  <c r="AA1262" i="5"/>
  <c r="X342" i="5"/>
  <c r="C558" i="5"/>
  <c r="AB232" i="5"/>
  <c r="AB1552" i="5"/>
  <c r="C801" i="5"/>
  <c r="C742" i="5"/>
  <c r="S1312" i="5"/>
  <c r="X1157" i="5"/>
  <c r="X87" i="5"/>
  <c r="C1087" i="5"/>
  <c r="X242" i="5"/>
  <c r="C1246" i="5"/>
  <c r="C1726" i="5"/>
  <c r="C1511" i="5"/>
  <c r="T1492" i="5"/>
  <c r="T312" i="5"/>
  <c r="X187" i="5"/>
  <c r="F1402" i="5"/>
  <c r="T1432" i="5"/>
  <c r="C450" i="5"/>
  <c r="X282" i="5"/>
  <c r="C1041" i="5"/>
  <c r="Z387" i="5"/>
  <c r="X1707" i="5"/>
  <c r="V722" i="5"/>
  <c r="C673" i="5"/>
  <c r="C646" i="5"/>
  <c r="U167" i="5"/>
  <c r="S767" i="5"/>
  <c r="E387" i="5"/>
  <c r="S587" i="5"/>
  <c r="AA62" i="5"/>
  <c r="X1417" i="5"/>
  <c r="AA1312" i="5"/>
  <c r="C1611" i="5"/>
  <c r="E1527" i="5"/>
  <c r="Z1387" i="5"/>
  <c r="Z72" i="5"/>
  <c r="Z567" i="5"/>
  <c r="AA1252" i="5"/>
  <c r="C1734" i="5"/>
  <c r="U337" i="5"/>
  <c r="F612" i="5"/>
  <c r="V1307" i="5"/>
  <c r="U257" i="5"/>
  <c r="AA592" i="5"/>
  <c r="AA802" i="5"/>
  <c r="C1486" i="5"/>
  <c r="C1348" i="5"/>
  <c r="C694" i="5"/>
  <c r="X1322" i="5"/>
  <c r="X1682" i="5"/>
  <c r="F1267" i="5"/>
  <c r="U897" i="5"/>
  <c r="C1646" i="5"/>
  <c r="C144" i="5"/>
  <c r="X1492" i="5"/>
  <c r="U632" i="5"/>
  <c r="F1037" i="5"/>
  <c r="Z132" i="5"/>
  <c r="C1712" i="5"/>
  <c r="U367" i="5"/>
  <c r="C1332" i="5"/>
  <c r="AB602" i="5"/>
  <c r="C330" i="5"/>
  <c r="V1317" i="5"/>
  <c r="AB67" i="5"/>
  <c r="U202" i="5"/>
  <c r="V1257" i="5"/>
  <c r="U597" i="5"/>
  <c r="E332" i="5"/>
  <c r="AB397" i="5"/>
  <c r="T1407" i="5"/>
  <c r="S102" i="5"/>
  <c r="F1577" i="5"/>
  <c r="C1086" i="5"/>
  <c r="C304" i="5"/>
  <c r="C1016" i="5"/>
  <c r="C203" i="5"/>
  <c r="C818" i="5"/>
  <c r="T1452" i="5"/>
  <c r="F97" i="5"/>
  <c r="C686" i="5"/>
  <c r="C956" i="5"/>
  <c r="Z1137" i="5"/>
  <c r="E867" i="5"/>
  <c r="AA277" i="5"/>
  <c r="AA1507" i="5"/>
  <c r="E1342" i="5"/>
  <c r="C1276" i="5"/>
  <c r="C1416" i="5"/>
  <c r="E477" i="5"/>
  <c r="C231" i="5"/>
  <c r="C477" i="5"/>
  <c r="Z207" i="5"/>
  <c r="E1022" i="5"/>
  <c r="F1667" i="5"/>
  <c r="V1422" i="5"/>
  <c r="C782" i="5"/>
  <c r="T562" i="5"/>
  <c r="E1242" i="5"/>
  <c r="F517" i="5"/>
  <c r="F1407" i="5"/>
  <c r="C77" i="5"/>
  <c r="V997" i="5"/>
  <c r="C61" i="5"/>
  <c r="T1522" i="5"/>
  <c r="E1497" i="5"/>
  <c r="AA1412" i="5"/>
  <c r="T852" i="5"/>
  <c r="C1184" i="5"/>
  <c r="V337" i="5"/>
  <c r="C269" i="5"/>
  <c r="C648" i="5"/>
  <c r="X357" i="5"/>
  <c r="S157" i="5"/>
  <c r="C1706" i="5"/>
  <c r="X637" i="5"/>
  <c r="T1622" i="5"/>
  <c r="C420" i="5"/>
  <c r="C37" i="5"/>
  <c r="C1656" i="5"/>
  <c r="AB1507" i="5"/>
  <c r="C1218" i="5"/>
  <c r="C1670" i="5"/>
  <c r="Z512" i="5"/>
  <c r="T462" i="5"/>
  <c r="S1532" i="5"/>
  <c r="E1432" i="5"/>
  <c r="C1482" i="5"/>
  <c r="T837" i="5"/>
  <c r="X1072" i="5"/>
  <c r="AA1352" i="5"/>
  <c r="V117" i="5"/>
  <c r="Z1247" i="5"/>
  <c r="Z812" i="5"/>
  <c r="AA1277" i="5"/>
  <c r="C1270" i="5"/>
  <c r="C765" i="5"/>
  <c r="AA932" i="5"/>
  <c r="E1652" i="5"/>
  <c r="AA1357" i="5"/>
  <c r="Z922" i="5"/>
  <c r="C168" i="5"/>
  <c r="X1397" i="5"/>
  <c r="V857" i="5"/>
  <c r="U382" i="5"/>
  <c r="C1145" i="5"/>
  <c r="AA1532" i="5"/>
  <c r="Z1127" i="5"/>
  <c r="AA857" i="5"/>
  <c r="U197" i="5"/>
  <c r="X1392" i="5"/>
  <c r="AA27" i="5"/>
  <c r="AB197" i="5"/>
  <c r="C1196" i="5"/>
  <c r="S52" i="5"/>
  <c r="C1410" i="5"/>
  <c r="F1187" i="5"/>
  <c r="U352" i="5"/>
  <c r="Z1577" i="5"/>
  <c r="C423" i="5"/>
  <c r="V802" i="5"/>
  <c r="C146" i="5"/>
  <c r="C1477" i="5"/>
  <c r="C1638" i="5"/>
  <c r="C807" i="5"/>
  <c r="AB227" i="5"/>
  <c r="C1475" i="5"/>
  <c r="U787" i="5"/>
  <c r="V82" i="5"/>
  <c r="C1700" i="5"/>
  <c r="Z1362" i="5"/>
  <c r="X897" i="5"/>
  <c r="X657" i="5"/>
  <c r="T952" i="5"/>
  <c r="Z1162" i="5"/>
  <c r="C536" i="5"/>
  <c r="C1651" i="5"/>
  <c r="U1087" i="5"/>
  <c r="U1332" i="5"/>
  <c r="U1102" i="5"/>
  <c r="U87" i="5"/>
  <c r="AB687" i="5"/>
  <c r="C360" i="5"/>
  <c r="AA697" i="5"/>
  <c r="X1257" i="5"/>
  <c r="AA942" i="5"/>
  <c r="S1197" i="5"/>
  <c r="X1117" i="5"/>
  <c r="AA1067" i="5"/>
  <c r="AA212" i="5"/>
  <c r="C764" i="5"/>
  <c r="C999" i="5"/>
  <c r="U1457" i="5"/>
  <c r="X782" i="5"/>
  <c r="U1182" i="5"/>
  <c r="E1107" i="5"/>
  <c r="C1492" i="5"/>
  <c r="X562" i="5"/>
  <c r="AB1562" i="5"/>
  <c r="C68" i="5"/>
  <c r="C639" i="5"/>
  <c r="F102" i="5"/>
  <c r="X1192" i="5"/>
  <c r="C498" i="5"/>
  <c r="C1297" i="5"/>
  <c r="AA1317" i="5"/>
  <c r="V927" i="5"/>
  <c r="C793" i="5"/>
  <c r="C1705" i="5"/>
  <c r="S1502" i="5"/>
  <c r="S962" i="5"/>
  <c r="U842" i="5"/>
  <c r="X862" i="5"/>
  <c r="V712" i="5"/>
  <c r="Z1287" i="5"/>
  <c r="AA1157" i="5"/>
  <c r="C706" i="5"/>
  <c r="Z1197" i="5"/>
  <c r="U577" i="5"/>
  <c r="F1372" i="5"/>
  <c r="C934" i="5"/>
  <c r="V477" i="5"/>
  <c r="X1237" i="5"/>
  <c r="C1350" i="5"/>
  <c r="C567" i="5"/>
  <c r="C668" i="5"/>
  <c r="C1626" i="5"/>
  <c r="Z932" i="5"/>
  <c r="C51" i="5"/>
  <c r="C1288" i="5"/>
  <c r="AA107" i="5"/>
  <c r="V237" i="5"/>
  <c r="AB682" i="5"/>
  <c r="AB1292" i="5"/>
  <c r="S1102" i="5"/>
  <c r="C1523" i="5"/>
  <c r="E302" i="5"/>
  <c r="U47" i="5"/>
  <c r="C1080" i="5"/>
  <c r="C305" i="5"/>
  <c r="C1167" i="5"/>
  <c r="C946" i="5"/>
  <c r="AB342" i="5"/>
  <c r="V382" i="5"/>
  <c r="C492" i="5"/>
  <c r="F797" i="5"/>
  <c r="C1676" i="5"/>
  <c r="Z662" i="5"/>
  <c r="AA1527" i="5"/>
  <c r="C970" i="5"/>
  <c r="Z1462" i="5"/>
  <c r="T517" i="5"/>
  <c r="AA1192" i="5"/>
  <c r="F1417" i="5"/>
  <c r="C410" i="5"/>
  <c r="AB42" i="5"/>
  <c r="C1513" i="5"/>
  <c r="S1147" i="5"/>
  <c r="S632" i="5"/>
  <c r="C1120" i="5"/>
  <c r="AA1117" i="5"/>
  <c r="E432" i="5"/>
  <c r="C1125" i="5"/>
  <c r="T792" i="5"/>
  <c r="AB662" i="5"/>
  <c r="C1718" i="5"/>
  <c r="C1257" i="5"/>
  <c r="C1526" i="5"/>
  <c r="C710" i="5"/>
  <c r="C823" i="5"/>
  <c r="Z127" i="5"/>
  <c r="S677" i="5"/>
  <c r="C208" i="5"/>
  <c r="F447" i="5"/>
  <c r="F727" i="5"/>
  <c r="C491" i="5"/>
  <c r="V667" i="5"/>
  <c r="T152" i="5"/>
  <c r="U997" i="5"/>
  <c r="E47" i="5"/>
  <c r="C565" i="5"/>
  <c r="X1502" i="5"/>
  <c r="U412" i="5"/>
  <c r="F567" i="5"/>
  <c r="AA252" i="5"/>
  <c r="X792" i="5"/>
  <c r="U507" i="5"/>
  <c r="C505" i="5"/>
  <c r="C1609" i="5"/>
  <c r="E1427" i="5"/>
  <c r="V602" i="5"/>
  <c r="C1516" i="5"/>
  <c r="V467" i="5"/>
  <c r="U97" i="5"/>
  <c r="C363" i="5"/>
  <c r="C44" i="5"/>
  <c r="C127" i="5"/>
  <c r="V517" i="5"/>
  <c r="S1572" i="5"/>
  <c r="Z1072" i="5"/>
  <c r="U712" i="5"/>
  <c r="U492" i="5"/>
  <c r="F1272" i="5"/>
  <c r="C1160" i="5"/>
  <c r="C1150" i="5"/>
  <c r="Z542" i="5"/>
  <c r="F1327" i="5"/>
  <c r="U1527" i="5"/>
  <c r="C298" i="5"/>
  <c r="C80" i="5"/>
  <c r="T1532" i="5"/>
  <c r="C780" i="5"/>
  <c r="T47" i="5"/>
  <c r="AB867" i="5"/>
  <c r="C555" i="5"/>
  <c r="C103" i="5"/>
  <c r="C667" i="5"/>
  <c r="C712" i="5"/>
  <c r="F1227" i="5"/>
  <c r="U307" i="5"/>
  <c r="C1105" i="5"/>
  <c r="C1203" i="5"/>
  <c r="Z102" i="5"/>
  <c r="AA387" i="5"/>
  <c r="X732" i="5"/>
  <c r="F667" i="5"/>
  <c r="V1022" i="5"/>
  <c r="AB907" i="5"/>
  <c r="C1659" i="5"/>
  <c r="T1232" i="5"/>
  <c r="C1480" i="5"/>
  <c r="AB57" i="5"/>
  <c r="X962" i="5"/>
  <c r="V532" i="5"/>
  <c r="E1182" i="5"/>
  <c r="C1223" i="5"/>
  <c r="Z1377" i="5"/>
  <c r="V967" i="5"/>
  <c r="X602" i="5"/>
  <c r="C94" i="5"/>
  <c r="X257" i="5"/>
  <c r="Z257" i="5"/>
  <c r="C1435" i="5"/>
  <c r="X1142" i="5"/>
  <c r="S1302" i="5"/>
  <c r="S187" i="5"/>
  <c r="S692" i="5"/>
  <c r="C1204" i="5"/>
  <c r="C76" i="5"/>
  <c r="X952" i="5"/>
  <c r="AB1022" i="5"/>
  <c r="C1329" i="5"/>
  <c r="C596" i="5"/>
  <c r="C488" i="5"/>
  <c r="S1052" i="5"/>
  <c r="V412" i="5"/>
  <c r="C1684" i="5"/>
  <c r="C282" i="5"/>
  <c r="U1147" i="5"/>
  <c r="AB287" i="5"/>
  <c r="S527" i="5"/>
  <c r="C544" i="5"/>
  <c r="C1290" i="5"/>
  <c r="X1017" i="5"/>
  <c r="S947" i="5"/>
  <c r="AA672" i="5"/>
  <c r="AB332" i="5"/>
  <c r="U1432" i="5"/>
  <c r="U552" i="5"/>
  <c r="C78" i="5"/>
  <c r="U862" i="5"/>
  <c r="C1583" i="5"/>
  <c r="V1462" i="5"/>
  <c r="S322" i="5"/>
  <c r="E597" i="5"/>
  <c r="X937" i="5"/>
  <c r="C249" i="5"/>
  <c r="AB7" i="5"/>
  <c r="C611" i="5"/>
  <c r="Z177" i="5"/>
  <c r="C948" i="5"/>
  <c r="C1175" i="5"/>
  <c r="S972" i="5"/>
  <c r="C1499" i="5"/>
  <c r="S827" i="5"/>
  <c r="C204" i="5"/>
  <c r="T372" i="5"/>
  <c r="X1097" i="5"/>
  <c r="C274" i="5"/>
  <c r="X1567" i="5"/>
  <c r="X292" i="5"/>
  <c r="AA42" i="5"/>
  <c r="C1601" i="5"/>
  <c r="C122" i="5"/>
  <c r="AA342" i="5"/>
  <c r="U822" i="5"/>
  <c r="C727" i="5"/>
  <c r="V407" i="5"/>
  <c r="S1332" i="5"/>
  <c r="U817" i="5"/>
  <c r="AA57" i="5"/>
  <c r="S7" i="5"/>
  <c r="X407" i="5"/>
  <c r="S392" i="5"/>
  <c r="V1477" i="5"/>
  <c r="V797" i="5"/>
  <c r="U297" i="5"/>
  <c r="C941" i="5"/>
  <c r="AA982" i="5"/>
  <c r="AA1372" i="5"/>
  <c r="C1722" i="5"/>
  <c r="S1492" i="5"/>
  <c r="C1225" i="5"/>
  <c r="F1637" i="5"/>
  <c r="C886" i="5"/>
  <c r="C1605" i="5"/>
  <c r="AB192" i="5"/>
  <c r="S562" i="5"/>
  <c r="V72" i="5"/>
  <c r="U1112" i="5"/>
  <c r="C991" i="5"/>
  <c r="X687" i="5"/>
  <c r="C1573" i="5"/>
  <c r="T482" i="5"/>
  <c r="AA467" i="5"/>
  <c r="T712" i="5"/>
  <c r="C1439" i="5"/>
  <c r="AB212" i="5"/>
  <c r="C1545" i="5"/>
  <c r="F27" i="5"/>
  <c r="AA247" i="5"/>
  <c r="C1386" i="5"/>
  <c r="Z362" i="5"/>
  <c r="S802" i="5"/>
  <c r="S1287" i="5"/>
  <c r="E1082" i="5"/>
  <c r="F1457" i="5"/>
  <c r="Z977" i="5"/>
  <c r="U482" i="5"/>
  <c r="C1404" i="5"/>
  <c r="C170" i="5"/>
  <c r="T1447" i="5"/>
  <c r="C1729" i="5"/>
  <c r="C132" i="5"/>
  <c r="C1418" i="5"/>
  <c r="T1032" i="5"/>
  <c r="T1027" i="5"/>
  <c r="C1632" i="5"/>
  <c r="V892" i="5"/>
  <c r="C55" i="5"/>
  <c r="C1047" i="5"/>
  <c r="Z357" i="5"/>
  <c r="C838" i="5"/>
  <c r="V112" i="5"/>
  <c r="S1317" i="5"/>
  <c r="AA382" i="5"/>
  <c r="U212" i="5"/>
  <c r="S1192" i="5"/>
  <c r="T927" i="5"/>
  <c r="V1512" i="5"/>
  <c r="V1027" i="5"/>
  <c r="E737" i="5"/>
  <c r="C222" i="5"/>
  <c r="Z467" i="5"/>
  <c r="S982" i="5"/>
  <c r="C1261" i="5"/>
  <c r="S302" i="5"/>
  <c r="E1512" i="5"/>
  <c r="AB847" i="5"/>
  <c r="S37" i="5"/>
  <c r="C11" i="5"/>
  <c r="AA1297" i="5"/>
  <c r="C329" i="5"/>
  <c r="C809" i="5"/>
  <c r="AA1242" i="5"/>
  <c r="F1242" i="5"/>
  <c r="S147" i="5"/>
  <c r="C259" i="5"/>
  <c r="C1544" i="5"/>
  <c r="C601" i="5"/>
  <c r="C35" i="5"/>
  <c r="U762" i="5"/>
  <c r="AB1327" i="5"/>
  <c r="F722" i="5"/>
  <c r="AB1347" i="5"/>
  <c r="S452" i="5"/>
  <c r="C31" i="5"/>
  <c r="C1194" i="5"/>
  <c r="U82" i="5"/>
  <c r="E1377" i="5"/>
  <c r="AA667" i="5"/>
  <c r="U107" i="5"/>
  <c r="AB247" i="5"/>
  <c r="C1101" i="5"/>
  <c r="C1668" i="5"/>
  <c r="AA1432" i="5"/>
  <c r="E1207" i="5"/>
  <c r="E1467" i="5"/>
  <c r="C1191" i="5"/>
  <c r="C1285" i="5"/>
  <c r="C1731" i="5"/>
  <c r="V1087" i="5"/>
  <c r="C159" i="5"/>
  <c r="C815" i="5"/>
  <c r="C119" i="5"/>
  <c r="T192" i="5"/>
  <c r="C1050" i="5"/>
  <c r="V682" i="5"/>
  <c r="AA1022" i="5"/>
  <c r="S47" i="5"/>
  <c r="C1519" i="5"/>
  <c r="X1207" i="5"/>
  <c r="U1092" i="5"/>
  <c r="C682" i="5"/>
  <c r="Z892" i="5"/>
  <c r="C542" i="5"/>
  <c r="C1152" i="5"/>
  <c r="X417" i="5"/>
  <c r="C438" i="5"/>
  <c r="U832" i="5"/>
  <c r="AB1437" i="5"/>
  <c r="AB47" i="5"/>
  <c r="Z837" i="5"/>
  <c r="T407" i="5"/>
  <c r="C824" i="5"/>
  <c r="T412" i="5"/>
  <c r="C462" i="5"/>
  <c r="C1357" i="5"/>
  <c r="E112" i="5"/>
  <c r="C997" i="5"/>
  <c r="T1022" i="5"/>
  <c r="S1212" i="5"/>
  <c r="AA847" i="5"/>
  <c r="S217" i="5"/>
  <c r="T567" i="5"/>
  <c r="AB697" i="5"/>
  <c r="E252" i="5"/>
  <c r="Z112" i="5"/>
  <c r="V367" i="5"/>
  <c r="Z137" i="5"/>
  <c r="U1267" i="5"/>
  <c r="C1466" i="5"/>
  <c r="C766" i="5"/>
  <c r="T1507" i="5"/>
  <c r="AA412" i="5"/>
  <c r="X837" i="5"/>
  <c r="E892" i="5"/>
  <c r="AB807" i="5"/>
  <c r="C1411" i="5"/>
  <c r="C1735" i="5"/>
  <c r="C651" i="5"/>
  <c r="S777" i="5"/>
  <c r="AB1407" i="5"/>
  <c r="C1074" i="5"/>
  <c r="U1027" i="5"/>
  <c r="E1592" i="5"/>
  <c r="Z262" i="5"/>
  <c r="C1517" i="5"/>
  <c r="Z1512" i="5"/>
  <c r="X802" i="5"/>
  <c r="E807" i="5"/>
  <c r="X1512" i="5"/>
  <c r="C1186" i="5"/>
  <c r="C1335" i="5"/>
  <c r="V277" i="5"/>
  <c r="AA102" i="5"/>
  <c r="Z692" i="5"/>
  <c r="S862" i="5"/>
  <c r="C1448" i="5"/>
  <c r="U1327" i="5"/>
  <c r="C1614" i="5"/>
  <c r="S1362" i="5"/>
  <c r="C160" i="5"/>
  <c r="U1442" i="5"/>
  <c r="F47" i="5"/>
  <c r="Z487" i="5"/>
  <c r="V357" i="5"/>
  <c r="V702" i="5"/>
  <c r="AB782" i="5"/>
  <c r="V742" i="5"/>
  <c r="AA707" i="5"/>
  <c r="U1172" i="5"/>
  <c r="Z1017" i="5"/>
  <c r="E437" i="5"/>
  <c r="C1566" i="5"/>
  <c r="C539" i="5"/>
  <c r="C1031" i="5"/>
  <c r="AB877" i="5"/>
  <c r="C57" i="5"/>
  <c r="F1552" i="5"/>
  <c r="AB17" i="5"/>
  <c r="T1302" i="5"/>
  <c r="U652" i="5"/>
  <c r="C1121" i="5"/>
  <c r="Z947" i="5"/>
  <c r="C1115" i="5"/>
  <c r="C752" i="5"/>
  <c r="C1412" i="5"/>
  <c r="C743" i="5"/>
  <c r="C908" i="5"/>
  <c r="Z1292" i="5"/>
  <c r="C1241" i="5"/>
  <c r="Z1567" i="5"/>
  <c r="E427" i="5"/>
  <c r="S1457" i="5"/>
  <c r="X1287" i="5"/>
  <c r="Z417" i="5"/>
  <c r="U782" i="5"/>
  <c r="C280" i="5"/>
  <c r="C759" i="5"/>
  <c r="T1067" i="5"/>
  <c r="E1067" i="5"/>
  <c r="C1662" i="5"/>
  <c r="C1082" i="5"/>
  <c r="T987" i="5"/>
  <c r="F1622" i="5"/>
  <c r="AB582" i="5"/>
  <c r="AA407" i="5"/>
  <c r="C1551" i="5"/>
  <c r="X1202" i="5"/>
  <c r="C319" i="5"/>
  <c r="C112" i="5"/>
  <c r="V692" i="5"/>
  <c r="C638" i="5"/>
  <c r="X697" i="5"/>
  <c r="Z677" i="5"/>
  <c r="C1647" i="5"/>
  <c r="Z1122" i="5"/>
  <c r="C1092" i="5"/>
  <c r="E777" i="5"/>
  <c r="C251" i="5"/>
  <c r="C1079" i="5"/>
  <c r="V1527" i="5"/>
  <c r="Z247" i="5"/>
  <c r="C367" i="5"/>
  <c r="C1539" i="5"/>
  <c r="C379" i="5"/>
  <c r="C1238" i="5"/>
  <c r="V222" i="5"/>
  <c r="C48" i="5"/>
  <c r="S987" i="5"/>
  <c r="C266" i="5"/>
  <c r="F1587" i="5"/>
  <c r="X397" i="5"/>
  <c r="C552" i="5"/>
  <c r="X957" i="5"/>
  <c r="T1422" i="5"/>
  <c r="C1568" i="5"/>
  <c r="C1007" i="5"/>
  <c r="T1017" i="5"/>
  <c r="V917" i="5"/>
  <c r="C603" i="5"/>
  <c r="C1021" i="5"/>
  <c r="C295" i="5"/>
  <c r="T1282" i="5"/>
  <c r="AA1577" i="5"/>
  <c r="C985" i="5"/>
  <c r="U1052" i="5"/>
  <c r="C81" i="5"/>
  <c r="V422" i="5"/>
  <c r="AB447" i="5"/>
  <c r="V787" i="5"/>
  <c r="Z297" i="5"/>
  <c r="U967" i="5"/>
  <c r="C1342" i="5"/>
  <c r="Z117" i="5"/>
  <c r="S1107" i="5"/>
  <c r="V1302" i="5"/>
  <c r="C1266" i="5"/>
  <c r="E1077" i="5"/>
  <c r="AB1267" i="5"/>
  <c r="U1057" i="5"/>
  <c r="S682" i="5"/>
  <c r="AA1397" i="5"/>
  <c r="AA867" i="5"/>
  <c r="AB897" i="5"/>
  <c r="V1497" i="5"/>
  <c r="C779" i="5"/>
  <c r="C557" i="5"/>
  <c r="E397" i="5"/>
  <c r="C816" i="5"/>
  <c r="E52" i="5"/>
  <c r="X327" i="5"/>
  <c r="C1171" i="5"/>
  <c r="AA482" i="5"/>
  <c r="X1077" i="5"/>
  <c r="S62" i="5"/>
  <c r="F1112" i="5"/>
  <c r="AB982" i="5"/>
  <c r="C1556" i="5"/>
  <c r="T1372" i="5"/>
  <c r="C1354" i="5"/>
  <c r="AB1477" i="5"/>
  <c r="S2" i="5"/>
  <c r="C688" i="5"/>
  <c r="F687" i="5"/>
  <c r="C1743" i="5"/>
  <c r="AA1182" i="5"/>
  <c r="X742" i="5"/>
  <c r="T1012" i="5"/>
  <c r="Z1177" i="5"/>
  <c r="X1002" i="5"/>
  <c r="S1377" i="5"/>
  <c r="E457" i="5"/>
  <c r="S32" i="5"/>
  <c r="S1242" i="5"/>
  <c r="X1507" i="5"/>
  <c r="X1687" i="5"/>
  <c r="C749" i="5"/>
  <c r="C240" i="5"/>
  <c r="S1252" i="5"/>
  <c r="C750" i="5"/>
  <c r="AA877" i="5"/>
  <c r="C27" i="5"/>
  <c r="C1710" i="5"/>
  <c r="C672" i="5"/>
  <c r="E1387" i="5"/>
  <c r="C267" i="5"/>
  <c r="C468" i="5"/>
  <c r="X872" i="5"/>
  <c r="U532" i="5"/>
  <c r="E157" i="5"/>
  <c r="C1173" i="5"/>
  <c r="C568" i="5"/>
  <c r="C155" i="5"/>
  <c r="C587" i="5"/>
  <c r="C545" i="5"/>
  <c r="F932" i="5"/>
  <c r="C1299" i="5"/>
  <c r="C382" i="5"/>
  <c r="C1287" i="5"/>
  <c r="C924" i="5"/>
  <c r="F712" i="5"/>
  <c r="C281" i="5"/>
  <c r="E232" i="5"/>
  <c r="E497" i="5"/>
  <c r="Z332" i="5"/>
  <c r="V1432" i="5"/>
  <c r="C13" i="5"/>
  <c r="C253" i="5"/>
  <c r="C1019" i="5"/>
  <c r="C156" i="5"/>
  <c r="AB457" i="5"/>
  <c r="S92" i="5"/>
  <c r="C1134" i="5"/>
  <c r="C629" i="5"/>
  <c r="C719" i="5"/>
  <c r="V212" i="5"/>
  <c r="C811" i="5"/>
  <c r="AB152" i="5"/>
  <c r="C829" i="5"/>
  <c r="T17" i="5"/>
  <c r="AA572" i="5"/>
  <c r="T917" i="5"/>
  <c r="Z47" i="5"/>
  <c r="E1372" i="5"/>
  <c r="C806" i="5"/>
  <c r="C1161" i="5"/>
  <c r="C460" i="5"/>
  <c r="C500" i="5"/>
  <c r="AB1277" i="5"/>
  <c r="S1512" i="5"/>
  <c r="C229" i="5"/>
  <c r="Z312" i="5"/>
  <c r="AB1312" i="5"/>
  <c r="C43" i="5"/>
  <c r="E607" i="5"/>
  <c r="U1037" i="5"/>
  <c r="S1067" i="5"/>
  <c r="U317" i="5"/>
  <c r="F762" i="5"/>
  <c r="F452" i="5"/>
  <c r="E1532" i="5"/>
  <c r="V1362" i="5"/>
  <c r="C1029" i="5"/>
  <c r="C1235" i="5"/>
  <c r="C285" i="5"/>
  <c r="U647" i="5"/>
  <c r="C1498" i="5"/>
  <c r="C448" i="5"/>
  <c r="U477" i="5"/>
  <c r="E602" i="5"/>
  <c r="X1367" i="5"/>
  <c r="AA1132" i="5"/>
  <c r="U7" i="5"/>
  <c r="C1433" i="5"/>
  <c r="C652" i="5"/>
  <c r="F1012" i="5"/>
  <c r="S377" i="5"/>
  <c r="C347" i="5"/>
  <c r="C107" i="5"/>
  <c r="C690" i="5"/>
  <c r="C256" i="5"/>
  <c r="S1322" i="5"/>
  <c r="S837" i="5"/>
  <c r="E1337" i="5"/>
  <c r="AA827" i="5"/>
  <c r="C1326" i="5"/>
  <c r="C1390" i="5"/>
  <c r="C461" i="5"/>
  <c r="C130" i="5"/>
  <c r="AB612" i="5"/>
  <c r="C1347" i="5"/>
  <c r="C1055" i="5"/>
  <c r="C152" i="5"/>
  <c r="U392" i="5"/>
  <c r="AA1012" i="5"/>
  <c r="F242" i="5"/>
  <c r="Z872" i="5"/>
  <c r="E817" i="5"/>
  <c r="S1562" i="5"/>
  <c r="T682" i="5"/>
  <c r="AB442" i="5"/>
  <c r="AA1187" i="5"/>
  <c r="C1397" i="5"/>
  <c r="V127" i="5"/>
  <c r="C1686" i="5"/>
  <c r="U682" i="5"/>
  <c r="V1062" i="5"/>
  <c r="AA817" i="5"/>
  <c r="V282" i="5"/>
  <c r="E372" i="5"/>
  <c r="V597" i="5"/>
  <c r="C241" i="5"/>
  <c r="S1247" i="5"/>
  <c r="F1432" i="5"/>
  <c r="C1222" i="5"/>
  <c r="C1746" i="5"/>
  <c r="V827" i="5"/>
  <c r="Z937" i="5"/>
  <c r="AB132" i="5"/>
  <c r="S657" i="5"/>
  <c r="C1346" i="5"/>
  <c r="C1339" i="5"/>
  <c r="U512" i="5"/>
  <c r="F1422" i="5"/>
  <c r="F347" i="5"/>
  <c r="F967" i="5"/>
  <c r="Z712" i="5"/>
  <c r="AB1257" i="5"/>
  <c r="X797" i="5"/>
  <c r="X1697" i="5"/>
  <c r="X412" i="5"/>
  <c r="S1167" i="5"/>
  <c r="C1356" i="5"/>
  <c r="AB1527" i="5"/>
  <c r="C415" i="5"/>
  <c r="F702" i="5"/>
  <c r="C95" i="5"/>
  <c r="T597" i="5"/>
  <c r="AA317" i="5"/>
  <c r="C1687" i="5"/>
  <c r="F87" i="5"/>
  <c r="C573" i="5"/>
  <c r="C1497" i="5"/>
  <c r="E1502" i="5"/>
  <c r="E1367" i="5"/>
  <c r="C773" i="5"/>
  <c r="C817" i="5"/>
  <c r="E117" i="5"/>
  <c r="AA532" i="5"/>
  <c r="C784" i="5"/>
  <c r="C1699" i="5"/>
  <c r="C1146" i="5"/>
  <c r="E1007" i="5"/>
  <c r="T557" i="5"/>
  <c r="F1032" i="5"/>
  <c r="S257" i="5"/>
  <c r="C1153" i="5"/>
  <c r="C1240" i="5"/>
  <c r="C387" i="5"/>
  <c r="C619" i="5"/>
  <c r="AB157" i="5"/>
  <c r="C1315" i="5"/>
  <c r="C446" i="5"/>
  <c r="C1535" i="5"/>
  <c r="AA1167" i="5"/>
  <c r="F1237" i="5"/>
  <c r="AA267" i="5"/>
  <c r="C1723" i="5"/>
  <c r="U1012" i="5"/>
  <c r="S917" i="5"/>
  <c r="C442" i="5"/>
  <c r="Z187" i="5"/>
  <c r="V1272" i="5"/>
  <c r="S1357" i="5"/>
  <c r="C12" i="5"/>
  <c r="C524" i="5"/>
  <c r="C822" i="5"/>
  <c r="C872" i="5"/>
  <c r="AB432" i="5"/>
  <c r="C184" i="5"/>
  <c r="V317" i="5"/>
  <c r="E7" i="5"/>
  <c r="X567" i="5"/>
  <c r="U52" i="5"/>
  <c r="C1048" i="5"/>
  <c r="X617" i="5"/>
  <c r="C726" i="5"/>
  <c r="X1627" i="5"/>
  <c r="C506" i="5"/>
  <c r="AA82" i="5"/>
  <c r="V1282" i="5"/>
  <c r="U1177" i="5"/>
  <c r="C1352" i="5"/>
  <c r="E137" i="5"/>
  <c r="F887" i="5"/>
  <c r="E1557" i="5"/>
  <c r="V707" i="5"/>
  <c r="C812" i="5"/>
  <c r="E1447" i="5"/>
  <c r="AB567" i="5"/>
  <c r="C1096" i="5"/>
  <c r="F1282" i="5"/>
  <c r="Z897" i="5"/>
  <c r="C1045" i="5"/>
  <c r="AA327" i="5"/>
  <c r="AB182" i="5"/>
  <c r="C1165" i="5"/>
  <c r="U932" i="5"/>
  <c r="E532" i="5"/>
  <c r="C1234" i="5"/>
  <c r="C42" i="5"/>
  <c r="C459" i="5"/>
  <c r="C1689" i="5"/>
  <c r="C1721" i="5"/>
  <c r="C1188" i="5"/>
  <c r="S1257" i="5"/>
  <c r="C866" i="5"/>
  <c r="F1517" i="5"/>
  <c r="AB752" i="5"/>
  <c r="V1082" i="5"/>
  <c r="T882" i="5"/>
  <c r="Z302" i="5"/>
  <c r="F392" i="5"/>
  <c r="E542" i="5"/>
  <c r="S662" i="5"/>
  <c r="E1017" i="5"/>
  <c r="Z152" i="5"/>
  <c r="C139" i="5"/>
  <c r="C1187" i="5"/>
  <c r="C1620" i="5"/>
  <c r="E1172" i="5"/>
  <c r="C1192" i="5"/>
  <c r="C1470" i="5"/>
  <c r="E1292" i="5"/>
  <c r="X752" i="5"/>
  <c r="C1727" i="5"/>
  <c r="C1387" i="5"/>
  <c r="C1381" i="5"/>
  <c r="E467" i="5"/>
  <c r="V1372" i="5"/>
  <c r="C701" i="5"/>
  <c r="C731" i="5"/>
  <c r="C357" i="5"/>
  <c r="C687" i="5"/>
  <c r="E262" i="5"/>
  <c r="C71" i="5"/>
  <c r="X1382" i="5"/>
  <c r="X1272" i="5"/>
  <c r="X107" i="5"/>
  <c r="F212" i="5"/>
  <c r="C1584" i="5"/>
  <c r="C771" i="5"/>
  <c r="T787" i="5"/>
  <c r="C1425" i="5"/>
  <c r="E1462" i="5"/>
  <c r="C857" i="5"/>
  <c r="U582" i="5"/>
  <c r="T1577" i="5"/>
  <c r="C579" i="5"/>
  <c r="U677" i="5"/>
  <c r="V817" i="5"/>
  <c r="C624" i="5"/>
  <c r="T1317" i="5"/>
  <c r="C1205" i="5"/>
  <c r="E617" i="5"/>
  <c r="C1383" i="5"/>
  <c r="S877" i="5"/>
  <c r="C1169" i="5"/>
  <c r="C200" i="5"/>
  <c r="C1688" i="5"/>
  <c r="F1627" i="5"/>
  <c r="C1445" i="5"/>
  <c r="C1159" i="5"/>
  <c r="C373" i="5"/>
  <c r="V247" i="5"/>
  <c r="AB622" i="5"/>
  <c r="T1347" i="5"/>
  <c r="C358" i="5"/>
  <c r="V907" i="5"/>
  <c r="AA1332" i="5"/>
  <c r="C1334" i="5"/>
  <c r="C1379" i="5"/>
  <c r="U617" i="5"/>
  <c r="F147" i="5"/>
  <c r="X1427" i="5"/>
  <c r="E292" i="5"/>
  <c r="V1397" i="5"/>
  <c r="Z67" i="5"/>
  <c r="U587" i="5"/>
  <c r="C1073" i="5"/>
  <c r="C951" i="5"/>
  <c r="V1107" i="5"/>
  <c r="E967" i="5"/>
  <c r="E1542" i="5"/>
  <c r="C1033" i="5"/>
  <c r="C348" i="5"/>
  <c r="X1347" i="5"/>
  <c r="X382" i="5"/>
  <c r="C644" i="5"/>
  <c r="Z957" i="5"/>
  <c r="V757" i="5"/>
  <c r="F767" i="5"/>
  <c r="V232" i="5"/>
  <c r="U952" i="5"/>
  <c r="C427" i="5"/>
  <c r="V77" i="5"/>
  <c r="C958" i="5"/>
  <c r="AA612" i="5"/>
  <c r="C1664" i="5"/>
  <c r="E1702" i="5"/>
  <c r="X1447" i="5"/>
  <c r="C171" i="5"/>
  <c r="E1677" i="5"/>
  <c r="C959" i="5"/>
  <c r="T932" i="5"/>
  <c r="C449" i="5"/>
  <c r="C1399" i="5"/>
  <c r="C1000" i="5"/>
  <c r="C867" i="5"/>
  <c r="AA642" i="5"/>
  <c r="C1124" i="5"/>
  <c r="C62" i="5"/>
  <c r="T347" i="5"/>
  <c r="X1167" i="5"/>
  <c r="E647" i="5"/>
  <c r="Z77" i="5"/>
  <c r="C1629" i="5"/>
  <c r="C972" i="5"/>
  <c r="V42" i="5"/>
  <c r="V497" i="5"/>
  <c r="F1017" i="5"/>
  <c r="AA1417" i="5"/>
  <c r="C963" i="5"/>
  <c r="X1547" i="5"/>
  <c r="F1712" i="5"/>
  <c r="C1570" i="5"/>
  <c r="AA347" i="5"/>
  <c r="C435" i="5"/>
  <c r="C1227" i="5"/>
  <c r="U1042" i="5"/>
  <c r="C1252" i="5"/>
  <c r="C1671" i="5"/>
  <c r="U1272" i="5"/>
  <c r="E37" i="5"/>
  <c r="C1487" i="5"/>
  <c r="C1250" i="5"/>
  <c r="F732" i="5"/>
  <c r="C1385" i="5"/>
  <c r="U232" i="5"/>
  <c r="T1237" i="5"/>
  <c r="Z327" i="5"/>
  <c r="AB657" i="5"/>
  <c r="E1477" i="5"/>
  <c r="AA22" i="5"/>
  <c r="T662" i="5"/>
  <c r="F1482" i="5"/>
  <c r="C607" i="5"/>
  <c r="X222" i="5"/>
  <c r="C1243" i="5"/>
  <c r="X1737" i="5"/>
  <c r="C465" i="5"/>
  <c r="E452" i="5"/>
  <c r="C783" i="5"/>
  <c r="X572" i="5"/>
  <c r="C977" i="5"/>
  <c r="F387" i="5"/>
  <c r="Z1537" i="5"/>
  <c r="AA367" i="5"/>
  <c r="AB1077" i="5"/>
  <c r="U687" i="5"/>
  <c r="C569" i="5"/>
  <c r="C1370" i="5"/>
  <c r="E72" i="5"/>
  <c r="F222" i="5"/>
  <c r="F912" i="5"/>
  <c r="F187" i="5"/>
  <c r="Z672" i="5"/>
  <c r="C441" i="5"/>
  <c r="V1182" i="5"/>
  <c r="E517" i="5"/>
  <c r="X1407" i="5"/>
  <c r="C286" i="5"/>
  <c r="F467" i="5"/>
  <c r="C1615" i="5"/>
  <c r="C892" i="5"/>
  <c r="F7" i="5"/>
  <c r="C405" i="5"/>
  <c r="F642" i="5"/>
  <c r="C9" i="5"/>
  <c r="C1264" i="5"/>
  <c r="Z352" i="5"/>
  <c r="C575" i="5"/>
  <c r="AB487" i="5"/>
  <c r="C1098" i="5"/>
  <c r="C622" i="5"/>
  <c r="C353" i="5"/>
  <c r="F1562" i="5"/>
  <c r="F302" i="5"/>
  <c r="F177" i="5"/>
  <c r="C1107" i="5"/>
  <c r="U767" i="5"/>
  <c r="C1178" i="5"/>
  <c r="E1657" i="5"/>
  <c r="C1328" i="5"/>
  <c r="AA1042" i="5"/>
  <c r="AA1342" i="5"/>
  <c r="E1112" i="5"/>
  <c r="C1608" i="5"/>
  <c r="C1059" i="5"/>
  <c r="C966" i="5"/>
  <c r="X1042" i="5"/>
  <c r="C1229" i="5"/>
  <c r="C1666" i="5"/>
  <c r="C1062" i="5"/>
  <c r="U67" i="5"/>
  <c r="C187" i="5"/>
  <c r="C1683" i="5"/>
  <c r="C1140" i="5"/>
  <c r="T327" i="5"/>
  <c r="S722" i="5"/>
  <c r="X852" i="5"/>
  <c r="C34" i="5"/>
  <c r="AB912" i="5"/>
  <c r="AA217" i="5"/>
  <c r="AA782" i="5"/>
  <c r="V1332" i="5"/>
  <c r="F1352" i="5"/>
  <c r="C20" i="5"/>
  <c r="C381" i="5"/>
  <c r="C252" i="5"/>
  <c r="E322" i="5"/>
  <c r="Z1057" i="5"/>
  <c r="C1402" i="5"/>
  <c r="T577" i="5"/>
  <c r="C327" i="5"/>
  <c r="C994" i="5"/>
  <c r="C664" i="5"/>
  <c r="T1382" i="5"/>
  <c r="E872" i="5"/>
  <c r="E1492" i="5"/>
  <c r="C1198" i="5"/>
  <c r="F1617" i="5"/>
  <c r="S1412" i="5"/>
  <c r="U772" i="5"/>
  <c r="C537" i="5"/>
  <c r="E822" i="5"/>
  <c r="AA262" i="5"/>
  <c r="S332" i="5"/>
  <c r="E577" i="5"/>
  <c r="Z97" i="5"/>
  <c r="C576" i="5"/>
  <c r="C375" i="5"/>
  <c r="AA72" i="5"/>
  <c r="AA17" i="5"/>
  <c r="C849" i="5"/>
  <c r="C990" i="5"/>
  <c r="U162" i="5"/>
  <c r="C234" i="5"/>
  <c r="C1054" i="5"/>
  <c r="F477" i="5"/>
  <c r="C147" i="5"/>
  <c r="V1217" i="5"/>
  <c r="T1392" i="5"/>
  <c r="E282" i="5"/>
  <c r="AA392" i="5"/>
  <c r="T1607" i="5"/>
  <c r="S1137" i="5"/>
  <c r="C708" i="5"/>
  <c r="C1190" i="5"/>
  <c r="E42" i="5"/>
  <c r="C540" i="5"/>
  <c r="F577" i="5"/>
  <c r="C518" i="5"/>
  <c r="C1580" i="5"/>
  <c r="F1182" i="5"/>
  <c r="Z252" i="5"/>
  <c r="C1117" i="5"/>
  <c r="C140" i="5"/>
  <c r="C1594" i="5"/>
  <c r="C772" i="5"/>
  <c r="C471" i="5"/>
  <c r="AB717" i="5"/>
  <c r="T547" i="5"/>
  <c r="E932" i="5"/>
  <c r="X887" i="5"/>
  <c r="F1027" i="5"/>
  <c r="C64" i="5"/>
  <c r="U277" i="5"/>
  <c r="C154" i="5"/>
  <c r="C602" i="5"/>
  <c r="C717" i="5"/>
  <c r="C109" i="5"/>
  <c r="E1192" i="5"/>
  <c r="C1595" i="5"/>
  <c r="F617" i="5"/>
  <c r="C18" i="5"/>
  <c r="AA897" i="5"/>
  <c r="C1552" i="5"/>
  <c r="E92" i="5"/>
  <c r="X1082" i="5"/>
  <c r="C6" i="5"/>
  <c r="AA622" i="5"/>
  <c r="S927" i="5"/>
  <c r="Z1557" i="5"/>
  <c r="V582" i="5"/>
  <c r="C856" i="5"/>
  <c r="C351" i="5"/>
  <c r="V157" i="5"/>
  <c r="C1506" i="5"/>
  <c r="C643" i="5"/>
  <c r="F462" i="5"/>
  <c r="C325" i="5"/>
  <c r="AB107" i="5"/>
  <c r="F122" i="5"/>
  <c r="X437" i="5"/>
  <c r="F942" i="5"/>
  <c r="Z157" i="5"/>
  <c r="F682" i="5"/>
  <c r="T67" i="5"/>
  <c r="C1625" i="5"/>
  <c r="F1697" i="5"/>
  <c r="C1479" i="5"/>
  <c r="C1591" i="5"/>
  <c r="X232" i="5"/>
  <c r="T87" i="5"/>
  <c r="C70" i="5"/>
  <c r="C157" i="5"/>
  <c r="Z762" i="5"/>
  <c r="C430" i="5"/>
  <c r="C1015" i="5"/>
  <c r="E1212" i="5"/>
  <c r="C1217" i="5"/>
  <c r="C1427" i="5"/>
  <c r="AB1502" i="5"/>
  <c r="F1547" i="5"/>
  <c r="X142" i="5"/>
  <c r="F137" i="5"/>
  <c r="C475" i="5"/>
  <c r="V807" i="5"/>
  <c r="E1662" i="5"/>
  <c r="C582" i="5"/>
  <c r="X612" i="5"/>
  <c r="S672" i="5"/>
  <c r="C1422" i="5"/>
  <c r="C870" i="5"/>
  <c r="F107" i="5"/>
  <c r="C995" i="5"/>
  <c r="U1277" i="5"/>
  <c r="E1487" i="5"/>
  <c r="Z857" i="5"/>
  <c r="F1742" i="5"/>
  <c r="F1312" i="5"/>
  <c r="T477" i="5"/>
  <c r="T442" i="5"/>
  <c r="C705" i="5"/>
  <c r="C1298" i="5"/>
  <c r="C563" i="5"/>
  <c r="C775" i="5"/>
  <c r="C60" i="5"/>
  <c r="C1732" i="5"/>
  <c r="X1657" i="5"/>
  <c r="AB772" i="5"/>
  <c r="C792" i="5"/>
  <c r="T867" i="5"/>
  <c r="C1219" i="5"/>
  <c r="C692" i="5"/>
  <c r="C503" i="5"/>
  <c r="Z347" i="5"/>
  <c r="AA1517" i="5"/>
  <c r="U237" i="5"/>
  <c r="E937" i="5"/>
  <c r="F327" i="5"/>
  <c r="C1114" i="5"/>
  <c r="U127" i="5"/>
  <c r="C1343" i="5"/>
  <c r="F977" i="5"/>
  <c r="V677" i="5"/>
  <c r="V1252" i="5"/>
  <c r="C658" i="5"/>
  <c r="C691" i="5"/>
  <c r="C703" i="5"/>
  <c r="X67" i="5"/>
  <c r="F342" i="5"/>
  <c r="C508" i="5"/>
  <c r="V1132" i="5"/>
  <c r="C1707" i="5"/>
  <c r="E1617" i="5"/>
  <c r="F1682" i="5"/>
  <c r="C479" i="5"/>
  <c r="C1500" i="5"/>
  <c r="T1552" i="5"/>
  <c r="E337" i="5"/>
  <c r="X467" i="5"/>
  <c r="C1043" i="5"/>
  <c r="C921" i="5"/>
  <c r="S67" i="5"/>
  <c r="E1507" i="5"/>
  <c r="E732" i="5"/>
  <c r="C212" i="5"/>
  <c r="C443" i="5"/>
  <c r="C804" i="5"/>
  <c r="C1135" i="5"/>
  <c r="V662" i="5"/>
  <c r="C1607" i="5"/>
  <c r="V972" i="5"/>
  <c r="T782" i="5"/>
  <c r="C684" i="5"/>
  <c r="AB1367" i="5"/>
  <c r="AB282" i="5"/>
  <c r="C1248" i="5"/>
  <c r="C210" i="5"/>
  <c r="C1189" i="5"/>
  <c r="S152" i="5"/>
  <c r="C246" i="5"/>
  <c r="C401" i="5"/>
  <c r="S1117" i="5"/>
  <c r="AA1002" i="5"/>
  <c r="X1252" i="5"/>
  <c r="C1274" i="5"/>
  <c r="F1392" i="5"/>
  <c r="Z87" i="5"/>
  <c r="C1587" i="5"/>
  <c r="C819" i="5"/>
  <c r="C721" i="5"/>
  <c r="F1502" i="5"/>
  <c r="F287" i="5"/>
  <c r="C889" i="5"/>
  <c r="F382" i="5"/>
  <c r="C452" i="5"/>
  <c r="V637" i="5"/>
  <c r="C1441" i="5"/>
  <c r="F277" i="5"/>
  <c r="F1702" i="5"/>
  <c r="AA1147" i="5"/>
  <c r="C1695" i="5"/>
  <c r="C794" i="5"/>
  <c r="F1067" i="5"/>
  <c r="E1002" i="5"/>
  <c r="E1602" i="5"/>
  <c r="C328" i="5"/>
  <c r="C164" i="5"/>
  <c r="V647" i="5"/>
  <c r="C1138" i="5"/>
  <c r="F267" i="5"/>
  <c r="AA752" i="5"/>
  <c r="C464" i="5"/>
  <c r="E1397" i="5"/>
  <c r="F1452" i="5"/>
  <c r="S1442" i="5"/>
  <c r="C1474" i="5"/>
  <c r="F1302" i="5"/>
  <c r="F207" i="5"/>
  <c r="C988" i="5"/>
  <c r="F1657" i="5"/>
  <c r="C1384" i="5"/>
  <c r="C1536" i="5"/>
  <c r="Z1252" i="5"/>
  <c r="C213" i="5"/>
  <c r="C813" i="5"/>
  <c r="C660" i="5"/>
  <c r="C1071" i="5"/>
  <c r="V1052" i="5"/>
  <c r="C151" i="5"/>
  <c r="T1547" i="5"/>
  <c r="V1092" i="5"/>
  <c r="C645" i="5"/>
  <c r="C1316" i="5"/>
  <c r="C679" i="5"/>
  <c r="C847" i="5"/>
  <c r="C87" i="5"/>
  <c r="AA372" i="5"/>
  <c r="C1628" i="5"/>
  <c r="C918" i="5"/>
  <c r="U252" i="5"/>
  <c r="X1527" i="5"/>
  <c r="C102" i="5"/>
  <c r="C1249" i="5"/>
  <c r="C421" i="5"/>
  <c r="Z227" i="5"/>
  <c r="T997" i="5"/>
  <c r="S1472" i="5"/>
  <c r="S297" i="5"/>
  <c r="C1028" i="5"/>
  <c r="C453" i="5"/>
  <c r="E572" i="5"/>
  <c r="AA202" i="5"/>
  <c r="C935" i="5"/>
  <c r="T1402" i="5"/>
  <c r="Z737" i="5"/>
  <c r="T1562" i="5"/>
  <c r="C400" i="5"/>
  <c r="C654" i="5"/>
  <c r="S487" i="5"/>
  <c r="S1267" i="5"/>
  <c r="S1407" i="5"/>
  <c r="C1460" i="5"/>
  <c r="AA1247" i="5"/>
  <c r="C350" i="5"/>
  <c r="Z732" i="5"/>
  <c r="E1137" i="5"/>
  <c r="T957" i="5"/>
  <c r="AB917" i="5"/>
  <c r="C1132" i="5"/>
  <c r="C531" i="5"/>
  <c r="E317" i="5"/>
  <c r="AB237" i="5"/>
  <c r="AA1092" i="5"/>
  <c r="C163" i="5"/>
  <c r="C226" i="5"/>
  <c r="C903" i="5"/>
  <c r="C1100" i="5"/>
  <c r="U562" i="5"/>
  <c r="C386" i="5"/>
  <c r="C3" i="5"/>
  <c r="C284" i="5"/>
  <c r="C1102" i="5"/>
  <c r="C1209" i="5"/>
  <c r="C1154" i="5"/>
  <c r="AA1487" i="5"/>
  <c r="Z967" i="5"/>
  <c r="F537" i="5"/>
  <c r="U1157" i="5"/>
  <c r="C862" i="5"/>
  <c r="C1588" i="5"/>
  <c r="C354" i="5"/>
  <c r="C1692" i="5"/>
  <c r="S87" i="5"/>
  <c r="C440" i="5"/>
  <c r="C1679" i="5"/>
  <c r="Z412" i="5"/>
  <c r="C938" i="5"/>
  <c r="U572" i="5"/>
  <c r="V1072" i="5"/>
  <c r="C625" i="5"/>
  <c r="T427" i="5"/>
  <c r="T1047" i="5"/>
  <c r="C490" i="5"/>
  <c r="U417" i="5"/>
  <c r="C1406" i="5"/>
  <c r="F982" i="5"/>
  <c r="C1104" i="5"/>
  <c r="U882" i="5"/>
  <c r="U1247" i="5"/>
  <c r="C1717" i="5"/>
  <c r="C1224" i="5"/>
  <c r="C1373" i="5"/>
  <c r="E312" i="5"/>
  <c r="C1336" i="5"/>
  <c r="C92" i="5"/>
  <c r="C733" i="5"/>
  <c r="T1287" i="5"/>
  <c r="X287" i="5"/>
  <c r="C310" i="5"/>
  <c r="T1557" i="5"/>
  <c r="V772" i="5"/>
  <c r="C195" i="5"/>
  <c r="AB517" i="5"/>
  <c r="C1455" i="5"/>
  <c r="C1540" i="5"/>
  <c r="C1600" i="5"/>
  <c r="C217" i="5"/>
  <c r="C865" i="5"/>
  <c r="E1612" i="5"/>
  <c r="C1360" i="5"/>
  <c r="C1423" i="5"/>
  <c r="T307" i="5"/>
  <c r="S1487" i="5"/>
  <c r="C436" i="5"/>
  <c r="F1662" i="5"/>
  <c r="C268" i="5"/>
  <c r="C428" i="5"/>
  <c r="C674" i="5"/>
  <c r="C798" i="5"/>
  <c r="V32" i="5"/>
  <c r="C1025" i="5"/>
  <c r="C763" i="5"/>
  <c r="S1162" i="5"/>
  <c r="C337" i="5"/>
  <c r="C219" i="5"/>
  <c r="C1304" i="5"/>
  <c r="AB392" i="5"/>
  <c r="C1364" i="5"/>
  <c r="T1292" i="5"/>
  <c r="E1587" i="5"/>
  <c r="C1317" i="5"/>
  <c r="C1065" i="5"/>
  <c r="E447" i="5"/>
  <c r="E512" i="5"/>
  <c r="C457" i="5"/>
  <c r="X122" i="5"/>
  <c r="AA32" i="5"/>
  <c r="C302" i="5"/>
  <c r="Z1082" i="5"/>
  <c r="C578" i="5"/>
  <c r="AB1422" i="5"/>
  <c r="C993" i="5"/>
  <c r="V1227" i="5"/>
  <c r="C1072" i="5"/>
  <c r="X1617" i="5"/>
  <c r="X1047" i="5"/>
  <c r="X227" i="5"/>
  <c r="C975" i="5"/>
  <c r="U262" i="5"/>
  <c r="C1011" i="5"/>
  <c r="F1652" i="5"/>
  <c r="F1727" i="5"/>
  <c r="AB1447" i="5"/>
  <c r="F167" i="5"/>
  <c r="S752" i="5"/>
  <c r="F422" i="5"/>
  <c r="C1488" i="5"/>
  <c r="C1174" i="5"/>
  <c r="V67" i="5"/>
  <c r="Z797" i="5"/>
  <c r="S337" i="5"/>
  <c r="U287" i="5"/>
  <c r="AA692" i="5"/>
  <c r="Z1267" i="5"/>
  <c r="E177" i="5"/>
  <c r="AB1417" i="5"/>
  <c r="C1311" i="5"/>
  <c r="T1102" i="5"/>
  <c r="T142" i="5"/>
  <c r="F22" i="5"/>
  <c r="V922" i="5"/>
  <c r="C19" i="5"/>
  <c r="C641" i="5"/>
  <c r="C100" i="5"/>
  <c r="Z482" i="5"/>
  <c r="C349" i="5"/>
  <c r="T1442" i="5"/>
  <c r="S1127" i="5"/>
  <c r="E237" i="5"/>
  <c r="F512" i="5"/>
  <c r="Z1142" i="5"/>
  <c r="AB1332" i="5"/>
  <c r="C1286" i="5"/>
  <c r="C1220" i="5"/>
  <c r="C1265" i="5"/>
  <c r="AB767" i="5"/>
  <c r="X1402" i="5"/>
  <c r="C1585" i="5"/>
  <c r="C666" i="5"/>
  <c r="Z502" i="5"/>
  <c r="C546" i="5"/>
  <c r="F1362" i="5"/>
  <c r="X462" i="5"/>
  <c r="T817" i="5"/>
  <c r="C699" i="5"/>
  <c r="E1572" i="5"/>
  <c r="Z1087" i="5"/>
  <c r="C1403" i="5"/>
  <c r="C202" i="5"/>
  <c r="C445" i="5"/>
  <c r="U117" i="5"/>
  <c r="C1333" i="5"/>
  <c r="C855" i="5"/>
  <c r="C1504" i="5"/>
  <c r="T542" i="5"/>
  <c r="C1273" i="5"/>
  <c r="AB492" i="5"/>
  <c r="C116" i="5"/>
  <c r="Z1007" i="5"/>
  <c r="E1552" i="5"/>
  <c r="C1704" i="5"/>
  <c r="U1252" i="5"/>
  <c r="AB552" i="5"/>
  <c r="F1732" i="5"/>
  <c r="E1027" i="5"/>
  <c r="U922" i="5"/>
  <c r="V427" i="5"/>
  <c r="C1450" i="5"/>
  <c r="T722" i="5"/>
  <c r="X1372" i="5"/>
  <c r="Z1152" i="5"/>
  <c r="C797" i="5"/>
  <c r="F1487" i="5"/>
  <c r="C591" i="5"/>
  <c r="C1462" i="5"/>
  <c r="AA767" i="5"/>
  <c r="C1049" i="5"/>
  <c r="C493" i="5"/>
  <c r="C1377" i="5"/>
  <c r="V1572" i="5"/>
  <c r="V1177" i="5"/>
  <c r="C1260" i="5"/>
  <c r="C885" i="5"/>
  <c r="E992" i="5"/>
  <c r="S622" i="5"/>
  <c r="C131" i="5"/>
  <c r="E1422" i="5"/>
  <c r="C413" i="5"/>
  <c r="X522" i="5"/>
  <c r="AA977" i="5"/>
  <c r="T1192" i="5"/>
  <c r="C370" i="5"/>
  <c r="C1532" i="5"/>
  <c r="U1477" i="5"/>
  <c r="T1537" i="5"/>
  <c r="C1005" i="5"/>
  <c r="U272" i="5"/>
  <c r="V1517" i="5"/>
  <c r="F17" i="5"/>
  <c r="C1576" i="5"/>
  <c r="F752" i="5"/>
  <c r="C1143" i="5"/>
  <c r="C476" i="5"/>
  <c r="C1621" i="5"/>
  <c r="V552" i="5"/>
  <c r="C729" i="5"/>
  <c r="AB1452" i="5"/>
  <c r="C1618" i="5"/>
  <c r="V1202" i="5"/>
  <c r="AA1137" i="5"/>
  <c r="C1481" i="5"/>
  <c r="C1182" i="5"/>
  <c r="T737" i="5"/>
  <c r="C608" i="5"/>
  <c r="T1297" i="5"/>
  <c r="U432" i="5"/>
  <c r="C1199" i="5"/>
  <c r="E287" i="5"/>
  <c r="V982" i="5"/>
  <c r="C1081" i="5"/>
  <c r="S1542" i="5"/>
  <c r="V812" i="5"/>
  <c r="Z627" i="5"/>
  <c r="T502" i="5"/>
  <c r="C960" i="5"/>
  <c r="AA1512" i="5"/>
  <c r="V1197" i="5"/>
  <c r="C242" i="5"/>
  <c r="T732" i="5"/>
  <c r="C1271" i="5"/>
  <c r="C1637" i="5"/>
  <c r="V387" i="5"/>
  <c r="C1396" i="5"/>
  <c r="E952" i="5"/>
  <c r="U567" i="5"/>
  <c r="C1262" i="5"/>
  <c r="Z742" i="5"/>
  <c r="C1667" i="5"/>
  <c r="AB987" i="5"/>
  <c r="F1167" i="5"/>
  <c r="F1567" i="5"/>
  <c r="C1149" i="5"/>
  <c r="C1557" i="5"/>
  <c r="C549" i="5"/>
  <c r="T162" i="5"/>
  <c r="X1577" i="5"/>
  <c r="C396" i="5"/>
  <c r="E1687" i="5"/>
  <c r="C746" i="5"/>
  <c r="C1745" i="5"/>
  <c r="E997" i="5"/>
  <c r="U112" i="5"/>
  <c r="C739" i="5"/>
  <c r="Z1372" i="5"/>
  <c r="E442" i="5"/>
  <c r="C275" i="5"/>
  <c r="F1522" i="5"/>
  <c r="C1514" i="5"/>
  <c r="X1612" i="5"/>
  <c r="C738" i="5"/>
  <c r="C989" i="5"/>
  <c r="E327" i="5"/>
  <c r="E657" i="5"/>
  <c r="S1027" i="5"/>
  <c r="E792" i="5"/>
  <c r="C891" i="5"/>
  <c r="C166" i="5"/>
  <c r="C859" i="5"/>
  <c r="X1652" i="5"/>
  <c r="AA1087" i="5"/>
  <c r="S1342" i="5"/>
  <c r="C1613" i="5"/>
  <c r="C922" i="5"/>
  <c r="AB112" i="5"/>
  <c r="F1737" i="5"/>
  <c r="C1283" i="5"/>
  <c r="AB1097" i="5"/>
  <c r="C1277" i="5"/>
  <c r="C1147" i="5"/>
  <c r="U612" i="5"/>
  <c r="U982" i="5"/>
  <c r="C283" i="5"/>
  <c r="E1307" i="5"/>
  <c r="Z12" i="5"/>
  <c r="C192" i="5"/>
  <c r="S287" i="5"/>
  <c r="X157" i="5"/>
  <c r="C378" i="5"/>
  <c r="C693" i="5"/>
  <c r="AB692" i="5"/>
  <c r="C1337" i="5"/>
  <c r="X1422" i="5"/>
  <c r="C835" i="5"/>
  <c r="C482" i="5"/>
  <c r="C869" i="5"/>
  <c r="C925" i="5"/>
  <c r="T1427" i="5"/>
  <c r="C882" i="5"/>
  <c r="S1282" i="5"/>
  <c r="C753" i="5"/>
  <c r="C1527" i="5"/>
  <c r="X102" i="5"/>
  <c r="F1427" i="5"/>
  <c r="C1505" i="5"/>
  <c r="C1309" i="5"/>
  <c r="T687" i="5"/>
  <c r="AB312" i="5"/>
  <c r="C254" i="5"/>
  <c r="U777" i="5"/>
  <c r="X942" i="5"/>
  <c r="C860" i="5"/>
  <c r="T582" i="5"/>
  <c r="C665" i="5"/>
  <c r="C833" i="5"/>
  <c r="E1032" i="5"/>
  <c r="C194" i="5"/>
  <c r="F1052" i="5"/>
  <c r="AB207" i="5"/>
  <c r="X1102" i="5"/>
  <c r="C123" i="5"/>
  <c r="C1548" i="5"/>
  <c r="F1247" i="5"/>
  <c r="F197" i="5"/>
  <c r="C532" i="5"/>
  <c r="X557" i="5"/>
  <c r="S1072" i="5"/>
  <c r="C778" i="5"/>
  <c r="AA87" i="5"/>
  <c r="C927" i="5"/>
  <c r="C1378" i="5"/>
  <c r="U357" i="5"/>
  <c r="U1447" i="5"/>
  <c r="F92" i="5"/>
  <c r="C1111" i="5"/>
  <c r="U407" i="5"/>
  <c r="F1412" i="5"/>
  <c r="C901" i="5"/>
  <c r="T172" i="5"/>
  <c r="C1215" i="5"/>
  <c r="Z657" i="5"/>
  <c r="C1255" i="5"/>
  <c r="AA682" i="5"/>
  <c r="C711" i="5"/>
  <c r="C751" i="5"/>
  <c r="X1362" i="5"/>
  <c r="S1187" i="5"/>
  <c r="X1727" i="5"/>
  <c r="S707" i="5"/>
  <c r="T1352" i="5"/>
  <c r="V52" i="5"/>
  <c r="AA437" i="5"/>
  <c r="X57" i="5"/>
  <c r="S1437" i="5"/>
  <c r="F377" i="5"/>
  <c r="T252" i="5"/>
  <c r="T267" i="5"/>
  <c r="E587" i="5"/>
  <c r="E62" i="5"/>
  <c r="T1307" i="5"/>
  <c r="C962" i="5"/>
  <c r="U802" i="5"/>
  <c r="E1252" i="5"/>
  <c r="S1367" i="5"/>
  <c r="C509" i="5"/>
  <c r="U742" i="5"/>
  <c r="X587" i="5"/>
  <c r="C1644" i="5"/>
  <c r="F37" i="5"/>
  <c r="Z582" i="5"/>
  <c r="Z522" i="5"/>
  <c r="F252" i="5"/>
  <c r="V492" i="5"/>
  <c r="C66" i="5"/>
  <c r="X82" i="5"/>
  <c r="U347" i="5"/>
  <c r="U927" i="5"/>
  <c r="C1432" i="5"/>
  <c r="C478" i="5"/>
  <c r="E362" i="5"/>
  <c r="C933" i="5"/>
  <c r="E1267" i="5"/>
  <c r="C556" i="5"/>
  <c r="C1310" i="5"/>
  <c r="C1520" i="5"/>
  <c r="C346" i="5"/>
  <c r="C1259" i="5"/>
  <c r="Z667" i="5"/>
  <c r="C153" i="5"/>
  <c r="E552" i="5"/>
  <c r="U1292" i="5"/>
  <c r="F1122" i="5"/>
  <c r="C902" i="5"/>
  <c r="C585" i="5"/>
  <c r="C1562" i="5"/>
  <c r="AB677" i="5"/>
  <c r="F1602" i="5"/>
  <c r="C1307" i="5"/>
  <c r="C1195" i="5"/>
  <c r="F472" i="5"/>
  <c r="Z367" i="5"/>
  <c r="V867" i="5"/>
  <c r="S212" i="5"/>
  <c r="T457" i="5"/>
  <c r="T552" i="5"/>
  <c r="C1078" i="5"/>
  <c r="E677" i="5"/>
  <c r="E1442" i="5"/>
  <c r="T167" i="5"/>
  <c r="C173" i="5"/>
  <c r="S267" i="5"/>
  <c r="U1192" i="5"/>
  <c r="C1508" i="5"/>
  <c r="X1172" i="5"/>
  <c r="E667" i="5"/>
  <c r="S412" i="5"/>
  <c r="U887" i="5"/>
  <c r="C384" i="5"/>
  <c r="C1507" i="5"/>
  <c r="E297" i="5"/>
  <c r="Z792" i="5"/>
  <c r="C487" i="5"/>
  <c r="C1076" i="5"/>
  <c r="Z1487" i="5"/>
  <c r="Z557" i="5"/>
  <c r="X1742" i="5"/>
  <c r="E557" i="5"/>
  <c r="C1056" i="5"/>
  <c r="C1221" i="5"/>
  <c r="C1602" i="5"/>
  <c r="C926" i="5"/>
  <c r="Z1027" i="5"/>
  <c r="C1457" i="5"/>
  <c r="AB1547" i="5"/>
  <c r="S812" i="5"/>
  <c r="AB427" i="5"/>
  <c r="C1394" i="5"/>
  <c r="F77" i="5"/>
  <c r="S132" i="5"/>
  <c r="X252" i="5"/>
  <c r="F397" i="5"/>
  <c r="F1047" i="5"/>
  <c r="AA147" i="5"/>
  <c r="C1254" i="5"/>
  <c r="S1157" i="5"/>
  <c r="C1353" i="5"/>
  <c r="C805" i="5"/>
  <c r="F1612" i="5"/>
  <c r="C937" i="5"/>
  <c r="C777" i="5"/>
  <c r="V27" i="5"/>
  <c r="T847" i="5"/>
  <c r="AB742" i="5"/>
  <c r="E1517" i="5"/>
  <c r="U217" i="5"/>
  <c r="C554" i="5"/>
  <c r="F1642" i="5"/>
  <c r="U472" i="5"/>
  <c r="C342" i="5"/>
  <c r="C320" i="5"/>
  <c r="X1667" i="5"/>
  <c r="C1032" i="5"/>
  <c r="U1407" i="5"/>
  <c r="AA1307" i="5"/>
  <c r="AB32" i="5"/>
  <c r="C913" i="5"/>
  <c r="C1436" i="5"/>
  <c r="C1301" i="5"/>
  <c r="C950" i="5"/>
  <c r="T1437" i="5"/>
  <c r="C632" i="5"/>
  <c r="F837" i="5"/>
  <c r="C1663" i="5"/>
  <c r="S822" i="5"/>
  <c r="C519" i="5"/>
  <c r="V767" i="5"/>
  <c r="C1701" i="5"/>
  <c r="C685" i="5"/>
  <c r="C787" i="5"/>
  <c r="F1222" i="5"/>
  <c r="V1412" i="5"/>
  <c r="C675" i="5"/>
  <c r="AA447" i="5"/>
  <c r="X1387" i="5"/>
  <c r="C1574" i="5"/>
  <c r="X1022" i="5"/>
  <c r="Z1032" i="5"/>
  <c r="C1550" i="5"/>
  <c r="Z52" i="5"/>
  <c r="C1362" i="5"/>
  <c r="C126" i="5"/>
  <c r="C69" i="5"/>
  <c r="Z1022" i="5"/>
  <c r="F182" i="5"/>
  <c r="T357" i="5"/>
  <c r="C760" i="5"/>
  <c r="C1578" i="5"/>
  <c r="C550" i="5"/>
  <c r="C228" i="5"/>
  <c r="X52" i="5"/>
  <c r="C877" i="5"/>
  <c r="C26" i="5"/>
  <c r="X1187" i="5"/>
  <c r="C237" i="5"/>
  <c r="E17" i="5"/>
  <c r="C191" i="5"/>
  <c r="C24" i="5"/>
  <c r="C1156" i="5"/>
  <c r="S1577" i="5"/>
  <c r="C879" i="5"/>
  <c r="E417" i="5"/>
  <c r="V182" i="5"/>
  <c r="F582" i="5"/>
  <c r="F592" i="5"/>
  <c r="U157" i="5"/>
  <c r="V272" i="5"/>
  <c r="F1647" i="5"/>
  <c r="V227" i="5"/>
  <c r="E1607" i="5"/>
  <c r="F872" i="5"/>
  <c r="C762" i="5"/>
  <c r="C322" i="5"/>
  <c r="C1682" i="5"/>
  <c r="C501" i="5"/>
  <c r="S772" i="5"/>
  <c r="U957" i="5"/>
  <c r="C218" i="5"/>
  <c r="C914" i="5"/>
  <c r="C1658" i="5"/>
  <c r="C1136" i="5"/>
  <c r="C180" i="5"/>
  <c r="E1302" i="5"/>
  <c r="AA77" i="5"/>
  <c r="Z982" i="5"/>
  <c r="C480" i="5"/>
  <c r="C1389" i="5"/>
  <c r="AA1057" i="5"/>
  <c r="U857" i="5"/>
  <c r="C820" i="5"/>
  <c r="E957" i="5"/>
  <c r="S807" i="5"/>
  <c r="C432" i="5"/>
  <c r="V392" i="5"/>
  <c r="F1692" i="5"/>
  <c r="F442" i="5"/>
  <c r="X72" i="5"/>
  <c r="AA862" i="5"/>
  <c r="F1142" i="5"/>
  <c r="C683" i="5"/>
  <c r="C1467" i="5"/>
  <c r="E537" i="5"/>
  <c r="C1085" i="5"/>
  <c r="C878" i="5"/>
  <c r="X1032" i="5"/>
  <c r="E2" i="5"/>
  <c r="C395" i="5"/>
  <c r="C8" i="5"/>
  <c r="E1362" i="5"/>
  <c r="C1430" i="5"/>
  <c r="E707" i="5"/>
  <c r="Z827" i="5"/>
  <c r="X22" i="5"/>
  <c r="C1728" i="5"/>
  <c r="AB1457" i="5"/>
  <c r="C1438" i="5"/>
  <c r="AA1237" i="5"/>
  <c r="C1469" i="5"/>
  <c r="F482" i="5"/>
  <c r="T1147" i="5"/>
  <c r="C1061" i="5"/>
  <c r="F867" i="5"/>
  <c r="X1412" i="5"/>
  <c r="C444" i="5"/>
  <c r="F1437" i="5"/>
  <c r="C1636" i="5"/>
  <c r="C1325" i="5"/>
  <c r="V607" i="5"/>
  <c r="C1279" i="5"/>
  <c r="F807" i="5"/>
  <c r="T872" i="5"/>
  <c r="C1097" i="5"/>
  <c r="AB1147" i="5"/>
  <c r="C308" i="5"/>
  <c r="C96" i="5"/>
  <c r="AB947" i="5"/>
  <c r="C1245" i="5"/>
  <c r="AB412" i="5"/>
  <c r="C1512" i="5"/>
  <c r="F1497" i="5"/>
  <c r="T107" i="5"/>
  <c r="C224" i="5"/>
  <c r="AA1107" i="5"/>
  <c r="X1602" i="5"/>
  <c r="E877" i="5"/>
  <c r="C791" i="5"/>
  <c r="C389" i="5"/>
  <c r="E487" i="5"/>
  <c r="X1467" i="5"/>
  <c r="C150" i="5"/>
  <c r="Z972" i="5"/>
  <c r="AB1192" i="5"/>
  <c r="V747" i="5"/>
  <c r="F927" i="5"/>
  <c r="C201" i="5"/>
  <c r="S1482" i="5"/>
  <c r="C907" i="5"/>
  <c r="C799" i="5"/>
  <c r="AB872" i="5"/>
  <c r="S1467" i="5"/>
  <c r="V207" i="5"/>
  <c r="F1507" i="5"/>
  <c r="C623" i="5"/>
  <c r="E682" i="5"/>
  <c r="C1624" i="5"/>
  <c r="F1677" i="5"/>
  <c r="C1126" i="5"/>
  <c r="S387" i="5"/>
  <c r="C1724" i="5"/>
  <c r="C294" i="5"/>
  <c r="Z22" i="5"/>
  <c r="X267" i="5"/>
  <c r="V877" i="5"/>
  <c r="U187" i="5"/>
  <c r="C754" i="5"/>
  <c r="C1434" i="5"/>
  <c r="C364" i="5"/>
  <c r="U292" i="5"/>
  <c r="F332" i="5"/>
  <c r="T1072" i="5"/>
  <c r="C179" i="5"/>
  <c r="U1132" i="5"/>
  <c r="C1627" i="5"/>
  <c r="C1603" i="5"/>
  <c r="E357" i="5"/>
  <c r="C82" i="5"/>
  <c r="V87" i="5"/>
  <c r="S97" i="5"/>
  <c r="V1452" i="5"/>
  <c r="C832" i="5"/>
  <c r="X1562" i="5"/>
  <c r="AA232" i="5"/>
  <c r="E1412" i="5"/>
  <c r="C1437" i="5"/>
  <c r="C419" i="5"/>
  <c r="C904" i="5"/>
  <c r="U322" i="5"/>
  <c r="AB837" i="5"/>
  <c r="X1182" i="5"/>
  <c r="X707" i="5"/>
  <c r="E127" i="5"/>
  <c r="C365" i="5"/>
  <c r="X737" i="5"/>
  <c r="C1631" i="5"/>
  <c r="X1177" i="5"/>
  <c r="C416" i="5"/>
  <c r="C1563" i="5"/>
  <c r="E1217" i="5"/>
  <c r="X1137" i="5"/>
  <c r="C1236" i="5"/>
  <c r="C1648" i="5"/>
  <c r="C1359" i="5"/>
  <c r="Z237" i="5"/>
  <c r="C1419" i="5"/>
  <c r="T1457" i="5"/>
  <c r="C1318" i="5"/>
  <c r="E462" i="5"/>
  <c r="T742" i="5"/>
  <c r="C713" i="5"/>
  <c r="Z272" i="5"/>
  <c r="AA687" i="5"/>
  <c r="S432" i="5"/>
  <c r="C954" i="5"/>
  <c r="F802" i="5"/>
  <c r="C58" i="5"/>
  <c r="V1122" i="5"/>
  <c r="C1597" i="5"/>
  <c r="AB1037" i="5"/>
  <c r="F777" i="5"/>
  <c r="S787" i="5"/>
  <c r="F1687" i="5"/>
  <c r="F1097" i="5"/>
  <c r="C1323" i="5"/>
  <c r="C722" i="5"/>
  <c r="C1665" i="5"/>
  <c r="F1542" i="5"/>
  <c r="C1740" i="5"/>
  <c r="C5" i="5"/>
  <c r="F1722" i="5"/>
  <c r="C1226" i="5"/>
  <c r="AB1092" i="5"/>
  <c r="T1337" i="5"/>
  <c r="E1357" i="5"/>
  <c r="E922" i="5"/>
  <c r="F1062" i="5"/>
  <c r="E942" i="5"/>
  <c r="Z592" i="5"/>
  <c r="F1717" i="5"/>
  <c r="T112" i="5"/>
  <c r="F1162" i="5"/>
  <c r="F307" i="5"/>
  <c r="E1322" i="5"/>
  <c r="E672" i="5"/>
  <c r="C741" i="5"/>
  <c r="C861" i="5"/>
  <c r="Z162" i="5"/>
  <c r="V197" i="5"/>
  <c r="C113" i="5"/>
  <c r="C595" i="5"/>
  <c r="U937" i="5"/>
  <c r="C134" i="5"/>
  <c r="C143" i="5"/>
  <c r="V587" i="5"/>
  <c r="X452" i="5"/>
  <c r="F247" i="5"/>
  <c r="F1377" i="5"/>
  <c r="T862" i="5"/>
  <c r="S797" i="5"/>
  <c r="AB1242" i="5"/>
  <c r="AB1127" i="5"/>
  <c r="E947" i="5"/>
  <c r="C225" i="5"/>
  <c r="C873" i="5"/>
  <c r="S142" i="5"/>
  <c r="S442" i="5"/>
  <c r="C1493" i="5"/>
  <c r="F532" i="5"/>
  <c r="C621" i="5"/>
  <c r="T1117" i="5"/>
  <c r="C1546" i="5"/>
  <c r="C577" i="5"/>
  <c r="C316" i="5"/>
  <c r="C707" i="5"/>
  <c r="C214" i="5"/>
  <c r="AB562" i="5"/>
  <c r="U1287" i="5"/>
  <c r="C1294" i="5"/>
  <c r="S42" i="5"/>
  <c r="E652" i="5"/>
  <c r="F822" i="5"/>
  <c r="F587" i="5"/>
  <c r="T212" i="5"/>
  <c r="AA7" i="5"/>
  <c r="V327" i="5"/>
  <c r="S227" i="5"/>
  <c r="AB1087" i="5"/>
  <c r="Z962" i="5"/>
  <c r="X1317" i="5"/>
  <c r="AA1502" i="5"/>
  <c r="C1042" i="5"/>
  <c r="X647" i="5"/>
  <c r="AA1422" i="5"/>
  <c r="C403" i="5"/>
  <c r="T992" i="5"/>
  <c r="X147" i="5"/>
  <c r="C52" i="5"/>
  <c r="C883" i="5"/>
  <c r="AA852" i="5"/>
  <c r="T767" i="5"/>
  <c r="C497" i="5"/>
  <c r="C516" i="5"/>
  <c r="E1402" i="5"/>
  <c r="Z1232" i="5"/>
  <c r="X1037" i="5"/>
  <c r="C46" i="5"/>
  <c r="E1097" i="5"/>
  <c r="C1555" i="5"/>
  <c r="C14" i="5"/>
  <c r="C369" i="5"/>
  <c r="F292" i="5"/>
  <c r="T1162" i="5"/>
  <c r="E207" i="5"/>
  <c r="C90" i="5"/>
  <c r="C393" i="5"/>
  <c r="E1122" i="5"/>
  <c r="X1007" i="5"/>
  <c r="C243" i="5"/>
  <c r="F82" i="5"/>
  <c r="C911" i="5"/>
  <c r="T1472" i="5"/>
  <c r="C485" i="5"/>
  <c r="C992" i="5"/>
  <c r="C1244" i="5"/>
  <c r="F192" i="5"/>
  <c r="C137" i="5"/>
  <c r="S592" i="5"/>
  <c r="F962" i="5"/>
  <c r="F527" i="5"/>
  <c r="C323" i="5"/>
  <c r="X917" i="5"/>
  <c r="AA1497" i="5"/>
  <c r="U397" i="5"/>
  <c r="AB1182" i="5"/>
  <c r="C744" i="5"/>
  <c r="U892" i="5"/>
  <c r="F842" i="5"/>
  <c r="S467" i="5"/>
  <c r="C1268" i="5"/>
  <c r="U1017" i="5"/>
  <c r="C56" i="5"/>
  <c r="C1391" i="5"/>
  <c r="Z687" i="5"/>
  <c r="C845" i="5"/>
  <c r="E687" i="5"/>
  <c r="S542" i="5"/>
  <c r="C221" i="5"/>
  <c r="C944" i="5"/>
  <c r="C402" i="5"/>
  <c r="C16" i="5"/>
  <c r="S1227" i="5"/>
  <c r="C451" i="5"/>
  <c r="C324" i="5"/>
  <c r="V947" i="5"/>
  <c r="AB1377" i="5"/>
  <c r="U247" i="5"/>
  <c r="T967" i="5"/>
  <c r="C967" i="5"/>
  <c r="V672" i="5"/>
  <c r="S1327" i="5"/>
  <c r="E1052" i="5"/>
  <c r="C661" i="5"/>
  <c r="AB1287" i="5"/>
  <c r="E1327" i="5"/>
  <c r="C949" i="5"/>
  <c r="E1567" i="5"/>
  <c r="V512" i="5"/>
  <c r="C1510" i="5"/>
  <c r="AA92" i="5"/>
  <c r="F1442" i="5"/>
  <c r="X322" i="5"/>
  <c r="X12" i="5"/>
  <c r="C1295" i="5"/>
  <c r="V942" i="5"/>
  <c r="C662" i="5"/>
  <c r="T27" i="5"/>
  <c r="T302" i="5"/>
  <c r="C1211" i="5"/>
  <c r="X7" i="5"/>
  <c r="C1451" i="5"/>
  <c r="C1452" i="5"/>
  <c r="C392" i="5"/>
  <c r="X1542" i="5"/>
  <c r="C588" i="5"/>
  <c r="F1512" i="5"/>
  <c r="C262" i="5"/>
  <c r="U282" i="5"/>
  <c r="C1291" i="5"/>
  <c r="C1553" i="5"/>
  <c r="X1107" i="5"/>
  <c r="T492" i="5"/>
  <c r="C1464" i="5"/>
  <c r="C1634" i="5"/>
  <c r="C145" i="5"/>
  <c r="C162" i="5"/>
  <c r="Z852" i="5"/>
  <c r="V1097" i="5"/>
  <c r="E1562" i="5"/>
  <c r="E1142" i="5"/>
  <c r="AB1062" i="5"/>
  <c r="C1368" i="5"/>
  <c r="Z1117" i="5"/>
  <c r="E1622" i="5"/>
  <c r="C821" i="5"/>
  <c r="C670" i="5"/>
  <c r="U602" i="5"/>
  <c r="F497" i="5"/>
  <c r="AA1097" i="5"/>
  <c r="C205" i="5"/>
  <c r="T282" i="5"/>
  <c r="F972" i="5"/>
  <c r="C1363" i="5"/>
  <c r="C1119" i="5"/>
  <c r="F742" i="5"/>
  <c r="U727" i="5"/>
  <c r="C385" i="5"/>
  <c r="T1247" i="5"/>
  <c r="C1070" i="5"/>
  <c r="E1087" i="5"/>
  <c r="U312" i="5"/>
  <c r="AB222" i="5"/>
  <c r="C874" i="5"/>
  <c r="U1227" i="5"/>
  <c r="F892" i="5"/>
  <c r="E1247" i="5"/>
  <c r="C1180" i="5"/>
  <c r="V1037" i="5"/>
  <c r="F427" i="5"/>
  <c r="F1477" i="5"/>
  <c r="X202" i="5"/>
  <c r="F257" i="5"/>
  <c r="C786" i="5"/>
  <c r="C1091" i="5"/>
  <c r="C1008" i="5"/>
  <c r="C1293" i="5"/>
  <c r="F62" i="5"/>
  <c r="C1093" i="5"/>
  <c r="F367" i="5"/>
  <c r="C998" i="5"/>
  <c r="C837" i="5"/>
  <c r="AB1197" i="5"/>
  <c r="C1330" i="5"/>
  <c r="C697" i="5"/>
  <c r="U1062" i="5"/>
  <c r="V962" i="5"/>
  <c r="U1347" i="5"/>
  <c r="C15" i="5"/>
  <c r="E842" i="5"/>
  <c r="C276" i="5"/>
  <c r="E1287" i="5"/>
  <c r="C115" i="5"/>
  <c r="E1162" i="5"/>
  <c r="F132" i="5"/>
  <c r="U332" i="5"/>
  <c r="C1400" i="5"/>
  <c r="C790" i="5"/>
  <c r="T97" i="5"/>
  <c r="S182" i="5"/>
  <c r="C207" i="5"/>
  <c r="Z1312" i="5"/>
  <c r="C630" i="5"/>
  <c r="C1122" i="5"/>
  <c r="E547" i="5"/>
  <c r="F1057" i="5"/>
  <c r="S1402" i="5"/>
  <c r="E197" i="5"/>
  <c r="U502" i="5"/>
  <c r="F152" i="5"/>
  <c r="V1102" i="5"/>
  <c r="AB887" i="5"/>
  <c r="F1607" i="5"/>
  <c r="U1047" i="5"/>
  <c r="C842" i="5"/>
  <c r="C589" i="5"/>
  <c r="AB857" i="5"/>
  <c r="U1257" i="5"/>
  <c r="E1537" i="5"/>
  <c r="S207" i="5"/>
  <c r="V557" i="5"/>
  <c r="Z492" i="5"/>
  <c r="AB607" i="5"/>
  <c r="C2" i="5"/>
  <c r="E1227" i="5"/>
  <c r="C1158" i="5"/>
  <c r="E1452" i="5"/>
  <c r="S12" i="5"/>
  <c r="E27" i="5"/>
  <c r="E152" i="5"/>
  <c r="V862" i="5"/>
  <c r="Z832" i="5"/>
  <c r="C1009" i="5"/>
  <c r="C1522" i="5"/>
  <c r="X967" i="5"/>
  <c r="U427" i="5"/>
  <c r="X787" i="5"/>
  <c r="C735" i="5"/>
  <c r="AB1047" i="5"/>
  <c r="E567" i="5"/>
  <c r="C408" i="5"/>
  <c r="U1202" i="5"/>
  <c r="V167" i="5"/>
  <c r="X1552" i="5"/>
  <c r="C1567" i="5"/>
  <c r="U1282" i="5"/>
  <c r="V572" i="5"/>
  <c r="X1487" i="5"/>
  <c r="C1691" i="5"/>
  <c r="C1069" i="5"/>
  <c r="C326" i="5"/>
  <c r="C1537" i="5"/>
  <c r="F547" i="5"/>
  <c r="X877" i="5"/>
  <c r="Z727" i="5"/>
  <c r="S842" i="5"/>
  <c r="E612" i="5"/>
  <c r="E1262" i="5"/>
  <c r="E1632" i="5"/>
  <c r="X537" i="5"/>
  <c r="C1012" i="5"/>
  <c r="AB892" i="5"/>
  <c r="Z1202" i="5"/>
  <c r="X1537" i="5"/>
  <c r="C1596" i="5"/>
  <c r="C404" i="5"/>
  <c r="X27" i="5"/>
  <c r="C397" i="5"/>
  <c r="C840" i="5"/>
  <c r="C653" i="5"/>
  <c r="C1531" i="5"/>
  <c r="E1177" i="5"/>
  <c r="C788" i="5"/>
  <c r="C939" i="5"/>
  <c r="C193" i="5"/>
  <c r="X1062" i="5"/>
  <c r="AB512" i="5"/>
  <c r="C1302" i="5"/>
  <c r="V332" i="5"/>
  <c r="V1382" i="5"/>
  <c r="T92" i="5"/>
  <c r="C1478" i="5"/>
  <c r="E1407" i="5"/>
  <c r="V1172" i="5"/>
  <c r="S792" i="5"/>
  <c r="AB27" i="5"/>
  <c r="C483" i="5"/>
  <c r="E1457" i="5"/>
  <c r="C1057" i="5"/>
  <c r="C117" i="5"/>
  <c r="T262" i="5"/>
  <c r="S1057" i="5"/>
  <c r="S1347" i="5"/>
  <c r="C770" i="5"/>
  <c r="X947" i="5"/>
  <c r="F1277" i="5"/>
  <c r="AB82" i="5"/>
  <c r="X667" i="5"/>
  <c r="V882" i="5"/>
  <c r="F217" i="5"/>
  <c r="F1287" i="5"/>
  <c r="S1222" i="5"/>
  <c r="C795" i="5"/>
  <c r="F1137" i="5"/>
  <c r="V1567" i="5"/>
  <c r="C1355" i="5"/>
  <c r="C628" i="5"/>
  <c r="C1289" i="5"/>
  <c r="F457" i="5"/>
  <c r="AB1387" i="5"/>
  <c r="U42" i="5"/>
  <c r="S607" i="5"/>
  <c r="U1412" i="5"/>
  <c r="C335" i="5"/>
  <c r="C257" i="5"/>
  <c r="C93" i="5"/>
  <c r="F997" i="5"/>
  <c r="C1213" i="5"/>
  <c r="C125" i="5"/>
  <c r="T292" i="5"/>
  <c r="C1208" i="5"/>
  <c r="C473" i="5"/>
  <c r="AB957" i="5"/>
  <c r="C1282" i="5"/>
  <c r="C197" i="5"/>
  <c r="C1075" i="5"/>
  <c r="E172" i="5"/>
  <c r="C1465" i="5"/>
  <c r="F1332" i="5"/>
  <c r="AA922" i="5"/>
  <c r="V302" i="5"/>
  <c r="C118" i="5"/>
  <c r="Z1227" i="5"/>
  <c r="AB367" i="5"/>
  <c r="X527" i="5"/>
  <c r="F1197" i="5"/>
  <c r="U402" i="5"/>
  <c r="E1637" i="5"/>
  <c r="S1092" i="5"/>
  <c r="T297" i="5"/>
  <c r="C1521" i="5"/>
  <c r="C121" i="5"/>
  <c r="S167" i="5"/>
  <c r="C362" i="5"/>
  <c r="X212" i="5"/>
  <c r="C1685" i="5"/>
  <c r="AB402" i="5"/>
  <c r="X1442" i="5"/>
  <c r="E277" i="5"/>
  <c r="C411" i="5"/>
  <c r="F947" i="5"/>
  <c r="C1003" i="5"/>
  <c r="C303" i="5"/>
  <c r="F1597" i="5"/>
  <c r="C292" i="5"/>
  <c r="F557" i="5"/>
  <c r="Z172" i="5"/>
  <c r="C1340" i="5"/>
  <c r="C599" i="5"/>
  <c r="E472" i="5"/>
  <c r="C345" i="5"/>
  <c r="U327" i="5"/>
  <c r="C366" i="5"/>
  <c r="Z242" i="5"/>
  <c r="C898" i="5"/>
  <c r="C600" i="5"/>
  <c r="F412" i="5"/>
  <c r="S137" i="5"/>
  <c r="C141" i="5"/>
  <c r="C1582" i="5"/>
  <c r="F1157" i="5"/>
  <c r="X827" i="5"/>
  <c r="C91" i="5"/>
  <c r="F1342" i="5"/>
  <c r="E212" i="5"/>
  <c r="AA772" i="5"/>
  <c r="U1167" i="5"/>
  <c r="E907" i="5"/>
  <c r="Z1257" i="5"/>
  <c r="C1214" i="5"/>
  <c r="C50" i="5"/>
  <c r="C1099" i="5"/>
  <c r="C1314" i="5"/>
  <c r="C1604" i="5"/>
  <c r="C1210" i="5"/>
  <c r="C618" i="5"/>
  <c r="T332" i="5"/>
  <c r="E22" i="5"/>
  <c r="AA432" i="5"/>
  <c r="T37" i="5"/>
  <c r="F1492" i="5"/>
  <c r="C1233" i="5"/>
  <c r="T1272" i="5"/>
  <c r="E77" i="5"/>
  <c r="C976" i="5"/>
  <c r="V487" i="5"/>
  <c r="T1587" i="5"/>
  <c r="E1277" i="5"/>
  <c r="X47" i="5"/>
  <c r="E767" i="5"/>
  <c r="S697" i="5"/>
  <c r="E1472" i="5"/>
  <c r="X757" i="5"/>
  <c r="AA1392" i="5"/>
  <c r="C1525" i="5"/>
  <c r="C1653" i="5"/>
  <c r="S57" i="5"/>
  <c r="E242" i="5"/>
  <c r="C1306" i="5"/>
  <c r="C1176" i="5"/>
  <c r="C698" i="5"/>
  <c r="C272" i="5"/>
  <c r="C1426" i="5"/>
  <c r="C1409" i="5"/>
  <c r="C86" i="5"/>
  <c r="C896" i="5"/>
  <c r="E412" i="5"/>
  <c r="E702" i="5"/>
  <c r="U1187" i="5"/>
  <c r="C769" i="5"/>
  <c r="C398" i="5"/>
  <c r="F1387" i="5"/>
  <c r="C853" i="5"/>
  <c r="C1593" i="5"/>
  <c r="C1398" i="5"/>
  <c r="C850" i="5"/>
  <c r="C980" i="5"/>
  <c r="AA1272" i="5"/>
  <c r="C456" i="5"/>
  <c r="C1543" i="5"/>
  <c r="S852" i="5"/>
  <c r="AA1122" i="5"/>
  <c r="E102" i="5"/>
  <c r="AB1382" i="5"/>
  <c r="X997" i="5"/>
  <c r="E1167" i="5"/>
  <c r="X1332" i="5"/>
  <c r="Z607" i="5"/>
  <c r="E392" i="5"/>
  <c r="U837" i="5"/>
  <c r="T1052" i="5"/>
  <c r="C1564" i="5"/>
  <c r="E1352" i="5"/>
  <c r="C110" i="5"/>
  <c r="E217" i="5"/>
  <c r="E762" i="5"/>
  <c r="C391" i="5"/>
  <c r="E1047" i="5"/>
  <c r="C671" i="5"/>
  <c r="AB172" i="5"/>
  <c r="E147" i="5"/>
  <c r="T132" i="5"/>
  <c r="F337" i="5"/>
  <c r="AB932" i="5"/>
  <c r="E897" i="5"/>
  <c r="S1382" i="5"/>
  <c r="F1202" i="5"/>
  <c r="C1660" i="5"/>
  <c r="E482" i="5"/>
  <c r="C54" i="5"/>
  <c r="F357" i="5"/>
  <c r="C1374" i="5"/>
  <c r="C1185" i="5"/>
  <c r="C830" i="5"/>
  <c r="U942" i="5"/>
  <c r="C1063" i="5"/>
  <c r="AA1367" i="5"/>
  <c r="C1142" i="5"/>
  <c r="S1062" i="5"/>
  <c r="T937" i="5"/>
  <c r="AA152" i="5"/>
  <c r="C455" i="5"/>
  <c r="E1062" i="5"/>
  <c r="V1277" i="5"/>
  <c r="AB797" i="5"/>
  <c r="V1287" i="5"/>
  <c r="C380" i="5"/>
  <c r="AB1102" i="5"/>
  <c r="C747" i="5"/>
  <c r="C47" i="5"/>
  <c r="C553" i="5"/>
  <c r="U1072" i="5"/>
  <c r="C1654" i="5"/>
  <c r="T1357" i="5"/>
  <c r="C1453" i="5"/>
  <c r="E1282" i="5"/>
  <c r="C513" i="5"/>
  <c r="E847" i="5"/>
  <c r="C1284" i="5"/>
  <c r="U642" i="5"/>
  <c r="S1097" i="5"/>
  <c r="C559" i="5"/>
  <c r="C1680" i="5"/>
  <c r="U962" i="5"/>
  <c r="C1598" i="5"/>
  <c r="C220" i="5"/>
  <c r="F1217" i="5"/>
  <c r="V842" i="5"/>
  <c r="F117" i="5"/>
  <c r="C802" i="5"/>
  <c r="C368" i="5"/>
  <c r="T1312" i="5"/>
  <c r="F1192" i="5"/>
  <c r="S1082" i="5"/>
  <c r="C239" i="5"/>
  <c r="X847" i="5"/>
  <c r="AA1267" i="5"/>
  <c r="E82" i="5"/>
  <c r="C720" i="5"/>
  <c r="E142" i="5"/>
  <c r="E757" i="5"/>
  <c r="C340" i="5"/>
  <c r="Z452" i="5"/>
  <c r="E257" i="5"/>
  <c r="AA1542" i="5"/>
  <c r="C678" i="5"/>
  <c r="F522" i="5"/>
  <c r="T1502" i="5"/>
  <c r="AA627" i="5"/>
  <c r="AA1447" i="5"/>
  <c r="C1110" i="5"/>
  <c r="E367" i="5"/>
  <c r="E502" i="5"/>
  <c r="C631" i="5"/>
  <c r="C1109" i="5"/>
  <c r="C158" i="5"/>
  <c r="C1491" i="5"/>
  <c r="C1534" i="5"/>
  <c r="AA502" i="5"/>
  <c r="C1367" i="5"/>
  <c r="C1341" i="5"/>
  <c r="F1447" i="5"/>
  <c r="V22" i="5"/>
  <c r="C647" i="5"/>
  <c r="T772" i="5"/>
  <c r="V932" i="5"/>
  <c r="C561" i="5"/>
  <c r="Z472" i="5"/>
  <c r="C1179" i="5"/>
  <c r="C470" i="5"/>
  <c r="AB1532" i="5"/>
  <c r="C848" i="5"/>
  <c r="AA947" i="5"/>
  <c r="X1057" i="5"/>
  <c r="C49" i="5"/>
  <c r="S352" i="5"/>
  <c r="C1060" i="5"/>
  <c r="F372" i="5"/>
  <c r="T842" i="5"/>
  <c r="C32" i="5"/>
  <c r="C1338" i="5"/>
  <c r="Z707" i="5"/>
  <c r="Z307" i="5"/>
  <c r="F922" i="5"/>
  <c r="C422" i="5"/>
  <c r="F607" i="5"/>
  <c r="C1106" i="5"/>
  <c r="AA517" i="5"/>
  <c r="C785" i="5"/>
  <c r="F987" i="5"/>
  <c r="C854" i="5"/>
  <c r="Z1382" i="5"/>
  <c r="F142" i="5"/>
  <c r="T1002" i="5"/>
  <c r="U1547" i="5"/>
  <c r="C1484" i="5"/>
  <c r="E852" i="5"/>
  <c r="AA1052" i="5"/>
  <c r="S457" i="5"/>
  <c r="T652" i="5"/>
  <c r="C148" i="5"/>
  <c r="C969" i="5"/>
  <c r="C1083" i="5"/>
  <c r="C709" i="5"/>
  <c r="C1549" i="5"/>
  <c r="AA997" i="5"/>
  <c r="C920" i="5"/>
  <c r="C650" i="5"/>
  <c r="V1057" i="5"/>
  <c r="X1582" i="5"/>
  <c r="V1312" i="5"/>
  <c r="U1317" i="5"/>
  <c r="F827" i="5"/>
  <c r="S72" i="5"/>
  <c r="C1380" i="5"/>
  <c r="C808" i="5"/>
  <c r="AA727" i="5"/>
  <c r="F1632" i="5"/>
  <c r="C333" i="5"/>
  <c r="X367" i="5"/>
  <c r="C502" i="5"/>
  <c r="C260" i="5"/>
  <c r="C942" i="5"/>
  <c r="Z1497" i="5"/>
  <c r="C1269" i="5"/>
  <c r="C982" i="5"/>
  <c r="C106" i="5"/>
  <c r="F1147" i="5"/>
  <c r="C996" i="5"/>
  <c r="C1490" i="5"/>
  <c r="Z942" i="5"/>
  <c r="C1090" i="5"/>
  <c r="AB1322" i="5"/>
  <c r="C915" i="5"/>
  <c r="AB322" i="5"/>
  <c r="F1092" i="5"/>
  <c r="T592" i="5"/>
  <c r="C341" i="5"/>
  <c r="T587" i="5"/>
  <c r="E1582" i="5"/>
  <c r="U1097" i="5"/>
  <c r="C273" i="5"/>
  <c r="X137" i="5"/>
  <c r="C1414" i="5"/>
  <c r="C728" i="5"/>
  <c r="C1577" i="5"/>
  <c r="X2" i="5"/>
  <c r="C29" i="5"/>
  <c r="C598" i="5"/>
  <c r="T702" i="5"/>
  <c r="S422" i="5"/>
  <c r="F1307" i="5"/>
  <c r="V287" i="5"/>
  <c r="C270" i="5"/>
  <c r="U192" i="5"/>
  <c r="C814" i="5"/>
  <c r="C1408" i="5"/>
  <c r="E1102" i="5"/>
  <c r="T187" i="5"/>
  <c r="Z1507" i="5"/>
  <c r="C1131" i="5"/>
  <c r="Z342" i="5"/>
  <c r="E192" i="5"/>
  <c r="AA1462" i="5"/>
  <c r="S617" i="5"/>
  <c r="V1162" i="5"/>
  <c r="C510" i="5"/>
  <c r="T1497" i="5"/>
  <c r="U1002" i="5"/>
  <c r="AA742" i="5"/>
  <c r="AB537" i="5"/>
  <c r="C313" i="5"/>
  <c r="E1117" i="5"/>
  <c r="AA242" i="5"/>
  <c r="C525" i="5"/>
  <c r="F847" i="5"/>
  <c r="S687" i="5"/>
  <c r="X197" i="5"/>
  <c r="C1529" i="5"/>
  <c r="D1529" i="5" l="1"/>
  <c r="L1529" i="5"/>
  <c r="M1529" i="5" s="1"/>
  <c r="AC847" i="5"/>
  <c r="AD847" i="5"/>
  <c r="L525" i="5"/>
  <c r="M525" i="5" s="1"/>
  <c r="D525" i="5"/>
  <c r="L313" i="5"/>
  <c r="M313" i="5" s="1"/>
  <c r="D313" i="5"/>
  <c r="L510" i="5"/>
  <c r="M510" i="5" s="1"/>
  <c r="D510" i="5"/>
  <c r="D1131" i="5"/>
  <c r="L1131" i="5"/>
  <c r="M1131" i="5" s="1"/>
  <c r="D1408" i="5"/>
  <c r="L1408" i="5"/>
  <c r="M1408" i="5" s="1"/>
  <c r="L814" i="5"/>
  <c r="M814" i="5" s="1"/>
  <c r="D814" i="5"/>
  <c r="L270" i="5"/>
  <c r="M270" i="5" s="1"/>
  <c r="D270" i="5"/>
  <c r="AC1307" i="5"/>
  <c r="AD1307" i="5"/>
  <c r="D598" i="5"/>
  <c r="L598" i="5"/>
  <c r="M598" i="5" s="1"/>
  <c r="L29" i="5"/>
  <c r="M29" i="5" s="1"/>
  <c r="D29" i="5"/>
  <c r="L1577" i="5"/>
  <c r="M1577" i="5" s="1"/>
  <c r="D1577" i="5"/>
  <c r="D728" i="5"/>
  <c r="L728" i="5"/>
  <c r="M728" i="5" s="1"/>
  <c r="D1414" i="5"/>
  <c r="L1414" i="5"/>
  <c r="M1414" i="5" s="1"/>
  <c r="L273" i="5"/>
  <c r="M273" i="5" s="1"/>
  <c r="D273" i="5"/>
  <c r="L341" i="5"/>
  <c r="M341" i="5" s="1"/>
  <c r="D341" i="5"/>
  <c r="AD1092" i="5"/>
  <c r="AC1092" i="5"/>
  <c r="D915" i="5"/>
  <c r="L915" i="5"/>
  <c r="M915" i="5" s="1"/>
  <c r="L1090" i="5"/>
  <c r="M1090" i="5" s="1"/>
  <c r="D1090" i="5"/>
  <c r="L1490" i="5"/>
  <c r="M1490" i="5" s="1"/>
  <c r="D1490" i="5"/>
  <c r="L996" i="5"/>
  <c r="M996" i="5" s="1"/>
  <c r="D996" i="5"/>
  <c r="AC1147" i="5"/>
  <c r="AD1147" i="5"/>
  <c r="L106" i="5"/>
  <c r="M106" i="5" s="1"/>
  <c r="D106" i="5"/>
  <c r="D982" i="5"/>
  <c r="L982" i="5"/>
  <c r="M982" i="5" s="1"/>
  <c r="L1269" i="5"/>
  <c r="M1269" i="5" s="1"/>
  <c r="D1269" i="5"/>
  <c r="D942" i="5"/>
  <c r="L942" i="5"/>
  <c r="M942" i="5" s="1"/>
  <c r="D260" i="5"/>
  <c r="L260" i="5"/>
  <c r="M260" i="5" s="1"/>
  <c r="L502" i="5"/>
  <c r="M502" i="5" s="1"/>
  <c r="D502" i="5"/>
  <c r="D333" i="5"/>
  <c r="L333" i="5"/>
  <c r="M333" i="5" s="1"/>
  <c r="AC1632" i="5"/>
  <c r="AD1632" i="5"/>
  <c r="L808" i="5"/>
  <c r="M808" i="5" s="1"/>
  <c r="D808" i="5"/>
  <c r="D1380" i="5"/>
  <c r="L1380" i="5"/>
  <c r="M1380" i="5" s="1"/>
  <c r="AD827" i="5"/>
  <c r="AC827" i="5"/>
  <c r="D650" i="5"/>
  <c r="L650" i="5"/>
  <c r="M650" i="5" s="1"/>
  <c r="L920" i="5"/>
  <c r="M920" i="5" s="1"/>
  <c r="D920" i="5"/>
  <c r="L1549" i="5"/>
  <c r="M1549" i="5" s="1"/>
  <c r="D1549" i="5"/>
  <c r="L709" i="5"/>
  <c r="M709" i="5" s="1"/>
  <c r="D709" i="5"/>
  <c r="L1083" i="5"/>
  <c r="M1083" i="5" s="1"/>
  <c r="D1083" i="5"/>
  <c r="D969" i="5"/>
  <c r="L969" i="5"/>
  <c r="M969" i="5" s="1"/>
  <c r="L148" i="5"/>
  <c r="M148" i="5" s="1"/>
  <c r="D148" i="5"/>
  <c r="D1484" i="5"/>
  <c r="L1484" i="5"/>
  <c r="M1484" i="5" s="1"/>
  <c r="AD142" i="5"/>
  <c r="AC142" i="5"/>
  <c r="D854" i="5"/>
  <c r="L854" i="5"/>
  <c r="M854" i="5" s="1"/>
  <c r="AC987" i="5"/>
  <c r="AD987" i="5"/>
  <c r="D785" i="5"/>
  <c r="L785" i="5"/>
  <c r="M785" i="5" s="1"/>
  <c r="D1106" i="5"/>
  <c r="L1106" i="5"/>
  <c r="M1106" i="5" s="1"/>
  <c r="AD607" i="5"/>
  <c r="AC607" i="5"/>
  <c r="L422" i="5"/>
  <c r="M422" i="5" s="1"/>
  <c r="D422" i="5"/>
  <c r="AC922" i="5"/>
  <c r="AD922" i="5"/>
  <c r="L1338" i="5"/>
  <c r="M1338" i="5" s="1"/>
  <c r="D1338" i="5"/>
  <c r="D32" i="5"/>
  <c r="L32" i="5"/>
  <c r="M32" i="5" s="1"/>
  <c r="AC372" i="5"/>
  <c r="AD372" i="5"/>
  <c r="L1060" i="5"/>
  <c r="M1060" i="5" s="1"/>
  <c r="D1060" i="5"/>
  <c r="D49" i="5"/>
  <c r="L49" i="5"/>
  <c r="M49" i="5" s="1"/>
  <c r="D848" i="5"/>
  <c r="L848" i="5"/>
  <c r="M848" i="5" s="1"/>
  <c r="L470" i="5"/>
  <c r="M470" i="5" s="1"/>
  <c r="D470" i="5"/>
  <c r="L1179" i="5"/>
  <c r="M1179" i="5" s="1"/>
  <c r="D1179" i="5"/>
  <c r="L561" i="5"/>
  <c r="M561" i="5" s="1"/>
  <c r="D561" i="5"/>
  <c r="L647" i="5"/>
  <c r="M647" i="5" s="1"/>
  <c r="D647" i="5"/>
  <c r="AC1447" i="5"/>
  <c r="AD1447" i="5"/>
  <c r="L1341" i="5"/>
  <c r="M1341" i="5" s="1"/>
  <c r="D1341" i="5"/>
  <c r="D1367" i="5"/>
  <c r="L1367" i="5"/>
  <c r="M1367" i="5" s="1"/>
  <c r="D1534" i="5"/>
  <c r="L1534" i="5"/>
  <c r="M1534" i="5" s="1"/>
  <c r="L1491" i="5"/>
  <c r="M1491" i="5" s="1"/>
  <c r="D1491" i="5"/>
  <c r="L158" i="5"/>
  <c r="M158" i="5" s="1"/>
  <c r="D158" i="5"/>
  <c r="L1109" i="5"/>
  <c r="M1109" i="5" s="1"/>
  <c r="D1109" i="5"/>
  <c r="L631" i="5"/>
  <c r="M631" i="5" s="1"/>
  <c r="D631" i="5"/>
  <c r="L1110" i="5"/>
  <c r="M1110" i="5" s="1"/>
  <c r="D1110" i="5"/>
  <c r="AC522" i="5"/>
  <c r="AD522" i="5"/>
  <c r="D678" i="5"/>
  <c r="L678" i="5"/>
  <c r="M678" i="5" s="1"/>
  <c r="D340" i="5"/>
  <c r="L340" i="5"/>
  <c r="M340" i="5" s="1"/>
  <c r="D720" i="5"/>
  <c r="L720" i="5"/>
  <c r="M720" i="5" s="1"/>
  <c r="D239" i="5"/>
  <c r="L239" i="5"/>
  <c r="M239" i="5" s="1"/>
  <c r="AD1192" i="5"/>
  <c r="AC1192" i="5"/>
  <c r="D368" i="5"/>
  <c r="L368" i="5"/>
  <c r="M368" i="5" s="1"/>
  <c r="D802" i="5"/>
  <c r="L802" i="5"/>
  <c r="M802" i="5" s="1"/>
  <c r="AC117" i="5"/>
  <c r="AD117" i="5"/>
  <c r="AD1217" i="5"/>
  <c r="AC1217" i="5"/>
  <c r="D220" i="5"/>
  <c r="L220" i="5"/>
  <c r="M220" i="5" s="1"/>
  <c r="L1598" i="5"/>
  <c r="M1598" i="5" s="1"/>
  <c r="D1598" i="5"/>
  <c r="D1680" i="5"/>
  <c r="L1680" i="5"/>
  <c r="M1680" i="5" s="1"/>
  <c r="L559" i="5"/>
  <c r="M559" i="5" s="1"/>
  <c r="D559" i="5"/>
  <c r="L1284" i="5"/>
  <c r="M1284" i="5" s="1"/>
  <c r="D1284" i="5"/>
  <c r="D513" i="5"/>
  <c r="L513" i="5"/>
  <c r="M513" i="5" s="1"/>
  <c r="D1453" i="5"/>
  <c r="L1453" i="5"/>
  <c r="M1453" i="5" s="1"/>
  <c r="D1654" i="5"/>
  <c r="L1654" i="5"/>
  <c r="M1654" i="5" s="1"/>
  <c r="D553" i="5"/>
  <c r="L553" i="5"/>
  <c r="M553" i="5" s="1"/>
  <c r="D47" i="5"/>
  <c r="L47" i="5"/>
  <c r="M47" i="5" s="1"/>
  <c r="D747" i="5"/>
  <c r="L747" i="5"/>
  <c r="M747" i="5" s="1"/>
  <c r="D380" i="5"/>
  <c r="L380" i="5"/>
  <c r="M380" i="5" s="1"/>
  <c r="L455" i="5"/>
  <c r="M455" i="5" s="1"/>
  <c r="D455" i="5"/>
  <c r="L1142" i="5"/>
  <c r="M1142" i="5" s="1"/>
  <c r="D1142" i="5"/>
  <c r="L1063" i="5"/>
  <c r="M1063" i="5" s="1"/>
  <c r="D1063" i="5"/>
  <c r="L830" i="5"/>
  <c r="M830" i="5" s="1"/>
  <c r="D830" i="5"/>
  <c r="D1185" i="5"/>
  <c r="L1185" i="5"/>
  <c r="M1185" i="5" s="1"/>
  <c r="L1374" i="5"/>
  <c r="M1374" i="5" s="1"/>
  <c r="D1374" i="5"/>
  <c r="AC357" i="5"/>
  <c r="AD357" i="5"/>
  <c r="D54" i="5"/>
  <c r="L54" i="5"/>
  <c r="M54" i="5" s="1"/>
  <c r="L1660" i="5"/>
  <c r="M1660" i="5" s="1"/>
  <c r="D1660" i="5"/>
  <c r="AD1202" i="5"/>
  <c r="AC1202" i="5"/>
  <c r="AC337" i="5"/>
  <c r="AD337" i="5"/>
  <c r="D671" i="5"/>
  <c r="L671" i="5"/>
  <c r="M671" i="5" s="1"/>
  <c r="L391" i="5"/>
  <c r="M391" i="5" s="1"/>
  <c r="D391" i="5"/>
  <c r="L110" i="5"/>
  <c r="M110" i="5" s="1"/>
  <c r="D110" i="5"/>
  <c r="D1564" i="5"/>
  <c r="L1564" i="5"/>
  <c r="M1564" i="5" s="1"/>
  <c r="L1543" i="5"/>
  <c r="M1543" i="5" s="1"/>
  <c r="D1543" i="5"/>
  <c r="D456" i="5"/>
  <c r="L456" i="5"/>
  <c r="M456" i="5" s="1"/>
  <c r="D980" i="5"/>
  <c r="L980" i="5"/>
  <c r="M980" i="5" s="1"/>
  <c r="L850" i="5"/>
  <c r="M850" i="5" s="1"/>
  <c r="D850" i="5"/>
  <c r="L1398" i="5"/>
  <c r="M1398" i="5" s="1"/>
  <c r="D1398" i="5"/>
  <c r="D1593" i="5"/>
  <c r="L1593" i="5"/>
  <c r="M1593" i="5" s="1"/>
  <c r="D853" i="5"/>
  <c r="L853" i="5"/>
  <c r="M853" i="5" s="1"/>
  <c r="AC1387" i="5"/>
  <c r="AD1387" i="5"/>
  <c r="D398" i="5"/>
  <c r="L398" i="5"/>
  <c r="M398" i="5" s="1"/>
  <c r="L769" i="5"/>
  <c r="M769" i="5" s="1"/>
  <c r="D769" i="5"/>
  <c r="L896" i="5"/>
  <c r="M896" i="5" s="1"/>
  <c r="D896" i="5"/>
  <c r="D86" i="5"/>
  <c r="L86" i="5"/>
  <c r="M86" i="5" s="1"/>
  <c r="D1409" i="5"/>
  <c r="L1409" i="5"/>
  <c r="M1409" i="5" s="1"/>
  <c r="D1426" i="5"/>
  <c r="L1426" i="5"/>
  <c r="M1426" i="5" s="1"/>
  <c r="D272" i="5"/>
  <c r="L272" i="5"/>
  <c r="M272" i="5" s="1"/>
  <c r="D698" i="5"/>
  <c r="L698" i="5"/>
  <c r="M698" i="5" s="1"/>
  <c r="L1176" i="5"/>
  <c r="M1176" i="5" s="1"/>
  <c r="D1176" i="5"/>
  <c r="D1306" i="5"/>
  <c r="L1306" i="5"/>
  <c r="M1306" i="5" s="1"/>
  <c r="D1653" i="5"/>
  <c r="L1653" i="5"/>
  <c r="M1653" i="5" s="1"/>
  <c r="D1525" i="5"/>
  <c r="L1525" i="5"/>
  <c r="M1525" i="5" s="1"/>
  <c r="L976" i="5"/>
  <c r="M976" i="5" s="1"/>
  <c r="D976" i="5"/>
  <c r="L1233" i="5"/>
  <c r="M1233" i="5" s="1"/>
  <c r="D1233" i="5"/>
  <c r="AD1492" i="5"/>
  <c r="AC1492" i="5"/>
  <c r="D618" i="5"/>
  <c r="L618" i="5"/>
  <c r="M618" i="5" s="1"/>
  <c r="L1210" i="5"/>
  <c r="M1210" i="5" s="1"/>
  <c r="D1210" i="5"/>
  <c r="L1604" i="5"/>
  <c r="M1604" i="5" s="1"/>
  <c r="D1604" i="5"/>
  <c r="L1314" i="5"/>
  <c r="M1314" i="5" s="1"/>
  <c r="D1314" i="5"/>
  <c r="L1099" i="5"/>
  <c r="M1099" i="5" s="1"/>
  <c r="D1099" i="5"/>
  <c r="L50" i="5"/>
  <c r="M50" i="5" s="1"/>
  <c r="D50" i="5"/>
  <c r="L1214" i="5"/>
  <c r="M1214" i="5" s="1"/>
  <c r="D1214" i="5"/>
  <c r="AD1342" i="5"/>
  <c r="AC1342" i="5"/>
  <c r="D91" i="5"/>
  <c r="L91" i="5"/>
  <c r="M91" i="5" s="1"/>
  <c r="AC1157" i="5"/>
  <c r="AD1157" i="5"/>
  <c r="L1582" i="5"/>
  <c r="M1582" i="5" s="1"/>
  <c r="D1582" i="5"/>
  <c r="D141" i="5"/>
  <c r="L141" i="5"/>
  <c r="M141" i="5" s="1"/>
  <c r="AC412" i="5"/>
  <c r="AD412" i="5"/>
  <c r="D600" i="5"/>
  <c r="L600" i="5"/>
  <c r="M600" i="5" s="1"/>
  <c r="D898" i="5"/>
  <c r="L898" i="5"/>
  <c r="M898" i="5" s="1"/>
  <c r="L366" i="5"/>
  <c r="M366" i="5" s="1"/>
  <c r="D366" i="5"/>
  <c r="D345" i="5"/>
  <c r="L345" i="5"/>
  <c r="M345" i="5" s="1"/>
  <c r="D599" i="5"/>
  <c r="L599" i="5"/>
  <c r="M599" i="5" s="1"/>
  <c r="D1340" i="5"/>
  <c r="L1340" i="5"/>
  <c r="M1340" i="5" s="1"/>
  <c r="AD557" i="5"/>
  <c r="AC557" i="5"/>
  <c r="L292" i="5"/>
  <c r="M292" i="5" s="1"/>
  <c r="D292" i="5"/>
  <c r="AC1597" i="5"/>
  <c r="AD1597" i="5"/>
  <c r="L303" i="5"/>
  <c r="M303" i="5" s="1"/>
  <c r="D303" i="5"/>
  <c r="D1003" i="5"/>
  <c r="L1003" i="5"/>
  <c r="M1003" i="5" s="1"/>
  <c r="AD947" i="5"/>
  <c r="AC947" i="5"/>
  <c r="D411" i="5"/>
  <c r="L411" i="5"/>
  <c r="M411" i="5" s="1"/>
  <c r="D1685" i="5"/>
  <c r="L1685" i="5"/>
  <c r="M1685" i="5" s="1"/>
  <c r="D362" i="5"/>
  <c r="L362" i="5"/>
  <c r="M362" i="5" s="1"/>
  <c r="L121" i="5"/>
  <c r="M121" i="5" s="1"/>
  <c r="D121" i="5"/>
  <c r="D1521" i="5"/>
  <c r="L1521" i="5"/>
  <c r="M1521" i="5" s="1"/>
  <c r="AD1197" i="5"/>
  <c r="AC1197" i="5"/>
  <c r="D118" i="5"/>
  <c r="L118" i="5"/>
  <c r="M118" i="5" s="1"/>
  <c r="AD1332" i="5"/>
  <c r="AC1332" i="5"/>
  <c r="D1465" i="5"/>
  <c r="L1465" i="5"/>
  <c r="M1465" i="5" s="1"/>
  <c r="D1075" i="5"/>
  <c r="L1075" i="5"/>
  <c r="M1075" i="5" s="1"/>
  <c r="L197" i="5"/>
  <c r="M197" i="5" s="1"/>
  <c r="D197" i="5"/>
  <c r="L1282" i="5"/>
  <c r="M1282" i="5" s="1"/>
  <c r="D1282" i="5"/>
  <c r="D473" i="5"/>
  <c r="L473" i="5"/>
  <c r="M473" i="5" s="1"/>
  <c r="L1208" i="5"/>
  <c r="M1208" i="5" s="1"/>
  <c r="D1208" i="5"/>
  <c r="L125" i="5"/>
  <c r="M125" i="5" s="1"/>
  <c r="D125" i="5"/>
  <c r="L1213" i="5"/>
  <c r="M1213" i="5" s="1"/>
  <c r="D1213" i="5"/>
  <c r="AC997" i="5"/>
  <c r="AD997" i="5"/>
  <c r="D93" i="5"/>
  <c r="L93" i="5"/>
  <c r="M93" i="5" s="1"/>
  <c r="L257" i="5"/>
  <c r="M257" i="5" s="1"/>
  <c r="D257" i="5"/>
  <c r="D335" i="5"/>
  <c r="L335" i="5"/>
  <c r="M335" i="5" s="1"/>
  <c r="AC457" i="5"/>
  <c r="AD457" i="5"/>
  <c r="D1289" i="5"/>
  <c r="L1289" i="5"/>
  <c r="M1289" i="5" s="1"/>
  <c r="D628" i="5"/>
  <c r="L628" i="5"/>
  <c r="M628" i="5" s="1"/>
  <c r="D1355" i="5"/>
  <c r="L1355" i="5"/>
  <c r="M1355" i="5" s="1"/>
  <c r="AC1137" i="5"/>
  <c r="AD1137" i="5"/>
  <c r="D795" i="5"/>
  <c r="L795" i="5"/>
  <c r="M795" i="5" s="1"/>
  <c r="AD1287" i="5"/>
  <c r="AC1287" i="5"/>
  <c r="AC217" i="5"/>
  <c r="AD217" i="5"/>
  <c r="AC1277" i="5"/>
  <c r="AD1277" i="5"/>
  <c r="D770" i="5"/>
  <c r="L770" i="5"/>
  <c r="M770" i="5" s="1"/>
  <c r="L117" i="5"/>
  <c r="M117" i="5" s="1"/>
  <c r="D117" i="5"/>
  <c r="D1057" i="5"/>
  <c r="L1057" i="5"/>
  <c r="M1057" i="5" s="1"/>
  <c r="L483" i="5"/>
  <c r="M483" i="5" s="1"/>
  <c r="D483" i="5"/>
  <c r="L1478" i="5"/>
  <c r="M1478" i="5" s="1"/>
  <c r="D1478" i="5"/>
  <c r="L1302" i="5"/>
  <c r="M1302" i="5" s="1"/>
  <c r="D1302" i="5"/>
  <c r="L193" i="5"/>
  <c r="M193" i="5" s="1"/>
  <c r="D193" i="5"/>
  <c r="L939" i="5"/>
  <c r="M939" i="5" s="1"/>
  <c r="D939" i="5"/>
  <c r="D788" i="5"/>
  <c r="L788" i="5"/>
  <c r="M788" i="5" s="1"/>
  <c r="D1531" i="5"/>
  <c r="L1531" i="5"/>
  <c r="M1531" i="5" s="1"/>
  <c r="D653" i="5"/>
  <c r="L653" i="5"/>
  <c r="M653" i="5" s="1"/>
  <c r="D840" i="5"/>
  <c r="L840" i="5"/>
  <c r="M840" i="5" s="1"/>
  <c r="D397" i="5"/>
  <c r="L397" i="5"/>
  <c r="M397" i="5" s="1"/>
  <c r="L404" i="5"/>
  <c r="M404" i="5" s="1"/>
  <c r="D404" i="5"/>
  <c r="L1596" i="5"/>
  <c r="M1596" i="5" s="1"/>
  <c r="D1596" i="5"/>
  <c r="L1012" i="5"/>
  <c r="M1012" i="5" s="1"/>
  <c r="D1012" i="5"/>
  <c r="AD547" i="5"/>
  <c r="AC547" i="5"/>
  <c r="L1537" i="5"/>
  <c r="M1537" i="5" s="1"/>
  <c r="D1537" i="5"/>
  <c r="L326" i="5"/>
  <c r="M326" i="5" s="1"/>
  <c r="D326" i="5"/>
  <c r="D1069" i="5"/>
  <c r="L1069" i="5"/>
  <c r="M1069" i="5" s="1"/>
  <c r="L1691" i="5"/>
  <c r="M1691" i="5" s="1"/>
  <c r="D1691" i="5"/>
  <c r="D1567" i="5"/>
  <c r="L1567" i="5"/>
  <c r="M1567" i="5" s="1"/>
  <c r="L408" i="5"/>
  <c r="M408" i="5" s="1"/>
  <c r="D408" i="5"/>
  <c r="D735" i="5"/>
  <c r="L735" i="5"/>
  <c r="M735" i="5" s="1"/>
  <c r="L1522" i="5"/>
  <c r="M1522" i="5" s="1"/>
  <c r="D1522" i="5"/>
  <c r="D1009" i="5"/>
  <c r="L1009" i="5"/>
  <c r="M1009" i="5" s="1"/>
  <c r="L1158" i="5"/>
  <c r="M1158" i="5" s="1"/>
  <c r="D1158" i="5"/>
  <c r="L2" i="5"/>
  <c r="M2" i="5" s="1"/>
  <c r="D2" i="5"/>
  <c r="D589" i="5"/>
  <c r="L589" i="5"/>
  <c r="M589" i="5" s="1"/>
  <c r="L842" i="5"/>
  <c r="M842" i="5" s="1"/>
  <c r="D842" i="5"/>
  <c r="AD1607" i="5"/>
  <c r="AC1607" i="5"/>
  <c r="AD152" i="5"/>
  <c r="AC152" i="5"/>
  <c r="AC1057" i="5"/>
  <c r="AD1057" i="5"/>
  <c r="L1122" i="5"/>
  <c r="M1122" i="5" s="1"/>
  <c r="D1122" i="5"/>
  <c r="D630" i="5"/>
  <c r="L630" i="5"/>
  <c r="M630" i="5" s="1"/>
  <c r="D207" i="5"/>
  <c r="L207" i="5"/>
  <c r="M207" i="5" s="1"/>
  <c r="D790" i="5"/>
  <c r="L790" i="5"/>
  <c r="M790" i="5" s="1"/>
  <c r="L1400" i="5"/>
  <c r="M1400" i="5" s="1"/>
  <c r="D1400" i="5"/>
  <c r="AD132" i="5"/>
  <c r="AC132" i="5"/>
  <c r="D115" i="5"/>
  <c r="L115" i="5"/>
  <c r="M115" i="5" s="1"/>
  <c r="D276" i="5"/>
  <c r="L276" i="5"/>
  <c r="M276" i="5" s="1"/>
  <c r="L15" i="5"/>
  <c r="M15" i="5" s="1"/>
  <c r="D15" i="5"/>
  <c r="L697" i="5"/>
  <c r="M697" i="5" s="1"/>
  <c r="D697" i="5"/>
  <c r="L1330" i="5"/>
  <c r="M1330" i="5" s="1"/>
  <c r="D1330" i="5"/>
  <c r="L837" i="5"/>
  <c r="M837" i="5" s="1"/>
  <c r="D837" i="5"/>
  <c r="L998" i="5"/>
  <c r="M998" i="5" s="1"/>
  <c r="D998" i="5"/>
  <c r="AC367" i="5"/>
  <c r="AD367" i="5"/>
  <c r="D1093" i="5"/>
  <c r="L1093" i="5"/>
  <c r="M1093" i="5" s="1"/>
  <c r="AD62" i="5"/>
  <c r="AC62" i="5"/>
  <c r="D1293" i="5"/>
  <c r="L1293" i="5"/>
  <c r="M1293" i="5" s="1"/>
  <c r="L1008" i="5"/>
  <c r="M1008" i="5" s="1"/>
  <c r="D1008" i="5"/>
  <c r="L1091" i="5"/>
  <c r="M1091" i="5" s="1"/>
  <c r="D1091" i="5"/>
  <c r="D786" i="5"/>
  <c r="L786" i="5"/>
  <c r="M786" i="5" s="1"/>
  <c r="AC257" i="5"/>
  <c r="AD257" i="5"/>
  <c r="AD1477" i="5"/>
  <c r="AC1477" i="5"/>
  <c r="AC427" i="5"/>
  <c r="AD427" i="5"/>
  <c r="D1180" i="5"/>
  <c r="L1180" i="5"/>
  <c r="M1180" i="5" s="1"/>
  <c r="AD892" i="5"/>
  <c r="AC892" i="5"/>
  <c r="L874" i="5"/>
  <c r="M874" i="5" s="1"/>
  <c r="D874" i="5"/>
  <c r="D1070" i="5"/>
  <c r="L1070" i="5"/>
  <c r="M1070" i="5" s="1"/>
  <c r="L385" i="5"/>
  <c r="M385" i="5" s="1"/>
  <c r="D385" i="5"/>
  <c r="AC742" i="5"/>
  <c r="AD742" i="5"/>
  <c r="L1119" i="5"/>
  <c r="M1119" i="5" s="1"/>
  <c r="D1119" i="5"/>
  <c r="L1363" i="5"/>
  <c r="M1363" i="5" s="1"/>
  <c r="D1363" i="5"/>
  <c r="AD972" i="5"/>
  <c r="AC972" i="5"/>
  <c r="D205" i="5"/>
  <c r="L205" i="5"/>
  <c r="M205" i="5" s="1"/>
  <c r="AC497" i="5"/>
  <c r="AD497" i="5"/>
  <c r="L670" i="5"/>
  <c r="M670" i="5" s="1"/>
  <c r="D670" i="5"/>
  <c r="L821" i="5"/>
  <c r="M821" i="5" s="1"/>
  <c r="D821" i="5"/>
  <c r="L1368" i="5"/>
  <c r="M1368" i="5" s="1"/>
  <c r="D1368" i="5"/>
  <c r="D162" i="5"/>
  <c r="L162" i="5"/>
  <c r="M162" i="5" s="1"/>
  <c r="L145" i="5"/>
  <c r="M145" i="5" s="1"/>
  <c r="D145" i="5"/>
  <c r="D1634" i="5"/>
  <c r="L1634" i="5"/>
  <c r="M1634" i="5" s="1"/>
  <c r="L1464" i="5"/>
  <c r="M1464" i="5" s="1"/>
  <c r="D1464" i="5"/>
  <c r="L1553" i="5"/>
  <c r="M1553" i="5" s="1"/>
  <c r="D1553" i="5"/>
  <c r="D1291" i="5"/>
  <c r="L1291" i="5"/>
  <c r="M1291" i="5" s="1"/>
  <c r="L262" i="5"/>
  <c r="M262" i="5" s="1"/>
  <c r="D262" i="5"/>
  <c r="AC1512" i="5"/>
  <c r="AD1512" i="5"/>
  <c r="L588" i="5"/>
  <c r="M588" i="5" s="1"/>
  <c r="D588" i="5"/>
  <c r="L392" i="5"/>
  <c r="M392" i="5" s="1"/>
  <c r="D392" i="5"/>
  <c r="D1452" i="5"/>
  <c r="L1452" i="5"/>
  <c r="M1452" i="5" s="1"/>
  <c r="L1451" i="5"/>
  <c r="M1451" i="5" s="1"/>
  <c r="D1451" i="5"/>
  <c r="L1211" i="5"/>
  <c r="M1211" i="5" s="1"/>
  <c r="D1211" i="5"/>
  <c r="L662" i="5"/>
  <c r="M662" i="5" s="1"/>
  <c r="D662" i="5"/>
  <c r="L1295" i="5"/>
  <c r="M1295" i="5" s="1"/>
  <c r="D1295" i="5"/>
  <c r="AD1442" i="5"/>
  <c r="AC1442" i="5"/>
  <c r="D1510" i="5"/>
  <c r="L1510" i="5"/>
  <c r="M1510" i="5" s="1"/>
  <c r="D949" i="5"/>
  <c r="L949" i="5"/>
  <c r="M949" i="5" s="1"/>
  <c r="D661" i="5"/>
  <c r="L661" i="5"/>
  <c r="M661" i="5" s="1"/>
  <c r="L967" i="5"/>
  <c r="M967" i="5" s="1"/>
  <c r="D967" i="5"/>
  <c r="D324" i="5"/>
  <c r="L324" i="5"/>
  <c r="M324" i="5" s="1"/>
  <c r="D451" i="5"/>
  <c r="L451" i="5"/>
  <c r="M451" i="5" s="1"/>
  <c r="L16" i="5"/>
  <c r="M16" i="5" s="1"/>
  <c r="D16" i="5"/>
  <c r="L402" i="5"/>
  <c r="M402" i="5" s="1"/>
  <c r="D402" i="5"/>
  <c r="D944" i="5"/>
  <c r="L944" i="5"/>
  <c r="M944" i="5" s="1"/>
  <c r="L221" i="5"/>
  <c r="M221" i="5" s="1"/>
  <c r="D221" i="5"/>
  <c r="D845" i="5"/>
  <c r="L845" i="5"/>
  <c r="M845" i="5" s="1"/>
  <c r="D1391" i="5"/>
  <c r="L1391" i="5"/>
  <c r="M1391" i="5" s="1"/>
  <c r="L56" i="5"/>
  <c r="M56" i="5" s="1"/>
  <c r="D56" i="5"/>
  <c r="L1268" i="5"/>
  <c r="M1268" i="5" s="1"/>
  <c r="D1268" i="5"/>
  <c r="AC842" i="5"/>
  <c r="AD842" i="5"/>
  <c r="D744" i="5"/>
  <c r="L744" i="5"/>
  <c r="M744" i="5" s="1"/>
  <c r="L323" i="5"/>
  <c r="M323" i="5" s="1"/>
  <c r="D323" i="5"/>
  <c r="AC527" i="5"/>
  <c r="AD527" i="5"/>
  <c r="AD962" i="5"/>
  <c r="AC962" i="5"/>
  <c r="D137" i="5"/>
  <c r="L137" i="5"/>
  <c r="M137" i="5" s="1"/>
  <c r="AD192" i="5"/>
  <c r="AC192" i="5"/>
  <c r="L1244" i="5"/>
  <c r="M1244" i="5" s="1"/>
  <c r="D1244" i="5"/>
  <c r="D992" i="5"/>
  <c r="L992" i="5"/>
  <c r="M992" i="5" s="1"/>
  <c r="D485" i="5"/>
  <c r="L485" i="5"/>
  <c r="M485" i="5" s="1"/>
  <c r="D911" i="5"/>
  <c r="L911" i="5"/>
  <c r="M911" i="5" s="1"/>
  <c r="AC82" i="5"/>
  <c r="AD82" i="5"/>
  <c r="D243" i="5"/>
  <c r="L243" i="5"/>
  <c r="M243" i="5" s="1"/>
  <c r="D393" i="5"/>
  <c r="L393" i="5"/>
  <c r="M393" i="5" s="1"/>
  <c r="L90" i="5"/>
  <c r="M90" i="5" s="1"/>
  <c r="D90" i="5"/>
  <c r="AD292" i="5"/>
  <c r="AC292" i="5"/>
  <c r="D369" i="5"/>
  <c r="L369" i="5"/>
  <c r="M369" i="5" s="1"/>
  <c r="D14" i="5"/>
  <c r="L14" i="5"/>
  <c r="M14" i="5" s="1"/>
  <c r="L1555" i="5"/>
  <c r="M1555" i="5" s="1"/>
  <c r="D1555" i="5"/>
  <c r="L46" i="5"/>
  <c r="M46" i="5" s="1"/>
  <c r="D46" i="5"/>
  <c r="D516" i="5"/>
  <c r="L516" i="5"/>
  <c r="M516" i="5" s="1"/>
  <c r="L497" i="5"/>
  <c r="M497" i="5" s="1"/>
  <c r="D497" i="5"/>
  <c r="D883" i="5"/>
  <c r="L883" i="5"/>
  <c r="M883" i="5" s="1"/>
  <c r="D52" i="5"/>
  <c r="L52" i="5"/>
  <c r="M52" i="5" s="1"/>
  <c r="D403" i="5"/>
  <c r="L403" i="5"/>
  <c r="M403" i="5" s="1"/>
  <c r="L1042" i="5"/>
  <c r="M1042" i="5" s="1"/>
  <c r="D1042" i="5"/>
  <c r="AC587" i="5"/>
  <c r="AD587" i="5"/>
  <c r="AC822" i="5"/>
  <c r="AD822" i="5"/>
  <c r="L1294" i="5"/>
  <c r="M1294" i="5" s="1"/>
  <c r="D1294" i="5"/>
  <c r="D214" i="5"/>
  <c r="L214" i="5"/>
  <c r="M214" i="5" s="1"/>
  <c r="D707" i="5"/>
  <c r="L707" i="5"/>
  <c r="M707" i="5" s="1"/>
  <c r="L316" i="5"/>
  <c r="M316" i="5" s="1"/>
  <c r="D316" i="5"/>
  <c r="D577" i="5"/>
  <c r="L577" i="5"/>
  <c r="M577" i="5" s="1"/>
  <c r="D1546" i="5"/>
  <c r="L1546" i="5"/>
  <c r="M1546" i="5" s="1"/>
  <c r="L621" i="5"/>
  <c r="M621" i="5" s="1"/>
  <c r="D621" i="5"/>
  <c r="AD532" i="5"/>
  <c r="AC532" i="5"/>
  <c r="L1493" i="5"/>
  <c r="M1493" i="5" s="1"/>
  <c r="D1493" i="5"/>
  <c r="L873" i="5"/>
  <c r="M873" i="5" s="1"/>
  <c r="D873" i="5"/>
  <c r="L225" i="5"/>
  <c r="M225" i="5" s="1"/>
  <c r="D225" i="5"/>
  <c r="AC1377" i="5"/>
  <c r="AD1377" i="5"/>
  <c r="AD247" i="5"/>
  <c r="AC247" i="5"/>
  <c r="L143" i="5"/>
  <c r="M143" i="5" s="1"/>
  <c r="D143" i="5"/>
  <c r="D134" i="5"/>
  <c r="L134" i="5"/>
  <c r="M134" i="5" s="1"/>
  <c r="D595" i="5"/>
  <c r="L595" i="5"/>
  <c r="M595" i="5" s="1"/>
  <c r="D113" i="5"/>
  <c r="L113" i="5"/>
  <c r="M113" i="5" s="1"/>
  <c r="D861" i="5"/>
  <c r="L861" i="5"/>
  <c r="M861" i="5" s="1"/>
  <c r="D741" i="5"/>
  <c r="L741" i="5"/>
  <c r="M741" i="5" s="1"/>
  <c r="AD307" i="5"/>
  <c r="AC307" i="5"/>
  <c r="AC1162" i="5"/>
  <c r="AD1162" i="5"/>
  <c r="AC1717" i="5"/>
  <c r="AD1717" i="5"/>
  <c r="AD1062" i="5"/>
  <c r="AC1062" i="5"/>
  <c r="D1226" i="5"/>
  <c r="L1226" i="5"/>
  <c r="M1226" i="5" s="1"/>
  <c r="AC1722" i="5"/>
  <c r="AD1722" i="5"/>
  <c r="D5" i="5"/>
  <c r="L5" i="5"/>
  <c r="M5" i="5" s="1"/>
  <c r="D1740" i="5"/>
  <c r="L1740" i="5"/>
  <c r="M1740" i="5" s="1"/>
  <c r="AD1542" i="5"/>
  <c r="AC1542" i="5"/>
  <c r="D1665" i="5"/>
  <c r="L1665" i="5"/>
  <c r="M1665" i="5" s="1"/>
  <c r="L722" i="5"/>
  <c r="M722" i="5" s="1"/>
  <c r="D722" i="5"/>
  <c r="L1323" i="5"/>
  <c r="M1323" i="5" s="1"/>
  <c r="D1323" i="5"/>
  <c r="AD1097" i="5"/>
  <c r="AC1097" i="5"/>
  <c r="AD1687" i="5"/>
  <c r="AC1687" i="5"/>
  <c r="AD777" i="5"/>
  <c r="AC777" i="5"/>
  <c r="L1597" i="5"/>
  <c r="M1597" i="5" s="1"/>
  <c r="D1597" i="5"/>
  <c r="L58" i="5"/>
  <c r="M58" i="5" s="1"/>
  <c r="D58" i="5"/>
  <c r="AC802" i="5"/>
  <c r="AD802" i="5"/>
  <c r="L954" i="5"/>
  <c r="M954" i="5" s="1"/>
  <c r="D954" i="5"/>
  <c r="L713" i="5"/>
  <c r="M713" i="5" s="1"/>
  <c r="D713" i="5"/>
  <c r="L1318" i="5"/>
  <c r="M1318" i="5" s="1"/>
  <c r="D1318" i="5"/>
  <c r="L1419" i="5"/>
  <c r="M1419" i="5" s="1"/>
  <c r="D1419" i="5"/>
  <c r="L1359" i="5"/>
  <c r="M1359" i="5" s="1"/>
  <c r="D1359" i="5"/>
  <c r="D1648" i="5"/>
  <c r="L1648" i="5"/>
  <c r="M1648" i="5" s="1"/>
  <c r="L1236" i="5"/>
  <c r="M1236" i="5" s="1"/>
  <c r="D1236" i="5"/>
  <c r="D1563" i="5"/>
  <c r="L1563" i="5"/>
  <c r="M1563" i="5" s="1"/>
  <c r="D416" i="5"/>
  <c r="L416" i="5"/>
  <c r="M416" i="5" s="1"/>
  <c r="L1631" i="5"/>
  <c r="M1631" i="5" s="1"/>
  <c r="D1631" i="5"/>
  <c r="L365" i="5"/>
  <c r="M365" i="5" s="1"/>
  <c r="D365" i="5"/>
  <c r="D904" i="5"/>
  <c r="L904" i="5"/>
  <c r="M904" i="5" s="1"/>
  <c r="D419" i="5"/>
  <c r="L419" i="5"/>
  <c r="M419" i="5" s="1"/>
  <c r="D1437" i="5"/>
  <c r="L1437" i="5"/>
  <c r="M1437" i="5" s="1"/>
  <c r="L832" i="5"/>
  <c r="M832" i="5" s="1"/>
  <c r="D832" i="5"/>
  <c r="D82" i="5"/>
  <c r="L82" i="5"/>
  <c r="M82" i="5" s="1"/>
  <c r="L1603" i="5"/>
  <c r="M1603" i="5" s="1"/>
  <c r="D1603" i="5"/>
  <c r="L1627" i="5"/>
  <c r="M1627" i="5" s="1"/>
  <c r="D1627" i="5"/>
  <c r="D179" i="5"/>
  <c r="L179" i="5"/>
  <c r="M179" i="5" s="1"/>
  <c r="AC332" i="5"/>
  <c r="AD332" i="5"/>
  <c r="L364" i="5"/>
  <c r="M364" i="5" s="1"/>
  <c r="D364" i="5"/>
  <c r="D1434" i="5"/>
  <c r="L1434" i="5"/>
  <c r="M1434" i="5" s="1"/>
  <c r="D754" i="5"/>
  <c r="L754" i="5"/>
  <c r="M754" i="5" s="1"/>
  <c r="D294" i="5"/>
  <c r="L294" i="5"/>
  <c r="M294" i="5" s="1"/>
  <c r="L1724" i="5"/>
  <c r="M1724" i="5" s="1"/>
  <c r="D1724" i="5"/>
  <c r="L1126" i="5"/>
  <c r="M1126" i="5" s="1"/>
  <c r="D1126" i="5"/>
  <c r="AC1677" i="5"/>
  <c r="AD1677" i="5"/>
  <c r="D1624" i="5"/>
  <c r="L1624" i="5"/>
  <c r="M1624" i="5" s="1"/>
  <c r="D623" i="5"/>
  <c r="L623" i="5"/>
  <c r="M623" i="5" s="1"/>
  <c r="AD1507" i="5"/>
  <c r="AC1507" i="5"/>
  <c r="L799" i="5"/>
  <c r="M799" i="5" s="1"/>
  <c r="D799" i="5"/>
  <c r="D907" i="5"/>
  <c r="L907" i="5"/>
  <c r="M907" i="5" s="1"/>
  <c r="D201" i="5"/>
  <c r="L201" i="5"/>
  <c r="M201" i="5" s="1"/>
  <c r="AD927" i="5"/>
  <c r="AC927" i="5"/>
  <c r="D150" i="5"/>
  <c r="L150" i="5"/>
  <c r="M150" i="5" s="1"/>
  <c r="D389" i="5"/>
  <c r="L389" i="5"/>
  <c r="M389" i="5" s="1"/>
  <c r="L791" i="5"/>
  <c r="M791" i="5" s="1"/>
  <c r="D791" i="5"/>
  <c r="L224" i="5"/>
  <c r="M224" i="5" s="1"/>
  <c r="D224" i="5"/>
  <c r="AD1497" i="5"/>
  <c r="AC1497" i="5"/>
  <c r="D1512" i="5"/>
  <c r="L1512" i="5"/>
  <c r="M1512" i="5" s="1"/>
  <c r="D1245" i="5"/>
  <c r="L1245" i="5"/>
  <c r="M1245" i="5" s="1"/>
  <c r="D96" i="5"/>
  <c r="L96" i="5"/>
  <c r="M96" i="5" s="1"/>
  <c r="D308" i="5"/>
  <c r="L308" i="5"/>
  <c r="M308" i="5" s="1"/>
  <c r="D1097" i="5"/>
  <c r="L1097" i="5"/>
  <c r="M1097" i="5" s="1"/>
  <c r="AC807" i="5"/>
  <c r="AD807" i="5"/>
  <c r="D1279" i="5"/>
  <c r="L1279" i="5"/>
  <c r="M1279" i="5" s="1"/>
  <c r="D1325" i="5"/>
  <c r="L1325" i="5"/>
  <c r="M1325" i="5" s="1"/>
  <c r="D1636" i="5"/>
  <c r="L1636" i="5"/>
  <c r="M1636" i="5" s="1"/>
  <c r="AC1437" i="5"/>
  <c r="AD1437" i="5"/>
  <c r="D444" i="5"/>
  <c r="L444" i="5"/>
  <c r="M444" i="5" s="1"/>
  <c r="AC867" i="5"/>
  <c r="AD867" i="5"/>
  <c r="D1061" i="5"/>
  <c r="L1061" i="5"/>
  <c r="M1061" i="5" s="1"/>
  <c r="AC482" i="5"/>
  <c r="AD482" i="5"/>
  <c r="D1469" i="5"/>
  <c r="L1469" i="5"/>
  <c r="M1469" i="5" s="1"/>
  <c r="D1438" i="5"/>
  <c r="L1438" i="5"/>
  <c r="M1438" i="5" s="1"/>
  <c r="L1728" i="5"/>
  <c r="M1728" i="5" s="1"/>
  <c r="D1728" i="5"/>
  <c r="D1430" i="5"/>
  <c r="L1430" i="5"/>
  <c r="M1430" i="5" s="1"/>
  <c r="D8" i="5"/>
  <c r="L8" i="5"/>
  <c r="M8" i="5" s="1"/>
  <c r="D395" i="5"/>
  <c r="L395" i="5"/>
  <c r="M395" i="5" s="1"/>
  <c r="D878" i="5"/>
  <c r="L878" i="5"/>
  <c r="M878" i="5" s="1"/>
  <c r="L1085" i="5"/>
  <c r="M1085" i="5" s="1"/>
  <c r="D1085" i="5"/>
  <c r="L1467" i="5"/>
  <c r="M1467" i="5" s="1"/>
  <c r="D1467" i="5"/>
  <c r="D683" i="5"/>
  <c r="L683" i="5"/>
  <c r="M683" i="5" s="1"/>
  <c r="AD1142" i="5"/>
  <c r="AC1142" i="5"/>
  <c r="AD442" i="5"/>
  <c r="AC442" i="5"/>
  <c r="AC1692" i="5"/>
  <c r="AD1692" i="5"/>
  <c r="L432" i="5"/>
  <c r="M432" i="5" s="1"/>
  <c r="D432" i="5"/>
  <c r="D820" i="5"/>
  <c r="L820" i="5"/>
  <c r="M820" i="5" s="1"/>
  <c r="D1389" i="5"/>
  <c r="L1389" i="5"/>
  <c r="M1389" i="5" s="1"/>
  <c r="D480" i="5"/>
  <c r="L480" i="5"/>
  <c r="M480" i="5" s="1"/>
  <c r="L180" i="5"/>
  <c r="M180" i="5" s="1"/>
  <c r="D180" i="5"/>
  <c r="D1136" i="5"/>
  <c r="L1136" i="5"/>
  <c r="M1136" i="5" s="1"/>
  <c r="L1658" i="5"/>
  <c r="M1658" i="5" s="1"/>
  <c r="D1658" i="5"/>
  <c r="D914" i="5"/>
  <c r="L914" i="5"/>
  <c r="M914" i="5" s="1"/>
  <c r="L218" i="5"/>
  <c r="M218" i="5" s="1"/>
  <c r="D218" i="5"/>
  <c r="L501" i="5"/>
  <c r="M501" i="5" s="1"/>
  <c r="D501" i="5"/>
  <c r="L1682" i="5"/>
  <c r="M1682" i="5" s="1"/>
  <c r="D1682" i="5"/>
  <c r="D322" i="5"/>
  <c r="L322" i="5"/>
  <c r="M322" i="5" s="1"/>
  <c r="D762" i="5"/>
  <c r="L762" i="5"/>
  <c r="M762" i="5" s="1"/>
  <c r="AC872" i="5"/>
  <c r="AD872" i="5"/>
  <c r="AD1647" i="5"/>
  <c r="AC1647" i="5"/>
  <c r="AC592" i="5"/>
  <c r="AD592" i="5"/>
  <c r="AD582" i="5"/>
  <c r="AC582" i="5"/>
  <c r="D879" i="5"/>
  <c r="L879" i="5"/>
  <c r="M879" i="5" s="1"/>
  <c r="L1156" i="5"/>
  <c r="M1156" i="5" s="1"/>
  <c r="D1156" i="5"/>
  <c r="D24" i="5"/>
  <c r="L24" i="5"/>
  <c r="M24" i="5" s="1"/>
  <c r="L191" i="5"/>
  <c r="M191" i="5" s="1"/>
  <c r="D191" i="5"/>
  <c r="D237" i="5"/>
  <c r="L237" i="5"/>
  <c r="M237" i="5" s="1"/>
  <c r="L26" i="5"/>
  <c r="M26" i="5" s="1"/>
  <c r="D26" i="5"/>
  <c r="D877" i="5"/>
  <c r="L877" i="5"/>
  <c r="M877" i="5" s="1"/>
  <c r="L228" i="5"/>
  <c r="M228" i="5" s="1"/>
  <c r="D228" i="5"/>
  <c r="L550" i="5"/>
  <c r="M550" i="5" s="1"/>
  <c r="D550" i="5"/>
  <c r="D1578" i="5"/>
  <c r="L1578" i="5"/>
  <c r="M1578" i="5" s="1"/>
  <c r="D760" i="5"/>
  <c r="L760" i="5"/>
  <c r="M760" i="5" s="1"/>
  <c r="AD182" i="5"/>
  <c r="AC182" i="5"/>
  <c r="L69" i="5"/>
  <c r="M69" i="5" s="1"/>
  <c r="D69" i="5"/>
  <c r="L126" i="5"/>
  <c r="M126" i="5" s="1"/>
  <c r="D126" i="5"/>
  <c r="L1362" i="5"/>
  <c r="M1362" i="5" s="1"/>
  <c r="D1362" i="5"/>
  <c r="D1550" i="5"/>
  <c r="L1550" i="5"/>
  <c r="M1550" i="5" s="1"/>
  <c r="L1574" i="5"/>
  <c r="M1574" i="5" s="1"/>
  <c r="D1574" i="5"/>
  <c r="L675" i="5"/>
  <c r="M675" i="5" s="1"/>
  <c r="D675" i="5"/>
  <c r="AC1222" i="5"/>
  <c r="AD1222" i="5"/>
  <c r="L787" i="5"/>
  <c r="M787" i="5" s="1"/>
  <c r="D787" i="5"/>
  <c r="L685" i="5"/>
  <c r="M685" i="5" s="1"/>
  <c r="D685" i="5"/>
  <c r="L1701" i="5"/>
  <c r="M1701" i="5" s="1"/>
  <c r="D1701" i="5"/>
  <c r="D519" i="5"/>
  <c r="L519" i="5"/>
  <c r="M519" i="5" s="1"/>
  <c r="D1663" i="5"/>
  <c r="L1663" i="5"/>
  <c r="M1663" i="5" s="1"/>
  <c r="AD837" i="5"/>
  <c r="AC837" i="5"/>
  <c r="L632" i="5"/>
  <c r="M632" i="5" s="1"/>
  <c r="D632" i="5"/>
  <c r="D950" i="5"/>
  <c r="L950" i="5"/>
  <c r="M950" i="5" s="1"/>
  <c r="L1301" i="5"/>
  <c r="M1301" i="5" s="1"/>
  <c r="D1301" i="5"/>
  <c r="L1436" i="5"/>
  <c r="M1436" i="5" s="1"/>
  <c r="D1436" i="5"/>
  <c r="L913" i="5"/>
  <c r="M913" i="5" s="1"/>
  <c r="D913" i="5"/>
  <c r="L1032" i="5"/>
  <c r="M1032" i="5" s="1"/>
  <c r="D1032" i="5"/>
  <c r="D320" i="5"/>
  <c r="L320" i="5"/>
  <c r="M320" i="5" s="1"/>
  <c r="D342" i="5"/>
  <c r="L342" i="5"/>
  <c r="M342" i="5" s="1"/>
  <c r="AC1642" i="5"/>
  <c r="AD1642" i="5"/>
  <c r="D554" i="5"/>
  <c r="L554" i="5"/>
  <c r="M554" i="5" s="1"/>
  <c r="D777" i="5"/>
  <c r="L777" i="5"/>
  <c r="M777" i="5" s="1"/>
  <c r="D937" i="5"/>
  <c r="L937" i="5"/>
  <c r="M937" i="5" s="1"/>
  <c r="AC1612" i="5"/>
  <c r="AD1612" i="5"/>
  <c r="L805" i="5"/>
  <c r="M805" i="5" s="1"/>
  <c r="D805" i="5"/>
  <c r="D1353" i="5"/>
  <c r="L1353" i="5"/>
  <c r="M1353" i="5" s="1"/>
  <c r="L1254" i="5"/>
  <c r="M1254" i="5" s="1"/>
  <c r="D1254" i="5"/>
  <c r="AC1047" i="5"/>
  <c r="AD1047" i="5"/>
  <c r="AC397" i="5"/>
  <c r="AD397" i="5"/>
  <c r="AD77" i="5"/>
  <c r="AC77" i="5"/>
  <c r="L1394" i="5"/>
  <c r="M1394" i="5" s="1"/>
  <c r="D1394" i="5"/>
  <c r="L1457" i="5"/>
  <c r="M1457" i="5" s="1"/>
  <c r="D1457" i="5"/>
  <c r="L926" i="5"/>
  <c r="M926" i="5" s="1"/>
  <c r="D926" i="5"/>
  <c r="D1602" i="5"/>
  <c r="L1602" i="5"/>
  <c r="M1602" i="5" s="1"/>
  <c r="D1221" i="5"/>
  <c r="L1221" i="5"/>
  <c r="M1221" i="5" s="1"/>
  <c r="L1056" i="5"/>
  <c r="M1056" i="5" s="1"/>
  <c r="D1056" i="5"/>
  <c r="D1076" i="5"/>
  <c r="L1076" i="5"/>
  <c r="M1076" i="5" s="1"/>
  <c r="D487" i="5"/>
  <c r="L487" i="5"/>
  <c r="M487" i="5" s="1"/>
  <c r="D1507" i="5"/>
  <c r="L1507" i="5"/>
  <c r="M1507" i="5" s="1"/>
  <c r="D384" i="5"/>
  <c r="L384" i="5"/>
  <c r="M384" i="5" s="1"/>
  <c r="D1508" i="5"/>
  <c r="L1508" i="5"/>
  <c r="M1508" i="5" s="1"/>
  <c r="D173" i="5"/>
  <c r="L173" i="5"/>
  <c r="M173" i="5" s="1"/>
  <c r="L1078" i="5"/>
  <c r="M1078" i="5" s="1"/>
  <c r="D1078" i="5"/>
  <c r="AC472" i="5"/>
  <c r="AD472" i="5"/>
  <c r="D1195" i="5"/>
  <c r="L1195" i="5"/>
  <c r="M1195" i="5" s="1"/>
  <c r="L1307" i="5"/>
  <c r="M1307" i="5" s="1"/>
  <c r="D1307" i="5"/>
  <c r="AD1602" i="5"/>
  <c r="AC1602" i="5"/>
  <c r="D1562" i="5"/>
  <c r="L1562" i="5"/>
  <c r="M1562" i="5" s="1"/>
  <c r="D585" i="5"/>
  <c r="L585" i="5"/>
  <c r="M585" i="5" s="1"/>
  <c r="D902" i="5"/>
  <c r="L902" i="5"/>
  <c r="M902" i="5" s="1"/>
  <c r="AC1122" i="5"/>
  <c r="AD1122" i="5"/>
  <c r="D153" i="5"/>
  <c r="L153" i="5"/>
  <c r="M153" i="5" s="1"/>
  <c r="D1259" i="5"/>
  <c r="L1259" i="5"/>
  <c r="M1259" i="5" s="1"/>
  <c r="L346" i="5"/>
  <c r="M346" i="5" s="1"/>
  <c r="D346" i="5"/>
  <c r="D1520" i="5"/>
  <c r="L1520" i="5"/>
  <c r="M1520" i="5" s="1"/>
  <c r="L1310" i="5"/>
  <c r="M1310" i="5" s="1"/>
  <c r="D1310" i="5"/>
  <c r="D556" i="5"/>
  <c r="L556" i="5"/>
  <c r="M556" i="5" s="1"/>
  <c r="L933" i="5"/>
  <c r="M933" i="5" s="1"/>
  <c r="D933" i="5"/>
  <c r="D478" i="5"/>
  <c r="L478" i="5"/>
  <c r="M478" i="5" s="1"/>
  <c r="L1432" i="5"/>
  <c r="M1432" i="5" s="1"/>
  <c r="D1432" i="5"/>
  <c r="L66" i="5"/>
  <c r="M66" i="5" s="1"/>
  <c r="D66" i="5"/>
  <c r="AD252" i="5"/>
  <c r="AC252" i="5"/>
  <c r="AD37" i="5"/>
  <c r="AC37" i="5"/>
  <c r="L1644" i="5"/>
  <c r="M1644" i="5" s="1"/>
  <c r="D1644" i="5"/>
  <c r="D509" i="5"/>
  <c r="L509" i="5"/>
  <c r="M509" i="5" s="1"/>
  <c r="D962" i="5"/>
  <c r="L962" i="5"/>
  <c r="M962" i="5" s="1"/>
  <c r="AD377" i="5"/>
  <c r="AC377" i="5"/>
  <c r="L751" i="5"/>
  <c r="M751" i="5" s="1"/>
  <c r="D751" i="5"/>
  <c r="D711" i="5"/>
  <c r="L711" i="5"/>
  <c r="M711" i="5" s="1"/>
  <c r="L1255" i="5"/>
  <c r="M1255" i="5" s="1"/>
  <c r="D1255" i="5"/>
  <c r="L1215" i="5"/>
  <c r="M1215" i="5" s="1"/>
  <c r="D1215" i="5"/>
  <c r="L901" i="5"/>
  <c r="M901" i="5" s="1"/>
  <c r="D901" i="5"/>
  <c r="AD1412" i="5"/>
  <c r="AC1412" i="5"/>
  <c r="L1111" i="5"/>
  <c r="M1111" i="5" s="1"/>
  <c r="D1111" i="5"/>
  <c r="AD92" i="5"/>
  <c r="AC92" i="5"/>
  <c r="D1378" i="5"/>
  <c r="L1378" i="5"/>
  <c r="M1378" i="5" s="1"/>
  <c r="D927" i="5"/>
  <c r="L927" i="5"/>
  <c r="M927" i="5" s="1"/>
  <c r="D778" i="5"/>
  <c r="L778" i="5"/>
  <c r="M778" i="5" s="1"/>
  <c r="D532" i="5"/>
  <c r="L532" i="5"/>
  <c r="M532" i="5" s="1"/>
  <c r="AD197" i="5"/>
  <c r="AC197" i="5"/>
  <c r="AC1247" i="5"/>
  <c r="AD1247" i="5"/>
  <c r="D1548" i="5"/>
  <c r="L1548" i="5"/>
  <c r="M1548" i="5" s="1"/>
  <c r="D123" i="5"/>
  <c r="L123" i="5"/>
  <c r="M123" i="5" s="1"/>
  <c r="AC1052" i="5"/>
  <c r="AD1052" i="5"/>
  <c r="L194" i="5"/>
  <c r="M194" i="5" s="1"/>
  <c r="D194" i="5"/>
  <c r="L833" i="5"/>
  <c r="M833" i="5" s="1"/>
  <c r="D833" i="5"/>
  <c r="L665" i="5"/>
  <c r="M665" i="5" s="1"/>
  <c r="D665" i="5"/>
  <c r="D860" i="5"/>
  <c r="L860" i="5"/>
  <c r="M860" i="5" s="1"/>
  <c r="D254" i="5"/>
  <c r="L254" i="5"/>
  <c r="M254" i="5" s="1"/>
  <c r="D1309" i="5"/>
  <c r="L1309" i="5"/>
  <c r="M1309" i="5" s="1"/>
  <c r="L1505" i="5"/>
  <c r="M1505" i="5" s="1"/>
  <c r="D1505" i="5"/>
  <c r="AC1427" i="5"/>
  <c r="AD1427" i="5"/>
  <c r="D1527" i="5"/>
  <c r="L1527" i="5"/>
  <c r="M1527" i="5" s="1"/>
  <c r="D753" i="5"/>
  <c r="L753" i="5"/>
  <c r="M753" i="5" s="1"/>
  <c r="L882" i="5"/>
  <c r="M882" i="5" s="1"/>
  <c r="D882" i="5"/>
  <c r="L925" i="5"/>
  <c r="M925" i="5" s="1"/>
  <c r="D925" i="5"/>
  <c r="D869" i="5"/>
  <c r="L869" i="5"/>
  <c r="M869" i="5" s="1"/>
  <c r="L482" i="5"/>
  <c r="M482" i="5" s="1"/>
  <c r="D482" i="5"/>
  <c r="D835" i="5"/>
  <c r="L835" i="5"/>
  <c r="M835" i="5" s="1"/>
  <c r="L1337" i="5"/>
  <c r="M1337" i="5" s="1"/>
  <c r="D1337" i="5"/>
  <c r="D693" i="5"/>
  <c r="L693" i="5"/>
  <c r="M693" i="5" s="1"/>
  <c r="L378" i="5"/>
  <c r="M378" i="5" s="1"/>
  <c r="D378" i="5"/>
  <c r="D192" i="5"/>
  <c r="L192" i="5"/>
  <c r="M192" i="5" s="1"/>
  <c r="L283" i="5"/>
  <c r="M283" i="5" s="1"/>
  <c r="D283" i="5"/>
  <c r="D1147" i="5"/>
  <c r="L1147" i="5"/>
  <c r="M1147" i="5" s="1"/>
  <c r="D1277" i="5"/>
  <c r="L1277" i="5"/>
  <c r="M1277" i="5" s="1"/>
  <c r="D1283" i="5"/>
  <c r="L1283" i="5"/>
  <c r="M1283" i="5" s="1"/>
  <c r="AC1737" i="5"/>
  <c r="AD1737" i="5"/>
  <c r="D922" i="5"/>
  <c r="L922" i="5"/>
  <c r="M922" i="5" s="1"/>
  <c r="L1613" i="5"/>
  <c r="M1613" i="5" s="1"/>
  <c r="D1613" i="5"/>
  <c r="D859" i="5"/>
  <c r="L859" i="5"/>
  <c r="M859" i="5" s="1"/>
  <c r="L166" i="5"/>
  <c r="M166" i="5" s="1"/>
  <c r="D166" i="5"/>
  <c r="D891" i="5"/>
  <c r="L891" i="5"/>
  <c r="M891" i="5" s="1"/>
  <c r="L989" i="5"/>
  <c r="M989" i="5" s="1"/>
  <c r="D989" i="5"/>
  <c r="L738" i="5"/>
  <c r="M738" i="5" s="1"/>
  <c r="D738" i="5"/>
  <c r="L1514" i="5"/>
  <c r="M1514" i="5" s="1"/>
  <c r="D1514" i="5"/>
  <c r="AC1522" i="5"/>
  <c r="AD1522" i="5"/>
  <c r="L275" i="5"/>
  <c r="M275" i="5" s="1"/>
  <c r="D275" i="5"/>
  <c r="D739" i="5"/>
  <c r="L739" i="5"/>
  <c r="M739" i="5" s="1"/>
  <c r="L1745" i="5"/>
  <c r="M1745" i="5" s="1"/>
  <c r="D1745" i="5"/>
  <c r="L746" i="5"/>
  <c r="M746" i="5" s="1"/>
  <c r="D746" i="5"/>
  <c r="L396" i="5"/>
  <c r="M396" i="5" s="1"/>
  <c r="D396" i="5"/>
  <c r="D549" i="5"/>
  <c r="L549" i="5"/>
  <c r="M549" i="5" s="1"/>
  <c r="D1557" i="5"/>
  <c r="L1557" i="5"/>
  <c r="M1557" i="5" s="1"/>
  <c r="D1149" i="5"/>
  <c r="L1149" i="5"/>
  <c r="M1149" i="5" s="1"/>
  <c r="AD1567" i="5"/>
  <c r="AC1567" i="5"/>
  <c r="AD1167" i="5"/>
  <c r="AC1167" i="5"/>
  <c r="D1667" i="5"/>
  <c r="L1667" i="5"/>
  <c r="M1667" i="5" s="1"/>
  <c r="L1262" i="5"/>
  <c r="M1262" i="5" s="1"/>
  <c r="D1262" i="5"/>
  <c r="D1396" i="5"/>
  <c r="L1396" i="5"/>
  <c r="M1396" i="5" s="1"/>
  <c r="L1637" i="5"/>
  <c r="M1637" i="5" s="1"/>
  <c r="D1637" i="5"/>
  <c r="L1271" i="5"/>
  <c r="M1271" i="5" s="1"/>
  <c r="D1271" i="5"/>
  <c r="D242" i="5"/>
  <c r="L242" i="5"/>
  <c r="M242" i="5" s="1"/>
  <c r="L960" i="5"/>
  <c r="M960" i="5" s="1"/>
  <c r="D960" i="5"/>
  <c r="L1081" i="5"/>
  <c r="M1081" i="5" s="1"/>
  <c r="D1081" i="5"/>
  <c r="D1199" i="5"/>
  <c r="L1199" i="5"/>
  <c r="M1199" i="5" s="1"/>
  <c r="L608" i="5"/>
  <c r="M608" i="5" s="1"/>
  <c r="D608" i="5"/>
  <c r="L1182" i="5"/>
  <c r="M1182" i="5" s="1"/>
  <c r="D1182" i="5"/>
  <c r="L1481" i="5"/>
  <c r="M1481" i="5" s="1"/>
  <c r="D1481" i="5"/>
  <c r="L1618" i="5"/>
  <c r="M1618" i="5" s="1"/>
  <c r="D1618" i="5"/>
  <c r="D729" i="5"/>
  <c r="L729" i="5"/>
  <c r="M729" i="5" s="1"/>
  <c r="D1621" i="5"/>
  <c r="L1621" i="5"/>
  <c r="M1621" i="5" s="1"/>
  <c r="L476" i="5"/>
  <c r="M476" i="5" s="1"/>
  <c r="D476" i="5"/>
  <c r="L1143" i="5"/>
  <c r="M1143" i="5" s="1"/>
  <c r="D1143" i="5"/>
  <c r="AC752" i="5"/>
  <c r="AD752" i="5"/>
  <c r="L1576" i="5"/>
  <c r="M1576" i="5" s="1"/>
  <c r="D1576" i="5"/>
  <c r="AC17" i="5"/>
  <c r="AD17" i="5"/>
  <c r="D1005" i="5"/>
  <c r="L1005" i="5"/>
  <c r="M1005" i="5" s="1"/>
  <c r="L1532" i="5"/>
  <c r="M1532" i="5" s="1"/>
  <c r="D1532" i="5"/>
  <c r="D370" i="5"/>
  <c r="L370" i="5"/>
  <c r="M370" i="5" s="1"/>
  <c r="D413" i="5"/>
  <c r="L413" i="5"/>
  <c r="M413" i="5" s="1"/>
  <c r="L131" i="5"/>
  <c r="M131" i="5" s="1"/>
  <c r="D131" i="5"/>
  <c r="L885" i="5"/>
  <c r="M885" i="5" s="1"/>
  <c r="D885" i="5"/>
  <c r="D1260" i="5"/>
  <c r="L1260" i="5"/>
  <c r="M1260" i="5" s="1"/>
  <c r="L1377" i="5"/>
  <c r="M1377" i="5" s="1"/>
  <c r="D1377" i="5"/>
  <c r="L493" i="5"/>
  <c r="M493" i="5" s="1"/>
  <c r="D493" i="5"/>
  <c r="L1049" i="5"/>
  <c r="M1049" i="5" s="1"/>
  <c r="D1049" i="5"/>
  <c r="L1462" i="5"/>
  <c r="M1462" i="5" s="1"/>
  <c r="D1462" i="5"/>
  <c r="D591" i="5"/>
  <c r="L591" i="5"/>
  <c r="M591" i="5" s="1"/>
  <c r="AC1487" i="5"/>
  <c r="AD1487" i="5"/>
  <c r="D797" i="5"/>
  <c r="L797" i="5"/>
  <c r="M797" i="5" s="1"/>
  <c r="L1450" i="5"/>
  <c r="M1450" i="5" s="1"/>
  <c r="D1450" i="5"/>
  <c r="AC1732" i="5"/>
  <c r="AD1732" i="5"/>
  <c r="L1704" i="5"/>
  <c r="M1704" i="5" s="1"/>
  <c r="D1704" i="5"/>
  <c r="D116" i="5"/>
  <c r="L116" i="5"/>
  <c r="M116" i="5" s="1"/>
  <c r="D1273" i="5"/>
  <c r="L1273" i="5"/>
  <c r="M1273" i="5" s="1"/>
  <c r="D1504" i="5"/>
  <c r="L1504" i="5"/>
  <c r="M1504" i="5" s="1"/>
  <c r="D855" i="5"/>
  <c r="L855" i="5"/>
  <c r="M855" i="5" s="1"/>
  <c r="L1333" i="5"/>
  <c r="M1333" i="5" s="1"/>
  <c r="D1333" i="5"/>
  <c r="L445" i="5"/>
  <c r="M445" i="5" s="1"/>
  <c r="D445" i="5"/>
  <c r="L202" i="5"/>
  <c r="M202" i="5" s="1"/>
  <c r="D202" i="5"/>
  <c r="L1403" i="5"/>
  <c r="M1403" i="5" s="1"/>
  <c r="D1403" i="5"/>
  <c r="L699" i="5"/>
  <c r="M699" i="5" s="1"/>
  <c r="D699" i="5"/>
  <c r="AC1362" i="5"/>
  <c r="AD1362" i="5"/>
  <c r="L546" i="5"/>
  <c r="M546" i="5" s="1"/>
  <c r="D546" i="5"/>
  <c r="D666" i="5"/>
  <c r="L666" i="5"/>
  <c r="M666" i="5" s="1"/>
  <c r="D1585" i="5"/>
  <c r="L1585" i="5"/>
  <c r="M1585" i="5" s="1"/>
  <c r="L1265" i="5"/>
  <c r="M1265" i="5" s="1"/>
  <c r="D1265" i="5"/>
  <c r="D1220" i="5"/>
  <c r="L1220" i="5"/>
  <c r="M1220" i="5" s="1"/>
  <c r="L1286" i="5"/>
  <c r="M1286" i="5" s="1"/>
  <c r="D1286" i="5"/>
  <c r="AC512" i="5"/>
  <c r="AD512" i="5"/>
  <c r="L349" i="5"/>
  <c r="M349" i="5" s="1"/>
  <c r="D349" i="5"/>
  <c r="L100" i="5"/>
  <c r="M100" i="5" s="1"/>
  <c r="D100" i="5"/>
  <c r="L641" i="5"/>
  <c r="M641" i="5" s="1"/>
  <c r="D641" i="5"/>
  <c r="D19" i="5"/>
  <c r="L19" i="5"/>
  <c r="M19" i="5" s="1"/>
  <c r="AD22" i="5"/>
  <c r="AC22" i="5"/>
  <c r="D1311" i="5"/>
  <c r="L1311" i="5"/>
  <c r="M1311" i="5" s="1"/>
  <c r="D1174" i="5"/>
  <c r="L1174" i="5"/>
  <c r="M1174" i="5" s="1"/>
  <c r="L1488" i="5"/>
  <c r="M1488" i="5" s="1"/>
  <c r="D1488" i="5"/>
  <c r="AD422" i="5"/>
  <c r="AC422" i="5"/>
  <c r="AD167" i="5"/>
  <c r="AC167" i="5"/>
  <c r="AD1727" i="5"/>
  <c r="AC1727" i="5"/>
  <c r="AC1652" i="5"/>
  <c r="AD1652" i="5"/>
  <c r="D1011" i="5"/>
  <c r="L1011" i="5"/>
  <c r="M1011" i="5" s="1"/>
  <c r="L975" i="5"/>
  <c r="M975" i="5" s="1"/>
  <c r="D975" i="5"/>
  <c r="L1072" i="5"/>
  <c r="M1072" i="5" s="1"/>
  <c r="D1072" i="5"/>
  <c r="L993" i="5"/>
  <c r="M993" i="5" s="1"/>
  <c r="D993" i="5"/>
  <c r="L578" i="5"/>
  <c r="M578" i="5" s="1"/>
  <c r="D578" i="5"/>
  <c r="L302" i="5"/>
  <c r="M302" i="5" s="1"/>
  <c r="D302" i="5"/>
  <c r="D457" i="5"/>
  <c r="L457" i="5"/>
  <c r="M457" i="5" s="1"/>
  <c r="L1065" i="5"/>
  <c r="M1065" i="5" s="1"/>
  <c r="D1065" i="5"/>
  <c r="D1317" i="5"/>
  <c r="L1317" i="5"/>
  <c r="M1317" i="5" s="1"/>
  <c r="L1364" i="5"/>
  <c r="M1364" i="5" s="1"/>
  <c r="D1364" i="5"/>
  <c r="D1304" i="5"/>
  <c r="L1304" i="5"/>
  <c r="M1304" i="5" s="1"/>
  <c r="D219" i="5"/>
  <c r="L219" i="5"/>
  <c r="M219" i="5" s="1"/>
  <c r="D337" i="5"/>
  <c r="L337" i="5"/>
  <c r="M337" i="5" s="1"/>
  <c r="D763" i="5"/>
  <c r="L763" i="5"/>
  <c r="M763" i="5" s="1"/>
  <c r="D1025" i="5"/>
  <c r="L1025" i="5"/>
  <c r="M1025" i="5" s="1"/>
  <c r="D798" i="5"/>
  <c r="L798" i="5"/>
  <c r="M798" i="5" s="1"/>
  <c r="L674" i="5"/>
  <c r="M674" i="5" s="1"/>
  <c r="D674" i="5"/>
  <c r="D428" i="5"/>
  <c r="L428" i="5"/>
  <c r="M428" i="5" s="1"/>
  <c r="L268" i="5"/>
  <c r="M268" i="5" s="1"/>
  <c r="D268" i="5"/>
  <c r="AD1662" i="5"/>
  <c r="AC1662" i="5"/>
  <c r="D436" i="5"/>
  <c r="L436" i="5"/>
  <c r="M436" i="5" s="1"/>
  <c r="L1423" i="5"/>
  <c r="M1423" i="5" s="1"/>
  <c r="D1423" i="5"/>
  <c r="D1360" i="5"/>
  <c r="L1360" i="5"/>
  <c r="M1360" i="5" s="1"/>
  <c r="D865" i="5"/>
  <c r="L865" i="5"/>
  <c r="M865" i="5" s="1"/>
  <c r="D217" i="5"/>
  <c r="L217" i="5"/>
  <c r="M217" i="5" s="1"/>
  <c r="L1600" i="5"/>
  <c r="M1600" i="5" s="1"/>
  <c r="D1600" i="5"/>
  <c r="D1540" i="5"/>
  <c r="L1540" i="5"/>
  <c r="M1540" i="5" s="1"/>
  <c r="L1455" i="5"/>
  <c r="M1455" i="5" s="1"/>
  <c r="D1455" i="5"/>
  <c r="D195" i="5"/>
  <c r="L195" i="5"/>
  <c r="M195" i="5" s="1"/>
  <c r="D310" i="5"/>
  <c r="L310" i="5"/>
  <c r="M310" i="5" s="1"/>
  <c r="L733" i="5"/>
  <c r="M733" i="5" s="1"/>
  <c r="D733" i="5"/>
  <c r="D92" i="5"/>
  <c r="L92" i="5"/>
  <c r="M92" i="5" s="1"/>
  <c r="L1336" i="5"/>
  <c r="M1336" i="5" s="1"/>
  <c r="D1336" i="5"/>
  <c r="L1373" i="5"/>
  <c r="M1373" i="5" s="1"/>
  <c r="D1373" i="5"/>
  <c r="D1224" i="5"/>
  <c r="L1224" i="5"/>
  <c r="M1224" i="5" s="1"/>
  <c r="D1717" i="5"/>
  <c r="L1717" i="5"/>
  <c r="M1717" i="5" s="1"/>
  <c r="L1104" i="5"/>
  <c r="M1104" i="5" s="1"/>
  <c r="D1104" i="5"/>
  <c r="AC982" i="5"/>
  <c r="AD982" i="5"/>
  <c r="D1406" i="5"/>
  <c r="L1406" i="5"/>
  <c r="M1406" i="5" s="1"/>
  <c r="L490" i="5"/>
  <c r="M490" i="5" s="1"/>
  <c r="D490" i="5"/>
  <c r="L625" i="5"/>
  <c r="M625" i="5" s="1"/>
  <c r="D625" i="5"/>
  <c r="D938" i="5"/>
  <c r="L938" i="5"/>
  <c r="M938" i="5" s="1"/>
  <c r="L1679" i="5"/>
  <c r="M1679" i="5" s="1"/>
  <c r="D1679" i="5"/>
  <c r="D440" i="5"/>
  <c r="L440" i="5"/>
  <c r="M440" i="5" s="1"/>
  <c r="L1692" i="5"/>
  <c r="M1692" i="5" s="1"/>
  <c r="D1692" i="5"/>
  <c r="L354" i="5"/>
  <c r="M354" i="5" s="1"/>
  <c r="D354" i="5"/>
  <c r="D1588" i="5"/>
  <c r="L1588" i="5"/>
  <c r="M1588" i="5" s="1"/>
  <c r="L862" i="5"/>
  <c r="M862" i="5" s="1"/>
  <c r="D862" i="5"/>
  <c r="AC537" i="5"/>
  <c r="AD537" i="5"/>
  <c r="D1154" i="5"/>
  <c r="L1154" i="5"/>
  <c r="M1154" i="5" s="1"/>
  <c r="D1209" i="5"/>
  <c r="L1209" i="5"/>
  <c r="M1209" i="5" s="1"/>
  <c r="D1102" i="5"/>
  <c r="L1102" i="5"/>
  <c r="M1102" i="5" s="1"/>
  <c r="L284" i="5"/>
  <c r="M284" i="5" s="1"/>
  <c r="D284" i="5"/>
  <c r="D3" i="5"/>
  <c r="L3" i="5"/>
  <c r="M3" i="5" s="1"/>
  <c r="D386" i="5"/>
  <c r="L386" i="5"/>
  <c r="M386" i="5" s="1"/>
  <c r="L1100" i="5"/>
  <c r="M1100" i="5" s="1"/>
  <c r="D1100" i="5"/>
  <c r="D903" i="5"/>
  <c r="L903" i="5"/>
  <c r="M903" i="5" s="1"/>
  <c r="D226" i="5"/>
  <c r="L226" i="5"/>
  <c r="M226" i="5" s="1"/>
  <c r="L163" i="5"/>
  <c r="M163" i="5" s="1"/>
  <c r="D163" i="5"/>
  <c r="L531" i="5"/>
  <c r="M531" i="5" s="1"/>
  <c r="D531" i="5"/>
  <c r="D1132" i="5"/>
  <c r="L1132" i="5"/>
  <c r="M1132" i="5" s="1"/>
  <c r="L350" i="5"/>
  <c r="M350" i="5" s="1"/>
  <c r="D350" i="5"/>
  <c r="L1460" i="5"/>
  <c r="M1460" i="5" s="1"/>
  <c r="D1460" i="5"/>
  <c r="D654" i="5"/>
  <c r="L654" i="5"/>
  <c r="M654" i="5" s="1"/>
  <c r="D400" i="5"/>
  <c r="L400" i="5"/>
  <c r="M400" i="5" s="1"/>
  <c r="L935" i="5"/>
  <c r="M935" i="5" s="1"/>
  <c r="D935" i="5"/>
  <c r="L453" i="5"/>
  <c r="M453" i="5" s="1"/>
  <c r="D453" i="5"/>
  <c r="D1028" i="5"/>
  <c r="L1028" i="5"/>
  <c r="M1028" i="5" s="1"/>
  <c r="L421" i="5"/>
  <c r="M421" i="5" s="1"/>
  <c r="D421" i="5"/>
  <c r="L1249" i="5"/>
  <c r="M1249" i="5" s="1"/>
  <c r="D1249" i="5"/>
  <c r="D102" i="5"/>
  <c r="L102" i="5"/>
  <c r="M102" i="5" s="1"/>
  <c r="L918" i="5"/>
  <c r="M918" i="5" s="1"/>
  <c r="D918" i="5"/>
  <c r="L1628" i="5"/>
  <c r="M1628" i="5" s="1"/>
  <c r="D1628" i="5"/>
  <c r="D87" i="5"/>
  <c r="L87" i="5"/>
  <c r="M87" i="5" s="1"/>
  <c r="L847" i="5"/>
  <c r="M847" i="5" s="1"/>
  <c r="D847" i="5"/>
  <c r="L679" i="5"/>
  <c r="M679" i="5" s="1"/>
  <c r="D679" i="5"/>
  <c r="D1316" i="5"/>
  <c r="L1316" i="5"/>
  <c r="M1316" i="5" s="1"/>
  <c r="L645" i="5"/>
  <c r="M645" i="5" s="1"/>
  <c r="D645" i="5"/>
  <c r="D151" i="5"/>
  <c r="L151" i="5"/>
  <c r="M151" i="5" s="1"/>
  <c r="D1071" i="5"/>
  <c r="L1071" i="5"/>
  <c r="M1071" i="5" s="1"/>
  <c r="L660" i="5"/>
  <c r="M660" i="5" s="1"/>
  <c r="D660" i="5"/>
  <c r="L813" i="5"/>
  <c r="M813" i="5" s="1"/>
  <c r="D813" i="5"/>
  <c r="L213" i="5"/>
  <c r="M213" i="5" s="1"/>
  <c r="D213" i="5"/>
  <c r="L1536" i="5"/>
  <c r="M1536" i="5" s="1"/>
  <c r="D1536" i="5"/>
  <c r="L1384" i="5"/>
  <c r="M1384" i="5" s="1"/>
  <c r="D1384" i="5"/>
  <c r="AC1657" i="5"/>
  <c r="AD1657" i="5"/>
  <c r="L988" i="5"/>
  <c r="M988" i="5" s="1"/>
  <c r="D988" i="5"/>
  <c r="AD207" i="5"/>
  <c r="AC207" i="5"/>
  <c r="AD1302" i="5"/>
  <c r="AC1302" i="5"/>
  <c r="L1474" i="5"/>
  <c r="M1474" i="5" s="1"/>
  <c r="D1474" i="5"/>
  <c r="AC1452" i="5"/>
  <c r="AD1452" i="5"/>
  <c r="L464" i="5"/>
  <c r="M464" i="5" s="1"/>
  <c r="D464" i="5"/>
  <c r="AC267" i="5"/>
  <c r="AD267" i="5"/>
  <c r="D1138" i="5"/>
  <c r="L1138" i="5"/>
  <c r="M1138" i="5" s="1"/>
  <c r="L164" i="5"/>
  <c r="M164" i="5" s="1"/>
  <c r="D164" i="5"/>
  <c r="L328" i="5"/>
  <c r="M328" i="5" s="1"/>
  <c r="D328" i="5"/>
  <c r="AD1067" i="5"/>
  <c r="AC1067" i="5"/>
  <c r="L794" i="5"/>
  <c r="M794" i="5" s="1"/>
  <c r="D794" i="5"/>
  <c r="D1695" i="5"/>
  <c r="L1695" i="5"/>
  <c r="M1695" i="5" s="1"/>
  <c r="AD1702" i="5"/>
  <c r="AC1702" i="5"/>
  <c r="AD277" i="5"/>
  <c r="AC277" i="5"/>
  <c r="L1441" i="5"/>
  <c r="M1441" i="5" s="1"/>
  <c r="D1441" i="5"/>
  <c r="D452" i="5"/>
  <c r="L452" i="5"/>
  <c r="M452" i="5" s="1"/>
  <c r="AD382" i="5"/>
  <c r="AC382" i="5"/>
  <c r="L889" i="5"/>
  <c r="M889" i="5" s="1"/>
  <c r="D889" i="5"/>
  <c r="AD287" i="5"/>
  <c r="AC287" i="5"/>
  <c r="AC1502" i="5"/>
  <c r="AD1502" i="5"/>
  <c r="L721" i="5"/>
  <c r="M721" i="5" s="1"/>
  <c r="D721" i="5"/>
  <c r="L819" i="5"/>
  <c r="M819" i="5" s="1"/>
  <c r="D819" i="5"/>
  <c r="D1587" i="5"/>
  <c r="L1587" i="5"/>
  <c r="M1587" i="5" s="1"/>
  <c r="AD1392" i="5"/>
  <c r="AC1392" i="5"/>
  <c r="D1274" i="5"/>
  <c r="L1274" i="5"/>
  <c r="M1274" i="5" s="1"/>
  <c r="D401" i="5"/>
  <c r="L401" i="5"/>
  <c r="M401" i="5" s="1"/>
  <c r="D246" i="5"/>
  <c r="L246" i="5"/>
  <c r="M246" i="5" s="1"/>
  <c r="D1189" i="5"/>
  <c r="L1189" i="5"/>
  <c r="M1189" i="5" s="1"/>
  <c r="D210" i="5"/>
  <c r="L210" i="5"/>
  <c r="M210" i="5" s="1"/>
  <c r="L1248" i="5"/>
  <c r="M1248" i="5" s="1"/>
  <c r="D1248" i="5"/>
  <c r="L684" i="5"/>
  <c r="M684" i="5" s="1"/>
  <c r="D684" i="5"/>
  <c r="L1607" i="5"/>
  <c r="M1607" i="5" s="1"/>
  <c r="D1607" i="5"/>
  <c r="D1135" i="5"/>
  <c r="L1135" i="5"/>
  <c r="M1135" i="5" s="1"/>
  <c r="D804" i="5"/>
  <c r="L804" i="5"/>
  <c r="M804" i="5" s="1"/>
  <c r="D443" i="5"/>
  <c r="L443" i="5"/>
  <c r="M443" i="5" s="1"/>
  <c r="L212" i="5"/>
  <c r="M212" i="5" s="1"/>
  <c r="D212" i="5"/>
  <c r="L921" i="5"/>
  <c r="M921" i="5" s="1"/>
  <c r="D921" i="5"/>
  <c r="D1043" i="5"/>
  <c r="L1043" i="5"/>
  <c r="M1043" i="5" s="1"/>
  <c r="L1500" i="5"/>
  <c r="M1500" i="5" s="1"/>
  <c r="D1500" i="5"/>
  <c r="D479" i="5"/>
  <c r="L479" i="5"/>
  <c r="M479" i="5" s="1"/>
  <c r="AC1682" i="5"/>
  <c r="AD1682" i="5"/>
  <c r="D1707" i="5"/>
  <c r="L1707" i="5"/>
  <c r="M1707" i="5" s="1"/>
  <c r="L508" i="5"/>
  <c r="M508" i="5" s="1"/>
  <c r="D508" i="5"/>
  <c r="AC342" i="5"/>
  <c r="AD342" i="5"/>
  <c r="L703" i="5"/>
  <c r="M703" i="5" s="1"/>
  <c r="D703" i="5"/>
  <c r="D691" i="5"/>
  <c r="L691" i="5"/>
  <c r="M691" i="5" s="1"/>
  <c r="L658" i="5"/>
  <c r="M658" i="5" s="1"/>
  <c r="D658" i="5"/>
  <c r="AC977" i="5"/>
  <c r="AD977" i="5"/>
  <c r="D1343" i="5"/>
  <c r="L1343" i="5"/>
  <c r="M1343" i="5" s="1"/>
  <c r="L1114" i="5"/>
  <c r="M1114" i="5" s="1"/>
  <c r="D1114" i="5"/>
  <c r="AC327" i="5"/>
  <c r="AD327" i="5"/>
  <c r="D503" i="5"/>
  <c r="L503" i="5"/>
  <c r="M503" i="5" s="1"/>
  <c r="D692" i="5"/>
  <c r="L692" i="5"/>
  <c r="M692" i="5" s="1"/>
  <c r="D1219" i="5"/>
  <c r="L1219" i="5"/>
  <c r="M1219" i="5" s="1"/>
  <c r="L792" i="5"/>
  <c r="M792" i="5" s="1"/>
  <c r="D792" i="5"/>
  <c r="D1732" i="5"/>
  <c r="L1732" i="5"/>
  <c r="M1732" i="5" s="1"/>
  <c r="D60" i="5"/>
  <c r="L60" i="5"/>
  <c r="M60" i="5" s="1"/>
  <c r="D775" i="5"/>
  <c r="L775" i="5"/>
  <c r="M775" i="5" s="1"/>
  <c r="D563" i="5"/>
  <c r="L563" i="5"/>
  <c r="M563" i="5" s="1"/>
  <c r="D1298" i="5"/>
  <c r="L1298" i="5"/>
  <c r="M1298" i="5" s="1"/>
  <c r="L705" i="5"/>
  <c r="M705" i="5" s="1"/>
  <c r="D705" i="5"/>
  <c r="AD1312" i="5"/>
  <c r="AC1312" i="5"/>
  <c r="AD1742" i="5"/>
  <c r="AC1742" i="5"/>
  <c r="D995" i="5"/>
  <c r="L995" i="5"/>
  <c r="M995" i="5" s="1"/>
  <c r="AD107" i="5"/>
  <c r="AC107" i="5"/>
  <c r="D870" i="5"/>
  <c r="L870" i="5"/>
  <c r="M870" i="5" s="1"/>
  <c r="L1422" i="5"/>
  <c r="M1422" i="5" s="1"/>
  <c r="D1422" i="5"/>
  <c r="D582" i="5"/>
  <c r="L582" i="5"/>
  <c r="M582" i="5" s="1"/>
  <c r="D475" i="5"/>
  <c r="L475" i="5"/>
  <c r="M475" i="5" s="1"/>
  <c r="AC137" i="5"/>
  <c r="AD137" i="5"/>
  <c r="AC1547" i="5"/>
  <c r="AD1547" i="5"/>
  <c r="L1427" i="5"/>
  <c r="M1427" i="5" s="1"/>
  <c r="D1427" i="5"/>
  <c r="D1217" i="5"/>
  <c r="L1217" i="5"/>
  <c r="M1217" i="5" s="1"/>
  <c r="L1015" i="5"/>
  <c r="M1015" i="5" s="1"/>
  <c r="D1015" i="5"/>
  <c r="D430" i="5"/>
  <c r="L430" i="5"/>
  <c r="M430" i="5" s="1"/>
  <c r="L157" i="5"/>
  <c r="M157" i="5" s="1"/>
  <c r="D157" i="5"/>
  <c r="L70" i="5"/>
  <c r="M70" i="5" s="1"/>
  <c r="D70" i="5"/>
  <c r="L1591" i="5"/>
  <c r="M1591" i="5" s="1"/>
  <c r="D1591" i="5"/>
  <c r="L1479" i="5"/>
  <c r="M1479" i="5" s="1"/>
  <c r="D1479" i="5"/>
  <c r="AD1697" i="5"/>
  <c r="AC1697" i="5"/>
  <c r="D1625" i="5"/>
  <c r="L1625" i="5"/>
  <c r="M1625" i="5" s="1"/>
  <c r="AC682" i="5"/>
  <c r="AD682" i="5"/>
  <c r="AC942" i="5"/>
  <c r="AD942" i="5"/>
  <c r="AD122" i="5"/>
  <c r="AC122" i="5"/>
  <c r="D325" i="5"/>
  <c r="L325" i="5"/>
  <c r="M325" i="5" s="1"/>
  <c r="AC462" i="5"/>
  <c r="AD462" i="5"/>
  <c r="L643" i="5"/>
  <c r="M643" i="5" s="1"/>
  <c r="D643" i="5"/>
  <c r="D1506" i="5"/>
  <c r="L1506" i="5"/>
  <c r="M1506" i="5" s="1"/>
  <c r="D351" i="5"/>
  <c r="L351" i="5"/>
  <c r="M351" i="5" s="1"/>
  <c r="L856" i="5"/>
  <c r="M856" i="5" s="1"/>
  <c r="D856" i="5"/>
  <c r="D6" i="5"/>
  <c r="L6" i="5"/>
  <c r="M6" i="5" s="1"/>
  <c r="L1552" i="5"/>
  <c r="M1552" i="5" s="1"/>
  <c r="D1552" i="5"/>
  <c r="D18" i="5"/>
  <c r="L18" i="5"/>
  <c r="M18" i="5" s="1"/>
  <c r="AC617" i="5"/>
  <c r="AD617" i="5"/>
  <c r="L1595" i="5"/>
  <c r="M1595" i="5" s="1"/>
  <c r="D1595" i="5"/>
  <c r="D109" i="5"/>
  <c r="L109" i="5"/>
  <c r="M109" i="5" s="1"/>
  <c r="D717" i="5"/>
  <c r="L717" i="5"/>
  <c r="M717" i="5" s="1"/>
  <c r="L602" i="5"/>
  <c r="M602" i="5" s="1"/>
  <c r="D602" i="5"/>
  <c r="D154" i="5"/>
  <c r="L154" i="5"/>
  <c r="M154" i="5" s="1"/>
  <c r="L64" i="5"/>
  <c r="M64" i="5" s="1"/>
  <c r="D64" i="5"/>
  <c r="AD1027" i="5"/>
  <c r="AC1027" i="5"/>
  <c r="L471" i="5"/>
  <c r="M471" i="5" s="1"/>
  <c r="D471" i="5"/>
  <c r="D772" i="5"/>
  <c r="L772" i="5"/>
  <c r="M772" i="5" s="1"/>
  <c r="L1594" i="5"/>
  <c r="M1594" i="5" s="1"/>
  <c r="D1594" i="5"/>
  <c r="L140" i="5"/>
  <c r="M140" i="5" s="1"/>
  <c r="D140" i="5"/>
  <c r="D1117" i="5"/>
  <c r="L1117" i="5"/>
  <c r="M1117" i="5" s="1"/>
  <c r="AC1182" i="5"/>
  <c r="AD1182" i="5"/>
  <c r="L1580" i="5"/>
  <c r="M1580" i="5" s="1"/>
  <c r="D1580" i="5"/>
  <c r="L518" i="5"/>
  <c r="M518" i="5" s="1"/>
  <c r="D518" i="5"/>
  <c r="AC577" i="5"/>
  <c r="AD577" i="5"/>
  <c r="D540" i="5"/>
  <c r="L540" i="5"/>
  <c r="M540" i="5" s="1"/>
  <c r="L1190" i="5"/>
  <c r="M1190" i="5" s="1"/>
  <c r="D1190" i="5"/>
  <c r="L708" i="5"/>
  <c r="M708" i="5" s="1"/>
  <c r="D708" i="5"/>
  <c r="D147" i="5"/>
  <c r="L147" i="5"/>
  <c r="M147" i="5" s="1"/>
  <c r="AC477" i="5"/>
  <c r="AD477" i="5"/>
  <c r="D1054" i="5"/>
  <c r="L1054" i="5"/>
  <c r="M1054" i="5" s="1"/>
  <c r="D234" i="5"/>
  <c r="L234" i="5"/>
  <c r="M234" i="5" s="1"/>
  <c r="D990" i="5"/>
  <c r="L990" i="5"/>
  <c r="M990" i="5" s="1"/>
  <c r="D849" i="5"/>
  <c r="L849" i="5"/>
  <c r="M849" i="5" s="1"/>
  <c r="D375" i="5"/>
  <c r="L375" i="5"/>
  <c r="M375" i="5" s="1"/>
  <c r="D576" i="5"/>
  <c r="L576" i="5"/>
  <c r="M576" i="5" s="1"/>
  <c r="L537" i="5"/>
  <c r="M537" i="5" s="1"/>
  <c r="D537" i="5"/>
  <c r="AC1617" i="5"/>
  <c r="AD1617" i="5"/>
  <c r="D1198" i="5"/>
  <c r="L1198" i="5"/>
  <c r="M1198" i="5" s="1"/>
  <c r="L664" i="5"/>
  <c r="M664" i="5" s="1"/>
  <c r="D664" i="5"/>
  <c r="D994" i="5"/>
  <c r="L994" i="5"/>
  <c r="M994" i="5" s="1"/>
  <c r="D327" i="5"/>
  <c r="L327" i="5"/>
  <c r="M327" i="5" s="1"/>
  <c r="L1402" i="5"/>
  <c r="M1402" i="5" s="1"/>
  <c r="D1402" i="5"/>
  <c r="D252" i="5"/>
  <c r="L252" i="5"/>
  <c r="M252" i="5" s="1"/>
  <c r="D381" i="5"/>
  <c r="L381" i="5"/>
  <c r="M381" i="5" s="1"/>
  <c r="L20" i="5"/>
  <c r="M20" i="5" s="1"/>
  <c r="D20" i="5"/>
  <c r="AD1352" i="5"/>
  <c r="AC1352" i="5"/>
  <c r="L34" i="5"/>
  <c r="M34" i="5" s="1"/>
  <c r="D34" i="5"/>
  <c r="D1140" i="5"/>
  <c r="L1140" i="5"/>
  <c r="M1140" i="5" s="1"/>
  <c r="L1683" i="5"/>
  <c r="M1683" i="5" s="1"/>
  <c r="D1683" i="5"/>
  <c r="D187" i="5"/>
  <c r="L187" i="5"/>
  <c r="M187" i="5" s="1"/>
  <c r="D1062" i="5"/>
  <c r="L1062" i="5"/>
  <c r="M1062" i="5" s="1"/>
  <c r="L1666" i="5"/>
  <c r="M1666" i="5" s="1"/>
  <c r="D1666" i="5"/>
  <c r="D1229" i="5"/>
  <c r="L1229" i="5"/>
  <c r="M1229" i="5" s="1"/>
  <c r="D966" i="5"/>
  <c r="L966" i="5"/>
  <c r="M966" i="5" s="1"/>
  <c r="L1059" i="5"/>
  <c r="M1059" i="5" s="1"/>
  <c r="D1059" i="5"/>
  <c r="D1608" i="5"/>
  <c r="L1608" i="5"/>
  <c r="M1608" i="5" s="1"/>
  <c r="D1328" i="5"/>
  <c r="L1328" i="5"/>
  <c r="M1328" i="5" s="1"/>
  <c r="D1178" i="5"/>
  <c r="L1178" i="5"/>
  <c r="M1178" i="5" s="1"/>
  <c r="D1107" i="5"/>
  <c r="L1107" i="5"/>
  <c r="M1107" i="5" s="1"/>
  <c r="AD177" i="5"/>
  <c r="AC177" i="5"/>
  <c r="AD302" i="5"/>
  <c r="AC302" i="5"/>
  <c r="AC1562" i="5"/>
  <c r="AD1562" i="5"/>
  <c r="D353" i="5"/>
  <c r="L353" i="5"/>
  <c r="M353" i="5" s="1"/>
  <c r="D622" i="5"/>
  <c r="L622" i="5"/>
  <c r="M622" i="5" s="1"/>
  <c r="L1098" i="5"/>
  <c r="M1098" i="5" s="1"/>
  <c r="D1098" i="5"/>
  <c r="L575" i="5"/>
  <c r="M575" i="5" s="1"/>
  <c r="D575" i="5"/>
  <c r="L1264" i="5"/>
  <c r="M1264" i="5" s="1"/>
  <c r="D1264" i="5"/>
  <c r="D9" i="5"/>
  <c r="L9" i="5"/>
  <c r="M9" i="5" s="1"/>
  <c r="AC642" i="5"/>
  <c r="AD642" i="5"/>
  <c r="D405" i="5"/>
  <c r="L405" i="5"/>
  <c r="M405" i="5" s="1"/>
  <c r="AD7" i="5"/>
  <c r="AC7" i="5"/>
  <c r="D892" i="5"/>
  <c r="L892" i="5"/>
  <c r="M892" i="5" s="1"/>
  <c r="D1615" i="5"/>
  <c r="L1615" i="5"/>
  <c r="M1615" i="5" s="1"/>
  <c r="AC467" i="5"/>
  <c r="AD467" i="5"/>
  <c r="D286" i="5"/>
  <c r="L286" i="5"/>
  <c r="M286" i="5" s="1"/>
  <c r="D441" i="5"/>
  <c r="L441" i="5"/>
  <c r="M441" i="5" s="1"/>
  <c r="AD187" i="5"/>
  <c r="AC187" i="5"/>
  <c r="AC912" i="5"/>
  <c r="AD912" i="5"/>
  <c r="AC222" i="5"/>
  <c r="AD222" i="5"/>
  <c r="L1370" i="5"/>
  <c r="M1370" i="5" s="1"/>
  <c r="D1370" i="5"/>
  <c r="D569" i="5"/>
  <c r="L569" i="5"/>
  <c r="M569" i="5" s="1"/>
  <c r="AC387" i="5"/>
  <c r="AD387" i="5"/>
  <c r="L977" i="5"/>
  <c r="M977" i="5" s="1"/>
  <c r="D977" i="5"/>
  <c r="D783" i="5"/>
  <c r="L783" i="5"/>
  <c r="M783" i="5" s="1"/>
  <c r="L465" i="5"/>
  <c r="M465" i="5" s="1"/>
  <c r="D465" i="5"/>
  <c r="D1243" i="5"/>
  <c r="L1243" i="5"/>
  <c r="M1243" i="5" s="1"/>
  <c r="L607" i="5"/>
  <c r="M607" i="5" s="1"/>
  <c r="D607" i="5"/>
  <c r="AD1482" i="5"/>
  <c r="AC1482" i="5"/>
  <c r="L1385" i="5"/>
  <c r="M1385" i="5" s="1"/>
  <c r="D1385" i="5"/>
  <c r="AC732" i="5"/>
  <c r="AD732" i="5"/>
  <c r="L1250" i="5"/>
  <c r="M1250" i="5" s="1"/>
  <c r="D1250" i="5"/>
  <c r="L1487" i="5"/>
  <c r="M1487" i="5" s="1"/>
  <c r="D1487" i="5"/>
  <c r="D1671" i="5"/>
  <c r="L1671" i="5"/>
  <c r="M1671" i="5" s="1"/>
  <c r="D1252" i="5"/>
  <c r="L1252" i="5"/>
  <c r="M1252" i="5" s="1"/>
  <c r="L1227" i="5"/>
  <c r="M1227" i="5" s="1"/>
  <c r="D1227" i="5"/>
  <c r="D435" i="5"/>
  <c r="L435" i="5"/>
  <c r="M435" i="5" s="1"/>
  <c r="D1570" i="5"/>
  <c r="L1570" i="5"/>
  <c r="M1570" i="5" s="1"/>
  <c r="AC1712" i="5"/>
  <c r="AD1712" i="5"/>
  <c r="D963" i="5"/>
  <c r="L963" i="5"/>
  <c r="M963" i="5" s="1"/>
  <c r="AC1017" i="5"/>
  <c r="AD1017" i="5"/>
  <c r="D972" i="5"/>
  <c r="L972" i="5"/>
  <c r="M972" i="5" s="1"/>
  <c r="D1629" i="5"/>
  <c r="L1629" i="5"/>
  <c r="M1629" i="5" s="1"/>
  <c r="L62" i="5"/>
  <c r="M62" i="5" s="1"/>
  <c r="D62" i="5"/>
  <c r="L1124" i="5"/>
  <c r="M1124" i="5" s="1"/>
  <c r="D1124" i="5"/>
  <c r="D867" i="5"/>
  <c r="L867" i="5"/>
  <c r="M867" i="5" s="1"/>
  <c r="L1000" i="5"/>
  <c r="M1000" i="5" s="1"/>
  <c r="D1000" i="5"/>
  <c r="L1399" i="5"/>
  <c r="M1399" i="5" s="1"/>
  <c r="D1399" i="5"/>
  <c r="D449" i="5"/>
  <c r="L449" i="5"/>
  <c r="M449" i="5" s="1"/>
  <c r="L959" i="5"/>
  <c r="M959" i="5" s="1"/>
  <c r="D959" i="5"/>
  <c r="D171" i="5"/>
  <c r="L171" i="5"/>
  <c r="M171" i="5" s="1"/>
  <c r="D1664" i="5"/>
  <c r="L1664" i="5"/>
  <c r="M1664" i="5" s="1"/>
  <c r="L958" i="5"/>
  <c r="M958" i="5" s="1"/>
  <c r="D958" i="5"/>
  <c r="D427" i="5"/>
  <c r="L427" i="5"/>
  <c r="M427" i="5" s="1"/>
  <c r="AD767" i="5"/>
  <c r="AC767" i="5"/>
  <c r="D644" i="5"/>
  <c r="L644" i="5"/>
  <c r="M644" i="5" s="1"/>
  <c r="D348" i="5"/>
  <c r="L348" i="5"/>
  <c r="M348" i="5" s="1"/>
  <c r="L1033" i="5"/>
  <c r="M1033" i="5" s="1"/>
  <c r="D1033" i="5"/>
  <c r="L951" i="5"/>
  <c r="M951" i="5" s="1"/>
  <c r="D951" i="5"/>
  <c r="L1073" i="5"/>
  <c r="M1073" i="5" s="1"/>
  <c r="D1073" i="5"/>
  <c r="AC147" i="5"/>
  <c r="AD147" i="5"/>
  <c r="D1379" i="5"/>
  <c r="L1379" i="5"/>
  <c r="M1379" i="5" s="1"/>
  <c r="D1334" i="5"/>
  <c r="L1334" i="5"/>
  <c r="M1334" i="5" s="1"/>
  <c r="L358" i="5"/>
  <c r="M358" i="5" s="1"/>
  <c r="D358" i="5"/>
  <c r="L373" i="5"/>
  <c r="M373" i="5" s="1"/>
  <c r="D373" i="5"/>
  <c r="L1159" i="5"/>
  <c r="M1159" i="5" s="1"/>
  <c r="D1159" i="5"/>
  <c r="D1445" i="5"/>
  <c r="L1445" i="5"/>
  <c r="M1445" i="5" s="1"/>
  <c r="AC1627" i="5"/>
  <c r="AD1627" i="5"/>
  <c r="L1688" i="5"/>
  <c r="M1688" i="5" s="1"/>
  <c r="D1688" i="5"/>
  <c r="D200" i="5"/>
  <c r="L200" i="5"/>
  <c r="M200" i="5" s="1"/>
  <c r="D1169" i="5"/>
  <c r="L1169" i="5"/>
  <c r="M1169" i="5" s="1"/>
  <c r="L1383" i="5"/>
  <c r="M1383" i="5" s="1"/>
  <c r="D1383" i="5"/>
  <c r="L1205" i="5"/>
  <c r="M1205" i="5" s="1"/>
  <c r="D1205" i="5"/>
  <c r="L624" i="5"/>
  <c r="M624" i="5" s="1"/>
  <c r="D624" i="5"/>
  <c r="L579" i="5"/>
  <c r="M579" i="5" s="1"/>
  <c r="D579" i="5"/>
  <c r="D857" i="5"/>
  <c r="L857" i="5"/>
  <c r="M857" i="5" s="1"/>
  <c r="L1425" i="5"/>
  <c r="M1425" i="5" s="1"/>
  <c r="D1425" i="5"/>
  <c r="L771" i="5"/>
  <c r="M771" i="5" s="1"/>
  <c r="D771" i="5"/>
  <c r="L1584" i="5"/>
  <c r="M1584" i="5" s="1"/>
  <c r="D1584" i="5"/>
  <c r="AC212" i="5"/>
  <c r="AD212" i="5"/>
  <c r="D71" i="5"/>
  <c r="L71" i="5"/>
  <c r="M71" i="5" s="1"/>
  <c r="L687" i="5"/>
  <c r="M687" i="5" s="1"/>
  <c r="D687" i="5"/>
  <c r="D357" i="5"/>
  <c r="L357" i="5"/>
  <c r="M357" i="5" s="1"/>
  <c r="D731" i="5"/>
  <c r="L731" i="5"/>
  <c r="M731" i="5" s="1"/>
  <c r="D701" i="5"/>
  <c r="L701" i="5"/>
  <c r="M701" i="5" s="1"/>
  <c r="L1381" i="5"/>
  <c r="M1381" i="5" s="1"/>
  <c r="D1381" i="5"/>
  <c r="D1387" i="5"/>
  <c r="L1387" i="5"/>
  <c r="M1387" i="5" s="1"/>
  <c r="D1727" i="5"/>
  <c r="L1727" i="5"/>
  <c r="M1727" i="5" s="1"/>
  <c r="D1470" i="5"/>
  <c r="L1470" i="5"/>
  <c r="M1470" i="5" s="1"/>
  <c r="L1192" i="5"/>
  <c r="M1192" i="5" s="1"/>
  <c r="D1192" i="5"/>
  <c r="D1620" i="5"/>
  <c r="L1620" i="5"/>
  <c r="M1620" i="5" s="1"/>
  <c r="L1187" i="5"/>
  <c r="M1187" i="5" s="1"/>
  <c r="D1187" i="5"/>
  <c r="D139" i="5"/>
  <c r="L139" i="5"/>
  <c r="M139" i="5" s="1"/>
  <c r="AC392" i="5"/>
  <c r="AD392" i="5"/>
  <c r="AD1517" i="5"/>
  <c r="AC1517" i="5"/>
  <c r="L866" i="5"/>
  <c r="M866" i="5" s="1"/>
  <c r="D866" i="5"/>
  <c r="L1188" i="5"/>
  <c r="M1188" i="5" s="1"/>
  <c r="D1188" i="5"/>
  <c r="D1721" i="5"/>
  <c r="L1721" i="5"/>
  <c r="M1721" i="5" s="1"/>
  <c r="L1689" i="5"/>
  <c r="M1689" i="5" s="1"/>
  <c r="D1689" i="5"/>
  <c r="D459" i="5"/>
  <c r="L459" i="5"/>
  <c r="M459" i="5" s="1"/>
  <c r="L42" i="5"/>
  <c r="M42" i="5" s="1"/>
  <c r="D42" i="5"/>
  <c r="L1234" i="5"/>
  <c r="M1234" i="5" s="1"/>
  <c r="D1234" i="5"/>
  <c r="L1165" i="5"/>
  <c r="M1165" i="5" s="1"/>
  <c r="D1165" i="5"/>
  <c r="D1045" i="5"/>
  <c r="L1045" i="5"/>
  <c r="M1045" i="5" s="1"/>
  <c r="AD1282" i="5"/>
  <c r="AC1282" i="5"/>
  <c r="L1096" i="5"/>
  <c r="M1096" i="5" s="1"/>
  <c r="D1096" i="5"/>
  <c r="L812" i="5"/>
  <c r="M812" i="5" s="1"/>
  <c r="D812" i="5"/>
  <c r="AD887" i="5"/>
  <c r="AC887" i="5"/>
  <c r="L1352" i="5"/>
  <c r="M1352" i="5" s="1"/>
  <c r="D1352" i="5"/>
  <c r="D506" i="5"/>
  <c r="L506" i="5"/>
  <c r="M506" i="5" s="1"/>
  <c r="D726" i="5"/>
  <c r="L726" i="5"/>
  <c r="M726" i="5" s="1"/>
  <c r="D1048" i="5"/>
  <c r="L1048" i="5"/>
  <c r="M1048" i="5" s="1"/>
  <c r="D184" i="5"/>
  <c r="L184" i="5"/>
  <c r="M184" i="5" s="1"/>
  <c r="D872" i="5"/>
  <c r="L872" i="5"/>
  <c r="M872" i="5" s="1"/>
  <c r="L822" i="5"/>
  <c r="M822" i="5" s="1"/>
  <c r="D822" i="5"/>
  <c r="L524" i="5"/>
  <c r="M524" i="5" s="1"/>
  <c r="D524" i="5"/>
  <c r="D12" i="5"/>
  <c r="L12" i="5"/>
  <c r="M12" i="5" s="1"/>
  <c r="D442" i="5"/>
  <c r="L442" i="5"/>
  <c r="M442" i="5" s="1"/>
  <c r="L1723" i="5"/>
  <c r="M1723" i="5" s="1"/>
  <c r="D1723" i="5"/>
  <c r="AD1237" i="5"/>
  <c r="AC1237" i="5"/>
  <c r="L1535" i="5"/>
  <c r="M1535" i="5" s="1"/>
  <c r="D1535" i="5"/>
  <c r="D446" i="5"/>
  <c r="L446" i="5"/>
  <c r="M446" i="5" s="1"/>
  <c r="D1315" i="5"/>
  <c r="L1315" i="5"/>
  <c r="M1315" i="5" s="1"/>
  <c r="D619" i="5"/>
  <c r="L619" i="5"/>
  <c r="M619" i="5" s="1"/>
  <c r="L387" i="5"/>
  <c r="M387" i="5" s="1"/>
  <c r="D387" i="5"/>
  <c r="L1240" i="5"/>
  <c r="M1240" i="5" s="1"/>
  <c r="D1240" i="5"/>
  <c r="L1153" i="5"/>
  <c r="M1153" i="5" s="1"/>
  <c r="D1153" i="5"/>
  <c r="AC1032" i="5"/>
  <c r="AD1032" i="5"/>
  <c r="L1146" i="5"/>
  <c r="M1146" i="5" s="1"/>
  <c r="D1146" i="5"/>
  <c r="D1699" i="5"/>
  <c r="L1699" i="5"/>
  <c r="M1699" i="5" s="1"/>
  <c r="L784" i="5"/>
  <c r="M784" i="5" s="1"/>
  <c r="D784" i="5"/>
  <c r="D817" i="5"/>
  <c r="L817" i="5"/>
  <c r="M817" i="5" s="1"/>
  <c r="D773" i="5"/>
  <c r="L773" i="5"/>
  <c r="M773" i="5" s="1"/>
  <c r="D1497" i="5"/>
  <c r="L1497" i="5"/>
  <c r="M1497" i="5" s="1"/>
  <c r="D573" i="5"/>
  <c r="L573" i="5"/>
  <c r="M573" i="5" s="1"/>
  <c r="AD87" i="5"/>
  <c r="AC87" i="5"/>
  <c r="L1687" i="5"/>
  <c r="M1687" i="5" s="1"/>
  <c r="D1687" i="5"/>
  <c r="D95" i="5"/>
  <c r="L95" i="5"/>
  <c r="M95" i="5" s="1"/>
  <c r="AD702" i="5"/>
  <c r="AC702" i="5"/>
  <c r="L415" i="5"/>
  <c r="M415" i="5" s="1"/>
  <c r="D415" i="5"/>
  <c r="L1356" i="5"/>
  <c r="M1356" i="5" s="1"/>
  <c r="D1356" i="5"/>
  <c r="AD967" i="5"/>
  <c r="AC967" i="5"/>
  <c r="AD347" i="5"/>
  <c r="AC347" i="5"/>
  <c r="AC1422" i="5"/>
  <c r="AD1422" i="5"/>
  <c r="D1339" i="5"/>
  <c r="L1339" i="5"/>
  <c r="M1339" i="5" s="1"/>
  <c r="D1346" i="5"/>
  <c r="L1346" i="5"/>
  <c r="M1346" i="5" s="1"/>
  <c r="L1746" i="5"/>
  <c r="M1746" i="5" s="1"/>
  <c r="D1746" i="5"/>
  <c r="L1222" i="5"/>
  <c r="M1222" i="5" s="1"/>
  <c r="D1222" i="5"/>
  <c r="AD1432" i="5"/>
  <c r="AC1432" i="5"/>
  <c r="L241" i="5"/>
  <c r="M241" i="5" s="1"/>
  <c r="D241" i="5"/>
  <c r="L1686" i="5"/>
  <c r="M1686" i="5" s="1"/>
  <c r="D1686" i="5"/>
  <c r="D1397" i="5"/>
  <c r="L1397" i="5"/>
  <c r="M1397" i="5" s="1"/>
  <c r="AC242" i="5"/>
  <c r="AD242" i="5"/>
  <c r="L152" i="5"/>
  <c r="M152" i="5" s="1"/>
  <c r="D152" i="5"/>
  <c r="D1055" i="5"/>
  <c r="L1055" i="5"/>
  <c r="M1055" i="5" s="1"/>
  <c r="L1347" i="5"/>
  <c r="M1347" i="5" s="1"/>
  <c r="D1347" i="5"/>
  <c r="L130" i="5"/>
  <c r="M130" i="5" s="1"/>
  <c r="D130" i="5"/>
  <c r="D461" i="5"/>
  <c r="L461" i="5"/>
  <c r="M461" i="5" s="1"/>
  <c r="L1390" i="5"/>
  <c r="M1390" i="5" s="1"/>
  <c r="D1390" i="5"/>
  <c r="D1326" i="5"/>
  <c r="L1326" i="5"/>
  <c r="M1326" i="5" s="1"/>
  <c r="L256" i="5"/>
  <c r="M256" i="5" s="1"/>
  <c r="D256" i="5"/>
  <c r="D690" i="5"/>
  <c r="L690" i="5"/>
  <c r="M690" i="5" s="1"/>
  <c r="L107" i="5"/>
  <c r="M107" i="5" s="1"/>
  <c r="D107" i="5"/>
  <c r="L347" i="5"/>
  <c r="M347" i="5" s="1"/>
  <c r="D347" i="5"/>
  <c r="AC1012" i="5"/>
  <c r="AD1012" i="5"/>
  <c r="L652" i="5"/>
  <c r="M652" i="5" s="1"/>
  <c r="D652" i="5"/>
  <c r="L1433" i="5"/>
  <c r="M1433" i="5" s="1"/>
  <c r="D1433" i="5"/>
  <c r="D448" i="5"/>
  <c r="L448" i="5"/>
  <c r="M448" i="5" s="1"/>
  <c r="L1498" i="5"/>
  <c r="M1498" i="5" s="1"/>
  <c r="D1498" i="5"/>
  <c r="D285" i="5"/>
  <c r="L285" i="5"/>
  <c r="M285" i="5" s="1"/>
  <c r="D1235" i="5"/>
  <c r="L1235" i="5"/>
  <c r="M1235" i="5" s="1"/>
  <c r="L1029" i="5"/>
  <c r="M1029" i="5" s="1"/>
  <c r="D1029" i="5"/>
  <c r="AC452" i="5"/>
  <c r="AD452" i="5"/>
  <c r="AC762" i="5"/>
  <c r="AD762" i="5"/>
  <c r="L43" i="5"/>
  <c r="M43" i="5" s="1"/>
  <c r="D43" i="5"/>
  <c r="L229" i="5"/>
  <c r="M229" i="5" s="1"/>
  <c r="D229" i="5"/>
  <c r="L500" i="5"/>
  <c r="M500" i="5" s="1"/>
  <c r="D500" i="5"/>
  <c r="D460" i="5"/>
  <c r="L460" i="5"/>
  <c r="M460" i="5" s="1"/>
  <c r="D1161" i="5"/>
  <c r="L1161" i="5"/>
  <c r="M1161" i="5" s="1"/>
  <c r="L806" i="5"/>
  <c r="M806" i="5" s="1"/>
  <c r="D806" i="5"/>
  <c r="D829" i="5"/>
  <c r="L829" i="5"/>
  <c r="M829" i="5" s="1"/>
  <c r="D811" i="5"/>
  <c r="L811" i="5"/>
  <c r="M811" i="5" s="1"/>
  <c r="D719" i="5"/>
  <c r="L719" i="5"/>
  <c r="M719" i="5" s="1"/>
  <c r="D629" i="5"/>
  <c r="L629" i="5"/>
  <c r="M629" i="5" s="1"/>
  <c r="D1134" i="5"/>
  <c r="L1134" i="5"/>
  <c r="M1134" i="5" s="1"/>
  <c r="D156" i="5"/>
  <c r="L156" i="5"/>
  <c r="M156" i="5" s="1"/>
  <c r="D1019" i="5"/>
  <c r="L1019" i="5"/>
  <c r="M1019" i="5" s="1"/>
  <c r="D253" i="5"/>
  <c r="L253" i="5"/>
  <c r="M253" i="5" s="1"/>
  <c r="D13" i="5"/>
  <c r="L13" i="5"/>
  <c r="M13" i="5" s="1"/>
  <c r="L281" i="5"/>
  <c r="M281" i="5" s="1"/>
  <c r="D281" i="5"/>
  <c r="AC712" i="5"/>
  <c r="AD712" i="5"/>
  <c r="D924" i="5"/>
  <c r="L924" i="5"/>
  <c r="M924" i="5" s="1"/>
  <c r="L1287" i="5"/>
  <c r="M1287" i="5" s="1"/>
  <c r="D1287" i="5"/>
  <c r="L382" i="5"/>
  <c r="M382" i="5" s="1"/>
  <c r="D382" i="5"/>
  <c r="D1299" i="5"/>
  <c r="L1299" i="5"/>
  <c r="M1299" i="5" s="1"/>
  <c r="AC932" i="5"/>
  <c r="AD932" i="5"/>
  <c r="D545" i="5"/>
  <c r="L545" i="5"/>
  <c r="M545" i="5" s="1"/>
  <c r="D587" i="5"/>
  <c r="L587" i="5"/>
  <c r="M587" i="5" s="1"/>
  <c r="D155" i="5"/>
  <c r="L155" i="5"/>
  <c r="M155" i="5" s="1"/>
  <c r="D568" i="5"/>
  <c r="L568" i="5"/>
  <c r="M568" i="5" s="1"/>
  <c r="L1173" i="5"/>
  <c r="M1173" i="5" s="1"/>
  <c r="D1173" i="5"/>
  <c r="D468" i="5"/>
  <c r="L468" i="5"/>
  <c r="M468" i="5" s="1"/>
  <c r="L267" i="5"/>
  <c r="M267" i="5" s="1"/>
  <c r="D267" i="5"/>
  <c r="D672" i="5"/>
  <c r="L672" i="5"/>
  <c r="M672" i="5" s="1"/>
  <c r="D1710" i="5"/>
  <c r="L1710" i="5"/>
  <c r="M1710" i="5" s="1"/>
  <c r="D27" i="5"/>
  <c r="L27" i="5"/>
  <c r="M27" i="5" s="1"/>
  <c r="D750" i="5"/>
  <c r="L750" i="5"/>
  <c r="M750" i="5" s="1"/>
  <c r="D240" i="5"/>
  <c r="L240" i="5"/>
  <c r="M240" i="5" s="1"/>
  <c r="L749" i="5"/>
  <c r="M749" i="5" s="1"/>
  <c r="D749" i="5"/>
  <c r="D1743" i="5"/>
  <c r="L1743" i="5"/>
  <c r="M1743" i="5" s="1"/>
  <c r="AC687" i="5"/>
  <c r="AD687" i="5"/>
  <c r="L688" i="5"/>
  <c r="M688" i="5" s="1"/>
  <c r="D688" i="5"/>
  <c r="D1354" i="5"/>
  <c r="L1354" i="5"/>
  <c r="M1354" i="5" s="1"/>
  <c r="L1556" i="5"/>
  <c r="M1556" i="5" s="1"/>
  <c r="D1556" i="5"/>
  <c r="AD1112" i="5"/>
  <c r="AC1112" i="5"/>
  <c r="D1171" i="5"/>
  <c r="L1171" i="5"/>
  <c r="M1171" i="5" s="1"/>
  <c r="D816" i="5"/>
  <c r="L816" i="5"/>
  <c r="M816" i="5" s="1"/>
  <c r="L557" i="5"/>
  <c r="M557" i="5" s="1"/>
  <c r="D557" i="5"/>
  <c r="D779" i="5"/>
  <c r="L779" i="5"/>
  <c r="M779" i="5" s="1"/>
  <c r="L1266" i="5"/>
  <c r="M1266" i="5" s="1"/>
  <c r="D1266" i="5"/>
  <c r="L1342" i="5"/>
  <c r="M1342" i="5" s="1"/>
  <c r="D1342" i="5"/>
  <c r="D81" i="5"/>
  <c r="L81" i="5"/>
  <c r="M81" i="5" s="1"/>
  <c r="D985" i="5"/>
  <c r="L985" i="5"/>
  <c r="M985" i="5" s="1"/>
  <c r="L295" i="5"/>
  <c r="M295" i="5" s="1"/>
  <c r="D295" i="5"/>
  <c r="D1021" i="5"/>
  <c r="L1021" i="5"/>
  <c r="M1021" i="5" s="1"/>
  <c r="L603" i="5"/>
  <c r="M603" i="5" s="1"/>
  <c r="D603" i="5"/>
  <c r="L1007" i="5"/>
  <c r="M1007" i="5" s="1"/>
  <c r="D1007" i="5"/>
  <c r="D1568" i="5"/>
  <c r="L1568" i="5"/>
  <c r="M1568" i="5" s="1"/>
  <c r="L552" i="5"/>
  <c r="M552" i="5" s="1"/>
  <c r="D552" i="5"/>
  <c r="AC1587" i="5"/>
  <c r="AD1587" i="5"/>
  <c r="L266" i="5"/>
  <c r="M266" i="5" s="1"/>
  <c r="D266" i="5"/>
  <c r="D48" i="5"/>
  <c r="L48" i="5"/>
  <c r="M48" i="5" s="1"/>
  <c r="D1238" i="5"/>
  <c r="L1238" i="5"/>
  <c r="M1238" i="5" s="1"/>
  <c r="D379" i="5"/>
  <c r="L379" i="5"/>
  <c r="M379" i="5" s="1"/>
  <c r="L1539" i="5"/>
  <c r="M1539" i="5" s="1"/>
  <c r="D1539" i="5"/>
  <c r="L367" i="5"/>
  <c r="M367" i="5" s="1"/>
  <c r="D367" i="5"/>
  <c r="L1079" i="5"/>
  <c r="M1079" i="5" s="1"/>
  <c r="D1079" i="5"/>
  <c r="L251" i="5"/>
  <c r="M251" i="5" s="1"/>
  <c r="D251" i="5"/>
  <c r="L1092" i="5"/>
  <c r="M1092" i="5" s="1"/>
  <c r="D1092" i="5"/>
  <c r="D1647" i="5"/>
  <c r="L1647" i="5"/>
  <c r="M1647" i="5" s="1"/>
  <c r="D638" i="5"/>
  <c r="L638" i="5"/>
  <c r="M638" i="5" s="1"/>
  <c r="D112" i="5"/>
  <c r="L112" i="5"/>
  <c r="M112" i="5" s="1"/>
  <c r="L319" i="5"/>
  <c r="M319" i="5" s="1"/>
  <c r="D319" i="5"/>
  <c r="L1551" i="5"/>
  <c r="M1551" i="5" s="1"/>
  <c r="D1551" i="5"/>
  <c r="AD1622" i="5"/>
  <c r="AC1622" i="5"/>
  <c r="L1082" i="5"/>
  <c r="M1082" i="5" s="1"/>
  <c r="D1082" i="5"/>
  <c r="L1662" i="5"/>
  <c r="M1662" i="5" s="1"/>
  <c r="D1662" i="5"/>
  <c r="D759" i="5"/>
  <c r="L759" i="5"/>
  <c r="M759" i="5" s="1"/>
  <c r="D280" i="5"/>
  <c r="L280" i="5"/>
  <c r="M280" i="5" s="1"/>
  <c r="D1241" i="5"/>
  <c r="L1241" i="5"/>
  <c r="M1241" i="5" s="1"/>
  <c r="L908" i="5"/>
  <c r="M908" i="5" s="1"/>
  <c r="D908" i="5"/>
  <c r="D743" i="5"/>
  <c r="L743" i="5"/>
  <c r="M743" i="5" s="1"/>
  <c r="D1412" i="5"/>
  <c r="L1412" i="5"/>
  <c r="M1412" i="5" s="1"/>
  <c r="D752" i="5"/>
  <c r="L752" i="5"/>
  <c r="M752" i="5" s="1"/>
  <c r="D1115" i="5"/>
  <c r="L1115" i="5"/>
  <c r="M1115" i="5" s="1"/>
  <c r="D1121" i="5"/>
  <c r="L1121" i="5"/>
  <c r="M1121" i="5" s="1"/>
  <c r="AC1552" i="5"/>
  <c r="AD1552" i="5"/>
  <c r="L57" i="5"/>
  <c r="M57" i="5" s="1"/>
  <c r="D57" i="5"/>
  <c r="D1031" i="5"/>
  <c r="L1031" i="5"/>
  <c r="M1031" i="5" s="1"/>
  <c r="L539" i="5"/>
  <c r="M539" i="5" s="1"/>
  <c r="D539" i="5"/>
  <c r="D1566" i="5"/>
  <c r="L1566" i="5"/>
  <c r="M1566" i="5" s="1"/>
  <c r="AC47" i="5"/>
  <c r="AD47" i="5"/>
  <c r="D160" i="5"/>
  <c r="L160" i="5"/>
  <c r="M160" i="5" s="1"/>
  <c r="L1614" i="5"/>
  <c r="M1614" i="5" s="1"/>
  <c r="D1614" i="5"/>
  <c r="L1448" i="5"/>
  <c r="M1448" i="5" s="1"/>
  <c r="D1448" i="5"/>
  <c r="L1335" i="5"/>
  <c r="M1335" i="5" s="1"/>
  <c r="D1335" i="5"/>
  <c r="L1186" i="5"/>
  <c r="M1186" i="5" s="1"/>
  <c r="D1186" i="5"/>
  <c r="L1517" i="5"/>
  <c r="M1517" i="5" s="1"/>
  <c r="D1517" i="5"/>
  <c r="L1074" i="5"/>
  <c r="M1074" i="5" s="1"/>
  <c r="D1074" i="5"/>
  <c r="D651" i="5"/>
  <c r="L651" i="5"/>
  <c r="M651" i="5" s="1"/>
  <c r="L1735" i="5"/>
  <c r="M1735" i="5" s="1"/>
  <c r="D1735" i="5"/>
  <c r="L1411" i="5"/>
  <c r="M1411" i="5" s="1"/>
  <c r="D1411" i="5"/>
  <c r="L766" i="5"/>
  <c r="M766" i="5" s="1"/>
  <c r="D766" i="5"/>
  <c r="D1466" i="5"/>
  <c r="L1466" i="5"/>
  <c r="M1466" i="5" s="1"/>
  <c r="L997" i="5"/>
  <c r="M997" i="5" s="1"/>
  <c r="D997" i="5"/>
  <c r="L1357" i="5"/>
  <c r="M1357" i="5" s="1"/>
  <c r="D1357" i="5"/>
  <c r="D462" i="5"/>
  <c r="L462" i="5"/>
  <c r="M462" i="5" s="1"/>
  <c r="L824" i="5"/>
  <c r="M824" i="5" s="1"/>
  <c r="D824" i="5"/>
  <c r="D438" i="5"/>
  <c r="L438" i="5"/>
  <c r="M438" i="5" s="1"/>
  <c r="D1152" i="5"/>
  <c r="L1152" i="5"/>
  <c r="M1152" i="5" s="1"/>
  <c r="D542" i="5"/>
  <c r="L542" i="5"/>
  <c r="M542" i="5" s="1"/>
  <c r="D682" i="5"/>
  <c r="L682" i="5"/>
  <c r="M682" i="5" s="1"/>
  <c r="L1519" i="5"/>
  <c r="M1519" i="5" s="1"/>
  <c r="D1519" i="5"/>
  <c r="L1050" i="5"/>
  <c r="M1050" i="5" s="1"/>
  <c r="D1050" i="5"/>
  <c r="D119" i="5"/>
  <c r="L119" i="5"/>
  <c r="M119" i="5" s="1"/>
  <c r="L815" i="5"/>
  <c r="M815" i="5" s="1"/>
  <c r="D815" i="5"/>
  <c r="D159" i="5"/>
  <c r="L159" i="5"/>
  <c r="M159" i="5" s="1"/>
  <c r="D1731" i="5"/>
  <c r="L1731" i="5"/>
  <c r="M1731" i="5" s="1"/>
  <c r="L1285" i="5"/>
  <c r="M1285" i="5" s="1"/>
  <c r="D1285" i="5"/>
  <c r="D1191" i="5"/>
  <c r="L1191" i="5"/>
  <c r="M1191" i="5" s="1"/>
  <c r="L1668" i="5"/>
  <c r="M1668" i="5" s="1"/>
  <c r="D1668" i="5"/>
  <c r="D1101" i="5"/>
  <c r="L1101" i="5"/>
  <c r="M1101" i="5" s="1"/>
  <c r="L1194" i="5"/>
  <c r="M1194" i="5" s="1"/>
  <c r="D1194" i="5"/>
  <c r="D31" i="5"/>
  <c r="L31" i="5"/>
  <c r="M31" i="5" s="1"/>
  <c r="AD722" i="5"/>
  <c r="AC722" i="5"/>
  <c r="D35" i="5"/>
  <c r="L35" i="5"/>
  <c r="M35" i="5" s="1"/>
  <c r="D601" i="5"/>
  <c r="L601" i="5"/>
  <c r="M601" i="5" s="1"/>
  <c r="D1544" i="5"/>
  <c r="L1544" i="5"/>
  <c r="M1544" i="5" s="1"/>
  <c r="D259" i="5"/>
  <c r="L259" i="5"/>
  <c r="M259" i="5" s="1"/>
  <c r="AD1242" i="5"/>
  <c r="AC1242" i="5"/>
  <c r="L809" i="5"/>
  <c r="M809" i="5" s="1"/>
  <c r="D809" i="5"/>
  <c r="L329" i="5"/>
  <c r="M329" i="5" s="1"/>
  <c r="D329" i="5"/>
  <c r="D11" i="5"/>
  <c r="L11" i="5"/>
  <c r="M11" i="5" s="1"/>
  <c r="L1261" i="5"/>
  <c r="M1261" i="5" s="1"/>
  <c r="D1261" i="5"/>
  <c r="L222" i="5"/>
  <c r="M222" i="5" s="1"/>
  <c r="D222" i="5"/>
  <c r="D838" i="5"/>
  <c r="L838" i="5"/>
  <c r="M838" i="5" s="1"/>
  <c r="L1047" i="5"/>
  <c r="M1047" i="5" s="1"/>
  <c r="D1047" i="5"/>
  <c r="L55" i="5"/>
  <c r="M55" i="5" s="1"/>
  <c r="D55" i="5"/>
  <c r="L1632" i="5"/>
  <c r="M1632" i="5" s="1"/>
  <c r="D1632" i="5"/>
  <c r="D1418" i="5"/>
  <c r="L1418" i="5"/>
  <c r="M1418" i="5" s="1"/>
  <c r="L132" i="5"/>
  <c r="M132" i="5" s="1"/>
  <c r="D132" i="5"/>
  <c r="D1729" i="5"/>
  <c r="L1729" i="5"/>
  <c r="M1729" i="5" s="1"/>
  <c r="L170" i="5"/>
  <c r="M170" i="5" s="1"/>
  <c r="D170" i="5"/>
  <c r="D1404" i="5"/>
  <c r="L1404" i="5"/>
  <c r="M1404" i="5" s="1"/>
  <c r="AC1457" i="5"/>
  <c r="AD1457" i="5"/>
  <c r="L1386" i="5"/>
  <c r="M1386" i="5" s="1"/>
  <c r="D1386" i="5"/>
  <c r="AC27" i="5"/>
  <c r="AD27" i="5"/>
  <c r="L1545" i="5"/>
  <c r="M1545" i="5" s="1"/>
  <c r="D1545" i="5"/>
  <c r="L1439" i="5"/>
  <c r="M1439" i="5" s="1"/>
  <c r="D1439" i="5"/>
  <c r="D1573" i="5"/>
  <c r="L1573" i="5"/>
  <c r="M1573" i="5" s="1"/>
  <c r="D991" i="5"/>
  <c r="L991" i="5"/>
  <c r="M991" i="5" s="1"/>
  <c r="L1605" i="5"/>
  <c r="M1605" i="5" s="1"/>
  <c r="D1605" i="5"/>
  <c r="L886" i="5"/>
  <c r="M886" i="5" s="1"/>
  <c r="D886" i="5"/>
  <c r="AD1637" i="5"/>
  <c r="AC1637" i="5"/>
  <c r="D1225" i="5"/>
  <c r="L1225" i="5"/>
  <c r="M1225" i="5" s="1"/>
  <c r="D1722" i="5"/>
  <c r="L1722" i="5"/>
  <c r="M1722" i="5" s="1"/>
  <c r="D941" i="5"/>
  <c r="L941" i="5"/>
  <c r="M941" i="5" s="1"/>
  <c r="D727" i="5"/>
  <c r="L727" i="5"/>
  <c r="M727" i="5" s="1"/>
  <c r="D122" i="5"/>
  <c r="L122" i="5"/>
  <c r="M122" i="5" s="1"/>
  <c r="D1601" i="5"/>
  <c r="L1601" i="5"/>
  <c r="M1601" i="5" s="1"/>
  <c r="D274" i="5"/>
  <c r="L274" i="5"/>
  <c r="M274" i="5" s="1"/>
  <c r="L204" i="5"/>
  <c r="M204" i="5" s="1"/>
  <c r="D204" i="5"/>
  <c r="L1499" i="5"/>
  <c r="M1499" i="5" s="1"/>
  <c r="D1499" i="5"/>
  <c r="D1175" i="5"/>
  <c r="L1175" i="5"/>
  <c r="M1175" i="5" s="1"/>
  <c r="L948" i="5"/>
  <c r="M948" i="5" s="1"/>
  <c r="D948" i="5"/>
  <c r="L611" i="5"/>
  <c r="M611" i="5" s="1"/>
  <c r="D611" i="5"/>
  <c r="D249" i="5"/>
  <c r="L249" i="5"/>
  <c r="M249" i="5" s="1"/>
  <c r="L1583" i="5"/>
  <c r="M1583" i="5" s="1"/>
  <c r="D1583" i="5"/>
  <c r="L78" i="5"/>
  <c r="M78" i="5" s="1"/>
  <c r="D78" i="5"/>
  <c r="L1290" i="5"/>
  <c r="M1290" i="5" s="1"/>
  <c r="D1290" i="5"/>
  <c r="L544" i="5"/>
  <c r="M544" i="5" s="1"/>
  <c r="D544" i="5"/>
  <c r="L282" i="5"/>
  <c r="M282" i="5" s="1"/>
  <c r="D282" i="5"/>
  <c r="L1684" i="5"/>
  <c r="M1684" i="5" s="1"/>
  <c r="D1684" i="5"/>
  <c r="D488" i="5"/>
  <c r="L488" i="5"/>
  <c r="M488" i="5" s="1"/>
  <c r="D596" i="5"/>
  <c r="L596" i="5"/>
  <c r="M596" i="5" s="1"/>
  <c r="L1329" i="5"/>
  <c r="M1329" i="5" s="1"/>
  <c r="D1329" i="5"/>
  <c r="D76" i="5"/>
  <c r="L76" i="5"/>
  <c r="M76" i="5" s="1"/>
  <c r="D1204" i="5"/>
  <c r="L1204" i="5"/>
  <c r="M1204" i="5" s="1"/>
  <c r="D1435" i="5"/>
  <c r="L1435" i="5"/>
  <c r="M1435" i="5" s="1"/>
  <c r="L94" i="5"/>
  <c r="M94" i="5" s="1"/>
  <c r="D94" i="5"/>
  <c r="L1223" i="5"/>
  <c r="M1223" i="5" s="1"/>
  <c r="D1223" i="5"/>
  <c r="L1480" i="5"/>
  <c r="M1480" i="5" s="1"/>
  <c r="D1480" i="5"/>
  <c r="D1659" i="5"/>
  <c r="L1659" i="5"/>
  <c r="M1659" i="5" s="1"/>
  <c r="AC667" i="5"/>
  <c r="AD667" i="5"/>
  <c r="L1203" i="5"/>
  <c r="M1203" i="5" s="1"/>
  <c r="D1203" i="5"/>
  <c r="D1105" i="5"/>
  <c r="L1105" i="5"/>
  <c r="M1105" i="5" s="1"/>
  <c r="AD1227" i="5"/>
  <c r="AC1227" i="5"/>
  <c r="L712" i="5"/>
  <c r="M712" i="5" s="1"/>
  <c r="D712" i="5"/>
  <c r="L667" i="5"/>
  <c r="M667" i="5" s="1"/>
  <c r="D667" i="5"/>
  <c r="L103" i="5"/>
  <c r="M103" i="5" s="1"/>
  <c r="D103" i="5"/>
  <c r="L555" i="5"/>
  <c r="M555" i="5" s="1"/>
  <c r="D555" i="5"/>
  <c r="L780" i="5"/>
  <c r="M780" i="5" s="1"/>
  <c r="D780" i="5"/>
  <c r="L80" i="5"/>
  <c r="M80" i="5" s="1"/>
  <c r="D80" i="5"/>
  <c r="L298" i="5"/>
  <c r="M298" i="5" s="1"/>
  <c r="D298" i="5"/>
  <c r="AC1327" i="5"/>
  <c r="AD1327" i="5"/>
  <c r="L1150" i="5"/>
  <c r="M1150" i="5" s="1"/>
  <c r="D1150" i="5"/>
  <c r="D1160" i="5"/>
  <c r="L1160" i="5"/>
  <c r="M1160" i="5" s="1"/>
  <c r="AC1272" i="5"/>
  <c r="AD1272" i="5"/>
  <c r="L127" i="5"/>
  <c r="M127" i="5" s="1"/>
  <c r="D127" i="5"/>
  <c r="D44" i="5"/>
  <c r="L44" i="5"/>
  <c r="M44" i="5" s="1"/>
  <c r="L363" i="5"/>
  <c r="M363" i="5" s="1"/>
  <c r="D363" i="5"/>
  <c r="L1516" i="5"/>
  <c r="M1516" i="5" s="1"/>
  <c r="D1516" i="5"/>
  <c r="D1609" i="5"/>
  <c r="L1609" i="5"/>
  <c r="M1609" i="5" s="1"/>
  <c r="D505" i="5"/>
  <c r="L505" i="5"/>
  <c r="M505" i="5" s="1"/>
  <c r="AC567" i="5"/>
  <c r="AD567" i="5"/>
  <c r="L565" i="5"/>
  <c r="M565" i="5" s="1"/>
  <c r="D565" i="5"/>
  <c r="D491" i="5"/>
  <c r="L491" i="5"/>
  <c r="M491" i="5" s="1"/>
  <c r="AD727" i="5"/>
  <c r="AC727" i="5"/>
  <c r="AD447" i="5"/>
  <c r="AC447" i="5"/>
  <c r="D208" i="5"/>
  <c r="L208" i="5"/>
  <c r="M208" i="5" s="1"/>
  <c r="L823" i="5"/>
  <c r="M823" i="5" s="1"/>
  <c r="D823" i="5"/>
  <c r="L710" i="5"/>
  <c r="M710" i="5" s="1"/>
  <c r="D710" i="5"/>
  <c r="L1526" i="5"/>
  <c r="M1526" i="5" s="1"/>
  <c r="D1526" i="5"/>
  <c r="L1257" i="5"/>
  <c r="M1257" i="5" s="1"/>
  <c r="D1257" i="5"/>
  <c r="D1718" i="5"/>
  <c r="L1718" i="5"/>
  <c r="M1718" i="5" s="1"/>
  <c r="L1125" i="5"/>
  <c r="M1125" i="5" s="1"/>
  <c r="D1125" i="5"/>
  <c r="D1120" i="5"/>
  <c r="L1120" i="5"/>
  <c r="M1120" i="5" s="1"/>
  <c r="D1513" i="5"/>
  <c r="L1513" i="5"/>
  <c r="M1513" i="5" s="1"/>
  <c r="D410" i="5"/>
  <c r="L410" i="5"/>
  <c r="M410" i="5" s="1"/>
  <c r="AC1417" i="5"/>
  <c r="AD1417" i="5"/>
  <c r="L970" i="5"/>
  <c r="M970" i="5" s="1"/>
  <c r="D970" i="5"/>
  <c r="L1676" i="5"/>
  <c r="M1676" i="5" s="1"/>
  <c r="D1676" i="5"/>
  <c r="AD797" i="5"/>
  <c r="AC797" i="5"/>
  <c r="L492" i="5"/>
  <c r="M492" i="5" s="1"/>
  <c r="D492" i="5"/>
  <c r="L946" i="5"/>
  <c r="M946" i="5" s="1"/>
  <c r="D946" i="5"/>
  <c r="L1167" i="5"/>
  <c r="M1167" i="5" s="1"/>
  <c r="D1167" i="5"/>
  <c r="D305" i="5"/>
  <c r="L305" i="5"/>
  <c r="M305" i="5" s="1"/>
  <c r="D1080" i="5"/>
  <c r="L1080" i="5"/>
  <c r="M1080" i="5" s="1"/>
  <c r="L1523" i="5"/>
  <c r="M1523" i="5" s="1"/>
  <c r="D1523" i="5"/>
  <c r="D1288" i="5"/>
  <c r="L1288" i="5"/>
  <c r="M1288" i="5" s="1"/>
  <c r="D51" i="5"/>
  <c r="L51" i="5"/>
  <c r="M51" i="5" s="1"/>
  <c r="L1626" i="5"/>
  <c r="M1626" i="5" s="1"/>
  <c r="D1626" i="5"/>
  <c r="L668" i="5"/>
  <c r="M668" i="5" s="1"/>
  <c r="D668" i="5"/>
  <c r="L567" i="5"/>
  <c r="M567" i="5" s="1"/>
  <c r="D567" i="5"/>
  <c r="L1350" i="5"/>
  <c r="M1350" i="5" s="1"/>
  <c r="D1350" i="5"/>
  <c r="D934" i="5"/>
  <c r="L934" i="5"/>
  <c r="M934" i="5" s="1"/>
  <c r="AD1372" i="5"/>
  <c r="AC1372" i="5"/>
  <c r="L706" i="5"/>
  <c r="M706" i="5" s="1"/>
  <c r="D706" i="5"/>
  <c r="D1705" i="5"/>
  <c r="L1705" i="5"/>
  <c r="M1705" i="5" s="1"/>
  <c r="L793" i="5"/>
  <c r="M793" i="5" s="1"/>
  <c r="D793" i="5"/>
  <c r="D1297" i="5"/>
  <c r="L1297" i="5"/>
  <c r="M1297" i="5" s="1"/>
  <c r="L498" i="5"/>
  <c r="M498" i="5" s="1"/>
  <c r="D498" i="5"/>
  <c r="AD102" i="5"/>
  <c r="AC102" i="5"/>
  <c r="L639" i="5"/>
  <c r="M639" i="5" s="1"/>
  <c r="D639" i="5"/>
  <c r="D68" i="5"/>
  <c r="L68" i="5"/>
  <c r="M68" i="5" s="1"/>
  <c r="D1492" i="5"/>
  <c r="L1492" i="5"/>
  <c r="M1492" i="5" s="1"/>
  <c r="L999" i="5"/>
  <c r="M999" i="5" s="1"/>
  <c r="D999" i="5"/>
  <c r="L764" i="5"/>
  <c r="M764" i="5" s="1"/>
  <c r="D764" i="5"/>
  <c r="L360" i="5"/>
  <c r="M360" i="5" s="1"/>
  <c r="D360" i="5"/>
  <c r="L1651" i="5"/>
  <c r="M1651" i="5" s="1"/>
  <c r="D1651" i="5"/>
  <c r="L536" i="5"/>
  <c r="M536" i="5" s="1"/>
  <c r="D536" i="5"/>
  <c r="L1700" i="5"/>
  <c r="M1700" i="5" s="1"/>
  <c r="D1700" i="5"/>
  <c r="L1475" i="5"/>
  <c r="M1475" i="5" s="1"/>
  <c r="D1475" i="5"/>
  <c r="D807" i="5"/>
  <c r="L807" i="5"/>
  <c r="M807" i="5" s="1"/>
  <c r="L1638" i="5"/>
  <c r="M1638" i="5" s="1"/>
  <c r="D1638" i="5"/>
  <c r="D1477" i="5"/>
  <c r="L1477" i="5"/>
  <c r="M1477" i="5" s="1"/>
  <c r="L146" i="5"/>
  <c r="M146" i="5" s="1"/>
  <c r="D146" i="5"/>
  <c r="L423" i="5"/>
  <c r="M423" i="5" s="1"/>
  <c r="D423" i="5"/>
  <c r="AD1187" i="5"/>
  <c r="AC1187" i="5"/>
  <c r="D1410" i="5"/>
  <c r="L1410" i="5"/>
  <c r="M1410" i="5" s="1"/>
  <c r="D1196" i="5"/>
  <c r="L1196" i="5"/>
  <c r="M1196" i="5" s="1"/>
  <c r="D1145" i="5"/>
  <c r="L1145" i="5"/>
  <c r="M1145" i="5" s="1"/>
  <c r="L168" i="5"/>
  <c r="M168" i="5" s="1"/>
  <c r="D168" i="5"/>
  <c r="L765" i="5"/>
  <c r="M765" i="5" s="1"/>
  <c r="D765" i="5"/>
  <c r="L1270" i="5"/>
  <c r="M1270" i="5" s="1"/>
  <c r="D1270" i="5"/>
  <c r="L1482" i="5"/>
  <c r="M1482" i="5" s="1"/>
  <c r="D1482" i="5"/>
  <c r="L1670" i="5"/>
  <c r="M1670" i="5" s="1"/>
  <c r="D1670" i="5"/>
  <c r="D1218" i="5"/>
  <c r="L1218" i="5"/>
  <c r="M1218" i="5" s="1"/>
  <c r="L1656" i="5"/>
  <c r="M1656" i="5" s="1"/>
  <c r="D1656" i="5"/>
  <c r="L37" i="5"/>
  <c r="M37" i="5" s="1"/>
  <c r="D37" i="5"/>
  <c r="L420" i="5"/>
  <c r="M420" i="5" s="1"/>
  <c r="D420" i="5"/>
  <c r="L1706" i="5"/>
  <c r="M1706" i="5" s="1"/>
  <c r="D1706" i="5"/>
  <c r="L648" i="5"/>
  <c r="M648" i="5" s="1"/>
  <c r="D648" i="5"/>
  <c r="L269" i="5"/>
  <c r="M269" i="5" s="1"/>
  <c r="D269" i="5"/>
  <c r="D1184" i="5"/>
  <c r="L1184" i="5"/>
  <c r="M1184" i="5" s="1"/>
  <c r="D61" i="5"/>
  <c r="L61" i="5"/>
  <c r="M61" i="5" s="1"/>
  <c r="L77" i="5"/>
  <c r="M77" i="5" s="1"/>
  <c r="D77" i="5"/>
  <c r="AC1407" i="5"/>
  <c r="AD1407" i="5"/>
  <c r="AC517" i="5"/>
  <c r="AD517" i="5"/>
  <c r="L782" i="5"/>
  <c r="M782" i="5" s="1"/>
  <c r="D782" i="5"/>
  <c r="AC1667" i="5"/>
  <c r="AD1667" i="5"/>
  <c r="D477" i="5"/>
  <c r="L477" i="5"/>
  <c r="M477" i="5" s="1"/>
  <c r="D231" i="5"/>
  <c r="L231" i="5"/>
  <c r="M231" i="5" s="1"/>
  <c r="L1416" i="5"/>
  <c r="M1416" i="5" s="1"/>
  <c r="D1416" i="5"/>
  <c r="L1276" i="5"/>
  <c r="M1276" i="5" s="1"/>
  <c r="D1276" i="5"/>
  <c r="D956" i="5"/>
  <c r="L956" i="5"/>
  <c r="M956" i="5" s="1"/>
  <c r="D686" i="5"/>
  <c r="L686" i="5"/>
  <c r="M686" i="5" s="1"/>
  <c r="AC97" i="5"/>
  <c r="AD97" i="5"/>
  <c r="D818" i="5"/>
  <c r="L818" i="5"/>
  <c r="M818" i="5" s="1"/>
  <c r="D203" i="5"/>
  <c r="L203" i="5"/>
  <c r="M203" i="5" s="1"/>
  <c r="L1016" i="5"/>
  <c r="M1016" i="5" s="1"/>
  <c r="D1016" i="5"/>
  <c r="L304" i="5"/>
  <c r="M304" i="5" s="1"/>
  <c r="D304" i="5"/>
  <c r="D1086" i="5"/>
  <c r="L1086" i="5"/>
  <c r="M1086" i="5" s="1"/>
  <c r="AC1577" i="5"/>
  <c r="AD1577" i="5"/>
  <c r="L330" i="5"/>
  <c r="M330" i="5" s="1"/>
  <c r="D330" i="5"/>
  <c r="D1332" i="5"/>
  <c r="L1332" i="5"/>
  <c r="M1332" i="5" s="1"/>
  <c r="D1712" i="5"/>
  <c r="L1712" i="5"/>
  <c r="M1712" i="5" s="1"/>
  <c r="AC1037" i="5"/>
  <c r="AD1037" i="5"/>
  <c r="L144" i="5"/>
  <c r="M144" i="5" s="1"/>
  <c r="D144" i="5"/>
  <c r="L1646" i="5"/>
  <c r="M1646" i="5" s="1"/>
  <c r="D1646" i="5"/>
  <c r="AD1267" i="5"/>
  <c r="AC1267" i="5"/>
  <c r="D694" i="5"/>
  <c r="L694" i="5"/>
  <c r="M694" i="5" s="1"/>
  <c r="L1348" i="5"/>
  <c r="M1348" i="5" s="1"/>
  <c r="D1348" i="5"/>
  <c r="D1486" i="5"/>
  <c r="L1486" i="5"/>
  <c r="M1486" i="5" s="1"/>
  <c r="AD612" i="5"/>
  <c r="AC612" i="5"/>
  <c r="D1734" i="5"/>
  <c r="L1734" i="5"/>
  <c r="M1734" i="5" s="1"/>
  <c r="D1611" i="5"/>
  <c r="L1611" i="5"/>
  <c r="M1611" i="5" s="1"/>
  <c r="D646" i="5"/>
  <c r="L646" i="5"/>
  <c r="M646" i="5" s="1"/>
  <c r="L673" i="5"/>
  <c r="M673" i="5" s="1"/>
  <c r="D673" i="5"/>
  <c r="L1041" i="5"/>
  <c r="M1041" i="5" s="1"/>
  <c r="D1041" i="5"/>
  <c r="L450" i="5"/>
  <c r="M450" i="5" s="1"/>
  <c r="D450" i="5"/>
  <c r="AC1402" i="5"/>
  <c r="AD1402" i="5"/>
  <c r="L1511" i="5"/>
  <c r="M1511" i="5" s="1"/>
  <c r="D1511" i="5"/>
  <c r="D1726" i="5"/>
  <c r="L1726" i="5"/>
  <c r="M1726" i="5" s="1"/>
  <c r="D1246" i="5"/>
  <c r="L1246" i="5"/>
  <c r="M1246" i="5" s="1"/>
  <c r="D1087" i="5"/>
  <c r="L1087" i="5"/>
  <c r="M1087" i="5" s="1"/>
  <c r="D742" i="5"/>
  <c r="L742" i="5"/>
  <c r="M742" i="5" s="1"/>
  <c r="L801" i="5"/>
  <c r="M801" i="5" s="1"/>
  <c r="D801" i="5"/>
  <c r="L558" i="5"/>
  <c r="M558" i="5" s="1"/>
  <c r="D558" i="5"/>
  <c r="AC407" i="5"/>
  <c r="AD407" i="5"/>
  <c r="D649" i="5"/>
  <c r="L649" i="5"/>
  <c r="M649" i="5" s="1"/>
  <c r="L53" i="5"/>
  <c r="M53" i="5" s="1"/>
  <c r="D53" i="5"/>
  <c r="D332" i="5"/>
  <c r="L332" i="5"/>
  <c r="M332" i="5" s="1"/>
  <c r="D196" i="5"/>
  <c r="L196" i="5"/>
  <c r="M196" i="5" s="1"/>
  <c r="D293" i="5"/>
  <c r="L293" i="5"/>
  <c r="M293" i="5" s="1"/>
  <c r="D961" i="5"/>
  <c r="L961" i="5"/>
  <c r="M961" i="5" s="1"/>
  <c r="L1216" i="5"/>
  <c r="M1216" i="5" s="1"/>
  <c r="D1216" i="5"/>
  <c r="D774" i="5"/>
  <c r="L774" i="5"/>
  <c r="M774" i="5" s="1"/>
  <c r="D199" i="5"/>
  <c r="L199" i="5"/>
  <c r="M199" i="5" s="1"/>
  <c r="D1141" i="5"/>
  <c r="L1141" i="5"/>
  <c r="M1141" i="5" s="1"/>
  <c r="D626" i="5"/>
  <c r="L626" i="5"/>
  <c r="M626" i="5" s="1"/>
  <c r="L677" i="5"/>
  <c r="M677" i="5" s="1"/>
  <c r="D677" i="5"/>
  <c r="AC1322" i="5"/>
  <c r="AD1322" i="5"/>
  <c r="D359" i="5"/>
  <c r="L359" i="5"/>
  <c r="M359" i="5" s="1"/>
  <c r="L290" i="5"/>
  <c r="M290" i="5" s="1"/>
  <c r="D290" i="5"/>
  <c r="L613" i="5"/>
  <c r="M613" i="5" s="1"/>
  <c r="D613" i="5"/>
  <c r="D1118" i="5"/>
  <c r="L1118" i="5"/>
  <c r="M1118" i="5" s="1"/>
  <c r="L965" i="5"/>
  <c r="M965" i="5" s="1"/>
  <c r="D965" i="5"/>
  <c r="D736" i="5"/>
  <c r="L736" i="5"/>
  <c r="M736" i="5" s="1"/>
  <c r="D88" i="5"/>
  <c r="L88" i="5"/>
  <c r="M88" i="5" s="1"/>
  <c r="L627" i="5"/>
  <c r="M627" i="5" s="1"/>
  <c r="D627" i="5"/>
  <c r="D439" i="5"/>
  <c r="L439" i="5"/>
  <c r="M439" i="5" s="1"/>
  <c r="D383" i="5"/>
  <c r="L383" i="5"/>
  <c r="M383" i="5" s="1"/>
  <c r="L1267" i="5"/>
  <c r="M1267" i="5" s="1"/>
  <c r="D1267" i="5"/>
  <c r="D564" i="5"/>
  <c r="L564" i="5"/>
  <c r="M564" i="5" s="1"/>
  <c r="AC1082" i="5"/>
  <c r="AD1082" i="5"/>
  <c r="L1643" i="5"/>
  <c r="M1643" i="5" s="1"/>
  <c r="D1643" i="5"/>
  <c r="D884" i="5"/>
  <c r="L884" i="5"/>
  <c r="M884" i="5" s="1"/>
  <c r="D796" i="5"/>
  <c r="L796" i="5"/>
  <c r="M796" i="5" s="1"/>
  <c r="D1639" i="5"/>
  <c r="L1639" i="5"/>
  <c r="M1639" i="5" s="1"/>
  <c r="AD507" i="5"/>
  <c r="AC507" i="5"/>
  <c r="AC597" i="5"/>
  <c r="AD597" i="5"/>
  <c r="D1738" i="5"/>
  <c r="L1738" i="5"/>
  <c r="M1738" i="5" s="1"/>
  <c r="AC1102" i="5"/>
  <c r="AD1102" i="5"/>
  <c r="L418" i="5"/>
  <c r="M418" i="5" s="1"/>
  <c r="D418" i="5"/>
  <c r="L1610" i="5"/>
  <c r="M1610" i="5" s="1"/>
  <c r="D1610" i="5"/>
  <c r="D469" i="5"/>
  <c r="L469" i="5"/>
  <c r="M469" i="5" s="1"/>
  <c r="D1308" i="5"/>
  <c r="L1308" i="5"/>
  <c r="M1308" i="5" s="1"/>
  <c r="D79" i="5"/>
  <c r="L79" i="5"/>
  <c r="M79" i="5" s="1"/>
  <c r="D843" i="5"/>
  <c r="L843" i="5"/>
  <c r="M843" i="5" s="1"/>
  <c r="D512" i="5"/>
  <c r="L512" i="5"/>
  <c r="M512" i="5" s="1"/>
  <c r="AD707" i="5"/>
  <c r="AC707" i="5"/>
  <c r="L748" i="5"/>
  <c r="M748" i="5" s="1"/>
  <c r="D748" i="5"/>
  <c r="L1518" i="5"/>
  <c r="M1518" i="5" s="1"/>
  <c r="D1518" i="5"/>
  <c r="D1661" i="5"/>
  <c r="L1661" i="5"/>
  <c r="M1661" i="5" s="1"/>
  <c r="L138" i="5"/>
  <c r="M138" i="5" s="1"/>
  <c r="D138" i="5"/>
  <c r="L973" i="5"/>
  <c r="M973" i="5" s="1"/>
  <c r="D973" i="5"/>
  <c r="D676" i="5"/>
  <c r="L676" i="5"/>
  <c r="M676" i="5" s="1"/>
  <c r="L1428" i="5"/>
  <c r="M1428" i="5" s="1"/>
  <c r="D1428" i="5"/>
  <c r="D725" i="5"/>
  <c r="L725" i="5"/>
  <c r="M725" i="5" s="1"/>
  <c r="AC1292" i="5"/>
  <c r="AD1292" i="5"/>
  <c r="L1393" i="5"/>
  <c r="M1393" i="5" s="1"/>
  <c r="D1393" i="5"/>
  <c r="L871" i="5"/>
  <c r="M871" i="5" s="1"/>
  <c r="D871" i="5"/>
  <c r="D1673" i="5"/>
  <c r="L1673" i="5"/>
  <c r="M1673" i="5" s="1"/>
  <c r="L562" i="5"/>
  <c r="M562" i="5" s="1"/>
  <c r="D562" i="5"/>
  <c r="D1559" i="5"/>
  <c r="L1559" i="5"/>
  <c r="M1559" i="5" s="1"/>
  <c r="D124" i="5"/>
  <c r="L124" i="5"/>
  <c r="M124" i="5" s="1"/>
  <c r="D244" i="5"/>
  <c r="L244" i="5"/>
  <c r="M244" i="5" s="1"/>
  <c r="AC832" i="5"/>
  <c r="AD832" i="5"/>
  <c r="D893" i="5"/>
  <c r="L893" i="5"/>
  <c r="M893" i="5" s="1"/>
  <c r="L1094" i="5"/>
  <c r="M1094" i="5" s="1"/>
  <c r="D1094" i="5"/>
  <c r="D593" i="5"/>
  <c r="L593" i="5"/>
  <c r="M593" i="5" s="1"/>
  <c r="L265" i="5"/>
  <c r="M265" i="5" s="1"/>
  <c r="D265" i="5"/>
  <c r="D936" i="5"/>
  <c r="L936" i="5"/>
  <c r="M936" i="5" s="1"/>
  <c r="D1202" i="5"/>
  <c r="L1202" i="5"/>
  <c r="M1202" i="5" s="1"/>
  <c r="L1349" i="5"/>
  <c r="M1349" i="5" s="1"/>
  <c r="D1349" i="5"/>
  <c r="L17" i="5"/>
  <c r="M17" i="5" s="1"/>
  <c r="D17" i="5"/>
  <c r="AD1042" i="5"/>
  <c r="AC1042" i="5"/>
  <c r="D1089" i="5"/>
  <c r="L1089" i="5"/>
  <c r="M1089" i="5" s="1"/>
  <c r="D1473" i="5"/>
  <c r="L1473" i="5"/>
  <c r="M1473" i="5" s="1"/>
  <c r="D1324" i="5"/>
  <c r="L1324" i="5"/>
  <c r="M1324" i="5" s="1"/>
  <c r="D227" i="5"/>
  <c r="L227" i="5"/>
  <c r="M227" i="5" s="1"/>
  <c r="D1067" i="5"/>
  <c r="L1067" i="5"/>
  <c r="M1067" i="5" s="1"/>
  <c r="D612" i="5"/>
  <c r="L612" i="5"/>
  <c r="M612" i="5" s="1"/>
  <c r="D955" i="5"/>
  <c r="L955" i="5"/>
  <c r="M955" i="5" s="1"/>
  <c r="AC237" i="5"/>
  <c r="AD237" i="5"/>
  <c r="D261" i="5"/>
  <c r="L261" i="5"/>
  <c r="M261" i="5" s="1"/>
  <c r="D868" i="5"/>
  <c r="L868" i="5"/>
  <c r="M868" i="5" s="1"/>
  <c r="L881" i="5"/>
  <c r="M881" i="5" s="1"/>
  <c r="D881" i="5"/>
  <c r="L1495" i="5"/>
  <c r="M1495" i="5" s="1"/>
  <c r="D1495" i="5"/>
  <c r="L529" i="5"/>
  <c r="M529" i="5" s="1"/>
  <c r="D529" i="5"/>
  <c r="L296" i="5"/>
  <c r="M296" i="5" s="1"/>
  <c r="D296" i="5"/>
  <c r="AC637" i="5"/>
  <c r="AD637" i="5"/>
  <c r="D1737" i="5"/>
  <c r="L1737" i="5"/>
  <c r="M1737" i="5" s="1"/>
  <c r="D846" i="5"/>
  <c r="L846" i="5"/>
  <c r="M846" i="5" s="1"/>
  <c r="D931" i="5"/>
  <c r="L931" i="5"/>
  <c r="M931" i="5" s="1"/>
  <c r="AC1397" i="5"/>
  <c r="AD1397" i="5"/>
  <c r="D1575" i="5"/>
  <c r="L1575" i="5"/>
  <c r="M1575" i="5" s="1"/>
  <c r="D1200" i="5"/>
  <c r="L1200" i="5"/>
  <c r="M1200" i="5" s="1"/>
  <c r="D1622" i="5"/>
  <c r="L1622" i="5"/>
  <c r="M1622" i="5" s="1"/>
  <c r="D1303" i="5"/>
  <c r="L1303" i="5"/>
  <c r="M1303" i="5" s="1"/>
  <c r="D40" i="5"/>
  <c r="L40" i="5"/>
  <c r="M40" i="5" s="1"/>
  <c r="AD852" i="5"/>
  <c r="AC852" i="5"/>
  <c r="L1744" i="5"/>
  <c r="M1744" i="5" s="1"/>
  <c r="D1744" i="5"/>
  <c r="D1702" i="5"/>
  <c r="L1702" i="5"/>
  <c r="M1702" i="5" s="1"/>
  <c r="L1372" i="5"/>
  <c r="M1372" i="5" s="1"/>
  <c r="D1372" i="5"/>
  <c r="D1345" i="5"/>
  <c r="L1345" i="5"/>
  <c r="M1345" i="5" s="1"/>
  <c r="D1703" i="5"/>
  <c r="L1703" i="5"/>
  <c r="M1703" i="5" s="1"/>
  <c r="L1571" i="5"/>
  <c r="M1571" i="5" s="1"/>
  <c r="D1571" i="5"/>
  <c r="D1024" i="5"/>
  <c r="L1024" i="5"/>
  <c r="M1024" i="5" s="1"/>
  <c r="D604" i="5"/>
  <c r="L604" i="5"/>
  <c r="M604" i="5" s="1"/>
  <c r="L700" i="5"/>
  <c r="M700" i="5" s="1"/>
  <c r="D700" i="5"/>
  <c r="AD487" i="5"/>
  <c r="AC487" i="5"/>
  <c r="D317" i="5"/>
  <c r="L317" i="5"/>
  <c r="M317" i="5" s="1"/>
  <c r="D1443" i="5"/>
  <c r="L1443" i="5"/>
  <c r="M1443" i="5" s="1"/>
  <c r="L1148" i="5"/>
  <c r="M1148" i="5" s="1"/>
  <c r="D1148" i="5"/>
  <c r="D388" i="5"/>
  <c r="L388" i="5"/>
  <c r="M388" i="5" s="1"/>
  <c r="L1590" i="5"/>
  <c r="M1590" i="5" s="1"/>
  <c r="D1590" i="5"/>
  <c r="AD227" i="5"/>
  <c r="AC227" i="5"/>
  <c r="AC1462" i="5"/>
  <c r="AD1462" i="5"/>
  <c r="D1183" i="5"/>
  <c r="L1183" i="5"/>
  <c r="M1183" i="5" s="1"/>
  <c r="D551" i="5"/>
  <c r="L551" i="5"/>
  <c r="M551" i="5" s="1"/>
  <c r="AD1212" i="5"/>
  <c r="AC1212" i="5"/>
  <c r="L339" i="5"/>
  <c r="M339" i="5" s="1"/>
  <c r="D339" i="5"/>
  <c r="AD32" i="5"/>
  <c r="AC32" i="5"/>
  <c r="D279" i="5"/>
  <c r="L279" i="5"/>
  <c r="M279" i="5" s="1"/>
  <c r="L1242" i="5"/>
  <c r="M1242" i="5" s="1"/>
  <c r="D1242" i="5"/>
  <c r="D167" i="5"/>
  <c r="L167" i="5"/>
  <c r="M167" i="5" s="1"/>
  <c r="D189" i="5"/>
  <c r="L189" i="5"/>
  <c r="M189" i="5" s="1"/>
  <c r="AD112" i="5"/>
  <c r="AC112" i="5"/>
  <c r="D4" i="5"/>
  <c r="L4" i="5"/>
  <c r="M4" i="5" s="1"/>
  <c r="D535" i="5"/>
  <c r="L535" i="5"/>
  <c r="M535" i="5" s="1"/>
  <c r="L1716" i="5"/>
  <c r="M1716" i="5" s="1"/>
  <c r="D1716" i="5"/>
  <c r="D514" i="5"/>
  <c r="L514" i="5"/>
  <c r="M514" i="5" s="1"/>
  <c r="L979" i="5"/>
  <c r="M979" i="5" s="1"/>
  <c r="D979" i="5"/>
  <c r="D1253" i="5"/>
  <c r="L1253" i="5"/>
  <c r="M1253" i="5" s="1"/>
  <c r="D803" i="5"/>
  <c r="L803" i="5"/>
  <c r="M803" i="5" s="1"/>
  <c r="D271" i="5"/>
  <c r="L271" i="5"/>
  <c r="M271" i="5" s="1"/>
  <c r="D895" i="5"/>
  <c r="L895" i="5"/>
  <c r="M895" i="5" s="1"/>
  <c r="L1652" i="5"/>
  <c r="M1652" i="5" s="1"/>
  <c r="D1652" i="5"/>
  <c r="L1327" i="5"/>
  <c r="M1327" i="5" s="1"/>
  <c r="D1327" i="5"/>
  <c r="D1633" i="5"/>
  <c r="L1633" i="5"/>
  <c r="M1633" i="5" s="1"/>
  <c r="L255" i="5"/>
  <c r="M255" i="5" s="1"/>
  <c r="D255" i="5"/>
  <c r="L761" i="5"/>
  <c r="M761" i="5" s="1"/>
  <c r="D761" i="5"/>
  <c r="D1263" i="5"/>
  <c r="L1263" i="5"/>
  <c r="M1263" i="5" s="1"/>
  <c r="D1675" i="5"/>
  <c r="L1675" i="5"/>
  <c r="M1675" i="5" s="1"/>
  <c r="L183" i="5"/>
  <c r="M183" i="5" s="1"/>
  <c r="D183" i="5"/>
  <c r="L1064" i="5"/>
  <c r="M1064" i="5" s="1"/>
  <c r="D1064" i="5"/>
  <c r="D1485" i="5"/>
  <c r="L1485" i="5"/>
  <c r="M1485" i="5" s="1"/>
  <c r="D1736" i="5"/>
  <c r="L1736" i="5"/>
  <c r="M1736" i="5" s="1"/>
  <c r="D1569" i="5"/>
  <c r="L1569" i="5"/>
  <c r="M1569" i="5" s="1"/>
  <c r="L758" i="5"/>
  <c r="M758" i="5" s="1"/>
  <c r="D758" i="5"/>
  <c r="L543" i="5"/>
  <c r="M543" i="5" s="1"/>
  <c r="D543" i="5"/>
  <c r="L336" i="5"/>
  <c r="M336" i="5" s="1"/>
  <c r="D336" i="5"/>
  <c r="L85" i="5"/>
  <c r="M85" i="5" s="1"/>
  <c r="D85" i="5"/>
  <c r="D852" i="5"/>
  <c r="L852" i="5"/>
  <c r="M852" i="5" s="1"/>
  <c r="AD12" i="5"/>
  <c r="AC12" i="5"/>
  <c r="L83" i="5"/>
  <c r="M83" i="5" s="1"/>
  <c r="D83" i="5"/>
  <c r="AC717" i="5"/>
  <c r="AD717" i="5"/>
  <c r="D182" i="5"/>
  <c r="L182" i="5"/>
  <c r="M182" i="5" s="1"/>
  <c r="AC1152" i="5"/>
  <c r="AD1152" i="5"/>
  <c r="AC1022" i="5"/>
  <c r="AD1022" i="5"/>
  <c r="L1420" i="5"/>
  <c r="M1420" i="5" s="1"/>
  <c r="D1420" i="5"/>
  <c r="AC792" i="5"/>
  <c r="AD792" i="5"/>
  <c r="AC672" i="5"/>
  <c r="AD672" i="5"/>
  <c r="L1476" i="5"/>
  <c r="M1476" i="5" s="1"/>
  <c r="D1476" i="5"/>
  <c r="AD57" i="5"/>
  <c r="AC57" i="5"/>
  <c r="D306" i="5"/>
  <c r="L306" i="5"/>
  <c r="M306" i="5" s="1"/>
  <c r="D757" i="5"/>
  <c r="L757" i="5"/>
  <c r="M757" i="5" s="1"/>
  <c r="L1322" i="5"/>
  <c r="M1322" i="5" s="1"/>
  <c r="D1322" i="5"/>
  <c r="D169" i="5"/>
  <c r="L169" i="5"/>
  <c r="M169" i="5" s="1"/>
  <c r="D1565" i="5"/>
  <c r="L1565" i="5"/>
  <c r="M1565" i="5" s="1"/>
  <c r="D909" i="5"/>
  <c r="L909" i="5"/>
  <c r="M909" i="5" s="1"/>
  <c r="AC1087" i="5"/>
  <c r="AD1087" i="5"/>
  <c r="L431" i="5"/>
  <c r="M431" i="5" s="1"/>
  <c r="D431" i="5"/>
  <c r="D1696" i="5"/>
  <c r="L1696" i="5"/>
  <c r="M1696" i="5" s="1"/>
  <c r="D1207" i="5"/>
  <c r="L1207" i="5"/>
  <c r="M1207" i="5" s="1"/>
  <c r="D232" i="5"/>
  <c r="L232" i="5"/>
  <c r="M232" i="5" s="1"/>
  <c r="D1116" i="5"/>
  <c r="L1116" i="5"/>
  <c r="M1116" i="5" s="1"/>
  <c r="D315" i="5"/>
  <c r="L315" i="5"/>
  <c r="M315" i="5" s="1"/>
  <c r="L590" i="5"/>
  <c r="M590" i="5" s="1"/>
  <c r="D590" i="5"/>
  <c r="L1642" i="5"/>
  <c r="M1642" i="5" s="1"/>
  <c r="D1642" i="5"/>
  <c r="D547" i="5"/>
  <c r="L547" i="5"/>
  <c r="M547" i="5" s="1"/>
  <c r="L424" i="5"/>
  <c r="M424" i="5" s="1"/>
  <c r="D424" i="5"/>
  <c r="D355" i="5"/>
  <c r="L355" i="5"/>
  <c r="M355" i="5" s="1"/>
  <c r="L1044" i="5"/>
  <c r="M1044" i="5" s="1"/>
  <c r="D1044" i="5"/>
  <c r="D45" i="5"/>
  <c r="L45" i="5"/>
  <c r="M45" i="5" s="1"/>
  <c r="AC787" i="5"/>
  <c r="AD787" i="5"/>
  <c r="D1168" i="5"/>
  <c r="L1168" i="5"/>
  <c r="M1168" i="5" s="1"/>
  <c r="D361" i="5"/>
  <c r="L361" i="5"/>
  <c r="M361" i="5" s="1"/>
  <c r="D406" i="5"/>
  <c r="L406" i="5"/>
  <c r="M406" i="5" s="1"/>
  <c r="D135" i="5"/>
  <c r="L135" i="5"/>
  <c r="M135" i="5" s="1"/>
  <c r="D211" i="5"/>
  <c r="L211" i="5"/>
  <c r="M211" i="5" s="1"/>
  <c r="D940" i="5"/>
  <c r="L940" i="5"/>
  <c r="M940" i="5" s="1"/>
  <c r="D571" i="5"/>
  <c r="L571" i="5"/>
  <c r="M571" i="5" s="1"/>
  <c r="D299" i="5"/>
  <c r="L299" i="5"/>
  <c r="M299" i="5" s="1"/>
  <c r="D1278" i="5"/>
  <c r="L1278" i="5"/>
  <c r="M1278" i="5" s="1"/>
  <c r="L344" i="5"/>
  <c r="M344" i="5" s="1"/>
  <c r="D344" i="5"/>
  <c r="D101" i="5"/>
  <c r="L101" i="5"/>
  <c r="M101" i="5" s="1"/>
  <c r="D1014" i="5"/>
  <c r="L1014" i="5"/>
  <c r="M1014" i="5" s="1"/>
  <c r="L1151" i="5"/>
  <c r="M1151" i="5" s="1"/>
  <c r="D1151" i="5"/>
  <c r="L1421" i="5"/>
  <c r="M1421" i="5" s="1"/>
  <c r="D1421" i="5"/>
  <c r="L1358" i="5"/>
  <c r="M1358" i="5" s="1"/>
  <c r="D1358" i="5"/>
  <c r="D289" i="5"/>
  <c r="L289" i="5"/>
  <c r="M289" i="5" s="1"/>
  <c r="L1528" i="5"/>
  <c r="M1528" i="5" s="1"/>
  <c r="D1528" i="5"/>
  <c r="L894" i="5"/>
  <c r="M894" i="5" s="1"/>
  <c r="D894" i="5"/>
  <c r="L1162" i="5"/>
  <c r="M1162" i="5" s="1"/>
  <c r="D1162" i="5"/>
  <c r="L810" i="5"/>
  <c r="M810" i="5" s="1"/>
  <c r="D810" i="5"/>
  <c r="AD552" i="5"/>
  <c r="AC552" i="5"/>
  <c r="L1417" i="5"/>
  <c r="M1417" i="5" s="1"/>
  <c r="D1417" i="5"/>
  <c r="D696" i="5"/>
  <c r="L696" i="5"/>
  <c r="M696" i="5" s="1"/>
  <c r="D767" i="5"/>
  <c r="L767" i="5"/>
  <c r="M767" i="5" s="1"/>
  <c r="AD1672" i="5"/>
  <c r="AC1672" i="5"/>
  <c r="L458" i="5"/>
  <c r="M458" i="5" s="1"/>
  <c r="D458" i="5"/>
  <c r="AC322" i="5"/>
  <c r="AD322" i="5"/>
  <c r="L10" i="5"/>
  <c r="M10" i="5" s="1"/>
  <c r="D10" i="5"/>
  <c r="D1547" i="5"/>
  <c r="L1547" i="5"/>
  <c r="M1547" i="5" s="1"/>
  <c r="D839" i="5"/>
  <c r="L839" i="5"/>
  <c r="M839" i="5" s="1"/>
  <c r="AD1107" i="5"/>
  <c r="AC1107" i="5"/>
  <c r="D264" i="5"/>
  <c r="L264" i="5"/>
  <c r="M264" i="5" s="1"/>
  <c r="L1489" i="5"/>
  <c r="M1489" i="5" s="1"/>
  <c r="D1489" i="5"/>
  <c r="L1640" i="5"/>
  <c r="M1640" i="5" s="1"/>
  <c r="D1640" i="5"/>
  <c r="L177" i="5"/>
  <c r="M177" i="5" s="1"/>
  <c r="D177" i="5"/>
  <c r="D1502" i="5"/>
  <c r="L1502" i="5"/>
  <c r="M1502" i="5" s="1"/>
  <c r="L1123" i="5"/>
  <c r="M1123" i="5" s="1"/>
  <c r="D1123" i="5"/>
  <c r="L533" i="5"/>
  <c r="M533" i="5" s="1"/>
  <c r="D533" i="5"/>
  <c r="L768" i="5"/>
  <c r="M768" i="5" s="1"/>
  <c r="D768" i="5"/>
  <c r="L681" i="5"/>
  <c r="M681" i="5" s="1"/>
  <c r="D681" i="5"/>
  <c r="D1197" i="5"/>
  <c r="L1197" i="5"/>
  <c r="M1197" i="5" s="1"/>
  <c r="D581" i="5"/>
  <c r="L581" i="5"/>
  <c r="M581" i="5" s="1"/>
  <c r="AC692" i="5"/>
  <c r="AD692" i="5"/>
  <c r="D876" i="5"/>
  <c r="L876" i="5"/>
  <c r="M876" i="5" s="1"/>
  <c r="L489" i="5"/>
  <c r="M489" i="5" s="1"/>
  <c r="D489" i="5"/>
  <c r="D1388" i="5"/>
  <c r="L1388" i="5"/>
  <c r="M1388" i="5" s="1"/>
  <c r="AC1007" i="5"/>
  <c r="AD1007" i="5"/>
  <c r="AD1077" i="5"/>
  <c r="AC1077" i="5"/>
  <c r="D1231" i="5"/>
  <c r="L1231" i="5"/>
  <c r="M1231" i="5" s="1"/>
  <c r="D463" i="5"/>
  <c r="L463" i="5"/>
  <c r="M463" i="5" s="1"/>
  <c r="L919" i="5"/>
  <c r="M919" i="5" s="1"/>
  <c r="D919" i="5"/>
  <c r="L781" i="5"/>
  <c r="M781" i="5" s="1"/>
  <c r="D781" i="5"/>
  <c r="D1733" i="5"/>
  <c r="L1733" i="5"/>
  <c r="M1733" i="5" s="1"/>
  <c r="D1001" i="5"/>
  <c r="L1001" i="5"/>
  <c r="M1001" i="5" s="1"/>
  <c r="D374" i="5"/>
  <c r="L374" i="5"/>
  <c r="M374" i="5" s="1"/>
  <c r="D472" i="5"/>
  <c r="L472" i="5"/>
  <c r="M472" i="5" s="1"/>
  <c r="D314" i="5"/>
  <c r="L314" i="5"/>
  <c r="M314" i="5" s="1"/>
  <c r="AC817" i="5"/>
  <c r="AD817" i="5"/>
  <c r="L1674" i="5"/>
  <c r="M1674" i="5" s="1"/>
  <c r="D1674" i="5"/>
  <c r="L30" i="5"/>
  <c r="M30" i="5" s="1"/>
  <c r="D30" i="5"/>
  <c r="L186" i="5"/>
  <c r="M186" i="5" s="1"/>
  <c r="D186" i="5"/>
  <c r="L695" i="5"/>
  <c r="M695" i="5" s="1"/>
  <c r="D695" i="5"/>
  <c r="D530" i="5"/>
  <c r="L530" i="5"/>
  <c r="M530" i="5" s="1"/>
  <c r="AC1532" i="5"/>
  <c r="AD1532" i="5"/>
  <c r="AD697" i="5"/>
  <c r="AC697" i="5"/>
  <c r="D1053" i="5"/>
  <c r="L1053" i="5"/>
  <c r="M1053" i="5" s="1"/>
  <c r="D702" i="5"/>
  <c r="L702" i="5"/>
  <c r="M702" i="5" s="1"/>
  <c r="AC902" i="5"/>
  <c r="AD902" i="5"/>
  <c r="L309" i="5"/>
  <c r="M309" i="5" s="1"/>
  <c r="D309" i="5"/>
  <c r="D1022" i="5"/>
  <c r="L1022" i="5"/>
  <c r="M1022" i="5" s="1"/>
  <c r="L917" i="5"/>
  <c r="M917" i="5" s="1"/>
  <c r="D917" i="5"/>
  <c r="D1272" i="5"/>
  <c r="L1272" i="5"/>
  <c r="M1272" i="5" s="1"/>
  <c r="D1281" i="5"/>
  <c r="L1281" i="5"/>
  <c r="M1281" i="5" s="1"/>
  <c r="L570" i="5"/>
  <c r="M570" i="5" s="1"/>
  <c r="D570" i="5"/>
  <c r="L223" i="5"/>
  <c r="M223" i="5" s="1"/>
  <c r="D223" i="5"/>
  <c r="D541" i="5"/>
  <c r="L541" i="5"/>
  <c r="M541" i="5" s="1"/>
  <c r="L433" i="5"/>
  <c r="M433" i="5" s="1"/>
  <c r="D433" i="5"/>
  <c r="L1232" i="5"/>
  <c r="M1232" i="5" s="1"/>
  <c r="D1232" i="5"/>
  <c r="D206" i="5"/>
  <c r="L206" i="5"/>
  <c r="M206" i="5" s="1"/>
  <c r="D584" i="5"/>
  <c r="L584" i="5"/>
  <c r="M584" i="5" s="1"/>
  <c r="L198" i="5"/>
  <c r="M198" i="5" s="1"/>
  <c r="D198" i="5"/>
  <c r="L1130" i="5"/>
  <c r="M1130" i="5" s="1"/>
  <c r="D1130" i="5"/>
  <c r="D521" i="5"/>
  <c r="L521" i="5"/>
  <c r="M521" i="5" s="1"/>
  <c r="D287" i="5"/>
  <c r="L287" i="5"/>
  <c r="M287" i="5" s="1"/>
  <c r="D1351" i="5"/>
  <c r="L1351" i="5"/>
  <c r="M1351" i="5" s="1"/>
  <c r="L572" i="5"/>
  <c r="M572" i="5" s="1"/>
  <c r="D572" i="5"/>
  <c r="L1494" i="5"/>
  <c r="M1494" i="5" s="1"/>
  <c r="D1494" i="5"/>
  <c r="D1128" i="5"/>
  <c r="L1128" i="5"/>
  <c r="M1128" i="5" s="1"/>
  <c r="AC1347" i="5"/>
  <c r="AD1347" i="5"/>
  <c r="L680" i="5"/>
  <c r="M680" i="5" s="1"/>
  <c r="D680" i="5"/>
  <c r="L1405" i="5"/>
  <c r="M1405" i="5" s="1"/>
  <c r="D1405" i="5"/>
  <c r="D188" i="5"/>
  <c r="L188" i="5"/>
  <c r="M188" i="5" s="1"/>
  <c r="D1280" i="5"/>
  <c r="L1280" i="5"/>
  <c r="M1280" i="5" s="1"/>
  <c r="AC1582" i="5"/>
  <c r="AD1582" i="5"/>
  <c r="AC1297" i="5"/>
  <c r="AD1297" i="5"/>
  <c r="L1133" i="5"/>
  <c r="M1133" i="5" s="1"/>
  <c r="D1133" i="5"/>
  <c r="D22" i="5"/>
  <c r="L22" i="5"/>
  <c r="M22" i="5" s="1"/>
  <c r="D248" i="5"/>
  <c r="L248" i="5"/>
  <c r="M248" i="5" s="1"/>
  <c r="AC402" i="5"/>
  <c r="AD402" i="5"/>
  <c r="L912" i="5"/>
  <c r="M912" i="5" s="1"/>
  <c r="D912" i="5"/>
  <c r="L486" i="5"/>
  <c r="M486" i="5" s="1"/>
  <c r="D486" i="5"/>
  <c r="D75" i="5"/>
  <c r="L75" i="5"/>
  <c r="M75" i="5" s="1"/>
  <c r="AD1557" i="5"/>
  <c r="AC1557" i="5"/>
  <c r="D1677" i="5"/>
  <c r="L1677" i="5"/>
  <c r="M1677" i="5" s="1"/>
  <c r="L1375" i="5"/>
  <c r="M1375" i="5" s="1"/>
  <c r="D1375" i="5"/>
  <c r="D67" i="5"/>
  <c r="L67" i="5"/>
  <c r="M67" i="5" s="1"/>
  <c r="D1166" i="5"/>
  <c r="L1166" i="5"/>
  <c r="M1166" i="5" s="1"/>
  <c r="D495" i="5"/>
  <c r="L495" i="5"/>
  <c r="M495" i="5" s="1"/>
  <c r="D1558" i="5"/>
  <c r="L1558" i="5"/>
  <c r="M1558" i="5" s="1"/>
  <c r="L1296" i="5"/>
  <c r="M1296" i="5" s="1"/>
  <c r="D1296" i="5"/>
  <c r="D321" i="5"/>
  <c r="L321" i="5"/>
  <c r="M321" i="5" s="1"/>
  <c r="L1113" i="5"/>
  <c r="M1113" i="5" s="1"/>
  <c r="D1113" i="5"/>
  <c r="D1206" i="5"/>
  <c r="L1206" i="5"/>
  <c r="M1206" i="5" s="1"/>
  <c r="D718" i="5"/>
  <c r="L718" i="5"/>
  <c r="M718" i="5" s="1"/>
  <c r="D515" i="5"/>
  <c r="L515" i="5"/>
  <c r="M515" i="5" s="1"/>
  <c r="L880" i="5"/>
  <c r="M880" i="5" s="1"/>
  <c r="D880" i="5"/>
  <c r="D65" i="5"/>
  <c r="L65" i="5"/>
  <c r="M65" i="5" s="1"/>
  <c r="L1579" i="5"/>
  <c r="M1579" i="5" s="1"/>
  <c r="D1579" i="5"/>
  <c r="D1619" i="5"/>
  <c r="L1619" i="5"/>
  <c r="M1619" i="5" s="1"/>
  <c r="L1382" i="5"/>
  <c r="M1382" i="5" s="1"/>
  <c r="D1382" i="5"/>
  <c r="D964" i="5"/>
  <c r="L964" i="5"/>
  <c r="M964" i="5" s="1"/>
  <c r="L409" i="5"/>
  <c r="M409" i="5" s="1"/>
  <c r="D409" i="5"/>
  <c r="D1305" i="5"/>
  <c r="L1305" i="5"/>
  <c r="M1305" i="5" s="1"/>
  <c r="L1027" i="5"/>
  <c r="M1027" i="5" s="1"/>
  <c r="D1027" i="5"/>
  <c r="D318" i="5"/>
  <c r="L318" i="5"/>
  <c r="M318" i="5" s="1"/>
  <c r="D1672" i="5"/>
  <c r="L1672" i="5"/>
  <c r="M1672" i="5" s="1"/>
  <c r="D1006" i="5"/>
  <c r="L1006" i="5"/>
  <c r="M1006" i="5" s="1"/>
  <c r="L1313" i="5"/>
  <c r="M1313" i="5" s="1"/>
  <c r="D1313" i="5"/>
  <c r="D548" i="5"/>
  <c r="L548" i="5"/>
  <c r="M548" i="5" s="1"/>
  <c r="L399" i="5"/>
  <c r="M399" i="5" s="1"/>
  <c r="D399" i="5"/>
  <c r="AC492" i="5"/>
  <c r="AD492" i="5"/>
  <c r="AC877" i="5"/>
  <c r="AD877" i="5"/>
  <c r="L1088" i="5"/>
  <c r="M1088" i="5" s="1"/>
  <c r="D1088" i="5"/>
  <c r="L971" i="5"/>
  <c r="M971" i="5" s="1"/>
  <c r="D971" i="5"/>
  <c r="L656" i="5"/>
  <c r="M656" i="5" s="1"/>
  <c r="D656" i="5"/>
  <c r="L614" i="5"/>
  <c r="M614" i="5" s="1"/>
  <c r="D614" i="5"/>
  <c r="L1319" i="5"/>
  <c r="M1319" i="5" s="1"/>
  <c r="D1319" i="5"/>
  <c r="D1300" i="5"/>
  <c r="L1300" i="5"/>
  <c r="M1300" i="5" s="1"/>
  <c r="L278" i="5"/>
  <c r="M278" i="5" s="1"/>
  <c r="D278" i="5"/>
  <c r="L756" i="5"/>
  <c r="M756" i="5" s="1"/>
  <c r="D756" i="5"/>
  <c r="AD747" i="5"/>
  <c r="AC747" i="5"/>
  <c r="L655" i="5"/>
  <c r="M655" i="5" s="1"/>
  <c r="D655" i="5"/>
  <c r="L1039" i="5"/>
  <c r="M1039" i="5" s="1"/>
  <c r="D1039" i="5"/>
  <c r="L447" i="5"/>
  <c r="M447" i="5" s="1"/>
  <c r="D447" i="5"/>
  <c r="D307" i="5"/>
  <c r="L307" i="5"/>
  <c r="M307" i="5" s="1"/>
  <c r="AD432" i="5"/>
  <c r="AC432" i="5"/>
  <c r="D1177" i="5"/>
  <c r="L1177" i="5"/>
  <c r="M1177" i="5" s="1"/>
  <c r="AD172" i="5"/>
  <c r="AC172" i="5"/>
  <c r="L715" i="5"/>
  <c r="M715" i="5" s="1"/>
  <c r="D715" i="5"/>
  <c r="L640" i="5"/>
  <c r="M640" i="5" s="1"/>
  <c r="D640" i="5"/>
  <c r="L1560" i="5"/>
  <c r="M1560" i="5" s="1"/>
  <c r="D1560" i="5"/>
  <c r="AD857" i="5"/>
  <c r="AC857" i="5"/>
  <c r="D1472" i="5"/>
  <c r="L1472" i="5"/>
  <c r="M1472" i="5" s="1"/>
  <c r="D230" i="5"/>
  <c r="L230" i="5"/>
  <c r="M230" i="5" s="1"/>
  <c r="D1538" i="5"/>
  <c r="L1538" i="5"/>
  <c r="M1538" i="5" s="1"/>
  <c r="L1645" i="5"/>
  <c r="M1645" i="5" s="1"/>
  <c r="D1645" i="5"/>
  <c r="L615" i="5"/>
  <c r="M615" i="5" s="1"/>
  <c r="D615" i="5"/>
  <c r="D1581" i="5"/>
  <c r="L1581" i="5"/>
  <c r="M1581" i="5" s="1"/>
  <c r="D952" i="5"/>
  <c r="L952" i="5"/>
  <c r="M952" i="5" s="1"/>
  <c r="D371" i="5"/>
  <c r="L371" i="5"/>
  <c r="M371" i="5" s="1"/>
  <c r="L1137" i="5"/>
  <c r="M1137" i="5" s="1"/>
  <c r="D1137" i="5"/>
  <c r="L1471" i="5"/>
  <c r="M1471" i="5" s="1"/>
  <c r="D1471" i="5"/>
  <c r="L233" i="5"/>
  <c r="M233" i="5" s="1"/>
  <c r="D233" i="5"/>
  <c r="L1742" i="5"/>
  <c r="M1742" i="5" s="1"/>
  <c r="D1742" i="5"/>
  <c r="AD882" i="5"/>
  <c r="AC882" i="5"/>
  <c r="L1013" i="5"/>
  <c r="M1013" i="5" s="1"/>
  <c r="D1013" i="5"/>
  <c r="D887" i="5"/>
  <c r="L887" i="5"/>
  <c r="M887" i="5" s="1"/>
  <c r="D1572" i="5"/>
  <c r="L1572" i="5"/>
  <c r="M1572" i="5" s="1"/>
  <c r="AC1262" i="5"/>
  <c r="AD1262" i="5"/>
  <c r="L481" i="5"/>
  <c r="M481" i="5" s="1"/>
  <c r="D481" i="5"/>
  <c r="D1442" i="5"/>
  <c r="L1442" i="5"/>
  <c r="M1442" i="5" s="1"/>
  <c r="D111" i="5"/>
  <c r="L111" i="5"/>
  <c r="M111" i="5" s="1"/>
  <c r="D1415" i="5"/>
  <c r="L1415" i="5"/>
  <c r="M1415" i="5" s="1"/>
  <c r="L566" i="5"/>
  <c r="M566" i="5" s="1"/>
  <c r="D566" i="5"/>
  <c r="AC1317" i="5"/>
  <c r="AD1317" i="5"/>
  <c r="D734" i="5"/>
  <c r="L734" i="5"/>
  <c r="M734" i="5" s="1"/>
  <c r="D659" i="5"/>
  <c r="L659" i="5"/>
  <c r="M659" i="5" s="1"/>
  <c r="D520" i="5"/>
  <c r="L520" i="5"/>
  <c r="M520" i="5" s="1"/>
  <c r="D1139" i="5"/>
  <c r="L1139" i="5"/>
  <c r="M1139" i="5" s="1"/>
  <c r="AD127" i="5"/>
  <c r="AC127" i="5"/>
  <c r="D828" i="5"/>
  <c r="L828" i="5"/>
  <c r="M828" i="5" s="1"/>
  <c r="AD907" i="5"/>
  <c r="AC907" i="5"/>
  <c r="L128" i="5"/>
  <c r="M128" i="5" s="1"/>
  <c r="D128" i="5"/>
  <c r="AC862" i="5"/>
  <c r="AD862" i="5"/>
  <c r="D258" i="5"/>
  <c r="L258" i="5"/>
  <c r="M258" i="5" s="1"/>
  <c r="AD1207" i="5"/>
  <c r="AC1207" i="5"/>
  <c r="D36" i="5"/>
  <c r="L36" i="5"/>
  <c r="M36" i="5" s="1"/>
  <c r="AC1472" i="5"/>
  <c r="AD1472" i="5"/>
  <c r="D1459" i="5"/>
  <c r="L1459" i="5"/>
  <c r="M1459" i="5" s="1"/>
  <c r="D277" i="5"/>
  <c r="L277" i="5"/>
  <c r="M277" i="5" s="1"/>
  <c r="D1036" i="5"/>
  <c r="L1036" i="5"/>
  <c r="M1036" i="5" s="1"/>
  <c r="D108" i="5"/>
  <c r="L108" i="5"/>
  <c r="M108" i="5" s="1"/>
  <c r="D517" i="5"/>
  <c r="L517" i="5"/>
  <c r="M517" i="5" s="1"/>
  <c r="L98" i="5"/>
  <c r="M98" i="5" s="1"/>
  <c r="D98" i="5"/>
  <c r="AC1467" i="5"/>
  <c r="AD1467" i="5"/>
  <c r="L1344" i="5"/>
  <c r="M1344" i="5" s="1"/>
  <c r="D1344" i="5"/>
  <c r="D616" i="5"/>
  <c r="L616" i="5"/>
  <c r="M616" i="5" s="1"/>
  <c r="D181" i="5"/>
  <c r="L181" i="5"/>
  <c r="M181" i="5" s="1"/>
  <c r="D1592" i="5"/>
  <c r="L1592" i="5"/>
  <c r="M1592" i="5" s="1"/>
  <c r="D1017" i="5"/>
  <c r="L1017" i="5"/>
  <c r="M1017" i="5" s="1"/>
  <c r="AD232" i="5"/>
  <c r="AC232" i="5"/>
  <c r="D986" i="5"/>
  <c r="L986" i="5"/>
  <c r="M986" i="5" s="1"/>
  <c r="D414" i="5"/>
  <c r="L414" i="5"/>
  <c r="M414" i="5" s="1"/>
  <c r="D1708" i="5"/>
  <c r="L1708" i="5"/>
  <c r="M1708" i="5" s="1"/>
  <c r="L165" i="5"/>
  <c r="M165" i="5" s="1"/>
  <c r="D165" i="5"/>
  <c r="L538" i="5"/>
  <c r="M538" i="5" s="1"/>
  <c r="D538" i="5"/>
  <c r="D526" i="5"/>
  <c r="L526" i="5"/>
  <c r="M526" i="5" s="1"/>
  <c r="L583" i="5"/>
  <c r="M583" i="5" s="1"/>
  <c r="D583" i="5"/>
  <c r="D826" i="5"/>
  <c r="L826" i="5"/>
  <c r="M826" i="5" s="1"/>
  <c r="D1228" i="5"/>
  <c r="L1228" i="5"/>
  <c r="M1228" i="5" s="1"/>
  <c r="D376" i="5"/>
  <c r="L376" i="5"/>
  <c r="M376" i="5" s="1"/>
  <c r="D844" i="5"/>
  <c r="L844" i="5"/>
  <c r="M844" i="5" s="1"/>
  <c r="AC917" i="5"/>
  <c r="AD917" i="5"/>
  <c r="AC1177" i="5"/>
  <c r="AD1177" i="5"/>
  <c r="D149" i="5"/>
  <c r="L149" i="5"/>
  <c r="M149" i="5" s="1"/>
  <c r="D39" i="5"/>
  <c r="L39" i="5"/>
  <c r="M39" i="5" s="1"/>
  <c r="L737" i="5"/>
  <c r="M737" i="5" s="1"/>
  <c r="D737" i="5"/>
  <c r="L1247" i="5"/>
  <c r="M1247" i="5" s="1"/>
  <c r="D1247" i="5"/>
  <c r="D1589" i="5"/>
  <c r="L1589" i="5"/>
  <c r="M1589" i="5" s="1"/>
  <c r="D906" i="5"/>
  <c r="L906" i="5"/>
  <c r="M906" i="5" s="1"/>
  <c r="L663" i="5"/>
  <c r="M663" i="5" s="1"/>
  <c r="D663" i="5"/>
  <c r="AD757" i="5"/>
  <c r="AC757" i="5"/>
  <c r="L1129" i="5"/>
  <c r="M1129" i="5" s="1"/>
  <c r="D1129" i="5"/>
  <c r="L425" i="5"/>
  <c r="M425" i="5" s="1"/>
  <c r="D425" i="5"/>
  <c r="AD677" i="5"/>
  <c r="AC677" i="5"/>
  <c r="D827" i="5"/>
  <c r="L827" i="5"/>
  <c r="M827" i="5" s="1"/>
  <c r="D1275" i="5"/>
  <c r="L1275" i="5"/>
  <c r="M1275" i="5" s="1"/>
  <c r="D897" i="5"/>
  <c r="L897" i="5"/>
  <c r="M897" i="5" s="1"/>
  <c r="L120" i="5"/>
  <c r="M120" i="5" s="1"/>
  <c r="D120" i="5"/>
  <c r="L580" i="5"/>
  <c r="M580" i="5" s="1"/>
  <c r="D580" i="5"/>
  <c r="L1030" i="5"/>
  <c r="M1030" i="5" s="1"/>
  <c r="D1030" i="5"/>
  <c r="L1693" i="5"/>
  <c r="M1693" i="5" s="1"/>
  <c r="D1693" i="5"/>
  <c r="D114" i="5"/>
  <c r="L114" i="5"/>
  <c r="M114" i="5" s="1"/>
  <c r="L732" i="5"/>
  <c r="M732" i="5" s="1"/>
  <c r="D732" i="5"/>
  <c r="D41" i="5"/>
  <c r="L41" i="5"/>
  <c r="M41" i="5" s="1"/>
  <c r="AC67" i="5"/>
  <c r="AD67" i="5"/>
  <c r="AC957" i="5"/>
  <c r="AD957" i="5"/>
  <c r="L730" i="5"/>
  <c r="M730" i="5" s="1"/>
  <c r="D730" i="5"/>
  <c r="L642" i="5"/>
  <c r="M642" i="5" s="1"/>
  <c r="D642" i="5"/>
  <c r="L172" i="5"/>
  <c r="M172" i="5" s="1"/>
  <c r="D172" i="5"/>
  <c r="AC782" i="5"/>
  <c r="AD782" i="5"/>
  <c r="AC1537" i="5"/>
  <c r="AD1537" i="5"/>
  <c r="D1366" i="5"/>
  <c r="L1366" i="5"/>
  <c r="M1366" i="5" s="1"/>
  <c r="AD352" i="5"/>
  <c r="AC352" i="5"/>
  <c r="AC647" i="5"/>
  <c r="AD647" i="5"/>
  <c r="L1657" i="5"/>
  <c r="M1657" i="5" s="1"/>
  <c r="D1657" i="5"/>
  <c r="L945" i="5"/>
  <c r="M945" i="5" s="1"/>
  <c r="D945" i="5"/>
  <c r="AC572" i="5"/>
  <c r="AD572" i="5"/>
  <c r="D429" i="5"/>
  <c r="L429" i="5"/>
  <c r="M429" i="5" s="1"/>
  <c r="L528" i="5"/>
  <c r="M528" i="5" s="1"/>
  <c r="D528" i="5"/>
  <c r="D932" i="5"/>
  <c r="L932" i="5"/>
  <c r="M932" i="5" s="1"/>
  <c r="D434" i="5"/>
  <c r="L434" i="5"/>
  <c r="M434" i="5" s="1"/>
  <c r="D560" i="5"/>
  <c r="L560" i="5"/>
  <c r="M560" i="5" s="1"/>
  <c r="D99" i="5"/>
  <c r="L99" i="5"/>
  <c r="M99" i="5" s="1"/>
  <c r="D831" i="5"/>
  <c r="L831" i="5"/>
  <c r="M831" i="5" s="1"/>
  <c r="L776" i="5"/>
  <c r="M776" i="5" s="1"/>
  <c r="D776" i="5"/>
  <c r="L496" i="5"/>
  <c r="M496" i="5" s="1"/>
  <c r="D496" i="5"/>
  <c r="D467" i="5"/>
  <c r="L467" i="5"/>
  <c r="M467" i="5" s="1"/>
  <c r="D209" i="5"/>
  <c r="L209" i="5"/>
  <c r="M209" i="5" s="1"/>
  <c r="D236" i="5"/>
  <c r="L236" i="5"/>
  <c r="M236" i="5" s="1"/>
  <c r="D338" i="5"/>
  <c r="L338" i="5"/>
  <c r="M338" i="5" s="1"/>
  <c r="L943" i="5"/>
  <c r="M943" i="5" s="1"/>
  <c r="D943" i="5"/>
  <c r="AC42" i="5"/>
  <c r="AD42" i="5"/>
  <c r="L633" i="5"/>
  <c r="M633" i="5" s="1"/>
  <c r="D633" i="5"/>
  <c r="L1040" i="5"/>
  <c r="M1040" i="5" s="1"/>
  <c r="D1040" i="5"/>
  <c r="L1440" i="5"/>
  <c r="M1440" i="5" s="1"/>
  <c r="D1440" i="5"/>
  <c r="L534" i="5"/>
  <c r="M534" i="5" s="1"/>
  <c r="D534" i="5"/>
  <c r="AD437" i="5"/>
  <c r="AC437" i="5"/>
  <c r="AD1367" i="5"/>
  <c r="AC1367" i="5"/>
  <c r="D1694" i="5"/>
  <c r="L1694" i="5"/>
  <c r="M1694" i="5" s="1"/>
  <c r="D1711" i="5"/>
  <c r="L1711" i="5"/>
  <c r="M1711" i="5" s="1"/>
  <c r="D63" i="5"/>
  <c r="L63" i="5"/>
  <c r="M63" i="5" s="1"/>
  <c r="D947" i="5"/>
  <c r="L947" i="5"/>
  <c r="M947" i="5" s="1"/>
  <c r="D1237" i="5"/>
  <c r="L1237" i="5"/>
  <c r="M1237" i="5" s="1"/>
  <c r="AC937" i="5"/>
  <c r="AD937" i="5"/>
  <c r="L1365" i="5"/>
  <c r="M1365" i="5" s="1"/>
  <c r="D1365" i="5"/>
  <c r="AC652" i="5"/>
  <c r="AD652" i="5"/>
  <c r="D910" i="5"/>
  <c r="L910" i="5"/>
  <c r="M910" i="5" s="1"/>
  <c r="L1496" i="5"/>
  <c r="M1496" i="5" s="1"/>
  <c r="D1496" i="5"/>
  <c r="D1612" i="5"/>
  <c r="L1612" i="5"/>
  <c r="M1612" i="5" s="1"/>
  <c r="L987" i="5"/>
  <c r="M987" i="5" s="1"/>
  <c r="D987" i="5"/>
  <c r="D1066" i="5"/>
  <c r="L1066" i="5"/>
  <c r="M1066" i="5" s="1"/>
  <c r="D1503" i="5"/>
  <c r="L1503" i="5"/>
  <c r="M1503" i="5" s="1"/>
  <c r="AC662" i="5"/>
  <c r="AD662" i="5"/>
  <c r="L394" i="5"/>
  <c r="M394" i="5" s="1"/>
  <c r="D394" i="5"/>
  <c r="D426" i="5"/>
  <c r="L426" i="5"/>
  <c r="M426" i="5" s="1"/>
  <c r="D1181" i="5"/>
  <c r="L1181" i="5"/>
  <c r="M1181" i="5" s="1"/>
  <c r="D1468" i="5"/>
  <c r="L1468" i="5"/>
  <c r="M1468" i="5" s="1"/>
  <c r="L1251" i="5"/>
  <c r="M1251" i="5" s="1"/>
  <c r="D1251" i="5"/>
  <c r="L1649" i="5"/>
  <c r="M1649" i="5" s="1"/>
  <c r="D1649" i="5"/>
  <c r="AD1382" i="5"/>
  <c r="AC1382" i="5"/>
  <c r="D73" i="5"/>
  <c r="L73" i="5"/>
  <c r="M73" i="5" s="1"/>
  <c r="D334" i="5"/>
  <c r="L334" i="5"/>
  <c r="M334" i="5" s="1"/>
  <c r="L1524" i="5"/>
  <c r="M1524" i="5" s="1"/>
  <c r="D1524" i="5"/>
  <c r="D1292" i="5"/>
  <c r="L1292" i="5"/>
  <c r="M1292" i="5" s="1"/>
  <c r="D1606" i="5"/>
  <c r="L1606" i="5"/>
  <c r="M1606" i="5" s="1"/>
  <c r="D574" i="5"/>
  <c r="L574" i="5"/>
  <c r="M574" i="5" s="1"/>
  <c r="AC772" i="5"/>
  <c r="AD772" i="5"/>
  <c r="D474" i="5"/>
  <c r="L474" i="5"/>
  <c r="M474" i="5" s="1"/>
  <c r="D1429" i="5"/>
  <c r="L1429" i="5"/>
  <c r="M1429" i="5" s="1"/>
  <c r="L1108" i="5"/>
  <c r="M1108" i="5" s="1"/>
  <c r="D1108" i="5"/>
  <c r="D507" i="5"/>
  <c r="L507" i="5"/>
  <c r="M507" i="5" s="1"/>
  <c r="D1193" i="5"/>
  <c r="L1193" i="5"/>
  <c r="M1193" i="5" s="1"/>
  <c r="AC417" i="5"/>
  <c r="AD417" i="5"/>
  <c r="L834" i="5"/>
  <c r="M834" i="5" s="1"/>
  <c r="D834" i="5"/>
  <c r="L1164" i="5"/>
  <c r="M1164" i="5" s="1"/>
  <c r="D1164" i="5"/>
  <c r="D175" i="5"/>
  <c r="L175" i="5"/>
  <c r="M175" i="5" s="1"/>
  <c r="L33" i="5"/>
  <c r="M33" i="5" s="1"/>
  <c r="D33" i="5"/>
  <c r="AC632" i="5"/>
  <c r="AD632" i="5"/>
  <c r="D499" i="5"/>
  <c r="L499" i="5"/>
  <c r="M499" i="5" s="1"/>
  <c r="D1026" i="5"/>
  <c r="L1026" i="5"/>
  <c r="M1026" i="5" s="1"/>
  <c r="D1407" i="5"/>
  <c r="L1407" i="5"/>
  <c r="M1407" i="5" s="1"/>
  <c r="D888" i="5"/>
  <c r="L888" i="5"/>
  <c r="M888" i="5" s="1"/>
  <c r="L311" i="5"/>
  <c r="M311" i="5" s="1"/>
  <c r="D311" i="5"/>
  <c r="L968" i="5"/>
  <c r="M968" i="5" s="1"/>
  <c r="D968" i="5"/>
  <c r="D1052" i="5"/>
  <c r="L1052" i="5"/>
  <c r="M1052" i="5" s="1"/>
  <c r="L1258" i="5"/>
  <c r="M1258" i="5" s="1"/>
  <c r="D1258" i="5"/>
  <c r="L1509" i="5"/>
  <c r="M1509" i="5" s="1"/>
  <c r="D1509" i="5"/>
  <c r="D1542" i="5"/>
  <c r="L1542" i="5"/>
  <c r="M1542" i="5" s="1"/>
  <c r="L216" i="5"/>
  <c r="M216" i="5" s="1"/>
  <c r="D216" i="5"/>
  <c r="D953" i="5"/>
  <c r="L953" i="5"/>
  <c r="M953" i="5" s="1"/>
  <c r="L1741" i="5"/>
  <c r="M1741" i="5" s="1"/>
  <c r="D1741" i="5"/>
  <c r="AD2" i="5"/>
  <c r="AC2" i="5"/>
  <c r="AC1707" i="5"/>
  <c r="AD1707" i="5"/>
  <c r="L689" i="5"/>
  <c r="M689" i="5" s="1"/>
  <c r="D689" i="5"/>
  <c r="D1084" i="5"/>
  <c r="L1084" i="5"/>
  <c r="M1084" i="5" s="1"/>
  <c r="L1034" i="5"/>
  <c r="M1034" i="5" s="1"/>
  <c r="D1034" i="5"/>
  <c r="D1725" i="5"/>
  <c r="L1725" i="5"/>
  <c r="M1725" i="5" s="1"/>
  <c r="D930" i="5"/>
  <c r="L930" i="5"/>
  <c r="M930" i="5" s="1"/>
  <c r="AD202" i="5"/>
  <c r="AC202" i="5"/>
  <c r="D863" i="5"/>
  <c r="L863" i="5"/>
  <c r="M863" i="5" s="1"/>
  <c r="L1454" i="5"/>
  <c r="M1454" i="5" s="1"/>
  <c r="D1454" i="5"/>
  <c r="D1739" i="5"/>
  <c r="L1739" i="5"/>
  <c r="M1739" i="5" s="1"/>
  <c r="L1515" i="5"/>
  <c r="M1515" i="5" s="1"/>
  <c r="D1515" i="5"/>
  <c r="D235" i="5"/>
  <c r="L235" i="5"/>
  <c r="M235" i="5" s="1"/>
  <c r="D1586" i="5"/>
  <c r="L1586" i="5"/>
  <c r="M1586" i="5" s="1"/>
  <c r="D245" i="5"/>
  <c r="L245" i="5"/>
  <c r="M245" i="5" s="1"/>
  <c r="L288" i="5"/>
  <c r="M288" i="5" s="1"/>
  <c r="D288" i="5"/>
  <c r="D1641" i="5"/>
  <c r="L1641" i="5"/>
  <c r="M1641" i="5" s="1"/>
  <c r="L454" i="5"/>
  <c r="M454" i="5" s="1"/>
  <c r="D454" i="5"/>
  <c r="AC737" i="5"/>
  <c r="AD737" i="5"/>
  <c r="L174" i="5"/>
  <c r="M174" i="5" s="1"/>
  <c r="D174" i="5"/>
  <c r="L190" i="5"/>
  <c r="M190" i="5" s="1"/>
  <c r="D190" i="5"/>
  <c r="D1483" i="5"/>
  <c r="L1483" i="5"/>
  <c r="M1483" i="5" s="1"/>
  <c r="AC992" i="5"/>
  <c r="AD992" i="5"/>
  <c r="D343" i="5"/>
  <c r="L343" i="5"/>
  <c r="M343" i="5" s="1"/>
  <c r="L1051" i="5"/>
  <c r="M1051" i="5" s="1"/>
  <c r="D1051" i="5"/>
  <c r="L494" i="5"/>
  <c r="M494" i="5" s="1"/>
  <c r="D494" i="5"/>
  <c r="L523" i="5"/>
  <c r="M523" i="5" s="1"/>
  <c r="D523" i="5"/>
  <c r="AD1527" i="5"/>
  <c r="AC1527" i="5"/>
  <c r="L1681" i="5"/>
  <c r="M1681" i="5" s="1"/>
  <c r="D1681" i="5"/>
  <c r="AC262" i="5"/>
  <c r="AD262" i="5"/>
  <c r="L1037" i="5"/>
  <c r="M1037" i="5" s="1"/>
  <c r="D1037" i="5"/>
  <c r="L957" i="5"/>
  <c r="M957" i="5" s="1"/>
  <c r="D957" i="5"/>
  <c r="L1172" i="5"/>
  <c r="M1172" i="5" s="1"/>
  <c r="D1172" i="5"/>
  <c r="D1669" i="5"/>
  <c r="L1669" i="5"/>
  <c r="M1669" i="5" s="1"/>
  <c r="D23" i="5"/>
  <c r="L23" i="5"/>
  <c r="M23" i="5" s="1"/>
  <c r="D1616" i="5"/>
  <c r="L1616" i="5"/>
  <c r="M1616" i="5" s="1"/>
  <c r="AC1257" i="5"/>
  <c r="AD1257" i="5"/>
  <c r="L605" i="5"/>
  <c r="M605" i="5" s="1"/>
  <c r="D605" i="5"/>
  <c r="L1369" i="5"/>
  <c r="M1369" i="5" s="1"/>
  <c r="D1369" i="5"/>
  <c r="L74" i="5"/>
  <c r="M74" i="5" s="1"/>
  <c r="D74" i="5"/>
  <c r="D250" i="5"/>
  <c r="L250" i="5"/>
  <c r="M250" i="5" s="1"/>
  <c r="AD1072" i="5"/>
  <c r="AC1072" i="5"/>
  <c r="AC1337" i="5"/>
  <c r="AD1337" i="5"/>
  <c r="L1650" i="5"/>
  <c r="M1650" i="5" s="1"/>
  <c r="D1650" i="5"/>
  <c r="L1112" i="5"/>
  <c r="M1112" i="5" s="1"/>
  <c r="D1112" i="5"/>
  <c r="D1617" i="5"/>
  <c r="L1617" i="5"/>
  <c r="M1617" i="5" s="1"/>
  <c r="AD627" i="5"/>
  <c r="AC627" i="5"/>
  <c r="L800" i="5"/>
  <c r="M800" i="5" s="1"/>
  <c r="D800" i="5"/>
  <c r="D890" i="5"/>
  <c r="L890" i="5"/>
  <c r="M890" i="5" s="1"/>
  <c r="L1004" i="5"/>
  <c r="M1004" i="5" s="1"/>
  <c r="D1004" i="5"/>
  <c r="D356" i="5"/>
  <c r="L356" i="5"/>
  <c r="M356" i="5" s="1"/>
  <c r="AC657" i="5"/>
  <c r="AD657" i="5"/>
  <c r="D1035" i="5"/>
  <c r="L1035" i="5"/>
  <c r="M1035" i="5" s="1"/>
  <c r="L789" i="5"/>
  <c r="M789" i="5" s="1"/>
  <c r="D789" i="5"/>
  <c r="D89" i="5"/>
  <c r="L89" i="5"/>
  <c r="M89" i="5" s="1"/>
  <c r="D1212" i="5"/>
  <c r="L1212" i="5"/>
  <c r="M1212" i="5" s="1"/>
  <c r="D238" i="5"/>
  <c r="L238" i="5"/>
  <c r="M238" i="5" s="1"/>
  <c r="L7" i="5"/>
  <c r="M7" i="5" s="1"/>
  <c r="D7" i="5"/>
  <c r="D704" i="5"/>
  <c r="L704" i="5"/>
  <c r="M704" i="5" s="1"/>
  <c r="AC282" i="5"/>
  <c r="AD282" i="5"/>
  <c r="L484" i="5"/>
  <c r="M484" i="5" s="1"/>
  <c r="D484" i="5"/>
  <c r="AD542" i="5"/>
  <c r="AC542" i="5"/>
  <c r="D1698" i="5"/>
  <c r="L1698" i="5"/>
  <c r="M1698" i="5" s="1"/>
  <c r="D669" i="5"/>
  <c r="L669" i="5"/>
  <c r="M669" i="5" s="1"/>
  <c r="L1533" i="5"/>
  <c r="M1533" i="5" s="1"/>
  <c r="D1533" i="5"/>
  <c r="D929" i="5"/>
  <c r="L929" i="5"/>
  <c r="M929" i="5" s="1"/>
  <c r="AD897" i="5"/>
  <c r="AC897" i="5"/>
  <c r="D1730" i="5"/>
  <c r="L1730" i="5"/>
  <c r="M1730" i="5" s="1"/>
  <c r="L1655" i="5"/>
  <c r="M1655" i="5" s="1"/>
  <c r="D1655" i="5"/>
  <c r="L657" i="5"/>
  <c r="M657" i="5" s="1"/>
  <c r="D657" i="5"/>
  <c r="L858" i="5"/>
  <c r="M858" i="5" s="1"/>
  <c r="D858" i="5"/>
  <c r="L586" i="5"/>
  <c r="M586" i="5" s="1"/>
  <c r="D586" i="5"/>
  <c r="D1431" i="5"/>
  <c r="L1431" i="5"/>
  <c r="M1431" i="5" s="1"/>
  <c r="L1058" i="5"/>
  <c r="M1058" i="5" s="1"/>
  <c r="D1058" i="5"/>
  <c r="AD602" i="5"/>
  <c r="AC602" i="5"/>
  <c r="D983" i="5"/>
  <c r="L983" i="5"/>
  <c r="M983" i="5" s="1"/>
  <c r="D1678" i="5"/>
  <c r="L1678" i="5"/>
  <c r="M1678" i="5" s="1"/>
  <c r="D1201" i="5"/>
  <c r="L1201" i="5"/>
  <c r="M1201" i="5" s="1"/>
  <c r="AC312" i="5"/>
  <c r="AD312" i="5"/>
  <c r="L522" i="5"/>
  <c r="M522" i="5" s="1"/>
  <c r="D522" i="5"/>
  <c r="L1401" i="5"/>
  <c r="M1401" i="5" s="1"/>
  <c r="D1401" i="5"/>
  <c r="L594" i="5"/>
  <c r="M594" i="5" s="1"/>
  <c r="D594" i="5"/>
  <c r="AC162" i="5"/>
  <c r="AD162" i="5"/>
  <c r="D597" i="5"/>
  <c r="L597" i="5"/>
  <c r="M597" i="5" s="1"/>
  <c r="D851" i="5"/>
  <c r="L851" i="5"/>
  <c r="M851" i="5" s="1"/>
  <c r="L1157" i="5"/>
  <c r="M1157" i="5" s="1"/>
  <c r="D1157" i="5"/>
  <c r="L1376" i="5"/>
  <c r="M1376" i="5" s="1"/>
  <c r="D1376" i="5"/>
  <c r="D1239" i="5"/>
  <c r="L1239" i="5"/>
  <c r="M1239" i="5" s="1"/>
  <c r="L97" i="5"/>
  <c r="M97" i="5" s="1"/>
  <c r="D97" i="5"/>
  <c r="D1501" i="5"/>
  <c r="L1501" i="5"/>
  <c r="M1501" i="5" s="1"/>
  <c r="L185" i="5"/>
  <c r="M185" i="5" s="1"/>
  <c r="D185" i="5"/>
  <c r="D38" i="5"/>
  <c r="L38" i="5"/>
  <c r="M38" i="5" s="1"/>
  <c r="AC297" i="5"/>
  <c r="AD297" i="5"/>
  <c r="L84" i="5"/>
  <c r="M84" i="5" s="1"/>
  <c r="D84" i="5"/>
  <c r="D1068" i="5"/>
  <c r="L1068" i="5"/>
  <c r="M1068" i="5" s="1"/>
  <c r="L841" i="5"/>
  <c r="M841" i="5" s="1"/>
  <c r="D841" i="5"/>
  <c r="D1020" i="5"/>
  <c r="L1020" i="5"/>
  <c r="M1020" i="5" s="1"/>
  <c r="L592" i="5"/>
  <c r="M592" i="5" s="1"/>
  <c r="D592" i="5"/>
  <c r="L1561" i="5"/>
  <c r="M1561" i="5" s="1"/>
  <c r="D1561" i="5"/>
  <c r="L178" i="5"/>
  <c r="M178" i="5" s="1"/>
  <c r="D178" i="5"/>
  <c r="L1719" i="5"/>
  <c r="M1719" i="5" s="1"/>
  <c r="D1719" i="5"/>
  <c r="L1144" i="5"/>
  <c r="M1144" i="5" s="1"/>
  <c r="D1144" i="5"/>
  <c r="L372" i="5"/>
  <c r="M372" i="5" s="1"/>
  <c r="D372" i="5"/>
  <c r="D1023" i="5"/>
  <c r="L1023" i="5"/>
  <c r="M1023" i="5" s="1"/>
  <c r="L1709" i="5"/>
  <c r="M1709" i="5" s="1"/>
  <c r="D1709" i="5"/>
  <c r="L1530" i="5"/>
  <c r="M1530" i="5" s="1"/>
  <c r="D1530" i="5"/>
  <c r="L352" i="5"/>
  <c r="M352" i="5" s="1"/>
  <c r="D352" i="5"/>
  <c r="L1046" i="5"/>
  <c r="M1046" i="5" s="1"/>
  <c r="D1046" i="5"/>
  <c r="L923" i="5"/>
  <c r="M923" i="5" s="1"/>
  <c r="D923" i="5"/>
  <c r="L1331" i="5"/>
  <c r="M1331" i="5" s="1"/>
  <c r="D1331" i="5"/>
  <c r="D1463" i="5"/>
  <c r="L1463" i="5"/>
  <c r="M1463" i="5" s="1"/>
  <c r="AC362" i="5"/>
  <c r="AD362" i="5"/>
  <c r="D635" i="5"/>
  <c r="L635" i="5"/>
  <c r="M635" i="5" s="1"/>
  <c r="D21" i="5"/>
  <c r="L21" i="5"/>
  <c r="M21" i="5" s="1"/>
  <c r="D1095" i="5"/>
  <c r="L1095" i="5"/>
  <c r="M1095" i="5" s="1"/>
  <c r="L312" i="5"/>
  <c r="M312" i="5" s="1"/>
  <c r="D312" i="5"/>
  <c r="AC1117" i="5"/>
  <c r="AD1117" i="5"/>
  <c r="D916" i="5"/>
  <c r="L916" i="5"/>
  <c r="M916" i="5" s="1"/>
  <c r="D1456" i="5"/>
  <c r="L1456" i="5"/>
  <c r="M1456" i="5" s="1"/>
  <c r="AD1172" i="5"/>
  <c r="AC1172" i="5"/>
  <c r="D1155" i="5"/>
  <c r="L1155" i="5"/>
  <c r="M1155" i="5" s="1"/>
  <c r="D291" i="5"/>
  <c r="L291" i="5"/>
  <c r="M291" i="5" s="1"/>
  <c r="L417" i="5"/>
  <c r="M417" i="5" s="1"/>
  <c r="D417" i="5"/>
  <c r="L1444" i="5"/>
  <c r="M1444" i="5" s="1"/>
  <c r="D1444" i="5"/>
  <c r="AC1132" i="5"/>
  <c r="AD1132" i="5"/>
  <c r="AC317" i="5"/>
  <c r="AD317" i="5"/>
  <c r="L745" i="5"/>
  <c r="M745" i="5" s="1"/>
  <c r="D745" i="5"/>
  <c r="D511" i="5"/>
  <c r="L511" i="5"/>
  <c r="M511" i="5" s="1"/>
  <c r="D606" i="5"/>
  <c r="L606" i="5"/>
  <c r="M606" i="5" s="1"/>
  <c r="D161" i="5"/>
  <c r="L161" i="5"/>
  <c r="M161" i="5" s="1"/>
  <c r="D1361" i="5"/>
  <c r="L1361" i="5"/>
  <c r="M1361" i="5" s="1"/>
  <c r="D466" i="5"/>
  <c r="L466" i="5"/>
  <c r="M466" i="5" s="1"/>
  <c r="D1715" i="5"/>
  <c r="L1715" i="5"/>
  <c r="M1715" i="5" s="1"/>
  <c r="AC1127" i="5"/>
  <c r="AD1127" i="5"/>
  <c r="L609" i="5"/>
  <c r="M609" i="5" s="1"/>
  <c r="D609" i="5"/>
  <c r="D25" i="5"/>
  <c r="L25" i="5"/>
  <c r="M25" i="5" s="1"/>
  <c r="D142" i="5"/>
  <c r="L142" i="5"/>
  <c r="M142" i="5" s="1"/>
  <c r="L836" i="5"/>
  <c r="M836" i="5" s="1"/>
  <c r="D836" i="5"/>
  <c r="D504" i="5"/>
  <c r="L504" i="5"/>
  <c r="M504" i="5" s="1"/>
  <c r="D1697" i="5"/>
  <c r="L1697" i="5"/>
  <c r="M1697" i="5" s="1"/>
  <c r="D637" i="5"/>
  <c r="L637" i="5"/>
  <c r="M637" i="5" s="1"/>
  <c r="D1103" i="5"/>
  <c r="L1103" i="5"/>
  <c r="M1103" i="5" s="1"/>
  <c r="L1446" i="5"/>
  <c r="M1446" i="5" s="1"/>
  <c r="D1446" i="5"/>
  <c r="AC952" i="5"/>
  <c r="AD952" i="5"/>
  <c r="L300" i="5"/>
  <c r="M300" i="5" s="1"/>
  <c r="D300" i="5"/>
  <c r="L377" i="5"/>
  <c r="M377" i="5" s="1"/>
  <c r="D377" i="5"/>
  <c r="AD1002" i="5"/>
  <c r="AC1002" i="5"/>
  <c r="L28" i="5"/>
  <c r="M28" i="5" s="1"/>
  <c r="D28" i="5"/>
  <c r="D1635" i="5"/>
  <c r="L1635" i="5"/>
  <c r="M1635" i="5" s="1"/>
  <c r="D620" i="5"/>
  <c r="L620" i="5"/>
  <c r="M620" i="5" s="1"/>
  <c r="L1002" i="5"/>
  <c r="M1002" i="5" s="1"/>
  <c r="D1002" i="5"/>
  <c r="L263" i="5"/>
  <c r="M263" i="5" s="1"/>
  <c r="D263" i="5"/>
  <c r="L636" i="5"/>
  <c r="M636" i="5" s="1"/>
  <c r="D636" i="5"/>
  <c r="D133" i="5"/>
  <c r="L133" i="5"/>
  <c r="M133" i="5" s="1"/>
  <c r="L1077" i="5"/>
  <c r="M1077" i="5" s="1"/>
  <c r="D1077" i="5"/>
  <c r="AC52" i="5"/>
  <c r="AD52" i="5"/>
  <c r="D1630" i="5"/>
  <c r="L1630" i="5"/>
  <c r="M1630" i="5" s="1"/>
  <c r="D1424" i="5"/>
  <c r="L1424" i="5"/>
  <c r="M1424" i="5" s="1"/>
  <c r="D716" i="5"/>
  <c r="L716" i="5"/>
  <c r="M716" i="5" s="1"/>
  <c r="D1038" i="5"/>
  <c r="L1038" i="5"/>
  <c r="M1038" i="5" s="1"/>
  <c r="AC502" i="5"/>
  <c r="AD502" i="5"/>
  <c r="L301" i="5"/>
  <c r="M301" i="5" s="1"/>
  <c r="D301" i="5"/>
  <c r="L1413" i="5"/>
  <c r="M1413" i="5" s="1"/>
  <c r="D1413" i="5"/>
  <c r="L1321" i="5"/>
  <c r="M1321" i="5" s="1"/>
  <c r="D1321" i="5"/>
  <c r="D104" i="5"/>
  <c r="L104" i="5"/>
  <c r="M104" i="5" s="1"/>
  <c r="L875" i="5"/>
  <c r="M875" i="5" s="1"/>
  <c r="D875" i="5"/>
  <c r="AC72" i="5"/>
  <c r="AD72" i="5"/>
  <c r="D1449" i="5"/>
  <c r="L1449" i="5"/>
  <c r="M1449" i="5" s="1"/>
  <c r="L755" i="5"/>
  <c r="M755" i="5" s="1"/>
  <c r="D755" i="5"/>
  <c r="L928" i="5"/>
  <c r="M928" i="5" s="1"/>
  <c r="D928" i="5"/>
  <c r="L723" i="5"/>
  <c r="M723" i="5" s="1"/>
  <c r="D723" i="5"/>
  <c r="D610" i="5"/>
  <c r="L610" i="5"/>
  <c r="M610" i="5" s="1"/>
  <c r="D1458" i="5"/>
  <c r="L1458" i="5"/>
  <c r="M1458" i="5" s="1"/>
  <c r="D1447" i="5"/>
  <c r="L1447" i="5"/>
  <c r="M1447" i="5" s="1"/>
  <c r="L825" i="5"/>
  <c r="M825" i="5" s="1"/>
  <c r="D825" i="5"/>
  <c r="D1312" i="5"/>
  <c r="L1312" i="5"/>
  <c r="M1312" i="5" s="1"/>
  <c r="D247" i="5"/>
  <c r="L247" i="5"/>
  <c r="M247" i="5" s="1"/>
  <c r="D981" i="5"/>
  <c r="L981" i="5"/>
  <c r="M981" i="5" s="1"/>
  <c r="L407" i="5"/>
  <c r="M407" i="5" s="1"/>
  <c r="D407" i="5"/>
  <c r="D176" i="5"/>
  <c r="L176" i="5"/>
  <c r="M176" i="5" s="1"/>
  <c r="D1599" i="5"/>
  <c r="L1599" i="5"/>
  <c r="M1599" i="5" s="1"/>
  <c r="L1170" i="5"/>
  <c r="M1170" i="5" s="1"/>
  <c r="D1170" i="5"/>
  <c r="L1720" i="5"/>
  <c r="M1720" i="5" s="1"/>
  <c r="D1720" i="5"/>
  <c r="D617" i="5"/>
  <c r="L617" i="5"/>
  <c r="M617" i="5" s="1"/>
  <c r="L634" i="5"/>
  <c r="M634" i="5" s="1"/>
  <c r="D634" i="5"/>
  <c r="AD1252" i="5"/>
  <c r="AC1252" i="5"/>
  <c r="L105" i="5"/>
  <c r="M105" i="5" s="1"/>
  <c r="D105" i="5"/>
  <c r="L1713" i="5"/>
  <c r="M1713" i="5" s="1"/>
  <c r="D1713" i="5"/>
  <c r="D1461" i="5"/>
  <c r="L1461" i="5"/>
  <c r="M1461" i="5" s="1"/>
  <c r="L72" i="5"/>
  <c r="M72" i="5" s="1"/>
  <c r="D72" i="5"/>
  <c r="AD562" i="5"/>
  <c r="AC562" i="5"/>
  <c r="D390" i="5"/>
  <c r="L390" i="5"/>
  <c r="M390" i="5" s="1"/>
  <c r="AC622" i="5"/>
  <c r="AD622" i="5"/>
  <c r="D978" i="5"/>
  <c r="L978" i="5"/>
  <c r="M978" i="5" s="1"/>
  <c r="L1127" i="5"/>
  <c r="M1127" i="5" s="1"/>
  <c r="D1127" i="5"/>
  <c r="D1392" i="5"/>
  <c r="L1392" i="5"/>
  <c r="M1392" i="5" s="1"/>
  <c r="D740" i="5"/>
  <c r="L740" i="5"/>
  <c r="M740" i="5" s="1"/>
  <c r="L527" i="5"/>
  <c r="M527" i="5" s="1"/>
  <c r="D527" i="5"/>
  <c r="L331" i="5"/>
  <c r="M331" i="5" s="1"/>
  <c r="D331" i="5"/>
  <c r="L984" i="5"/>
  <c r="M984" i="5" s="1"/>
  <c r="D984" i="5"/>
  <c r="AD272" i="5"/>
  <c r="AC272" i="5"/>
  <c r="D724" i="5"/>
  <c r="L724" i="5"/>
  <c r="M724" i="5" s="1"/>
  <c r="AD1572" i="5"/>
  <c r="AC1572" i="5"/>
  <c r="L215" i="5"/>
  <c r="M215" i="5" s="1"/>
  <c r="D215" i="5"/>
  <c r="AD1357" i="5"/>
  <c r="AC1357" i="5"/>
  <c r="D136" i="5"/>
  <c r="L136" i="5"/>
  <c r="M136" i="5" s="1"/>
  <c r="AD812" i="5"/>
  <c r="AC812" i="5"/>
  <c r="L1010" i="5"/>
  <c r="M1010" i="5" s="1"/>
  <c r="D1010" i="5"/>
  <c r="D1163" i="5"/>
  <c r="L1163" i="5"/>
  <c r="M1163" i="5" s="1"/>
  <c r="AD1592" i="5"/>
  <c r="AC1592" i="5"/>
  <c r="L1554" i="5"/>
  <c r="M1554" i="5" s="1"/>
  <c r="D1554" i="5"/>
  <c r="D297" i="5"/>
  <c r="L297" i="5"/>
  <c r="M297" i="5" s="1"/>
  <c r="D1623" i="5"/>
  <c r="L1623" i="5"/>
  <c r="M1623" i="5" s="1"/>
  <c r="L1690" i="5"/>
  <c r="M1690" i="5" s="1"/>
  <c r="D1690" i="5"/>
  <c r="L129" i="5"/>
  <c r="M129" i="5" s="1"/>
  <c r="D129" i="5"/>
  <c r="D899" i="5"/>
  <c r="L899" i="5"/>
  <c r="M899" i="5" s="1"/>
  <c r="L714" i="5"/>
  <c r="M714" i="5" s="1"/>
  <c r="D714" i="5"/>
  <c r="D1018" i="5"/>
  <c r="L1018" i="5"/>
  <c r="M1018" i="5" s="1"/>
  <c r="D974" i="5"/>
  <c r="L974" i="5"/>
  <c r="M974" i="5" s="1"/>
  <c r="L59" i="5"/>
  <c r="M59" i="5" s="1"/>
  <c r="D59" i="5"/>
  <c r="D864" i="5"/>
  <c r="L864" i="5"/>
  <c r="M864" i="5" s="1"/>
  <c r="L905" i="5"/>
  <c r="M905" i="5" s="1"/>
  <c r="D905" i="5"/>
  <c r="D900" i="5"/>
  <c r="L900" i="5"/>
  <c r="M900" i="5" s="1"/>
  <c r="AC1232" i="5"/>
  <c r="AD1232" i="5"/>
  <c r="D1230" i="5"/>
  <c r="L1230" i="5"/>
  <c r="M1230" i="5" s="1"/>
  <c r="D1541" i="5"/>
  <c r="L1541" i="5"/>
  <c r="M1541" i="5" s="1"/>
  <c r="D412" i="5"/>
  <c r="L412" i="5"/>
  <c r="M412" i="5" s="1"/>
  <c r="D1371" i="5"/>
  <c r="L1371" i="5"/>
  <c r="M1371" i="5" s="1"/>
  <c r="L1395" i="5"/>
  <c r="M1395" i="5" s="1"/>
  <c r="D1395" i="5"/>
  <c r="L1714" i="5"/>
  <c r="M1714" i="5" s="1"/>
  <c r="D1714" i="5"/>
  <c r="D1320" i="5"/>
  <c r="L1320" i="5"/>
  <c r="M1320" i="5" s="1"/>
  <c r="D437" i="5"/>
  <c r="L437" i="5"/>
  <c r="M437" i="5" s="1"/>
  <c r="L1256" i="5"/>
  <c r="M1256" i="5" s="1"/>
  <c r="D125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author>
  </authors>
  <commentList>
    <comment ref="A333" authorId="0" shapeId="0" xr:uid="{2E53B7B6-31FF-4878-9303-3373877E9066}">
      <text>
        <r>
          <rPr>
            <b/>
            <sz val="9"/>
            <color indexed="81"/>
            <rFont val="Tahoma"/>
            <family val="2"/>
            <charset val="204"/>
          </rPr>
          <t>mr:</t>
        </r>
        <r>
          <rPr>
            <sz val="9"/>
            <color indexed="81"/>
            <rFont val="Tahoma"/>
            <family val="2"/>
            <charset val="204"/>
          </rPr>
          <t xml:space="preserve">
50 шт</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mr</author>
  </authors>
  <commentList>
    <comment ref="H1" authorId="0" shapeId="0" xr:uid="{847AE44E-DF3C-401B-B45C-2F00E2566D8D}">
      <text>
        <r>
          <rPr>
            <b/>
            <sz val="9"/>
            <color indexed="81"/>
            <rFont val="Tahoma"/>
            <family val="2"/>
            <charset val="204"/>
          </rPr>
          <t>mr:</t>
        </r>
        <r>
          <rPr>
            <sz val="9"/>
            <color indexed="81"/>
            <rFont val="Tahoma"/>
            <family val="2"/>
            <charset val="204"/>
          </rPr>
          <t xml:space="preserve">
для калькулятора</t>
        </r>
      </text>
    </comment>
  </commentList>
</comments>
</file>

<file path=xl/sharedStrings.xml><?xml version="1.0" encoding="utf-8"?>
<sst xmlns="http://schemas.openxmlformats.org/spreadsheetml/2006/main" count="8787" uniqueCount="972">
  <si>
    <t>sale</t>
  </si>
  <si>
    <t>х</t>
  </si>
  <si>
    <t>&lt;img alt="" src="https://korobkikartonnyekupit.by/wp-content/uploads/2025/08/logo101.png" /&gt;</t>
  </si>
  <si>
    <t>Распродажа 💥	&amp;emsp;</t>
  </si>
  <si>
    <t>SKU</t>
  </si>
  <si>
    <t>Для вставки на сайт</t>
  </si>
  <si>
    <t>Тип</t>
  </si>
  <si>
    <t>Fefco</t>
  </si>
  <si>
    <t>Профиль В Е</t>
  </si>
  <si>
    <t>Ц или М</t>
  </si>
  <si>
    <t>230х85х150</t>
  </si>
  <si>
    <t>380х160х100</t>
  </si>
  <si>
    <t>460х410х390</t>
  </si>
  <si>
    <t>460х310х490</t>
  </si>
  <si>
    <t>585х385х500</t>
  </si>
  <si>
    <t>280х220х500</t>
  </si>
  <si>
    <t>405х55х605</t>
  </si>
  <si>
    <t>160х150х800</t>
  </si>
  <si>
    <t>Ч</t>
  </si>
  <si>
    <t>0201</t>
  </si>
  <si>
    <t>0215</t>
  </si>
  <si>
    <t>В</t>
  </si>
  <si>
    <t>Д</t>
  </si>
  <si>
    <t>Ш</t>
  </si>
  <si>
    <t>Закуп без НДС</t>
  </si>
  <si>
    <t>Форма чья?</t>
  </si>
  <si>
    <t>Цена м2 руб без НДС</t>
  </si>
  <si>
    <t>У</t>
  </si>
  <si>
    <t>№</t>
  </si>
  <si>
    <t>Длинные</t>
  </si>
  <si>
    <t>Плоские</t>
  </si>
  <si>
    <t>✔️ Коробки</t>
  </si>
  <si>
    <t>Наибольшая сторона, мм	&amp;emsp;</t>
  </si>
  <si>
    <t>Средняя сторона, мм	&amp;emsp;</t>
  </si>
  <si>
    <t>Наименьшая сторона, мм	&amp;emsp;</t>
  </si>
  <si>
    <t>&lt;&lt; Закуп коробка без НДС</t>
  </si>
  <si>
    <t>Закуп коробка с НДС</t>
  </si>
  <si>
    <t>Продажа коробка без НДС</t>
  </si>
  <si>
    <t>Продажа коробка
с НДС</t>
  </si>
  <si>
    <t xml:space="preserve">  +
прибыль с коробка</t>
  </si>
  <si>
    <t xml:space="preserve">50-90 шт - </t>
  </si>
  <si>
    <t xml:space="preserve">100-290 шт - </t>
  </si>
  <si>
    <t xml:space="preserve">300-490 шт - </t>
  </si>
  <si>
    <t xml:space="preserve">500-990 шт - </t>
  </si>
  <si>
    <t xml:space="preserve">1000 + шт - </t>
  </si>
  <si>
    <t xml:space="preserve"> руб / шт с НДС</t>
  </si>
  <si>
    <t>Название</t>
  </si>
  <si>
    <t>Заказ шт</t>
  </si>
  <si>
    <t>50-90 шт</t>
  </si>
  <si>
    <t>100-290 шт</t>
  </si>
  <si>
    <t>300-490 шт</t>
  </si>
  <si>
    <t>500-990 шт</t>
  </si>
  <si>
    <t>1000 + шт</t>
  </si>
  <si>
    <t>Объем, л</t>
  </si>
  <si>
    <t>Объем	&amp;emsp;</t>
  </si>
  <si>
    <t>Тип коробки	&amp;emsp;</t>
  </si>
  <si>
    <t>Длинные	&amp;emsp;</t>
  </si>
  <si>
    <t>Плоские	&amp;emsp;</t>
  </si>
  <si>
    <t>Наибольшые сторона, мм	&amp;emsp;</t>
  </si>
  <si>
    <t>Наименьшые сторона, мм	&amp;emsp;</t>
  </si>
  <si>
    <t>Размер</t>
  </si>
  <si>
    <t>Без НДС</t>
  </si>
  <si>
    <t>S загот, м2</t>
  </si>
  <si>
    <t>1100х700х1000 кр П32</t>
  </si>
  <si>
    <t>Крышка П32</t>
  </si>
  <si>
    <t>Kr</t>
  </si>
  <si>
    <t>1100х700х1000 кр Т22В</t>
  </si>
  <si>
    <t>Крышка Т22В</t>
  </si>
  <si>
    <t>1100х700х1000 без кр П32</t>
  </si>
  <si>
    <t>Без верх П32</t>
  </si>
  <si>
    <t>1100х700х1000 без кр Т22В</t>
  </si>
  <si>
    <t>Без верх Т22В</t>
  </si>
  <si>
    <t>795х510х870 кр П32</t>
  </si>
  <si>
    <t>795х510х870 кр Т22В</t>
  </si>
  <si>
    <t>795х510х870  без кр П32</t>
  </si>
  <si>
    <t>795х510х870 без кр Т22В</t>
  </si>
  <si>
    <t>590х393х100</t>
  </si>
  <si>
    <t>545х370х115</t>
  </si>
  <si>
    <t>Мясо Т24 Бурый</t>
  </si>
  <si>
    <t>1200х800х1550</t>
  </si>
  <si>
    <t>Октабин</t>
  </si>
  <si>
    <t>280х230х62</t>
  </si>
  <si>
    <t>Печенье</t>
  </si>
  <si>
    <t>380х280х80</t>
  </si>
  <si>
    <t>260х260х35</t>
  </si>
  <si>
    <t>Пицца 26</t>
  </si>
  <si>
    <t>320х320х35</t>
  </si>
  <si>
    <t>Пицца 32</t>
  </si>
  <si>
    <t>430х430х40</t>
  </si>
  <si>
    <t>Пицца 43</t>
  </si>
  <si>
    <t>250х250х200</t>
  </si>
  <si>
    <t>Торты 25</t>
  </si>
  <si>
    <t>290х290х300</t>
  </si>
  <si>
    <t>Торты 29</t>
  </si>
  <si>
    <t>300х300х40</t>
  </si>
  <si>
    <t>Часы квадрат</t>
  </si>
  <si>
    <t>297х295х40</t>
  </si>
  <si>
    <t>Часы ромб</t>
  </si>
  <si>
    <t>285х245х235</t>
  </si>
  <si>
    <t>Шлем 1</t>
  </si>
  <si>
    <t>300х270х290</t>
  </si>
  <si>
    <t>Шлем 2</t>
  </si>
  <si>
    <t>585х385х175</t>
  </si>
  <si>
    <t>Яблоко П-34 Бурый</t>
  </si>
  <si>
    <t>150х60х60</t>
  </si>
  <si>
    <t>лоток, верх открытый</t>
  </si>
  <si>
    <t>150х60х75</t>
  </si>
  <si>
    <t>120х50х50</t>
  </si>
  <si>
    <t>179х70х60</t>
  </si>
  <si>
    <t xml:space="preserve">Корзина для цветов </t>
  </si>
  <si>
    <t>Октабин П34</t>
  </si>
  <si>
    <t>Крышка/Дно Октабин</t>
  </si>
  <si>
    <t>Вкладыш п/э</t>
  </si>
  <si>
    <t>95х95х275</t>
  </si>
  <si>
    <t>С прорезью для растений</t>
  </si>
  <si>
    <t>Закуп
Без НДС</t>
  </si>
  <si>
    <t>Коммен тарий</t>
  </si>
  <si>
    <t>K1</t>
  </si>
  <si>
    <t>2-3 л</t>
  </si>
  <si>
    <t xml:space="preserve">245х245х165 </t>
  </si>
  <si>
    <t>K2</t>
  </si>
  <si>
    <t>5-10 л</t>
  </si>
  <si>
    <t>K3</t>
  </si>
  <si>
    <t>K4</t>
  </si>
  <si>
    <t>50-100 л</t>
  </si>
  <si>
    <t>K5</t>
  </si>
  <si>
    <t>K6</t>
  </si>
  <si>
    <t>100+ л</t>
  </si>
  <si>
    <t>K7</t>
  </si>
  <si>
    <t>20-50 л</t>
  </si>
  <si>
    <t>605х55х405</t>
  </si>
  <si>
    <t>K8</t>
  </si>
  <si>
    <t>10-20 л</t>
  </si>
  <si>
    <t>K9</t>
  </si>
  <si>
    <t>870х510х35</t>
  </si>
  <si>
    <t>0401</t>
  </si>
  <si>
    <t>K10</t>
  </si>
  <si>
    <t>K0</t>
  </si>
  <si>
    <t>400х400х200</t>
  </si>
  <si>
    <t>K11</t>
  </si>
  <si>
    <t>400х400х400</t>
  </si>
  <si>
    <t>K12</t>
  </si>
  <si>
    <t>50х50х145</t>
  </si>
  <si>
    <t>С</t>
  </si>
  <si>
    <t>Е</t>
  </si>
  <si>
    <t>K14</t>
  </si>
  <si>
    <t>200х90х25</t>
  </si>
  <si>
    <t>0427</t>
  </si>
  <si>
    <t>K15</t>
  </si>
  <si>
    <t>250х100х320</t>
  </si>
  <si>
    <t>K16</t>
  </si>
  <si>
    <t>90х80х30</t>
  </si>
  <si>
    <t>K17</t>
  </si>
  <si>
    <t>65х65х40</t>
  </si>
  <si>
    <t>K18</t>
  </si>
  <si>
    <t>178х120х46</t>
  </si>
  <si>
    <t>0426</t>
  </si>
  <si>
    <t>K19</t>
  </si>
  <si>
    <t>110х110х87</t>
  </si>
  <si>
    <t>K20</t>
  </si>
  <si>
    <t>1-2 л</t>
  </si>
  <si>
    <t>50х50х170</t>
  </si>
  <si>
    <t>K21</t>
  </si>
  <si>
    <t>80х80х330</t>
  </si>
  <si>
    <t>K22</t>
  </si>
  <si>
    <t>92х92х54</t>
  </si>
  <si>
    <t>K23</t>
  </si>
  <si>
    <t>309х307х37</t>
  </si>
  <si>
    <t>K24</t>
  </si>
  <si>
    <t>3-5 л</t>
  </si>
  <si>
    <t>130х90х620</t>
  </si>
  <si>
    <t>K25</t>
  </si>
  <si>
    <t>215х125х45</t>
  </si>
  <si>
    <t>K26</t>
  </si>
  <si>
    <t>425х55х50</t>
  </si>
  <si>
    <t>0471</t>
  </si>
  <si>
    <t>K27</t>
  </si>
  <si>
    <t>160х120х100</t>
  </si>
  <si>
    <t>K28</t>
  </si>
  <si>
    <t>277х280х45</t>
  </si>
  <si>
    <t>K29</t>
  </si>
  <si>
    <t>71х71х152</t>
  </si>
  <si>
    <t>K30</t>
  </si>
  <si>
    <t>110х110х110</t>
  </si>
  <si>
    <t>K31</t>
  </si>
  <si>
    <t>130х80х100</t>
  </si>
  <si>
    <t>K32</t>
  </si>
  <si>
    <t>250х170х90</t>
  </si>
  <si>
    <t>K33</t>
  </si>
  <si>
    <t>200х80х80</t>
  </si>
  <si>
    <t>K34</t>
  </si>
  <si>
    <t>690х170х55</t>
  </si>
  <si>
    <t>K35</t>
  </si>
  <si>
    <t>1110х115х105</t>
  </si>
  <si>
    <t>K36</t>
  </si>
  <si>
    <t>500х500х65</t>
  </si>
  <si>
    <t>K37</t>
  </si>
  <si>
    <t>300х215х65</t>
  </si>
  <si>
    <t>K38</t>
  </si>
  <si>
    <t>120х100х890</t>
  </si>
  <si>
    <t>K39</t>
  </si>
  <si>
    <t>55х55х425</t>
  </si>
  <si>
    <t>K40</t>
  </si>
  <si>
    <t>245х140х110</t>
  </si>
  <si>
    <t>K41</t>
  </si>
  <si>
    <t>450х220х192</t>
  </si>
  <si>
    <t>K42</t>
  </si>
  <si>
    <t>200х80х100</t>
  </si>
  <si>
    <t>K43</t>
  </si>
  <si>
    <t>573х333х85</t>
  </si>
  <si>
    <t>K44</t>
  </si>
  <si>
    <t>380х155х125</t>
  </si>
  <si>
    <t>K45</t>
  </si>
  <si>
    <t>120х100х770</t>
  </si>
  <si>
    <t>K46</t>
  </si>
  <si>
    <t>500х500х45</t>
  </si>
  <si>
    <t>K47</t>
  </si>
  <si>
    <t>250х120х900</t>
  </si>
  <si>
    <t>K48</t>
  </si>
  <si>
    <t>350х350х40</t>
  </si>
  <si>
    <t>K49</t>
  </si>
  <si>
    <t>935х135х55</t>
  </si>
  <si>
    <t>0421</t>
  </si>
  <si>
    <t>K50</t>
  </si>
  <si>
    <t>80х80х80</t>
  </si>
  <si>
    <t>K51</t>
  </si>
  <si>
    <t>205х60х60</t>
  </si>
  <si>
    <t>K52</t>
  </si>
  <si>
    <t>245х75х75</t>
  </si>
  <si>
    <t>K53</t>
  </si>
  <si>
    <t>145х115х115</t>
  </si>
  <si>
    <t>K54</t>
  </si>
  <si>
    <t>320х170х75</t>
  </si>
  <si>
    <t>K55</t>
  </si>
  <si>
    <t>820х110х110</t>
  </si>
  <si>
    <t>K56</t>
  </si>
  <si>
    <t>440х330х386</t>
  </si>
  <si>
    <t>K57</t>
  </si>
  <si>
    <t>0200</t>
  </si>
  <si>
    <t>ВС</t>
  </si>
  <si>
    <t>K58</t>
  </si>
  <si>
    <t>795х510х870</t>
  </si>
  <si>
    <t xml:space="preserve"> + кр П32</t>
  </si>
  <si>
    <t>0312</t>
  </si>
  <si>
    <t>K59</t>
  </si>
  <si>
    <t>K60</t>
  </si>
  <si>
    <t>K61</t>
  </si>
  <si>
    <t>1100х700х1000</t>
  </si>
  <si>
    <t>Т</t>
  </si>
  <si>
    <t>K62</t>
  </si>
  <si>
    <t>П</t>
  </si>
  <si>
    <t>K63</t>
  </si>
  <si>
    <t xml:space="preserve"> Т +крышка</t>
  </si>
  <si>
    <t>K64</t>
  </si>
  <si>
    <t xml:space="preserve"> П +крышка</t>
  </si>
  <si>
    <t>K65</t>
  </si>
  <si>
    <t>340х420х25</t>
  </si>
  <si>
    <t>K66</t>
  </si>
  <si>
    <t>440х440х85</t>
  </si>
  <si>
    <t>K67</t>
  </si>
  <si>
    <t>450х350х40</t>
  </si>
  <si>
    <t>K68</t>
  </si>
  <si>
    <t>1050х180х70</t>
  </si>
  <si>
    <t>K69</t>
  </si>
  <si>
    <t>305х55х55</t>
  </si>
  <si>
    <t>K70</t>
  </si>
  <si>
    <t>370х140х130</t>
  </si>
  <si>
    <t>K71</t>
  </si>
  <si>
    <t>178х118х152</t>
  </si>
  <si>
    <t>K72</t>
  </si>
  <si>
    <t>1100х250х100</t>
  </si>
  <si>
    <t>0411</t>
  </si>
  <si>
    <t>K73</t>
  </si>
  <si>
    <t>460х280х60</t>
  </si>
  <si>
    <t>K74</t>
  </si>
  <si>
    <t>600х115х105</t>
  </si>
  <si>
    <t>K75</t>
  </si>
  <si>
    <t>170х170х90</t>
  </si>
  <si>
    <t>K76</t>
  </si>
  <si>
    <t>780х130х84</t>
  </si>
  <si>
    <t>K77</t>
  </si>
  <si>
    <t>300х100х60</t>
  </si>
  <si>
    <t>K78</t>
  </si>
  <si>
    <t>280х100х100</t>
  </si>
  <si>
    <t>K79</t>
  </si>
  <si>
    <t>320х210х45</t>
  </si>
  <si>
    <t>K80</t>
  </si>
  <si>
    <t>325х170х115</t>
  </si>
  <si>
    <t>K81</t>
  </si>
  <si>
    <t>140х90х90</t>
  </si>
  <si>
    <t>K82</t>
  </si>
  <si>
    <t>305х155х55</t>
  </si>
  <si>
    <t>K83</t>
  </si>
  <si>
    <t>155х110х40</t>
  </si>
  <si>
    <t>K84</t>
  </si>
  <si>
    <t>60х60х210</t>
  </si>
  <si>
    <t>ОП</t>
  </si>
  <si>
    <t>K85</t>
  </si>
  <si>
    <t>250х250х55</t>
  </si>
  <si>
    <t>K86</t>
  </si>
  <si>
    <t>370х280х60</t>
  </si>
  <si>
    <t>K87</t>
  </si>
  <si>
    <t>125х125х90</t>
  </si>
  <si>
    <t>K88</t>
  </si>
  <si>
    <t>495х90х300</t>
  </si>
  <si>
    <t>K89</t>
  </si>
  <si>
    <t>175х175х90</t>
  </si>
  <si>
    <t>K90</t>
  </si>
  <si>
    <t>220х120х155</t>
  </si>
  <si>
    <t>в</t>
  </si>
  <si>
    <t>K91</t>
  </si>
  <si>
    <t>390х325х370</t>
  </si>
  <si>
    <t>K92</t>
  </si>
  <si>
    <t>570х350х190</t>
  </si>
  <si>
    <t>K93</t>
  </si>
  <si>
    <t>200х90х40</t>
  </si>
  <si>
    <t>K94</t>
  </si>
  <si>
    <t>74х71х247</t>
  </si>
  <si>
    <t>K95</t>
  </si>
  <si>
    <t>235х35х35</t>
  </si>
  <si>
    <t>0470</t>
  </si>
  <si>
    <t>K96</t>
  </si>
  <si>
    <t>290х230х155</t>
  </si>
  <si>
    <t>K97</t>
  </si>
  <si>
    <t>600х270х280</t>
  </si>
  <si>
    <t>K98</t>
  </si>
  <si>
    <t>175х175х200</t>
  </si>
  <si>
    <t>K99</t>
  </si>
  <si>
    <t>390х290х290</t>
  </si>
  <si>
    <t>K100</t>
  </si>
  <si>
    <t>290х225х230</t>
  </si>
  <si>
    <t>K101</t>
  </si>
  <si>
    <t>100х100х100</t>
  </si>
  <si>
    <t>K102</t>
  </si>
  <si>
    <t>150х115х135</t>
  </si>
  <si>
    <t>K103</t>
  </si>
  <si>
    <t>290х225х110</t>
  </si>
  <si>
    <t>K104</t>
  </si>
  <si>
    <t>330х180х95</t>
  </si>
  <si>
    <t>K105</t>
  </si>
  <si>
    <t>515х200х200</t>
  </si>
  <si>
    <t>K106</t>
  </si>
  <si>
    <t>350х265х320</t>
  </si>
  <si>
    <t>K107</t>
  </si>
  <si>
    <t>500х335х185</t>
  </si>
  <si>
    <t>K108</t>
  </si>
  <si>
    <t>985х585х450</t>
  </si>
  <si>
    <t>K110</t>
  </si>
  <si>
    <t>400х400х100</t>
  </si>
  <si>
    <t>K111</t>
  </si>
  <si>
    <t>125х110х95</t>
  </si>
  <si>
    <t>K112</t>
  </si>
  <si>
    <t>375х250х230</t>
  </si>
  <si>
    <t>K113</t>
  </si>
  <si>
    <t>720х650х360</t>
  </si>
  <si>
    <t>K114</t>
  </si>
  <si>
    <t>1200х550х775</t>
  </si>
  <si>
    <t>K115</t>
  </si>
  <si>
    <t>300х300х300</t>
  </si>
  <si>
    <t>K116</t>
  </si>
  <si>
    <t>1022х518х720</t>
  </si>
  <si>
    <t>K117</t>
  </si>
  <si>
    <t>400х400х300</t>
  </si>
  <si>
    <t>K118</t>
  </si>
  <si>
    <t>35х35х235</t>
  </si>
  <si>
    <t>K119</t>
  </si>
  <si>
    <t>255х204х131</t>
  </si>
  <si>
    <t>K120</t>
  </si>
  <si>
    <t>540х325х130</t>
  </si>
  <si>
    <t>K121</t>
  </si>
  <si>
    <t>190х180х360</t>
  </si>
  <si>
    <t>K122</t>
  </si>
  <si>
    <t>230х140х180</t>
  </si>
  <si>
    <t>K123</t>
  </si>
  <si>
    <t>170х160х210</t>
  </si>
  <si>
    <t>K124</t>
  </si>
  <si>
    <t>70х70х70</t>
  </si>
  <si>
    <t>K125</t>
  </si>
  <si>
    <t>410х100х390</t>
  </si>
  <si>
    <t>K126</t>
  </si>
  <si>
    <t>210х190х355</t>
  </si>
  <si>
    <t>K127</t>
  </si>
  <si>
    <t>465х305х490</t>
  </si>
  <si>
    <t>K128</t>
  </si>
  <si>
    <t>225х225х135</t>
  </si>
  <si>
    <t>K129</t>
  </si>
  <si>
    <t>320х230х335</t>
  </si>
  <si>
    <t>K130</t>
  </si>
  <si>
    <t>320х160х35</t>
  </si>
  <si>
    <t>K131</t>
  </si>
  <si>
    <t>380х285х70</t>
  </si>
  <si>
    <t>K132</t>
  </si>
  <si>
    <t>230х145х240</t>
  </si>
  <si>
    <t>K133</t>
  </si>
  <si>
    <t>380х285х310</t>
  </si>
  <si>
    <t>K134</t>
  </si>
  <si>
    <t>420х270х160</t>
  </si>
  <si>
    <t>K135</t>
  </si>
  <si>
    <t>380х285х237</t>
  </si>
  <si>
    <t>K136</t>
  </si>
  <si>
    <t>200х160х250</t>
  </si>
  <si>
    <t>K137</t>
  </si>
  <si>
    <t>295х225х160</t>
  </si>
  <si>
    <t>K138</t>
  </si>
  <si>
    <t>400х370х230</t>
  </si>
  <si>
    <t>K139</t>
  </si>
  <si>
    <t>630х320х340</t>
  </si>
  <si>
    <t>K140</t>
  </si>
  <si>
    <t>350х340х190</t>
  </si>
  <si>
    <t>K141</t>
  </si>
  <si>
    <t>103х103х130</t>
  </si>
  <si>
    <t>K142</t>
  </si>
  <si>
    <t>200х120х200</t>
  </si>
  <si>
    <t>K143</t>
  </si>
  <si>
    <t>380х285х190</t>
  </si>
  <si>
    <t>K144</t>
  </si>
  <si>
    <t>540х325х110</t>
  </si>
  <si>
    <t>K145</t>
  </si>
  <si>
    <t>260х230х420</t>
  </si>
  <si>
    <t>K146</t>
  </si>
  <si>
    <t>200х150х305</t>
  </si>
  <si>
    <t>K147</t>
  </si>
  <si>
    <t>380х130х192</t>
  </si>
  <si>
    <t>K148</t>
  </si>
  <si>
    <t>535х215х165</t>
  </si>
  <si>
    <t>K149</t>
  </si>
  <si>
    <t>560х360х390</t>
  </si>
  <si>
    <t>K150</t>
  </si>
  <si>
    <t>340х265х110</t>
  </si>
  <si>
    <t>K151</t>
  </si>
  <si>
    <t>160х80х80</t>
  </si>
  <si>
    <t>K152</t>
  </si>
  <si>
    <t>370х370х290</t>
  </si>
  <si>
    <t>K153</t>
  </si>
  <si>
    <t>240х240х150</t>
  </si>
  <si>
    <t>K154</t>
  </si>
  <si>
    <t>760х375х166</t>
  </si>
  <si>
    <t>K155</t>
  </si>
  <si>
    <t>470х200х110</t>
  </si>
  <si>
    <t>K156</t>
  </si>
  <si>
    <t>270х270х270</t>
  </si>
  <si>
    <t>K157</t>
  </si>
  <si>
    <t>140х95х205</t>
  </si>
  <si>
    <t>K158</t>
  </si>
  <si>
    <t>210х103х130</t>
  </si>
  <si>
    <t>K159</t>
  </si>
  <si>
    <t>350х230х190</t>
  </si>
  <si>
    <t>K160</t>
  </si>
  <si>
    <t>560х360х300</t>
  </si>
  <si>
    <t>K161</t>
  </si>
  <si>
    <t>200х120х150</t>
  </si>
  <si>
    <t>K162</t>
  </si>
  <si>
    <t>260х170х240</t>
  </si>
  <si>
    <t>K163</t>
  </si>
  <si>
    <t>800х480х290</t>
  </si>
  <si>
    <t>K164</t>
  </si>
  <si>
    <t>390х390х390</t>
  </si>
  <si>
    <t>K165</t>
  </si>
  <si>
    <t>465х155х192</t>
  </si>
  <si>
    <t>K166</t>
  </si>
  <si>
    <t>630х330х130</t>
  </si>
  <si>
    <t>K167</t>
  </si>
  <si>
    <t>274х186х87</t>
  </si>
  <si>
    <t>K168</t>
  </si>
  <si>
    <t>579х261х265</t>
  </si>
  <si>
    <t>K169</t>
  </si>
  <si>
    <t>745х545х580</t>
  </si>
  <si>
    <t>K170</t>
  </si>
  <si>
    <t>150х150х100</t>
  </si>
  <si>
    <t>K171</t>
  </si>
  <si>
    <t>260х190х160</t>
  </si>
  <si>
    <t>K172</t>
  </si>
  <si>
    <t>150х150х85</t>
  </si>
  <si>
    <t>K173</t>
  </si>
  <si>
    <t>120х120х120</t>
  </si>
  <si>
    <t>K174</t>
  </si>
  <si>
    <t>180х180х125</t>
  </si>
  <si>
    <t>K175</t>
  </si>
  <si>
    <t>260х190х300</t>
  </si>
  <si>
    <t>K176</t>
  </si>
  <si>
    <t>280х90х125</t>
  </si>
  <si>
    <t>K177</t>
  </si>
  <si>
    <t>350х60х440</t>
  </si>
  <si>
    <t>K178</t>
  </si>
  <si>
    <t>210х70х200</t>
  </si>
  <si>
    <t>K179</t>
  </si>
  <si>
    <t>215х215х120</t>
  </si>
  <si>
    <t>K180</t>
  </si>
  <si>
    <t>180х140х220</t>
  </si>
  <si>
    <t>K181</t>
  </si>
  <si>
    <t>125х125х730</t>
  </si>
  <si>
    <t>K182</t>
  </si>
  <si>
    <t>250х190х170</t>
  </si>
  <si>
    <t>K183</t>
  </si>
  <si>
    <t>72х72х90</t>
  </si>
  <si>
    <t>K184</t>
  </si>
  <si>
    <t>300х300х200</t>
  </si>
  <si>
    <t>K185</t>
  </si>
  <si>
    <t>300х200х200</t>
  </si>
  <si>
    <t>K186</t>
  </si>
  <si>
    <t>400х200х200</t>
  </si>
  <si>
    <t>K187</t>
  </si>
  <si>
    <t>200х200х200</t>
  </si>
  <si>
    <t>K188</t>
  </si>
  <si>
    <t>500х300х300</t>
  </si>
  <si>
    <t>K189</t>
  </si>
  <si>
    <t>400х300х200</t>
  </si>
  <si>
    <t>K190</t>
  </si>
  <si>
    <t>125х125х200</t>
  </si>
  <si>
    <t>K191</t>
  </si>
  <si>
    <t>150х150х200</t>
  </si>
  <si>
    <t>K192</t>
  </si>
  <si>
    <t>190х110х70</t>
  </si>
  <si>
    <t>K193</t>
  </si>
  <si>
    <t>110х50х130</t>
  </si>
  <si>
    <t>110х130х50</t>
  </si>
  <si>
    <t>K194</t>
  </si>
  <si>
    <t>150х150х150</t>
  </si>
  <si>
    <t>K195</t>
  </si>
  <si>
    <t>1135х100х50</t>
  </si>
  <si>
    <t>K196</t>
  </si>
  <si>
    <t>125х110х60</t>
  </si>
  <si>
    <t>K197</t>
  </si>
  <si>
    <t>120х80х30</t>
  </si>
  <si>
    <t>K198</t>
  </si>
  <si>
    <t>130х70х40</t>
  </si>
  <si>
    <t>K199</t>
  </si>
  <si>
    <t>240х240х80</t>
  </si>
  <si>
    <t>K200</t>
  </si>
  <si>
    <t>185х125х20</t>
  </si>
  <si>
    <t>K201</t>
  </si>
  <si>
    <t>265х90х55</t>
  </si>
  <si>
    <t>K202</t>
  </si>
  <si>
    <t>314х164х57</t>
  </si>
  <si>
    <t>K203</t>
  </si>
  <si>
    <t>187х124х140</t>
  </si>
  <si>
    <t>K204</t>
  </si>
  <si>
    <t>354х184х65</t>
  </si>
  <si>
    <t>K205</t>
  </si>
  <si>
    <t>480х300х70</t>
  </si>
  <si>
    <t>K206</t>
  </si>
  <si>
    <t>342х242х192</t>
  </si>
  <si>
    <t>K207</t>
  </si>
  <si>
    <t>429х357х175</t>
  </si>
  <si>
    <t>K208</t>
  </si>
  <si>
    <t>385х383х216</t>
  </si>
  <si>
    <t>K209</t>
  </si>
  <si>
    <t>115х100х80</t>
  </si>
  <si>
    <t>КД</t>
  </si>
  <si>
    <t>0330</t>
  </si>
  <si>
    <t>K210</t>
  </si>
  <si>
    <t>235х225х117</t>
  </si>
  <si>
    <t>K211</t>
  </si>
  <si>
    <t>185х145х57</t>
  </si>
  <si>
    <t>K212</t>
  </si>
  <si>
    <t>280х190х55</t>
  </si>
  <si>
    <t>K213</t>
  </si>
  <si>
    <t>290х225х90</t>
  </si>
  <si>
    <t>E</t>
  </si>
  <si>
    <t>K214</t>
  </si>
  <si>
    <t>110х98х45</t>
  </si>
  <si>
    <t>K215</t>
  </si>
  <si>
    <t xml:space="preserve"> без размещения на сайте</t>
  </si>
  <si>
    <t>0-У без разм на сайте</t>
  </si>
  <si>
    <t>А</t>
  </si>
  <si>
    <t>160х160х106</t>
  </si>
  <si>
    <t>240х230х120</t>
  </si>
  <si>
    <t>300х220х40</t>
  </si>
  <si>
    <t>K216</t>
  </si>
  <si>
    <t>516х463х48</t>
  </si>
  <si>
    <t>K1003</t>
  </si>
  <si>
    <t>120х120х180</t>
  </si>
  <si>
    <t>K217</t>
  </si>
  <si>
    <t>730х415х200</t>
  </si>
  <si>
    <t>K218</t>
  </si>
  <si>
    <t>50х50х210</t>
  </si>
  <si>
    <t>K219</t>
  </si>
  <si>
    <t>125х125х127</t>
  </si>
  <si>
    <t>K220</t>
  </si>
  <si>
    <t>550х260х25</t>
  </si>
  <si>
    <t>K1004</t>
  </si>
  <si>
    <t>К</t>
  </si>
  <si>
    <t>310х220х10</t>
  </si>
  <si>
    <t>0409</t>
  </si>
  <si>
    <t>K221</t>
  </si>
  <si>
    <t>1650х340х340</t>
  </si>
  <si>
    <t>K222</t>
  </si>
  <si>
    <t>ТМ</t>
  </si>
  <si>
    <t>100х70х50</t>
  </si>
  <si>
    <t>K1006</t>
  </si>
  <si>
    <t>ТМ-
SALE</t>
  </si>
  <si>
    <t>100х85х50</t>
  </si>
  <si>
    <t>K223</t>
  </si>
  <si>
    <t>110х60х30</t>
  </si>
  <si>
    <t>K1007</t>
  </si>
  <si>
    <t>120х90х25</t>
  </si>
  <si>
    <t>K1008</t>
  </si>
  <si>
    <t>150х105х70</t>
  </si>
  <si>
    <t>180х125х125</t>
  </si>
  <si>
    <t>K1010</t>
  </si>
  <si>
    <t>180х150х17</t>
  </si>
  <si>
    <t>190х130х35</t>
  </si>
  <si>
    <t>K224</t>
  </si>
  <si>
    <t>200х150х65</t>
  </si>
  <si>
    <t>K225</t>
  </si>
  <si>
    <t>210х160х125</t>
  </si>
  <si>
    <t>K1011</t>
  </si>
  <si>
    <t>214х186х175</t>
  </si>
  <si>
    <t>K1012</t>
  </si>
  <si>
    <t>225х111х117</t>
  </si>
  <si>
    <t>K1013</t>
  </si>
  <si>
    <t>230х65х50</t>
  </si>
  <si>
    <t>230х65х45 ТМ была</t>
  </si>
  <si>
    <t>K226</t>
  </si>
  <si>
    <t>245х210х83</t>
  </si>
  <si>
    <t>K1014</t>
  </si>
  <si>
    <t>251х111х117</t>
  </si>
  <si>
    <t>K1015</t>
  </si>
  <si>
    <t>260х85х85</t>
  </si>
  <si>
    <t>283х141х45</t>
  </si>
  <si>
    <t>K1016</t>
  </si>
  <si>
    <t>290х120х110</t>
  </si>
  <si>
    <t>K1017</t>
  </si>
  <si>
    <t>320х230х40</t>
  </si>
  <si>
    <t>K1018</t>
  </si>
  <si>
    <t>100х100х55</t>
  </si>
  <si>
    <t>K227</t>
  </si>
  <si>
    <t>без</t>
  </si>
  <si>
    <t>K1020</t>
  </si>
  <si>
    <t>ГТ</t>
  </si>
  <si>
    <t>K1021</t>
  </si>
  <si>
    <t>K1022</t>
  </si>
  <si>
    <t>Э (АП)</t>
  </si>
  <si>
    <t>600х400х220</t>
  </si>
  <si>
    <t>K1023</t>
  </si>
  <si>
    <t>АГ (Нолес)</t>
  </si>
  <si>
    <t xml:space="preserve">300х300х50 </t>
  </si>
  <si>
    <t>K228</t>
  </si>
  <si>
    <t>300х300х80</t>
  </si>
  <si>
    <t>K229</t>
  </si>
  <si>
    <t>250х250х80</t>
  </si>
  <si>
    <t>K230</t>
  </si>
  <si>
    <t>400х300х250</t>
  </si>
  <si>
    <t>K1024</t>
  </si>
  <si>
    <t xml:space="preserve"> лист г/к</t>
  </si>
  <si>
    <t>Лист</t>
  </si>
  <si>
    <t>0900</t>
  </si>
  <si>
    <t>395х102х77</t>
  </si>
  <si>
    <t>K232</t>
  </si>
  <si>
    <t>420х142х82</t>
  </si>
  <si>
    <t>K233</t>
  </si>
  <si>
    <t>110х93х130</t>
  </si>
  <si>
    <t>K234</t>
  </si>
  <si>
    <t>110х110х40</t>
  </si>
  <si>
    <t>K235</t>
  </si>
  <si>
    <t>250х175х35</t>
  </si>
  <si>
    <t>K236</t>
  </si>
  <si>
    <t>520х220х50</t>
  </si>
  <si>
    <t>без размещения на сайте</t>
  </si>
  <si>
    <t>500х200х40</t>
  </si>
  <si>
    <t>800х600х500</t>
  </si>
  <si>
    <t>K1025</t>
  </si>
  <si>
    <t>У или др</t>
  </si>
  <si>
    <t>400х300х400</t>
  </si>
  <si>
    <t>K1026</t>
  </si>
  <si>
    <t>300х200х300</t>
  </si>
  <si>
    <t>K1027</t>
  </si>
  <si>
    <t>290х190х190</t>
  </si>
  <si>
    <t>K1028</t>
  </si>
  <si>
    <t>325х235х235</t>
  </si>
  <si>
    <t>АРХ</t>
  </si>
  <si>
    <t>СК</t>
  </si>
  <si>
    <t>K1029</t>
  </si>
  <si>
    <t>395х325х290</t>
  </si>
  <si>
    <t>K1030</t>
  </si>
  <si>
    <t>490х325х295</t>
  </si>
  <si>
    <t>K1031</t>
  </si>
  <si>
    <t>300х90х125</t>
  </si>
  <si>
    <t>K237</t>
  </si>
  <si>
    <t>115х65х65</t>
  </si>
  <si>
    <t>K238</t>
  </si>
  <si>
    <t>400х300х300</t>
  </si>
  <si>
    <t>K1032</t>
  </si>
  <si>
    <t>210х140х110</t>
  </si>
  <si>
    <t>K1033</t>
  </si>
  <si>
    <t>Т (ЛС)</t>
  </si>
  <si>
    <t>195х70х35</t>
  </si>
  <si>
    <t>K239</t>
  </si>
  <si>
    <t>225х175х135</t>
  </si>
  <si>
    <t>160х100х55</t>
  </si>
  <si>
    <t>В прошлом форма зела мол 150х100х55. эта форма ошибочно сделана РТ-бел</t>
  </si>
  <si>
    <t>K240</t>
  </si>
  <si>
    <t>140х43х23</t>
  </si>
  <si>
    <t>K241</t>
  </si>
  <si>
    <t>160х60х30</t>
  </si>
  <si>
    <t>K242</t>
  </si>
  <si>
    <t>290х200х250</t>
  </si>
  <si>
    <t>K1034</t>
  </si>
  <si>
    <t>270х160х270</t>
  </si>
  <si>
    <t>K1035</t>
  </si>
  <si>
    <t>220х110х530</t>
  </si>
  <si>
    <t>K1036</t>
  </si>
  <si>
    <t>ББ</t>
  </si>
  <si>
    <t>220х130х90</t>
  </si>
  <si>
    <t>K1037</t>
  </si>
  <si>
    <t>155х83х73</t>
  </si>
  <si>
    <t>K243</t>
  </si>
  <si>
    <t>100х100х40</t>
  </si>
  <si>
    <t>K244</t>
  </si>
  <si>
    <t>350х45х235</t>
  </si>
  <si>
    <t>0211</t>
  </si>
  <si>
    <t>Клиента</t>
  </si>
  <si>
    <t>K245</t>
  </si>
  <si>
    <t>260х185х35</t>
  </si>
  <si>
    <t>K246</t>
  </si>
  <si>
    <t>210х140х10</t>
  </si>
  <si>
    <t>K247</t>
  </si>
  <si>
    <t>640х340х70</t>
  </si>
  <si>
    <t>K248</t>
  </si>
  <si>
    <t>230х140х20</t>
  </si>
  <si>
    <t>K249</t>
  </si>
  <si>
    <t>220х168х23</t>
  </si>
  <si>
    <t>K250</t>
  </si>
  <si>
    <t>150х150х250</t>
  </si>
  <si>
    <t>K251</t>
  </si>
  <si>
    <t>200х200х150</t>
  </si>
  <si>
    <t>K252</t>
  </si>
  <si>
    <t>630х380х380</t>
  </si>
  <si>
    <t>K1038</t>
  </si>
  <si>
    <t>400х400х70</t>
  </si>
  <si>
    <t>K253</t>
  </si>
  <si>
    <t>120х100х250</t>
  </si>
  <si>
    <t>K254</t>
  </si>
  <si>
    <t>370х255х95</t>
  </si>
  <si>
    <t>K255</t>
  </si>
  <si>
    <t>180х130х100</t>
  </si>
  <si>
    <t>K256</t>
  </si>
  <si>
    <t>180х80х80</t>
  </si>
  <si>
    <t>K1039</t>
  </si>
  <si>
    <t>220х165х100</t>
  </si>
  <si>
    <t>K257</t>
  </si>
  <si>
    <t>K258</t>
  </si>
  <si>
    <t>203х203х25</t>
  </si>
  <si>
    <t>K259</t>
  </si>
  <si>
    <t>K1040</t>
  </si>
  <si>
    <t>125х125х350</t>
  </si>
  <si>
    <t>K260</t>
  </si>
  <si>
    <t>125х125х400</t>
  </si>
  <si>
    <t>K261</t>
  </si>
  <si>
    <t>БМ</t>
  </si>
  <si>
    <t>K500</t>
  </si>
  <si>
    <t>K501</t>
  </si>
  <si>
    <t>250х225х95</t>
  </si>
  <si>
    <t>K502</t>
  </si>
  <si>
    <t>K503</t>
  </si>
  <si>
    <t>K504</t>
  </si>
  <si>
    <t>K505</t>
  </si>
  <si>
    <t>K506</t>
  </si>
  <si>
    <t>90х90х160</t>
  </si>
  <si>
    <t>K507</t>
  </si>
  <si>
    <t>K508</t>
  </si>
  <si>
    <t>K509</t>
  </si>
  <si>
    <t>240х230х25</t>
  </si>
  <si>
    <t>K510</t>
  </si>
  <si>
    <t>40х40х150</t>
  </si>
  <si>
    <t>K262</t>
  </si>
  <si>
    <t>230х140х130</t>
  </si>
  <si>
    <t>K263</t>
  </si>
  <si>
    <t>2200х1200</t>
  </si>
  <si>
    <t>K511</t>
  </si>
  <si>
    <t>K512</t>
  </si>
  <si>
    <t>K513</t>
  </si>
  <si>
    <t>K514</t>
  </si>
  <si>
    <t>K515</t>
  </si>
  <si>
    <t>K516</t>
  </si>
  <si>
    <t>end только стирать</t>
  </si>
  <si>
    <t>П32</t>
  </si>
  <si>
    <t xml:space="preserve"> +кр Т22</t>
  </si>
  <si>
    <t>Т22</t>
  </si>
  <si>
    <t>Закуп
с НДС</t>
  </si>
  <si>
    <t>600х400х400</t>
  </si>
  <si>
    <t xml:space="preserve"> Т22В</t>
  </si>
  <si>
    <t>Т23С</t>
  </si>
  <si>
    <t>П32ВС</t>
  </si>
  <si>
    <t>&lt;1 л</t>
  </si>
  <si>
    <t>0-1 литров</t>
  </si>
  <si>
    <t>2-3 литра</t>
  </si>
  <si>
    <t>4-5 литра</t>
  </si>
  <si>
    <t>6-7 литра</t>
  </si>
  <si>
    <t>8-9 литров</t>
  </si>
  <si>
    <t>10-14 литров</t>
  </si>
  <si>
    <t>15-19 литров</t>
  </si>
  <si>
    <t>20-29 литров</t>
  </si>
  <si>
    <t>30-49 литров</t>
  </si>
  <si>
    <t>50-59 литров</t>
  </si>
  <si>
    <t>60-70 литров</t>
  </si>
  <si>
    <t>70-79 литров</t>
  </si>
  <si>
    <t>80-89 литров</t>
  </si>
  <si>
    <t>90-99 литров</t>
  </si>
  <si>
    <t>100-200 литров</t>
  </si>
  <si>
    <t>200+ литров</t>
  </si>
  <si>
    <t>Сайт</t>
  </si>
  <si>
    <t>Прайс</t>
  </si>
  <si>
    <t>напишите закупочные цены на эти коробки и кому и за сколько мы их продаем</t>
  </si>
  <si>
    <t xml:space="preserve">эти размеры есть в наличии. какие из них </t>
  </si>
  <si>
    <t>900х250х120</t>
  </si>
  <si>
    <t>320х220х150</t>
  </si>
  <si>
    <t>700х390х390</t>
  </si>
  <si>
    <t>270х220х100</t>
  </si>
  <si>
    <t>540х540х230</t>
  </si>
  <si>
    <t>550х330х600</t>
  </si>
  <si>
    <t>640х410х510</t>
  </si>
  <si>
    <t>600х400х440</t>
  </si>
  <si>
    <t>300х300х246</t>
  </si>
  <si>
    <t>650х540х230</t>
  </si>
  <si>
    <t>340х220х130</t>
  </si>
  <si>
    <t>225х115х80</t>
  </si>
  <si>
    <t>125х125х250</t>
  </si>
  <si>
    <t>150х150х130</t>
  </si>
  <si>
    <t>500х390х390</t>
  </si>
  <si>
    <t>342х342х192</t>
  </si>
  <si>
    <t>400х330х185</t>
  </si>
  <si>
    <t>260х260х120</t>
  </si>
  <si>
    <t>280х190х90</t>
  </si>
  <si>
    <t>460х180х440</t>
  </si>
  <si>
    <t>400х165х135</t>
  </si>
  <si>
    <t>270х270х100</t>
  </si>
  <si>
    <t>300х105х105</t>
  </si>
  <si>
    <t>110х110х45</t>
  </si>
  <si>
    <t>125х125х330</t>
  </si>
  <si>
    <t>265х96х27</t>
  </si>
  <si>
    <t>120х100х150</t>
  </si>
  <si>
    <t>400х300х100</t>
  </si>
  <si>
    <t>120х120х400</t>
  </si>
  <si>
    <t>180х100х270</t>
  </si>
  <si>
    <t>225х170х110</t>
  </si>
  <si>
    <t>125х125х450</t>
  </si>
  <si>
    <t>125х125х360</t>
  </si>
  <si>
    <t>290х230х265</t>
  </si>
  <si>
    <t>225х175х150</t>
  </si>
  <si>
    <t>705х505х15</t>
  </si>
  <si>
    <t>730х70х50</t>
  </si>
  <si>
    <t>430х350х250</t>
  </si>
  <si>
    <t>365х245х145</t>
  </si>
  <si>
    <t>382х283х318</t>
  </si>
  <si>
    <t>250х210х50</t>
  </si>
  <si>
    <t>220х220х530</t>
  </si>
  <si>
    <t>207х157х347</t>
  </si>
  <si>
    <t>200х160х85</t>
  </si>
  <si>
    <t>150х150х170</t>
  </si>
  <si>
    <t>327х157х347</t>
  </si>
  <si>
    <t>253х253х245</t>
  </si>
  <si>
    <t>170х125х60</t>
  </si>
  <si>
    <t>400х160х130</t>
  </si>
  <si>
    <t>500х350х250</t>
  </si>
  <si>
    <t>340х120х190</t>
  </si>
  <si>
    <t>250х230х100</t>
  </si>
  <si>
    <t>400х400х150</t>
  </si>
  <si>
    <t>мак</t>
  </si>
  <si>
    <t>320х240х100</t>
  </si>
  <si>
    <t>530х390х390</t>
  </si>
  <si>
    <t>250х150х140</t>
  </si>
  <si>
    <t>260х170х170</t>
  </si>
  <si>
    <t xml:space="preserve">147х127х257 </t>
  </si>
  <si>
    <t xml:space="preserve">207х157х347 </t>
  </si>
  <si>
    <t xml:space="preserve">327х157х347 </t>
  </si>
  <si>
    <t xml:space="preserve">127х67х257 </t>
  </si>
  <si>
    <t xml:space="preserve">227х127х257 </t>
  </si>
  <si>
    <t>0-ТМ</t>
  </si>
  <si>
    <t>245х80х200</t>
  </si>
  <si>
    <t>Sale</t>
  </si>
  <si>
    <t>Комент</t>
  </si>
  <si>
    <t>Пост</t>
  </si>
  <si>
    <t xml:space="preserve"> + 
с заказа / коробки</t>
  </si>
  <si>
    <t>K264</t>
  </si>
  <si>
    <t>K265</t>
  </si>
  <si>
    <t>K266</t>
  </si>
  <si>
    <t>K267</t>
  </si>
  <si>
    <t>K268</t>
  </si>
  <si>
    <t>245х200х80</t>
  </si>
  <si>
    <t>V, л</t>
  </si>
  <si>
    <t>Длинн</t>
  </si>
  <si>
    <t xml:space="preserve">        [ 'dims' =&gt; [230,140,130], 'prices' =&gt; [1.05,0.92,0.82,0.72,0.62], 'type' =&gt; "Четырехклапанные", 'sale' =&gt; "0" ]</t>
  </si>
  <si>
    <t>8-9,9</t>
  </si>
  <si>
    <t>6-7,9</t>
  </si>
  <si>
    <t>4-5,9</t>
  </si>
  <si>
    <t>3-3,9</t>
  </si>
  <si>
    <t>2-2,9</t>
  </si>
  <si>
    <t>1-1,9</t>
  </si>
  <si>
    <t>20-29</t>
  </si>
  <si>
    <t>15-19</t>
  </si>
  <si>
    <t>10-14</t>
  </si>
  <si>
    <t>30-49</t>
  </si>
  <si>
    <t>50-59</t>
  </si>
  <si>
    <t>40-49</t>
  </si>
  <si>
    <t>?</t>
  </si>
  <si>
    <t xml:space="preserve">        [ 'dims' =&gt; [</t>
  </si>
  <si>
    <t>], 'prices' =&gt; [</t>
  </si>
  <si>
    <t>], 'type' =&gt; "</t>
  </si>
  <si>
    <t>", 'sale' =&gt; "</t>
  </si>
  <si>
    <t>" ],</t>
  </si>
  <si>
    <t>287х207х347</t>
  </si>
  <si>
    <t>365х155х192</t>
  </si>
  <si>
    <t>K269</t>
  </si>
  <si>
    <t>SKU eng</t>
  </si>
  <si>
    <t>B</t>
  </si>
  <si>
    <t>K517</t>
  </si>
  <si>
    <t>K1041</t>
  </si>
  <si>
    <t>Каталог</t>
  </si>
  <si>
    <t>обр</t>
  </si>
  <si>
    <t>min обр</t>
  </si>
  <si>
    <t>Коммент</t>
  </si>
  <si>
    <t>2000х1100</t>
  </si>
  <si>
    <t>1500х850</t>
  </si>
  <si>
    <t>1400х700</t>
  </si>
  <si>
    <t>1900х950</t>
  </si>
  <si>
    <t>1700х900</t>
  </si>
  <si>
    <t>2070х830</t>
  </si>
  <si>
    <t>V, л Знач</t>
  </si>
  <si>
    <t>Объем,  литров
для сайта старые</t>
  </si>
  <si>
    <t>V л знач</t>
  </si>
  <si>
    <t>V л
сайт</t>
  </si>
  <si>
    <t>V л
прайс</t>
  </si>
  <si>
    <r>
      <t xml:space="preserve">S загот м2
F/Знач
</t>
    </r>
    <r>
      <rPr>
        <sz val="6"/>
        <color theme="0" tint="-0.249977111117893"/>
        <rFont val="Calibri"/>
        <family val="2"/>
        <charset val="204"/>
      </rPr>
      <t>(2×(Д+Ш)+60) × (Ш+В+8)</t>
    </r>
  </si>
  <si>
    <t>100х100х20</t>
  </si>
  <si>
    <t>K1005</t>
  </si>
  <si>
    <t>500х100х40</t>
  </si>
  <si>
    <t>K518</t>
  </si>
  <si>
    <t>Каталог включи фильтр "1"</t>
  </si>
  <si>
    <t>240х80х200</t>
  </si>
  <si>
    <t>240х200х80</t>
  </si>
  <si>
    <t>K270</t>
  </si>
  <si>
    <t>K271</t>
  </si>
  <si>
    <t>270х225х140</t>
  </si>
  <si>
    <t>K519</t>
  </si>
  <si>
    <r>
      <t xml:space="preserve">Поставщ Произв </t>
    </r>
    <r>
      <rPr>
        <b/>
        <sz val="8"/>
        <color theme="5"/>
        <rFont val="Calibri"/>
        <family val="2"/>
        <charset val="204"/>
        <scheme val="minor"/>
      </rPr>
      <t>0-нет</t>
    </r>
  </si>
  <si>
    <t>245х140х180</t>
  </si>
  <si>
    <t>K520</t>
  </si>
  <si>
    <t>K521</t>
  </si>
  <si>
    <t>Ш+Д=320 old</t>
  </si>
  <si>
    <t>old min обр</t>
  </si>
  <si>
    <t>K522</t>
  </si>
  <si>
    <r>
      <t xml:space="preserve">Массив, </t>
    </r>
    <r>
      <rPr>
        <sz val="16"/>
        <rFont val="Calibri"/>
        <family val="2"/>
        <scheme val="minor"/>
      </rPr>
      <t>","- убрать в посл. Строке</t>
    </r>
  </si>
  <si>
    <t>Сылка</t>
  </si>
  <si>
    <t>Описание</t>
  </si>
  <si>
    <t>245х80х240</t>
  </si>
  <si>
    <t>K523</t>
  </si>
  <si>
    <t>0-У</t>
  </si>
  <si>
    <t>540х325х100</t>
  </si>
  <si>
    <t>350х160х85</t>
  </si>
  <si>
    <t>K272</t>
  </si>
  <si>
    <t>Расспродажа</t>
  </si>
  <si>
    <t>K524</t>
  </si>
  <si>
    <t>После расспр БМ опять вернуть У</t>
  </si>
  <si>
    <t>временная расспродажа</t>
  </si>
  <si>
    <t>165х120х86</t>
  </si>
  <si>
    <t>K273</t>
  </si>
  <si>
    <t>0-А</t>
  </si>
  <si>
    <t>170х70х180</t>
  </si>
  <si>
    <t>210х80х230</t>
  </si>
  <si>
    <t>K274</t>
  </si>
  <si>
    <t>K275</t>
  </si>
  <si>
    <t>0-БМ</t>
  </si>
  <si>
    <t>160х120х85</t>
  </si>
  <si>
    <t>K276</t>
  </si>
  <si>
    <t>лучше K273</t>
  </si>
  <si>
    <t>Гофротара</t>
  </si>
  <si>
    <t>Поставщ
0 - УДАЛИТЬ
колонку не копировать</t>
  </si>
  <si>
    <t>370х225х95</t>
  </si>
  <si>
    <t>K277</t>
  </si>
  <si>
    <t>370х275х95</t>
  </si>
  <si>
    <t>K278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</si>
</sst>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8"/>
      <name val="Calibri"/>
      <family val="2"/>
    </font>
    <font>
      <sz val="8"/>
      <color theme="1"/>
      <name val="Calibri"/>
      <family val="2"/>
      <scheme val="minor"/>
    </font>
    <font>
      <sz val="8"/>
      <name val="Calibri"/>
      <family val="2"/>
      <scheme val="minor"/>
    </font>
    <font>
      <b/>
      <sz val="10"/>
      <name val="Calibri"/>
      <family val="2"/>
      <charset val="204"/>
      <scheme val="minor"/>
    </font>
    <font>
      <b/>
      <sz val="11"/>
      <color theme="1"/>
      <name val="Calibri"/>
      <family val="2"/>
      <charset val="204"/>
      <scheme val="minor"/>
    </font>
    <font>
      <sz val="11"/>
      <name val="Calibri"/>
      <family val="2"/>
      <scheme val="minor"/>
    </font>
    <font>
      <b/>
      <sz val="8"/>
      <name val="Calibri"/>
      <family val="2"/>
      <charset val="204"/>
    </font>
    <font>
      <sz val="8"/>
      <color theme="1"/>
      <name val="Calibri"/>
      <family val="2"/>
      <charset val="204"/>
    </font>
    <font>
      <sz val="11"/>
      <color theme="0" tint="-0.249977111117893"/>
      <name val="Calibri"/>
      <family val="2"/>
      <scheme val="minor"/>
    </font>
    <font>
      <b/>
      <sz val="8"/>
      <color theme="1"/>
      <name val="Calibri"/>
      <family val="2"/>
      <charset val="204"/>
      <scheme val="minor"/>
    </font>
    <font>
      <b/>
      <sz val="11"/>
      <name val="Calibri"/>
      <family val="2"/>
      <charset val="204"/>
      <scheme val="minor"/>
    </font>
    <font>
      <sz val="6"/>
      <name val="Calibri"/>
      <family val="2"/>
      <charset val="204"/>
    </font>
    <font>
      <sz val="8"/>
      <name val="Calibri"/>
      <family val="2"/>
      <charset val="204"/>
      <scheme val="minor"/>
    </font>
    <font>
      <sz val="8"/>
      <color rgb="FF0F1115"/>
      <name val="Consolas"/>
      <family val="3"/>
      <charset val="204"/>
    </font>
    <font>
      <sz val="8"/>
      <color theme="0" tint="-0.249977111117893"/>
      <name val="Calibri"/>
      <family val="2"/>
    </font>
    <font>
      <sz val="11"/>
      <name val="Calibri"/>
      <family val="2"/>
      <charset val="204"/>
      <scheme val="minor"/>
    </font>
    <font>
      <sz val="10"/>
      <color theme="0" tint="-0.499984740745262"/>
      <name val="Calibri"/>
      <family val="2"/>
      <charset val="204"/>
      <scheme val="minor"/>
    </font>
    <font>
      <sz val="11"/>
      <color theme="0" tint="-0.499984740745262"/>
      <name val="Calibri"/>
      <family val="2"/>
      <charset val="204"/>
      <scheme val="minor"/>
    </font>
    <font>
      <sz val="11"/>
      <color theme="1"/>
      <name val="Calibri"/>
      <family val="2"/>
      <charset val="204"/>
    </font>
    <font>
      <b/>
      <sz val="12"/>
      <color theme="1"/>
      <name val="Calibri"/>
      <family val="2"/>
      <charset val="204"/>
    </font>
    <font>
      <sz val="9"/>
      <color theme="1"/>
      <name val="Calibri"/>
      <family val="2"/>
      <charset val="204"/>
    </font>
    <font>
      <b/>
      <sz val="11"/>
      <color theme="1"/>
      <name val="Calibri"/>
      <family val="2"/>
      <charset val="204"/>
    </font>
    <font>
      <sz val="11"/>
      <color theme="0" tint="-0.14999847407452621"/>
      <name val="Calibri"/>
      <family val="2"/>
      <charset val="204"/>
    </font>
    <font>
      <b/>
      <sz val="11"/>
      <color theme="0" tint="-0.14999847407452621"/>
      <name val="Calibri"/>
      <family val="2"/>
      <charset val="204"/>
    </font>
    <font>
      <sz val="9"/>
      <name val="Calibri"/>
      <family val="2"/>
      <charset val="204"/>
    </font>
    <font>
      <sz val="11"/>
      <name val="Calibri"/>
      <family val="2"/>
      <charset val="204"/>
    </font>
    <font>
      <sz val="8"/>
      <color theme="0" tint="-0.249977111117893"/>
      <name val="Calibri"/>
      <family val="2"/>
      <scheme val="minor"/>
    </font>
    <font>
      <sz val="8"/>
      <color rgb="FF92D050"/>
      <name val="Calibri"/>
      <family val="2"/>
      <charset val="204"/>
    </font>
    <font>
      <sz val="8"/>
      <color rgb="FF92D050"/>
      <name val="Calibri"/>
      <family val="2"/>
      <charset val="204"/>
      <scheme val="minor"/>
    </font>
    <font>
      <b/>
      <sz val="8"/>
      <name val="Calibri"/>
      <family val="2"/>
      <charset val="204"/>
      <scheme val="minor"/>
    </font>
    <font>
      <sz val="10"/>
      <color theme="0" tint="-0.249977111117893"/>
      <name val="Calibri"/>
      <family val="2"/>
      <charset val="204"/>
      <scheme val="minor"/>
    </font>
    <font>
      <sz val="11"/>
      <color theme="0" tint="-0.249977111117893"/>
      <name val="Calibri"/>
      <family val="2"/>
      <charset val="204"/>
      <scheme val="minor"/>
    </font>
    <font>
      <b/>
      <sz val="11"/>
      <color rgb="FF009999"/>
      <name val="Calibri"/>
      <family val="2"/>
      <charset val="204"/>
      <scheme val="minor"/>
    </font>
    <font>
      <b/>
      <sz val="10"/>
      <color theme="0" tint="-0.249977111117893"/>
      <name val="Calibri"/>
      <family val="2"/>
      <scheme val="minor"/>
    </font>
    <font>
      <sz val="8"/>
      <name val="Calibri"/>
      <family val="2"/>
      <charset val="204"/>
    </font>
    <font>
      <b/>
      <sz val="8"/>
      <name val="Consolas"/>
      <family val="3"/>
      <charset val="204"/>
    </font>
    <font>
      <sz val="8"/>
      <color theme="5"/>
      <name val="Calibri"/>
      <family val="2"/>
      <charset val="204"/>
      <scheme val="minor"/>
    </font>
    <font>
      <sz val="8"/>
      <color theme="0" tint="-0.249977111117893"/>
      <name val="Calibri"/>
      <family val="2"/>
      <charset val="204"/>
    </font>
    <font>
      <sz val="8"/>
      <color theme="0" tint="-0.249977111117893"/>
      <name val="Consolas"/>
      <family val="3"/>
      <charset val="204"/>
    </font>
    <font>
      <sz val="8"/>
      <color rgb="FFFF0000"/>
      <name val="Calibri"/>
      <family val="2"/>
      <scheme val="minor"/>
    </font>
    <font>
      <b/>
      <sz val="8"/>
      <color theme="5" tint="-0.249977111117893"/>
      <name val="Calibri"/>
      <family val="2"/>
    </font>
    <font>
      <sz val="8"/>
      <color theme="5" tint="-0.249977111117893"/>
      <name val="Calibri"/>
      <family val="2"/>
      <scheme val="minor"/>
    </font>
    <font>
      <b/>
      <sz val="8"/>
      <name val="Roboto Condensed"/>
      <charset val="204"/>
    </font>
    <font>
      <b/>
      <sz val="11"/>
      <name val="Roboto Condensed"/>
      <charset val="204"/>
    </font>
    <font>
      <b/>
      <sz val="8"/>
      <color rgb="FFFF0000"/>
      <name val="Calibri"/>
      <family val="2"/>
      <charset val="204"/>
      <scheme val="minor"/>
    </font>
    <font>
      <b/>
      <sz val="11"/>
      <color theme="5" tint="-0.249977111117893"/>
      <name val="Calibri"/>
      <family val="2"/>
      <charset val="204"/>
      <scheme val="minor"/>
    </font>
    <font>
      <b/>
      <sz val="10"/>
      <color rgb="FF009999"/>
      <name val="Calibri"/>
      <family val="2"/>
      <charset val="204"/>
      <scheme val="minor"/>
    </font>
    <font>
      <b/>
      <sz val="11"/>
      <color rgb="FF4682B4"/>
      <name val="Calibri"/>
      <family val="2"/>
      <charset val="204"/>
      <scheme val="minor"/>
    </font>
    <font>
      <b/>
      <sz val="11"/>
      <color rgb="FF5F9EA0"/>
      <name val="Calibri"/>
      <family val="2"/>
      <charset val="204"/>
      <scheme val="minor"/>
    </font>
    <font>
      <b/>
      <sz val="11"/>
      <color rgb="FF46D1CC"/>
      <name val="Calibri"/>
      <family val="2"/>
      <charset val="204"/>
      <scheme val="minor"/>
    </font>
    <font>
      <b/>
      <sz val="11"/>
      <color rgb="FF40E0D0"/>
      <name val="Calibri"/>
      <family val="2"/>
      <charset val="204"/>
      <scheme val="minor"/>
    </font>
    <font>
      <sz val="8"/>
      <color theme="5"/>
      <name val="Calibri"/>
      <family val="2"/>
      <scheme val="minor"/>
    </font>
    <font>
      <sz val="11"/>
      <color theme="5"/>
      <name val="Calibri"/>
      <family val="2"/>
      <scheme val="minor"/>
    </font>
    <font>
      <b/>
      <sz val="8"/>
      <color rgb="FF92D050"/>
      <name val="Calibri"/>
      <family val="2"/>
      <charset val="204"/>
      <scheme val="minor"/>
    </font>
    <font>
      <b/>
      <sz val="11"/>
      <color rgb="FF92D050"/>
      <name val="Calibri"/>
      <family val="2"/>
      <charset val="204"/>
      <scheme val="minor"/>
    </font>
    <font>
      <b/>
      <sz val="6"/>
      <color rgb="FF009999"/>
      <name val="Calibri"/>
      <family val="2"/>
      <charset val="204"/>
    </font>
    <font>
      <b/>
      <sz val="6"/>
      <color rgb="FF009999"/>
      <name val="Consolas"/>
      <family val="3"/>
      <charset val="204"/>
    </font>
    <font>
      <b/>
      <sz val="8"/>
      <color rgb="FF009999"/>
      <name val="Calibri"/>
      <family val="2"/>
      <charset val="204"/>
    </font>
    <font>
      <sz val="8"/>
      <color theme="0" tint="-0.249977111117893"/>
      <name val="Calibri"/>
      <family val="2"/>
      <charset val="204"/>
      <scheme val="minor"/>
    </font>
    <font>
      <sz val="6"/>
      <color theme="0" tint="-0.249977111117893"/>
      <name val="Calibri"/>
      <family val="2"/>
      <charset val="204"/>
    </font>
    <font>
      <b/>
      <sz val="11"/>
      <color theme="0" tint="-0.249977111117893"/>
      <name val="Calibri"/>
      <family val="2"/>
      <charset val="204"/>
      <scheme val="minor"/>
    </font>
    <font>
      <sz val="8"/>
      <name val="Consolas"/>
      <family val="3"/>
      <charset val="204"/>
    </font>
    <font>
      <b/>
      <sz val="8"/>
      <color theme="5"/>
      <name val="Calibri"/>
      <family val="2"/>
      <charset val="204"/>
      <scheme val="minor"/>
    </font>
    <font>
      <b/>
      <sz val="16"/>
      <name val="Calibri"/>
      <family val="2"/>
      <scheme val="minor"/>
    </font>
    <font>
      <sz val="16"/>
      <name val="Calibri"/>
      <family val="2"/>
      <scheme val="minor"/>
    </font>
    <font>
      <sz val="9"/>
      <color indexed="81"/>
      <name val="Tahoma"/>
      <family val="2"/>
      <charset val="204"/>
    </font>
    <font>
      <b/>
      <sz val="9"/>
      <color indexed="81"/>
      <name val="Tahoma"/>
      <family val="2"/>
      <charset val="204"/>
    </font>
    <font>
      <sz val="5"/>
      <color theme="0" tint="-0.249977111117893"/>
      <name val="Calibri"/>
      <family val="2"/>
      <charset val="204"/>
    </font>
    <font>
      <sz val="5"/>
      <color theme="0" tint="-0.249977111117893"/>
      <name val="Calibri"/>
      <family val="2"/>
      <charset val="204"/>
      <scheme val="minor"/>
    </font>
    <font>
      <b/>
      <sz val="11"/>
      <color theme="4" tint="-0.249977111117893"/>
      <name val="Calibri"/>
      <family val="2"/>
      <charset val="204"/>
      <scheme val="minor"/>
    </font>
    <font>
      <b/>
      <sz val="11"/>
      <color rgb="FF0070C0"/>
      <name val="Calibri"/>
      <family val="2"/>
      <charset val="204"/>
      <scheme val="minor"/>
    </font>
    <font>
      <b/>
      <sz val="11"/>
      <color rgb="FFFF0000"/>
      <name val="Calibri"/>
      <family val="2"/>
      <charset val="204"/>
      <scheme val="minor"/>
    </font>
    <font>
      <sz val="8"/>
      <color theme="9" tint="0.39997558519241921"/>
      <name val="Calibri"/>
      <family val="2"/>
      <charset val="204"/>
      <scheme val="minor"/>
    </font>
  </fonts>
  <fills count="11">
    <fill>
      <patternFill patternType="none"/>
    </fill>
    <fill>
      <patternFill patternType="gray125"/>
    </fill>
    <fill>
      <patternFill patternType="solid">
        <fgColor rgb="FFFFFF00"/>
        <bgColor indexed="64"/>
      </patternFill>
    </fill>
    <fill>
      <patternFill patternType="solid">
        <fgColor rgb="FF33CCCC"/>
        <bgColor indexed="64"/>
      </patternFill>
    </fill>
    <fill>
      <patternFill patternType="solid">
        <fgColor rgb="FFBFBFBF"/>
        <bgColor rgb="FFBFBFBF"/>
      </patternFill>
    </fill>
    <fill>
      <patternFill patternType="solid">
        <fgColor theme="0" tint="-4.9989318521683403E-2"/>
        <bgColor rgb="FFB2A1C7"/>
      </patternFill>
    </fill>
    <fill>
      <patternFill patternType="solid">
        <fgColor theme="0" tint="-0.14999847407452621"/>
        <bgColor rgb="FFB2A1C7"/>
      </patternFill>
    </fill>
    <fill>
      <patternFill patternType="solid">
        <fgColor theme="4" tint="0.39997558519241921"/>
        <bgColor indexed="64"/>
      </patternFill>
    </fill>
    <fill>
      <patternFill patternType="solid">
        <fgColor rgb="FF92D050"/>
        <bgColor indexed="64"/>
      </patternFill>
    </fill>
    <fill>
      <patternFill patternType="solid">
        <fgColor theme="0" tint="-0.14999847407452621"/>
        <bgColor indexed="64"/>
      </patternFill>
    </fill>
    <fill>
      <patternFill patternType="solid">
        <fgColor theme="7"/>
        <bgColor indexed="64"/>
      </patternFill>
    </fill>
  </fills>
  <borders count="6">
    <border>
      <left/>
      <right/>
      <top/>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5">
    <xf numFmtId="0" fontId="0" fillId="0" borderId="0"/>
    <xf numFmtId="0" fontId="3" fillId="0" borderId="0"/>
    <xf numFmtId="0" fontId="3" fillId="0" borderId="0"/>
    <xf numFmtId="0" fontId="2" fillId="0" borderId="0"/>
    <xf numFmtId="0" fontId="2" fillId="0" borderId="0"/>
  </cellStyleXfs>
  <cellXfs count="240">
    <xf numFmtId="0" fontId="0" fillId="0" borderId="0" xfId="0"/>
    <xf numFmtId="0" fontId="5" fillId="0" borderId="0" xfId="0" applyFont="1"/>
    <xf numFmtId="0" fontId="4" fillId="0" borderId="0" xfId="0" applyFont="1" applyAlignment="1">
      <alignment horizontal="center" vertical="center" wrapText="1"/>
    </xf>
    <xf numFmtId="0" fontId="4" fillId="0" borderId="0" xfId="0" applyFont="1" applyAlignment="1">
      <alignment horizontal="center" vertical="center"/>
    </xf>
    <xf numFmtId="0" fontId="0" fillId="0" borderId="0" xfId="0" applyAlignment="1">
      <alignment wrapText="1"/>
    </xf>
    <xf numFmtId="2" fontId="0" fillId="0" borderId="0" xfId="0" applyNumberFormat="1" applyAlignment="1">
      <alignment horizontal="center"/>
    </xf>
    <xf numFmtId="0" fontId="12" fillId="0" borderId="0" xfId="0" applyFont="1" applyAlignment="1">
      <alignment horizontal="center" vertical="center" wrapText="1"/>
    </xf>
    <xf numFmtId="0" fontId="12" fillId="0" borderId="0" xfId="0" applyFont="1" applyAlignment="1">
      <alignment horizontal="center" vertical="center"/>
    </xf>
    <xf numFmtId="0" fontId="12" fillId="0" borderId="0" xfId="0" applyFont="1"/>
    <xf numFmtId="2" fontId="7" fillId="3" borderId="0" xfId="0" applyNumberFormat="1" applyFont="1" applyFill="1" applyAlignment="1">
      <alignment horizontal="center" vertical="center" wrapText="1"/>
    </xf>
    <xf numFmtId="2" fontId="7" fillId="0" borderId="0" xfId="0" applyNumberFormat="1" applyFont="1" applyFill="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left" vertical="center"/>
    </xf>
    <xf numFmtId="2" fontId="12" fillId="0" borderId="0" xfId="0" applyNumberFormat="1" applyFont="1" applyAlignment="1">
      <alignment horizontal="center" vertical="center"/>
    </xf>
    <xf numFmtId="0" fontId="14" fillId="0" borderId="0" xfId="0" applyFont="1" applyAlignment="1">
      <alignment horizontal="center"/>
    </xf>
    <xf numFmtId="1" fontId="7" fillId="3" borderId="0" xfId="0" applyNumberFormat="1" applyFont="1" applyFill="1" applyAlignment="1">
      <alignment horizontal="center" vertical="center" wrapText="1"/>
    </xf>
    <xf numFmtId="2" fontId="18" fillId="0" borderId="0" xfId="0" applyNumberFormat="1" applyFont="1" applyAlignment="1">
      <alignment horizontal="center" vertical="center" wrapText="1"/>
    </xf>
    <xf numFmtId="0" fontId="5" fillId="0" borderId="0" xfId="0" applyFont="1" applyAlignment="1">
      <alignment horizontal="center" vertical="center"/>
    </xf>
    <xf numFmtId="2" fontId="20" fillId="0" borderId="0" xfId="0" applyNumberFormat="1" applyFont="1" applyFill="1" applyAlignment="1">
      <alignment horizontal="center" vertical="center" wrapText="1"/>
    </xf>
    <xf numFmtId="0" fontId="20" fillId="0" borderId="0" xfId="0" applyFont="1" applyFill="1" applyAlignment="1">
      <alignment horizontal="center" vertical="center" wrapText="1"/>
    </xf>
    <xf numFmtId="2" fontId="21" fillId="0" borderId="0" xfId="0" applyNumberFormat="1" applyFont="1" applyAlignment="1">
      <alignment horizontal="center"/>
    </xf>
    <xf numFmtId="0" fontId="21" fillId="0" borderId="0" xfId="0" applyFont="1" applyAlignment="1">
      <alignment horizontal="center"/>
    </xf>
    <xf numFmtId="0" fontId="8" fillId="0" borderId="0" xfId="0" applyFont="1" applyAlignment="1">
      <alignment horizontal="center" vertical="center"/>
    </xf>
    <xf numFmtId="0" fontId="23" fillId="4" borderId="0" xfId="0" applyFont="1" applyFill="1" applyAlignment="1">
      <alignment horizontal="center" vertical="center"/>
    </xf>
    <xf numFmtId="49" fontId="24" fillId="4" borderId="0" xfId="0" applyNumberFormat="1" applyFont="1" applyFill="1" applyAlignment="1">
      <alignment horizontal="center" vertical="center" wrapText="1"/>
    </xf>
    <xf numFmtId="0" fontId="13" fillId="0" borderId="0" xfId="0" applyFont="1" applyAlignment="1">
      <alignment horizontal="center" vertical="center" wrapText="1"/>
    </xf>
    <xf numFmtId="0" fontId="1" fillId="0" borderId="0" xfId="0" applyFont="1"/>
    <xf numFmtId="0" fontId="0" fillId="0" borderId="0" xfId="0" applyAlignment="1">
      <alignment horizontal="center" vertical="center"/>
    </xf>
    <xf numFmtId="0" fontId="25" fillId="0" borderId="0" xfId="0" applyFont="1" applyAlignment="1">
      <alignment horizontal="left" vertical="center" wrapText="1"/>
    </xf>
    <xf numFmtId="49" fontId="22" fillId="5" borderId="0" xfId="0" applyNumberFormat="1" applyFont="1" applyFill="1" applyAlignment="1">
      <alignment horizontal="center" vertical="center" wrapText="1"/>
    </xf>
    <xf numFmtId="2" fontId="1" fillId="0" borderId="0" xfId="0" applyNumberFormat="1" applyFont="1" applyAlignment="1">
      <alignment horizontal="center" vertical="center"/>
    </xf>
    <xf numFmtId="0" fontId="1" fillId="0" borderId="0" xfId="0" applyFont="1" applyAlignment="1">
      <alignment horizontal="center" vertical="center"/>
    </xf>
    <xf numFmtId="0" fontId="25" fillId="0" borderId="0" xfId="0" applyFont="1" applyAlignment="1">
      <alignment horizontal="left" vertical="center"/>
    </xf>
    <xf numFmtId="49" fontId="22" fillId="6" borderId="0" xfId="0" applyNumberFormat="1" applyFont="1" applyFill="1" applyAlignment="1">
      <alignment horizontal="center" vertical="center" wrapText="1"/>
    </xf>
    <xf numFmtId="49" fontId="22" fillId="0" borderId="0" xfId="0" applyNumberFormat="1" applyFont="1" applyAlignment="1">
      <alignment horizontal="center" vertical="center" wrapText="1"/>
    </xf>
    <xf numFmtId="0" fontId="27" fillId="0" borderId="0" xfId="0" applyFont="1" applyAlignment="1">
      <alignment horizontal="left" vertical="center"/>
    </xf>
    <xf numFmtId="49" fontId="26" fillId="0" borderId="0" xfId="0" applyNumberFormat="1" applyFont="1" applyAlignment="1">
      <alignment horizontal="center" vertical="center" wrapText="1"/>
    </xf>
    <xf numFmtId="49" fontId="11" fillId="0" borderId="0" xfId="0" applyNumberFormat="1" applyFont="1" applyAlignment="1">
      <alignment horizontal="center" vertical="center" wrapText="1"/>
    </xf>
    <xf numFmtId="0" fontId="25" fillId="0" borderId="0" xfId="0" applyFont="1"/>
    <xf numFmtId="49" fontId="11" fillId="0" borderId="0" xfId="0" applyNumberFormat="1" applyFont="1" applyAlignment="1">
      <alignment horizontal="center" vertical="center"/>
    </xf>
    <xf numFmtId="0" fontId="0" fillId="7" borderId="0" xfId="0" applyFill="1" applyAlignment="1">
      <alignment horizontal="center" vertical="center"/>
    </xf>
    <xf numFmtId="0" fontId="12" fillId="0" borderId="0" xfId="0" applyFont="1" applyFill="1" applyAlignment="1">
      <alignment horizontal="center" vertical="center"/>
    </xf>
    <xf numFmtId="0" fontId="12" fillId="0" borderId="0" xfId="0" applyFont="1" applyFill="1"/>
    <xf numFmtId="2" fontId="28" fillId="4" borderId="0" xfId="0" applyNumberFormat="1" applyFont="1" applyFill="1" applyAlignment="1">
      <alignment horizontal="center" vertical="center" wrapText="1"/>
    </xf>
    <xf numFmtId="2" fontId="29" fillId="0" borderId="0" xfId="0" applyNumberFormat="1" applyFont="1" applyAlignment="1">
      <alignment horizontal="center" vertical="center"/>
    </xf>
    <xf numFmtId="2" fontId="19" fillId="0" borderId="0" xfId="0" applyNumberFormat="1" applyFont="1" applyAlignment="1">
      <alignment horizontal="center" vertical="center"/>
    </xf>
    <xf numFmtId="0" fontId="19" fillId="0" borderId="0" xfId="0" applyFont="1"/>
    <xf numFmtId="0" fontId="12" fillId="0" borderId="0" xfId="0" applyFont="1" applyAlignment="1">
      <alignment horizontal="center" vertical="center"/>
    </xf>
    <xf numFmtId="0" fontId="15" fillId="0" borderId="0" xfId="1" applyFont="1" applyBorder="1" applyAlignment="1">
      <alignment horizontal="center" vertical="center" textRotation="90" wrapText="1"/>
    </xf>
    <xf numFmtId="2" fontId="11" fillId="0" borderId="0" xfId="1" applyNumberFormat="1" applyFont="1" applyBorder="1" applyAlignment="1">
      <alignment horizontal="center" vertical="center" wrapText="1"/>
    </xf>
    <xf numFmtId="0" fontId="5" fillId="0" borderId="0" xfId="0" applyFont="1" applyBorder="1"/>
    <xf numFmtId="0" fontId="5" fillId="0" borderId="0" xfId="0" applyFont="1" applyFill="1" applyAlignment="1">
      <alignment horizontal="center" vertical="center"/>
    </xf>
    <xf numFmtId="2" fontId="5" fillId="0" borderId="0" xfId="0" applyNumberFormat="1" applyFont="1" applyAlignment="1">
      <alignment horizontal="center" vertical="center"/>
    </xf>
    <xf numFmtId="0" fontId="32" fillId="0" borderId="0" xfId="0" applyFont="1" applyAlignment="1">
      <alignment horizontal="center"/>
    </xf>
    <xf numFmtId="2" fontId="31" fillId="0" borderId="0" xfId="0" applyNumberFormat="1" applyFont="1" applyAlignment="1">
      <alignment horizontal="center" vertical="center"/>
    </xf>
    <xf numFmtId="0" fontId="0" fillId="0" borderId="0" xfId="0" applyFont="1"/>
    <xf numFmtId="0" fontId="0" fillId="0" borderId="0" xfId="1" applyFont="1"/>
    <xf numFmtId="0" fontId="8" fillId="0" borderId="0" xfId="0" applyFont="1"/>
    <xf numFmtId="0" fontId="18" fillId="0" borderId="0" xfId="1" applyFont="1" applyBorder="1" applyAlignment="1">
      <alignment horizontal="center" vertical="center" wrapText="1"/>
    </xf>
    <xf numFmtId="2" fontId="18" fillId="0" borderId="0" xfId="0" applyNumberFormat="1" applyFont="1" applyAlignment="1">
      <alignment horizontal="center" vertical="center"/>
    </xf>
    <xf numFmtId="0" fontId="17" fillId="0" borderId="0" xfId="0" applyFont="1" applyAlignment="1">
      <alignment horizontal="right" vertical="center" indent="1"/>
    </xf>
    <xf numFmtId="0" fontId="5" fillId="0" borderId="0" xfId="0" applyFont="1" applyFill="1"/>
    <xf numFmtId="0" fontId="10" fillId="0" borderId="0" xfId="0" applyFont="1" applyAlignment="1">
      <alignment horizontal="center" vertical="center"/>
    </xf>
    <xf numFmtId="2" fontId="30" fillId="0" borderId="0" xfId="0" applyNumberFormat="1" applyFont="1" applyAlignment="1">
      <alignment horizontal="center" vertical="center"/>
    </xf>
    <xf numFmtId="0" fontId="32" fillId="0" borderId="0" xfId="0" applyFont="1" applyFill="1" applyAlignment="1">
      <alignment horizontal="center"/>
    </xf>
    <xf numFmtId="2" fontId="18" fillId="0" borderId="0" xfId="0" applyNumberFormat="1" applyFont="1" applyFill="1" applyAlignment="1">
      <alignment horizontal="center" vertical="center"/>
    </xf>
    <xf numFmtId="2" fontId="18" fillId="0" borderId="0" xfId="0" applyNumberFormat="1" applyFont="1" applyFill="1" applyAlignment="1">
      <alignment horizontal="center" vertical="center" wrapText="1"/>
    </xf>
    <xf numFmtId="2" fontId="34" fillId="0" borderId="0" xfId="0" applyNumberFormat="1" applyFont="1" applyFill="1" applyAlignment="1">
      <alignment horizontal="center" vertical="center" wrapText="1"/>
    </xf>
    <xf numFmtId="2" fontId="35" fillId="0" borderId="0" xfId="0" applyNumberFormat="1" applyFont="1" applyAlignment="1">
      <alignment horizontal="center"/>
    </xf>
    <xf numFmtId="2" fontId="36" fillId="0" borderId="0" xfId="0" applyNumberFormat="1" applyFont="1" applyFill="1" applyAlignment="1">
      <alignment horizontal="center"/>
    </xf>
    <xf numFmtId="2" fontId="36" fillId="0" borderId="0" xfId="0" applyNumberFormat="1" applyFont="1" applyAlignment="1">
      <alignment horizontal="center"/>
    </xf>
    <xf numFmtId="2" fontId="37" fillId="0" borderId="0" xfId="0" applyNumberFormat="1" applyFont="1" applyFill="1" applyAlignment="1">
      <alignment horizontal="center" vertical="center" wrapText="1"/>
    </xf>
    <xf numFmtId="2" fontId="12" fillId="0" borderId="0" xfId="0" applyNumberFormat="1" applyFont="1" applyAlignment="1">
      <alignment horizontal="center"/>
    </xf>
    <xf numFmtId="1" fontId="14" fillId="0" borderId="0" xfId="0" applyNumberFormat="1" applyFont="1" applyAlignment="1">
      <alignment horizontal="center" vertical="center"/>
    </xf>
    <xf numFmtId="2" fontId="38" fillId="0" borderId="0" xfId="0" applyNumberFormat="1" applyFont="1" applyAlignment="1">
      <alignment horizontal="center" vertical="center" wrapText="1"/>
    </xf>
    <xf numFmtId="2" fontId="16" fillId="0" borderId="0" xfId="0" applyNumberFormat="1" applyFont="1" applyAlignment="1">
      <alignment horizontal="center" vertical="center"/>
    </xf>
    <xf numFmtId="2" fontId="16" fillId="0" borderId="0" xfId="0" applyNumberFormat="1" applyFont="1" applyAlignment="1">
      <alignment horizontal="left" vertical="center"/>
    </xf>
    <xf numFmtId="2" fontId="16" fillId="0" borderId="0" xfId="0" applyNumberFormat="1" applyFont="1" applyFill="1" applyAlignment="1">
      <alignment horizontal="center" vertical="center"/>
    </xf>
    <xf numFmtId="2" fontId="16" fillId="0" borderId="0" xfId="0" applyNumberFormat="1" applyFont="1" applyFill="1" applyAlignment="1">
      <alignment horizontal="left" vertical="center"/>
    </xf>
    <xf numFmtId="2" fontId="38" fillId="0" borderId="0" xfId="1" applyNumberFormat="1" applyFont="1" applyBorder="1" applyAlignment="1">
      <alignment horizontal="center" vertical="center" wrapText="1"/>
    </xf>
    <xf numFmtId="2" fontId="38" fillId="0" borderId="0" xfId="0" applyNumberFormat="1" applyFont="1" applyFill="1" applyAlignment="1">
      <alignment horizontal="center" vertical="center" wrapText="1"/>
    </xf>
    <xf numFmtId="0" fontId="10" fillId="0" borderId="0" xfId="0" applyFont="1" applyAlignment="1">
      <alignment horizontal="center" vertical="center" wrapText="1"/>
    </xf>
    <xf numFmtId="0" fontId="33" fillId="0" borderId="0" xfId="0" applyFont="1" applyAlignment="1">
      <alignment horizontal="center" vertical="center"/>
    </xf>
    <xf numFmtId="0" fontId="33" fillId="0" borderId="0" xfId="0" applyFont="1" applyFill="1" applyAlignment="1">
      <alignment horizontal="center" vertical="center"/>
    </xf>
    <xf numFmtId="0" fontId="38" fillId="3" borderId="0" xfId="1" applyFont="1" applyFill="1" applyBorder="1" applyAlignment="1">
      <alignment horizontal="center" vertical="center" wrapText="1"/>
    </xf>
    <xf numFmtId="0" fontId="39" fillId="3" borderId="0" xfId="1" applyFont="1" applyFill="1" applyBorder="1" applyAlignment="1">
      <alignment horizontal="center" vertical="center" wrapText="1"/>
    </xf>
    <xf numFmtId="0" fontId="39" fillId="0" borderId="0" xfId="0" applyFont="1" applyAlignment="1">
      <alignment horizontal="center" vertical="center"/>
    </xf>
    <xf numFmtId="0" fontId="39" fillId="0" borderId="0" xfId="0" applyFont="1" applyAlignment="1">
      <alignment horizontal="center"/>
    </xf>
    <xf numFmtId="0" fontId="39" fillId="0" borderId="0" xfId="0" applyFont="1" applyFill="1" applyAlignment="1">
      <alignment horizontal="center"/>
    </xf>
    <xf numFmtId="49" fontId="39" fillId="0" borderId="0" xfId="0" applyNumberFormat="1" applyFont="1" applyFill="1" applyAlignment="1">
      <alignment horizontal="center" vertical="center"/>
    </xf>
    <xf numFmtId="0" fontId="40" fillId="0" borderId="0" xfId="0" applyFont="1" applyFill="1" applyAlignment="1">
      <alignment horizontal="center"/>
    </xf>
    <xf numFmtId="0" fontId="40" fillId="0" borderId="0" xfId="0" applyFont="1" applyAlignment="1">
      <alignment horizontal="center"/>
    </xf>
    <xf numFmtId="164" fontId="40" fillId="0" borderId="0" xfId="0" applyNumberFormat="1" applyFont="1" applyFill="1" applyAlignment="1">
      <alignment horizontal="center"/>
    </xf>
    <xf numFmtId="0" fontId="30" fillId="0" borderId="0" xfId="0" applyFont="1" applyFill="1" applyAlignment="1">
      <alignment horizontal="center" vertical="center" wrapText="1"/>
    </xf>
    <xf numFmtId="0" fontId="30" fillId="0" borderId="0" xfId="0" applyFont="1" applyAlignment="1">
      <alignment horizontal="center"/>
    </xf>
    <xf numFmtId="0" fontId="9" fillId="0" borderId="0" xfId="0" applyFont="1" applyAlignment="1">
      <alignment horizontal="center" wrapText="1"/>
    </xf>
    <xf numFmtId="0" fontId="5" fillId="0" borderId="0" xfId="0" applyFont="1" applyAlignment="1">
      <alignment horizontal="center" vertical="center" wrapText="1"/>
    </xf>
    <xf numFmtId="0" fontId="5" fillId="0" borderId="0" xfId="0" applyFont="1" applyFill="1" applyAlignment="1">
      <alignment horizontal="center" vertical="center"/>
    </xf>
    <xf numFmtId="0" fontId="6" fillId="0" borderId="0" xfId="0" applyFont="1" applyAlignment="1">
      <alignment horizontal="center" vertical="center" wrapText="1"/>
    </xf>
    <xf numFmtId="2" fontId="41" fillId="0" borderId="0" xfId="1" applyNumberFormat="1" applyFont="1" applyBorder="1" applyAlignment="1">
      <alignment horizontal="center" vertical="center" wrapText="1"/>
    </xf>
    <xf numFmtId="0" fontId="42" fillId="0" borderId="0" xfId="0" applyFont="1" applyAlignment="1">
      <alignment horizontal="center" vertical="center"/>
    </xf>
    <xf numFmtId="0" fontId="42" fillId="0" borderId="0" xfId="0" applyFont="1" applyFill="1" applyAlignment="1">
      <alignment horizontal="center" vertical="center"/>
    </xf>
    <xf numFmtId="0" fontId="8" fillId="0" borderId="0" xfId="0" applyFont="1" applyAlignment="1">
      <alignment horizontal="center" vertical="center" wrapText="1"/>
    </xf>
    <xf numFmtId="0" fontId="45" fillId="0" borderId="0" xfId="0" applyFont="1" applyAlignment="1">
      <alignment horizontal="center" vertical="center"/>
    </xf>
    <xf numFmtId="2" fontId="38" fillId="2" borderId="0" xfId="0" applyNumberFormat="1" applyFont="1" applyFill="1" applyAlignment="1">
      <alignment horizontal="center" vertical="center" wrapText="1"/>
    </xf>
    <xf numFmtId="0" fontId="42" fillId="2" borderId="0" xfId="0" applyFont="1" applyFill="1" applyAlignment="1">
      <alignment horizontal="center" vertical="center"/>
    </xf>
    <xf numFmtId="49" fontId="0" fillId="0" borderId="0" xfId="0" applyNumberFormat="1"/>
    <xf numFmtId="1" fontId="46" fillId="0" borderId="0" xfId="1" applyNumberFormat="1" applyFont="1" applyBorder="1" applyAlignment="1">
      <alignment horizontal="center" vertical="center" wrapText="1"/>
    </xf>
    <xf numFmtId="1" fontId="46" fillId="0" borderId="0" xfId="0" applyNumberFormat="1" applyFont="1" applyAlignment="1">
      <alignment horizontal="center" vertical="center" wrapText="1"/>
    </xf>
    <xf numFmtId="1" fontId="46" fillId="0" borderId="0" xfId="0" applyNumberFormat="1" applyFont="1" applyFill="1" applyAlignment="1">
      <alignment horizontal="center" vertical="center" wrapText="1"/>
    </xf>
    <xf numFmtId="1" fontId="46" fillId="0" borderId="0" xfId="0" applyNumberFormat="1" applyFont="1"/>
    <xf numFmtId="0" fontId="47" fillId="0" borderId="0" xfId="0" applyFont="1" applyAlignment="1">
      <alignment horizontal="center" vertical="center" wrapText="1"/>
    </xf>
    <xf numFmtId="0" fontId="47" fillId="0" borderId="0" xfId="0" applyFont="1"/>
    <xf numFmtId="0" fontId="39" fillId="9" borderId="0" xfId="0" applyFont="1" applyFill="1" applyAlignment="1">
      <alignment horizontal="center"/>
    </xf>
    <xf numFmtId="2" fontId="10" fillId="0" borderId="0" xfId="0" applyNumberFormat="1" applyFont="1" applyAlignment="1">
      <alignment horizontal="center" vertical="center" wrapText="1"/>
    </xf>
    <xf numFmtId="2" fontId="33" fillId="0" borderId="0" xfId="0" applyNumberFormat="1" applyFont="1" applyAlignment="1">
      <alignment horizontal="center" vertical="center"/>
    </xf>
    <xf numFmtId="2" fontId="33" fillId="0" borderId="0" xfId="0" applyNumberFormat="1" applyFont="1" applyFill="1" applyAlignment="1">
      <alignment horizontal="center" vertical="center"/>
    </xf>
    <xf numFmtId="0" fontId="50" fillId="0" borderId="0" xfId="0" applyFont="1" applyFill="1" applyAlignment="1">
      <alignment horizontal="center" vertical="center" wrapText="1"/>
    </xf>
    <xf numFmtId="0" fontId="14" fillId="0" borderId="0" xfId="0" applyFont="1" applyFill="1" applyAlignment="1">
      <alignment horizontal="center"/>
    </xf>
    <xf numFmtId="2" fontId="21" fillId="0" borderId="0" xfId="0" applyNumberFormat="1" applyFont="1" applyFill="1" applyAlignment="1">
      <alignment horizontal="center"/>
    </xf>
    <xf numFmtId="0" fontId="21" fillId="0" borderId="0" xfId="0" applyFont="1" applyFill="1" applyAlignment="1">
      <alignment horizontal="center"/>
    </xf>
    <xf numFmtId="2" fontId="35" fillId="0" borderId="0" xfId="0" applyNumberFormat="1" applyFont="1" applyFill="1" applyAlignment="1">
      <alignment horizontal="center"/>
    </xf>
    <xf numFmtId="2" fontId="12" fillId="0" borderId="0" xfId="0" applyNumberFormat="1" applyFont="1" applyFill="1" applyAlignment="1">
      <alignment horizontal="center"/>
    </xf>
    <xf numFmtId="1" fontId="14" fillId="0" borderId="0" xfId="0" applyNumberFormat="1" applyFont="1" applyFill="1" applyAlignment="1">
      <alignment horizontal="center" vertical="center"/>
    </xf>
    <xf numFmtId="0" fontId="12" fillId="0" borderId="0" xfId="0" applyFont="1" applyFill="1" applyAlignment="1">
      <alignment horizontal="left" vertical="center"/>
    </xf>
    <xf numFmtId="2" fontId="12" fillId="0" borderId="0" xfId="0" applyNumberFormat="1" applyFont="1" applyFill="1" applyAlignment="1">
      <alignment horizontal="center" vertical="center"/>
    </xf>
    <xf numFmtId="0" fontId="51" fillId="0" borderId="0" xfId="0" applyFont="1" applyAlignment="1">
      <alignment horizontal="center" vertical="center" wrapText="1"/>
    </xf>
    <xf numFmtId="2" fontId="51" fillId="0" borderId="0" xfId="0" applyNumberFormat="1" applyFont="1" applyAlignment="1">
      <alignment horizontal="center" vertical="center" wrapText="1"/>
    </xf>
    <xf numFmtId="0" fontId="52" fillId="0" borderId="0" xfId="0" applyFont="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horizontal="center" vertical="center" wrapText="1"/>
    </xf>
    <xf numFmtId="0" fontId="16" fillId="0" borderId="0" xfId="0" applyFont="1" applyAlignment="1">
      <alignment horizontal="center" vertical="center" wrapText="1"/>
    </xf>
    <xf numFmtId="2" fontId="16" fillId="7" borderId="0" xfId="0" applyNumberFormat="1" applyFont="1" applyFill="1" applyAlignment="1">
      <alignment horizontal="center" vertical="center" wrapText="1"/>
    </xf>
    <xf numFmtId="2" fontId="16" fillId="0" borderId="0" xfId="0" applyNumberFormat="1" applyFont="1" applyAlignment="1">
      <alignment horizontal="center" vertical="center" wrapText="1"/>
    </xf>
    <xf numFmtId="49" fontId="55" fillId="0" borderId="0" xfId="0" applyNumberFormat="1" applyFont="1" applyAlignment="1">
      <alignment horizontal="center" vertical="center" wrapText="1"/>
    </xf>
    <xf numFmtId="0" fontId="16" fillId="0" borderId="0" xfId="0" applyFont="1"/>
    <xf numFmtId="2" fontId="52" fillId="0" borderId="0" xfId="0" applyNumberFormat="1" applyFont="1" applyAlignment="1">
      <alignment horizontal="center" vertical="center" wrapText="1"/>
    </xf>
    <xf numFmtId="2" fontId="53" fillId="0" borderId="0" xfId="0" applyNumberFormat="1" applyFont="1" applyAlignment="1">
      <alignment horizontal="center" vertical="center" wrapText="1"/>
    </xf>
    <xf numFmtId="2" fontId="54" fillId="0" borderId="0" xfId="0" applyNumberFormat="1" applyFont="1" applyAlignment="1">
      <alignment horizontal="center" vertical="center" wrapText="1"/>
    </xf>
    <xf numFmtId="0" fontId="56" fillId="0" borderId="0" xfId="0" applyFont="1" applyAlignment="1">
      <alignment horizontal="center" vertical="center"/>
    </xf>
    <xf numFmtId="49" fontId="55" fillId="0" borderId="0" xfId="0" applyNumberFormat="1" applyFont="1" applyAlignment="1">
      <alignment horizontal="center" vertical="center"/>
    </xf>
    <xf numFmtId="0" fontId="5" fillId="0" borderId="0" xfId="0" applyFont="1" applyAlignment="1">
      <alignment horizontal="center" vertical="center"/>
    </xf>
    <xf numFmtId="0" fontId="57" fillId="0" borderId="0" xfId="0" applyFont="1" applyBorder="1" applyAlignment="1">
      <alignment horizontal="center" vertical="center" textRotation="90"/>
    </xf>
    <xf numFmtId="0" fontId="48" fillId="0" borderId="0" xfId="0" applyFont="1" applyAlignment="1">
      <alignment horizontal="center" vertical="center"/>
    </xf>
    <xf numFmtId="0" fontId="58" fillId="0" borderId="0" xfId="0" applyFont="1" applyFill="1" applyAlignment="1">
      <alignment horizontal="center" vertical="center"/>
    </xf>
    <xf numFmtId="2" fontId="33" fillId="0" borderId="0" xfId="2" applyNumberFormat="1" applyFont="1" applyBorder="1" applyAlignment="1">
      <alignment horizontal="center" vertical="center" wrapText="1"/>
    </xf>
    <xf numFmtId="49" fontId="39" fillId="0" borderId="0" xfId="0" applyNumberFormat="1" applyFont="1" applyAlignment="1">
      <alignment horizontal="center" vertical="center"/>
    </xf>
    <xf numFmtId="49" fontId="59" fillId="0" borderId="0" xfId="2" applyNumberFormat="1" applyFont="1" applyFill="1" applyBorder="1" applyAlignment="1">
      <alignment horizontal="center" vertical="center" textRotation="90"/>
    </xf>
    <xf numFmtId="49" fontId="60" fillId="0" borderId="0" xfId="1" applyNumberFormat="1" applyFont="1" applyFill="1" applyBorder="1" applyAlignment="1">
      <alignment horizontal="center" vertical="center" wrapText="1"/>
    </xf>
    <xf numFmtId="0" fontId="59" fillId="0" borderId="0" xfId="1" applyFont="1" applyFill="1" applyBorder="1" applyAlignment="1">
      <alignment horizontal="center" vertical="center" textRotation="90" wrapText="1"/>
    </xf>
    <xf numFmtId="0" fontId="61" fillId="0" borderId="0" xfId="1" applyFont="1" applyFill="1" applyBorder="1" applyAlignment="1">
      <alignment horizontal="center" vertical="center" wrapText="1"/>
    </xf>
    <xf numFmtId="2" fontId="61" fillId="0" borderId="0" xfId="1" applyNumberFormat="1" applyFont="1" applyFill="1" applyBorder="1" applyAlignment="1">
      <alignment horizontal="center" vertical="center" wrapText="1"/>
    </xf>
    <xf numFmtId="0" fontId="44" fillId="0" borderId="0" xfId="1" applyFont="1" applyFill="1" applyBorder="1" applyAlignment="1">
      <alignment horizontal="center" vertical="center" textRotation="90" wrapText="1"/>
    </xf>
    <xf numFmtId="0" fontId="41" fillId="0" borderId="0" xfId="0" applyFont="1" applyAlignment="1">
      <alignment horizontal="center" vertical="center" wrapText="1"/>
    </xf>
    <xf numFmtId="0" fontId="62" fillId="0" borderId="0" xfId="0" applyFont="1" applyAlignment="1">
      <alignment horizontal="center" vertical="center"/>
    </xf>
    <xf numFmtId="1" fontId="48" fillId="0" borderId="0" xfId="0" applyNumberFormat="1" applyFont="1" applyAlignment="1">
      <alignment horizontal="center" vertical="center"/>
    </xf>
    <xf numFmtId="0" fontId="62" fillId="0" borderId="0" xfId="1" applyFont="1" applyBorder="1" applyAlignment="1">
      <alignment horizontal="center" vertical="center" wrapText="1"/>
    </xf>
    <xf numFmtId="0" fontId="30" fillId="0" borderId="0" xfId="0" applyFont="1" applyBorder="1" applyAlignment="1">
      <alignment horizontal="center" vertical="center"/>
    </xf>
    <xf numFmtId="0" fontId="30" fillId="0" borderId="0" xfId="0" applyFont="1" applyBorder="1" applyAlignment="1">
      <alignment horizontal="center" vertical="center" wrapText="1"/>
    </xf>
    <xf numFmtId="0" fontId="30" fillId="0" borderId="0" xfId="0" applyFont="1" applyAlignment="1">
      <alignment horizontal="center" vertical="center"/>
    </xf>
    <xf numFmtId="0" fontId="30" fillId="0" borderId="0" xfId="0" applyFont="1" applyFill="1" applyAlignment="1">
      <alignment horizontal="center" vertical="center"/>
    </xf>
    <xf numFmtId="0" fontId="41" fillId="0" borderId="0" xfId="1" applyFont="1" applyBorder="1" applyAlignment="1">
      <alignment horizontal="center" vertical="center" wrapText="1"/>
    </xf>
    <xf numFmtId="0" fontId="41" fillId="0" borderId="0" xfId="0" applyFont="1" applyFill="1" applyAlignment="1">
      <alignment horizontal="center" vertical="center" wrapText="1"/>
    </xf>
    <xf numFmtId="0" fontId="14" fillId="10" borderId="0" xfId="0" applyFont="1" applyFill="1" applyAlignment="1">
      <alignment horizontal="center" vertical="center"/>
    </xf>
    <xf numFmtId="0" fontId="9" fillId="8" borderId="0" xfId="0" applyFont="1" applyFill="1" applyAlignment="1">
      <alignment horizontal="center" vertical="center"/>
    </xf>
    <xf numFmtId="0" fontId="64" fillId="0" borderId="0" xfId="0" applyFont="1" applyFill="1" applyAlignment="1">
      <alignment horizontal="center" vertical="center"/>
    </xf>
    <xf numFmtId="0" fontId="9" fillId="0" borderId="0" xfId="0" applyFont="1" applyAlignment="1">
      <alignment horizontal="center" vertical="center"/>
    </xf>
    <xf numFmtId="0" fontId="65" fillId="0" borderId="0" xfId="0" applyFont="1" applyAlignment="1">
      <alignment horizontal="center" vertical="center"/>
    </xf>
    <xf numFmtId="0" fontId="9" fillId="0" borderId="0" xfId="0" applyFont="1"/>
    <xf numFmtId="1" fontId="14" fillId="2" borderId="0" xfId="0" applyNumberFormat="1" applyFont="1" applyFill="1" applyAlignment="1">
      <alignment horizontal="center" vertical="center"/>
    </xf>
    <xf numFmtId="2" fontId="36" fillId="2" borderId="0" xfId="0" applyNumberFormat="1" applyFont="1" applyFill="1" applyAlignment="1">
      <alignment horizontal="center"/>
    </xf>
    <xf numFmtId="0" fontId="5" fillId="0" borderId="0" xfId="0" applyFont="1" applyAlignment="1">
      <alignment horizontal="center" vertical="center"/>
    </xf>
    <xf numFmtId="0" fontId="55" fillId="0" borderId="0" xfId="0" applyFont="1" applyFill="1" applyAlignment="1">
      <alignment horizontal="center" vertical="center" wrapText="1"/>
    </xf>
    <xf numFmtId="0" fontId="55" fillId="0" borderId="0" xfId="0" applyFont="1" applyAlignment="1">
      <alignment horizontal="center"/>
    </xf>
    <xf numFmtId="0" fontId="7" fillId="0" borderId="0" xfId="0" applyFont="1" applyFill="1" applyAlignment="1">
      <alignment horizontal="center" vertical="center" wrapText="1"/>
    </xf>
    <xf numFmtId="0" fontId="7" fillId="0" borderId="0" xfId="0" applyFont="1" applyAlignment="1">
      <alignment horizontal="center"/>
    </xf>
    <xf numFmtId="0" fontId="67" fillId="8" borderId="0" xfId="0" applyFont="1" applyFill="1" applyAlignment="1">
      <alignment horizontal="center" vertical="center"/>
    </xf>
    <xf numFmtId="0" fontId="16" fillId="0" borderId="0" xfId="0" applyFont="1" applyFill="1" applyAlignment="1">
      <alignment horizontal="center" vertical="center" wrapText="1"/>
    </xf>
    <xf numFmtId="2" fontId="51" fillId="0" borderId="0" xfId="0" applyNumberFormat="1" applyFont="1" applyFill="1" applyAlignment="1">
      <alignment horizontal="center" vertical="center" wrapText="1"/>
    </xf>
    <xf numFmtId="2" fontId="52" fillId="0" borderId="0" xfId="0" applyNumberFormat="1" applyFont="1" applyFill="1" applyAlignment="1">
      <alignment horizontal="center" vertical="center" wrapText="1"/>
    </xf>
    <xf numFmtId="2" fontId="53" fillId="0" borderId="0" xfId="0" applyNumberFormat="1" applyFont="1" applyFill="1" applyAlignment="1">
      <alignment horizontal="center" vertical="center" wrapText="1"/>
    </xf>
    <xf numFmtId="2" fontId="54" fillId="0" borderId="0" xfId="0" applyNumberFormat="1" applyFont="1" applyFill="1" applyAlignment="1">
      <alignment horizontal="center" vertical="center" wrapText="1"/>
    </xf>
    <xf numFmtId="2" fontId="16" fillId="0" borderId="0" xfId="0" applyNumberFormat="1" applyFont="1" applyFill="1" applyAlignment="1">
      <alignment horizontal="center" vertical="center" wrapText="1"/>
    </xf>
    <xf numFmtId="0" fontId="56" fillId="0" borderId="0" xfId="0" applyFont="1" applyFill="1" applyAlignment="1">
      <alignment horizontal="center" vertical="center"/>
    </xf>
    <xf numFmtId="1" fontId="48" fillId="0" borderId="0" xfId="0" applyNumberFormat="1" applyFont="1" applyFill="1" applyAlignment="1">
      <alignment horizontal="center" vertical="center"/>
    </xf>
    <xf numFmtId="0" fontId="16" fillId="9" borderId="0" xfId="0" applyFont="1" applyFill="1" applyAlignment="1">
      <alignment horizontal="center" vertical="center" wrapText="1"/>
    </xf>
    <xf numFmtId="2" fontId="51" fillId="9" borderId="0" xfId="0" applyNumberFormat="1" applyFont="1" applyFill="1" applyAlignment="1">
      <alignment horizontal="center" vertical="center" wrapText="1"/>
    </xf>
    <xf numFmtId="2" fontId="52" fillId="9" borderId="0" xfId="0" applyNumberFormat="1" applyFont="1" applyFill="1" applyAlignment="1">
      <alignment horizontal="center" vertical="center" wrapText="1"/>
    </xf>
    <xf numFmtId="2" fontId="53" fillId="9" borderId="0" xfId="0" applyNumberFormat="1" applyFont="1" applyFill="1" applyAlignment="1">
      <alignment horizontal="center" vertical="center" wrapText="1"/>
    </xf>
    <xf numFmtId="2" fontId="54" fillId="9" borderId="0" xfId="0" applyNumberFormat="1" applyFont="1" applyFill="1" applyAlignment="1">
      <alignment horizontal="center" vertical="center" wrapText="1"/>
    </xf>
    <xf numFmtId="2" fontId="16" fillId="9" borderId="0" xfId="0" applyNumberFormat="1" applyFont="1" applyFill="1" applyAlignment="1">
      <alignment horizontal="center" vertical="center" wrapText="1"/>
    </xf>
    <xf numFmtId="0" fontId="56" fillId="9" borderId="0" xfId="0" applyFont="1" applyFill="1" applyAlignment="1">
      <alignment horizontal="center" vertical="center"/>
    </xf>
    <xf numFmtId="1" fontId="48" fillId="9" borderId="0" xfId="0" applyNumberFormat="1" applyFont="1" applyFill="1" applyAlignment="1">
      <alignment horizontal="center"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16" fillId="0" borderId="2" xfId="1" applyFont="1" applyBorder="1" applyAlignment="1">
      <alignment horizontal="center" vertical="center" wrapText="1"/>
    </xf>
    <xf numFmtId="0" fontId="16" fillId="0" borderId="1" xfId="1" applyFont="1" applyBorder="1" applyAlignment="1">
      <alignment horizontal="center" vertical="center" wrapText="1"/>
    </xf>
    <xf numFmtId="0" fontId="16" fillId="0" borderId="3" xfId="1" applyFont="1" applyBorder="1" applyAlignment="1">
      <alignment horizontal="center" vertical="center" wrapText="1"/>
    </xf>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33" fillId="0" borderId="2" xfId="0" applyFont="1" applyFill="1" applyBorder="1" applyAlignment="1">
      <alignment horizontal="center" vertical="center" wrapText="1"/>
    </xf>
    <xf numFmtId="0" fontId="33" fillId="0" borderId="1" xfId="0" applyFont="1" applyFill="1" applyBorder="1" applyAlignment="1">
      <alignment horizontal="center" vertical="center" wrapText="1"/>
    </xf>
    <xf numFmtId="2" fontId="13" fillId="0" borderId="3" xfId="0" applyNumberFormat="1" applyFont="1" applyBorder="1" applyAlignment="1">
      <alignment horizontal="center" vertical="center" wrapText="1"/>
    </xf>
    <xf numFmtId="0" fontId="5" fillId="0" borderId="4" xfId="0" applyFont="1" applyFill="1" applyBorder="1"/>
    <xf numFmtId="0" fontId="5" fillId="0" borderId="0" xfId="0" applyFont="1" applyFill="1" applyBorder="1"/>
    <xf numFmtId="2" fontId="5" fillId="0" borderId="5"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9" fillId="0" borderId="0" xfId="0" applyFont="1" applyAlignment="1">
      <alignment horizontal="center"/>
    </xf>
    <xf numFmtId="0" fontId="71" fillId="0" borderId="0" xfId="0" applyFont="1" applyAlignment="1">
      <alignment horizontal="center" vertical="center" wrapText="1"/>
    </xf>
    <xf numFmtId="0" fontId="72" fillId="0" borderId="0" xfId="0" applyFont="1" applyAlignment="1">
      <alignment horizontal="center" vertical="center" wrapText="1"/>
    </xf>
    <xf numFmtId="0" fontId="72" fillId="0" borderId="0" xfId="0" applyFont="1" applyFill="1" applyAlignment="1">
      <alignment horizontal="center" vertical="center" wrapText="1"/>
    </xf>
    <xf numFmtId="0" fontId="73" fillId="0" borderId="0" xfId="0" applyFont="1"/>
    <xf numFmtId="0" fontId="74" fillId="0" borderId="2" xfId="0" applyFont="1" applyBorder="1" applyAlignment="1">
      <alignment horizontal="center" vertical="center" wrapText="1"/>
    </xf>
    <xf numFmtId="0" fontId="74" fillId="0" borderId="4" xfId="0" applyFont="1" applyBorder="1" applyAlignment="1">
      <alignment horizontal="center" vertical="center"/>
    </xf>
    <xf numFmtId="0" fontId="48" fillId="0" borderId="0" xfId="0" applyNumberFormat="1" applyFont="1" applyAlignment="1">
      <alignment horizontal="center" vertical="center" wrapText="1"/>
    </xf>
    <xf numFmtId="0" fontId="48" fillId="9" borderId="0" xfId="0" applyNumberFormat="1" applyFont="1" applyFill="1" applyAlignment="1">
      <alignment horizontal="center" vertical="center" wrapText="1"/>
    </xf>
    <xf numFmtId="0" fontId="48" fillId="0" borderId="0" xfId="0" applyNumberFormat="1" applyFont="1"/>
    <xf numFmtId="0" fontId="75" fillId="0" borderId="0" xfId="0" applyNumberFormat="1" applyFont="1" applyAlignment="1">
      <alignment horizontal="center" vertical="center" wrapText="1"/>
    </xf>
    <xf numFmtId="0" fontId="76" fillId="0" borderId="0" xfId="0" applyFont="1" applyAlignment="1">
      <alignment horizontal="center"/>
    </xf>
    <xf numFmtId="0" fontId="5" fillId="0" borderId="5" xfId="0" applyFont="1" applyBorder="1" applyAlignment="1">
      <alignment horizontal="center" vertical="center"/>
    </xf>
    <xf numFmtId="0" fontId="74" fillId="0" borderId="4" xfId="0" applyFont="1" applyBorder="1" applyAlignment="1">
      <alignment horizontal="center" vertical="center"/>
    </xf>
    <xf numFmtId="0" fontId="49" fillId="0" borderId="0" xfId="0" applyFont="1" applyFill="1" applyAlignment="1">
      <alignment horizontal="center" vertical="center" wrapText="1"/>
    </xf>
    <xf numFmtId="0" fontId="9" fillId="0" borderId="0" xfId="0" applyFont="1" applyFill="1" applyAlignment="1">
      <alignment horizontal="center" vertical="center" wrapText="1"/>
    </xf>
    <xf numFmtId="2" fontId="5" fillId="0" borderId="5" xfId="0" applyNumberFormat="1" applyFont="1" applyBorder="1" applyAlignment="1">
      <alignment horizontal="center" vertical="center" wrapText="1"/>
    </xf>
    <xf numFmtId="0" fontId="0" fillId="0" borderId="0" xfId="0" applyAlignment="1">
      <alignment horizontal="center" vertical="center" wrapText="1"/>
    </xf>
    <xf numFmtId="0" fontId="5" fillId="0" borderId="4" xfId="0" applyFont="1" applyBorder="1" applyAlignment="1">
      <alignment horizontal="center" vertical="center"/>
    </xf>
    <xf numFmtId="0" fontId="5" fillId="0" borderId="0" xfId="0" applyFont="1" applyAlignment="1">
      <alignment horizontal="center" vertical="center" wrapText="1"/>
    </xf>
    <xf numFmtId="0" fontId="47" fillId="0" borderId="0" xfId="0" applyFont="1" applyAlignment="1">
      <alignment horizontal="center" vertical="center"/>
    </xf>
    <xf numFmtId="0" fontId="7" fillId="0" borderId="0" xfId="0" applyFont="1" applyFill="1" applyAlignment="1">
      <alignment horizontal="center" vertical="center" wrapText="1"/>
    </xf>
    <xf numFmtId="0" fontId="47" fillId="0" borderId="0" xfId="0" applyFont="1" applyFill="1" applyAlignment="1">
      <alignment horizontal="center" vertical="center"/>
    </xf>
    <xf numFmtId="0" fontId="36" fillId="0" borderId="0" xfId="0" applyFont="1" applyFill="1" applyAlignment="1">
      <alignment horizontal="center" vertical="center" wrapText="1"/>
    </xf>
    <xf numFmtId="2" fontId="43" fillId="0" borderId="5" xfId="0" applyNumberFormat="1" applyFont="1" applyBorder="1" applyAlignment="1">
      <alignment horizontal="center" vertical="center" wrapText="1"/>
    </xf>
    <xf numFmtId="0" fontId="5" fillId="0" borderId="4" xfId="0" applyFont="1" applyFill="1" applyBorder="1" applyAlignment="1">
      <alignment horizontal="center" vertical="center"/>
    </xf>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5" fillId="0" borderId="0" xfId="0" applyFont="1" applyFill="1" applyBorder="1" applyAlignment="1">
      <alignment horizontal="center" vertical="center"/>
    </xf>
  </cellXfs>
  <cellStyles count="5">
    <cellStyle name="Обычный" xfId="0" builtinId="0"/>
    <cellStyle name="Обычный 2" xfId="1" xr:uid="{8D6AC8F7-EE4F-4CD9-A6A5-BAC2F7095A63}"/>
    <cellStyle name="Обычный 3" xfId="2" xr:uid="{5C1133AE-A863-4F19-B299-04DB31F9926C}"/>
    <cellStyle name="Обычный 3 3" xfId="4" xr:uid="{C4C601F4-7166-4B12-A0D3-C69F7ABC8F5C}"/>
    <cellStyle name="Обычный 4" xfId="3" xr:uid="{B25140BB-CE67-4F82-B8E5-0DC0444DD88E}"/>
  </cellStyles>
  <dxfs count="23">
    <dxf>
      <font>
        <color rgb="FF9C0006"/>
      </font>
      <fill>
        <patternFill>
          <bgColor rgb="FFFFC7CE"/>
        </patternFill>
      </fill>
    </dxf>
    <dxf>
      <font>
        <color theme="5"/>
      </font>
    </dxf>
    <dxf>
      <font>
        <color rgb="FFFF0000"/>
      </font>
    </dxf>
    <dxf>
      <font>
        <color rgb="FF92D050"/>
      </font>
    </dxf>
    <dxf>
      <font>
        <b/>
        <i val="0"/>
        <color theme="5"/>
      </font>
    </dxf>
    <dxf>
      <border>
        <left/>
        <right/>
        <top style="thin">
          <color auto="1"/>
        </top>
        <bottom/>
        <vertical/>
        <horizontal/>
      </border>
    </dxf>
    <dxf>
      <border>
        <left/>
        <right/>
        <top/>
        <bottom style="thin">
          <color auto="1"/>
        </bottom>
        <vertical/>
        <horizontal/>
      </border>
    </dxf>
    <dxf>
      <border>
        <left/>
        <right/>
        <top/>
        <bottom style="thin">
          <color auto="1"/>
        </bottom>
        <vertical/>
        <horizontal/>
      </border>
    </dxf>
    <dxf>
      <border>
        <left/>
        <right/>
        <top style="thin">
          <color auto="1"/>
        </top>
        <bottom/>
        <vertical/>
        <horizontal/>
      </border>
    </dxf>
    <dxf>
      <border>
        <left/>
        <right/>
        <top/>
        <bottom style="thin">
          <color auto="1"/>
        </bottom>
        <vertical/>
        <horizontal/>
      </border>
    </dxf>
    <dxf>
      <border>
        <bottom style="thin">
          <color auto="1"/>
        </bottom>
        <vertical/>
        <horizontal/>
      </border>
    </dxf>
    <dxf>
      <border>
        <bottom style="thin">
          <color auto="1"/>
        </bottom>
        <vertical/>
        <horizontal/>
      </border>
    </dxf>
    <dxf>
      <border>
        <left/>
        <right/>
        <top style="thin">
          <color auto="1"/>
        </top>
        <bottom/>
        <vertical/>
        <horizontal/>
      </border>
    </dxf>
    <dxf>
      <border>
        <bottom style="thin">
          <color auto="1"/>
        </bottom>
        <vertical/>
        <horizontal/>
      </border>
    </dxf>
    <dxf>
      <font>
        <b/>
        <i val="0"/>
        <color theme="5"/>
      </font>
    </dxf>
    <dxf>
      <font>
        <b/>
        <i val="0"/>
        <color rgb="FFC00000"/>
      </font>
    </dxf>
    <dxf>
      <font>
        <b/>
        <i val="0"/>
        <color rgb="FF009999"/>
      </font>
    </dxf>
    <dxf>
      <font>
        <b/>
        <i val="0"/>
        <color theme="5" tint="-0.24994659260841701"/>
      </font>
    </dxf>
    <dxf>
      <font>
        <b/>
        <i val="0"/>
        <color theme="5"/>
      </font>
    </dxf>
    <dxf>
      <font>
        <color theme="0" tint="-0.14996795556505021"/>
      </font>
    </dxf>
    <dxf>
      <font>
        <b/>
        <i val="0"/>
        <color rgb="FF009999"/>
      </font>
    </dxf>
    <dxf>
      <font>
        <b/>
        <i val="0"/>
        <color theme="5" tint="-0.24994659260841701"/>
      </font>
    </dxf>
    <dxf>
      <font>
        <color theme="0" tint="-0.14996795556505021"/>
      </font>
    </dxf>
  </dxfs>
  <tableStyles count="0" defaultTableStyle="TableStyleMedium2" defaultPivotStyle="PivotStyleLight16"/>
  <colors>
    <mruColors>
      <color rgb="FF33CCCC"/>
      <color rgb="FF009999"/>
      <color rgb="FF17A2A9"/>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AC348"/>
  <sheetViews>
    <sheetView zoomScale="235" zoomScaleNormal="235" workbookViewId="0">
      <pane ySplit="1" topLeftCell="A304" activePane="bottomLeft" state="frozen"/>
      <selection pane="bottomLeft" activeCell="E314" sqref="E314"/>
    </sheetView>
  </sheetViews>
  <sheetFormatPr defaultColWidth="8.84375" defaultRowHeight="10.75" x14ac:dyDescent="0.3"/>
  <cols>
    <col min="1" max="1" width="6.765625" style="53" customWidth="1"/>
    <col min="2" max="2" width="4.4609375" style="94" bestFit="1" customWidth="1"/>
    <col min="3" max="3" width="3.23046875" style="110" bestFit="1" customWidth="1"/>
    <col min="4" max="4" width="6.07421875" style="75" customWidth="1"/>
    <col min="5" max="5" width="16.765625" style="87" bestFit="1" customWidth="1"/>
    <col min="6" max="6" width="6.3046875" style="212" customWidth="1"/>
    <col min="7" max="7" width="3.765625" style="82" customWidth="1"/>
    <col min="8" max="8" width="4" style="146" customWidth="1"/>
    <col min="9" max="9" width="2.23046875" style="82" customWidth="1"/>
    <col min="10" max="10" width="5.07421875" style="82" customWidth="1"/>
    <col min="11" max="11" width="4.23046875" style="115" customWidth="1"/>
    <col min="12" max="12" width="2.69140625" style="103" customWidth="1"/>
    <col min="13" max="13" width="2.84375" style="17" customWidth="1"/>
    <col min="14" max="14" width="4.07421875" style="141" customWidth="1"/>
    <col min="15" max="15" width="7.23046875" style="75" customWidth="1"/>
    <col min="16" max="16" width="10.53515625" style="159" customWidth="1"/>
    <col min="17" max="17" width="8.53515625" style="63" customWidth="1"/>
    <col min="18" max="18" width="4.3046875" style="154" customWidth="1"/>
    <col min="19" max="19" width="3.23046875" style="154" customWidth="1"/>
    <col min="20" max="20" width="5.4609375" style="154" customWidth="1"/>
    <col min="21" max="21" width="8.3046875" style="52" customWidth="1"/>
    <col min="22" max="22" width="6.53515625" style="52" customWidth="1"/>
    <col min="23" max="23" width="6.07421875" style="52" customWidth="1"/>
    <col min="24" max="26" width="8.84375" style="159" customWidth="1"/>
    <col min="27" max="27" width="15.07421875" style="159" customWidth="1"/>
    <col min="28" max="28" width="6.53515625" style="52" customWidth="1"/>
    <col min="29" max="29" width="12.69140625" style="63" customWidth="1"/>
    <col min="30" max="16384" width="8.84375" style="1"/>
  </cols>
  <sheetData>
    <row r="1" spans="1:29" s="50" customFormat="1" ht="42" customHeight="1" x14ac:dyDescent="0.3">
      <c r="A1" s="84" t="s">
        <v>24</v>
      </c>
      <c r="B1" s="58" t="s">
        <v>779</v>
      </c>
      <c r="C1" s="107" t="s">
        <v>28</v>
      </c>
      <c r="D1" s="145" t="s">
        <v>935</v>
      </c>
      <c r="E1" s="85" t="s">
        <v>31</v>
      </c>
      <c r="F1" s="150" t="s">
        <v>911</v>
      </c>
      <c r="G1" s="147" t="s">
        <v>6</v>
      </c>
      <c r="H1" s="148" t="s">
        <v>7</v>
      </c>
      <c r="I1" s="149" t="s">
        <v>8</v>
      </c>
      <c r="J1" s="150" t="s">
        <v>25</v>
      </c>
      <c r="K1" s="151" t="s">
        <v>904</v>
      </c>
      <c r="L1" s="152" t="s">
        <v>0</v>
      </c>
      <c r="M1" s="48" t="s">
        <v>9</v>
      </c>
      <c r="N1" s="142" t="s">
        <v>908</v>
      </c>
      <c r="O1" s="79" t="s">
        <v>920</v>
      </c>
      <c r="P1" s="158" t="s">
        <v>921</v>
      </c>
      <c r="Q1" s="99" t="s">
        <v>922</v>
      </c>
      <c r="R1" s="161" t="s">
        <v>22</v>
      </c>
      <c r="S1" s="161" t="s">
        <v>23</v>
      </c>
      <c r="T1" s="161" t="s">
        <v>21</v>
      </c>
      <c r="U1" s="99" t="s">
        <v>923</v>
      </c>
      <c r="V1" s="49" t="s">
        <v>29</v>
      </c>
      <c r="W1" s="49" t="s">
        <v>30</v>
      </c>
      <c r="X1" s="156" t="s">
        <v>58</v>
      </c>
      <c r="Y1" s="156" t="s">
        <v>33</v>
      </c>
      <c r="Z1" s="156" t="s">
        <v>59</v>
      </c>
      <c r="AA1" s="157" t="s">
        <v>55</v>
      </c>
      <c r="AB1" s="49" t="s">
        <v>26</v>
      </c>
      <c r="AC1" s="99" t="s">
        <v>919</v>
      </c>
    </row>
    <row r="2" spans="1:29" x14ac:dyDescent="0.3">
      <c r="A2" s="54">
        <v>0.28000000000000003</v>
      </c>
      <c r="B2" s="59">
        <f>A2*1.2</f>
        <v>0.33600000000000002</v>
      </c>
      <c r="C2" s="108">
        <v>2</v>
      </c>
      <c r="D2" s="114" t="s">
        <v>27</v>
      </c>
      <c r="E2" s="86" t="s">
        <v>10</v>
      </c>
      <c r="F2" s="211"/>
      <c r="G2" s="81" t="s">
        <v>18</v>
      </c>
      <c r="H2" s="89" t="s">
        <v>19</v>
      </c>
      <c r="I2" s="81" t="s">
        <v>21</v>
      </c>
      <c r="J2" s="81" t="s">
        <v>1</v>
      </c>
      <c r="K2" s="114" t="s">
        <v>117</v>
      </c>
      <c r="M2" s="2"/>
      <c r="N2" s="171">
        <f t="shared" ref="N2:N65" si="0">IF(D2="","",IF(LEFT(D2,1)="0",0,1))</f>
        <v>1</v>
      </c>
      <c r="O2" s="74">
        <f t="shared" ref="O2:O9" si="1">ROUND(R2*S2*T2/1000000,2)</f>
        <v>2.93</v>
      </c>
      <c r="P2" s="160" t="str">
        <f t="shared" ref="P2:P65" si="2">IF(O2="","",
IF(O2&lt;1,"0,1-0,9 литров",
IF(O2&lt;2,"1-1,9 литра",
IF(O2&lt;3,"2-2,9 литра",
IF(O2&lt;4,"3-3,9 литра",
IF(O2&lt;6,"4-5,9 литра",IF(O2&lt;8,"6-7,9 литра",IF(O2&lt;10,"8-9,9 литров",IF(O2&lt;15,"10-14,9 литров",IF(O2&lt;20,"15-19,9 литров",IF(O2&lt;30,"20-29 литров",IF(O2&lt;50,"30-49 литров",IF(O2&lt;60,"50-59 литров",IF(O2&lt;70,"60-69 литров",IF(O2&lt;80,"70-79 литров",IF(O2&lt;90,"80-89 литров",IF(O2&lt;100,"90-99 литров",IF(O2&lt;200,"100-200 литров","200+ литров"))))))))))))))))))</f>
        <v>2-2,9 литра</v>
      </c>
      <c r="Q2" s="100" t="str">
        <f t="shared" ref="Q2:Q7" si="3">IF(O2="","",IF(O2&lt;1,"&lt;1 л",IF(O2&lt;=2,"1-2 л",IF(O2&lt;=3,"2-3 л",IF(O2&lt;=5,"3-5 л",IF(O2&lt;=10,"5-10 л",IF(O2&lt;=20,"10-20 л",IF(O2&lt;=50,"20-50 л",IF(O2&lt;=100,"50-100 л","100+ л")))))))))</f>
        <v>2-3 л</v>
      </c>
      <c r="R2" s="153">
        <f t="shared" ref="R2:R65" si="4">IF(E2="","",--LEFT(E2,FIND("х",E2)-1))</f>
        <v>230</v>
      </c>
      <c r="S2" s="153">
        <f t="shared" ref="S2:S65" si="5">IF(E2="","",--MID(E2,FIND("х",E2)+1,FIND("х",E2,FIND("х",E2)+1)-FIND("х",E2)-1))</f>
        <v>85</v>
      </c>
      <c r="T2" s="153">
        <f t="shared" ref="T2:T65" si="6">IF(E2="","",--RIGHT(E2,LEN(E2)-FIND("х",E2,FIND("х",E2)+1)))</f>
        <v>150</v>
      </c>
      <c r="U2" s="16">
        <f t="shared" ref="U2:U65" si="7">(2*(R2+S2)+60)*(S2+T2+8)/1000000</f>
        <v>0.16767000000000001</v>
      </c>
      <c r="V2" s="16" t="str">
        <f t="shared" ref="V2:V65" si="8">IF(OR(AND(R2&gt;=2*S2,R2&gt;=2*T2),AND(S2&gt;=2*R2,S2&gt;=2*T2),AND(T2&gt;=2*R2,T2&gt;=2*S2)),"Длинные","")</f>
        <v/>
      </c>
      <c r="W2" s="16" t="str">
        <f t="shared" ref="W2:W65" si="9">IF(OR(AND(R2&lt;=S2/2,R2&lt;=T2/2),AND(S2&lt;=R2/2,S2&lt;=T2/2),AND(T2&lt;=R2/2,T2&lt;=S2/2)),"Плоские","")</f>
        <v/>
      </c>
      <c r="X2" s="159" t="str">
        <f>IF(LARGE($R2:$T2,1)="","",IF(LARGE($R2:$T2,1)&lt;=99,"10-99 мм",IF(LARGE($R2:$T2,1)&lt;=199,"100-199 мм",IF(LARGE($R2:$T2,1)&lt;=299,"200-299 мм",IF(LARGE($R2:$T2,1)&lt;=399,"300-399 мм",IF(LARGE($R2:$T2,1)&lt;=499,"400-499 мм",IF(LARGE($R2:$T2,1)&lt;=599,"500-599 мм",IF(LARGE($R2:$T2,1)&lt;=699,"600-699 мм",IF(LARGE($R2:$T2,1)&lt;=999,"700-999 мм","1000+ мм")))))))))</f>
        <v>200-299 мм</v>
      </c>
      <c r="Y2" s="159" t="str">
        <f>IF(LARGE($R2:$T2,2)="","",IF(LARGE($R2:$T2,2)&lt;=99,"10-99 мм",IF(LARGE($R2:$T2,2)&lt;=199,"100-199 мм",IF(LARGE($R2:$T2,2)&lt;=299,"200-299 мм",IF(LARGE($R2:$T2,2)&lt;=399,"300-399 мм",IF(LARGE($R2:$T2,2)&lt;=499,"400-499 мм",IF(LARGE($R2:$T2,2)&lt;=599,"500-599 мм",IF(LARGE($R2:$T2,2)&lt;=699,"600-699 мм",IF(LARGE($R2:$T2,2)&lt;=999,"700-999 мм","1000+ мм")))))))))</f>
        <v>100-199 мм</v>
      </c>
      <c r="Z2" s="159" t="str">
        <f>IF(SMALL($R2:$T2,1)="","",IF(SMALL($R2:$T2,1)&lt;=99,"10-99 мм",IF(SMALL($R2:$T2,1)&lt;=199,"100-199 мм",IF(SMALL($R2:$T2,1)&lt;=299,"200-299 мм",IF(SMALL($R2:$T2,1)&lt;=399,"300-399 мм",IF(SMALL($R2:$T2,1)&lt;=499,"400-499 мм",IF(SMALL($R2:$T2,1)&lt;=599,"500-599 мм",IF(SMALL($R2:$T2,1)&lt;=699,"600-699 мм",IF(SMALL($R2:$T2,1)&lt;=999,"700-999 мм","1000+ мм")))))))))</f>
        <v>10-99 мм</v>
      </c>
      <c r="AA2" s="100" t="str">
        <f t="shared" ref="AA2:AA65" si="10">IF(G2="","",IF(G2="Л","Лист гофрокартона",IF(G2="КД","Крышка-дно",IF(G2="С","Самосборные",IF(G2="Ч","Четырехклапанные",IF(G2="А","Архивные","Неизвестно"))))))</f>
        <v>Четырехклапанные</v>
      </c>
      <c r="AB2" s="16">
        <v>1.73</v>
      </c>
      <c r="AC2" s="100" t="str">
        <f t="shared" ref="AC2:AC65" si="11">IF(O2="","",IF(O2&lt;=1,"0-1 литров",IF(O2&lt;=3,"2-3 литра",IF(O2&lt;=5,"4-5 литра",IF(O2&lt;=7,"6-7 литра",IF(O2&lt;=9,"8-9 литров",IF(O2&lt;=14,"10-14 литров",IF(O2&lt;=19,"15-19 литров",IF(O2&lt;=29,"20-29 литров",IF(O2&lt;=49,"30-49 литров",IF(O2&lt;=59,"50-59 литров",IF(O2&lt;=70,"60-69 литров",IF(O2&lt;=79,"70-79 литров",IF(O2&lt;=89,"80-89 литров",IF(O2&lt;=99,"90-99 литров",IF(O2&lt;=200,"100-200 литров","200+ литров"))))))))))))))))</f>
        <v>2-3 литра</v>
      </c>
    </row>
    <row r="3" spans="1:29" x14ac:dyDescent="0.3">
      <c r="A3" s="54">
        <v>0.73</v>
      </c>
      <c r="B3" s="59">
        <f t="shared" ref="B3:B66" si="12">A3*1.2</f>
        <v>0.876</v>
      </c>
      <c r="C3" s="108">
        <v>3</v>
      </c>
      <c r="D3" s="114" t="s">
        <v>27</v>
      </c>
      <c r="E3" s="87" t="s">
        <v>119</v>
      </c>
      <c r="F3" s="211"/>
      <c r="G3" s="81" t="s">
        <v>18</v>
      </c>
      <c r="H3" s="89" t="s">
        <v>19</v>
      </c>
      <c r="I3" s="81" t="s">
        <v>21</v>
      </c>
      <c r="J3" s="81" t="s">
        <v>1</v>
      </c>
      <c r="K3" s="114" t="s">
        <v>120</v>
      </c>
      <c r="M3" s="2"/>
      <c r="N3" s="171">
        <f t="shared" si="0"/>
        <v>1</v>
      </c>
      <c r="O3" s="74">
        <f t="shared" si="1"/>
        <v>9.9</v>
      </c>
      <c r="P3" s="160" t="str">
        <f t="shared" si="2"/>
        <v>8-9,9 литров</v>
      </c>
      <c r="Q3" s="100" t="str">
        <f t="shared" si="3"/>
        <v>5-10 л</v>
      </c>
      <c r="R3" s="153">
        <f t="shared" si="4"/>
        <v>245</v>
      </c>
      <c r="S3" s="153">
        <f t="shared" si="5"/>
        <v>245</v>
      </c>
      <c r="T3" s="153">
        <f t="shared" si="6"/>
        <v>165</v>
      </c>
      <c r="U3" s="16">
        <f t="shared" si="7"/>
        <v>0.43472</v>
      </c>
      <c r="V3" s="16" t="str">
        <f t="shared" si="8"/>
        <v/>
      </c>
      <c r="W3" s="16" t="str">
        <f t="shared" si="9"/>
        <v/>
      </c>
      <c r="X3" s="159" t="str">
        <f t="shared" ref="X3:X66" si="13">IF(LARGE($R3:$T3,1)="","",IF(LARGE($R3:$T3,1)&lt;=99,"10-99 мм",IF(LARGE($R3:$T3,1)&lt;=199,"100-199 мм",IF(LARGE($R3:$T3,1)&lt;=299,"200-299 мм",IF(LARGE($R3:$T3,1)&lt;=399,"300-399 мм",IF(LARGE($R3:$T3,1)&lt;=499,"400-499 мм",IF(LARGE($R3:$T3,1)&lt;=599,"500-599 мм",IF(LARGE($R3:$T3,1)&lt;=699,"600-699 мм",IF(LARGE($R3:$T3,1)&lt;=999,"700-999 мм","1000+ мм")))))))))</f>
        <v>200-299 мм</v>
      </c>
      <c r="Y3" s="159" t="str">
        <f t="shared" ref="Y3:Y66" si="14">IF(LARGE($R3:$T3,2)="","",IF(LARGE($R3:$T3,2)&lt;=99,"10-99 мм",IF(LARGE($R3:$T3,2)&lt;=199,"100-199 мм",IF(LARGE($R3:$T3,2)&lt;=299,"200-299 мм",IF(LARGE($R3:$T3,2)&lt;=399,"300-399 мм",IF(LARGE($R3:$T3,2)&lt;=499,"400-499 мм",IF(LARGE($R3:$T3,2)&lt;=599,"500-599 мм",IF(LARGE($R3:$T3,2)&lt;=699,"600-699 мм",IF(LARGE($R3:$T3,2)&lt;=999,"700-999 мм","1000+ мм")))))))))</f>
        <v>200-299 мм</v>
      </c>
      <c r="Z3" s="159" t="str">
        <f t="shared" ref="Z3:Z66" si="15">IF(SMALL($R3:$T3,1)="","",IF(SMALL($R3:$T3,1)&lt;=99,"10-99 мм",IF(SMALL($R3:$T3,1)&lt;=199,"100-199 мм",IF(SMALL($R3:$T3,1)&lt;=299,"200-299 мм",IF(SMALL($R3:$T3,1)&lt;=399,"300-399 мм",IF(SMALL($R3:$T3,1)&lt;=499,"400-499 мм",IF(SMALL($R3:$T3,1)&lt;=599,"500-599 мм",IF(SMALL($R3:$T3,1)&lt;=699,"600-699 мм",IF(SMALL($R3:$T3,1)&lt;=999,"700-999 мм","1000+ мм")))))))))</f>
        <v>100-199 мм</v>
      </c>
      <c r="AA3" s="100" t="str">
        <f t="shared" si="10"/>
        <v>Четырехклапанные</v>
      </c>
      <c r="AB3" s="16">
        <v>1.73</v>
      </c>
      <c r="AC3" s="100" t="str">
        <f t="shared" si="11"/>
        <v>10-14 литров</v>
      </c>
    </row>
    <row r="4" spans="1:29" x14ac:dyDescent="0.3">
      <c r="A4" s="54">
        <v>0.51</v>
      </c>
      <c r="B4" s="59">
        <f t="shared" si="12"/>
        <v>0.61199999999999999</v>
      </c>
      <c r="C4" s="108">
        <v>4</v>
      </c>
      <c r="D4" s="114" t="s">
        <v>27</v>
      </c>
      <c r="E4" s="87" t="s">
        <v>11</v>
      </c>
      <c r="F4" s="211"/>
      <c r="G4" s="62" t="s">
        <v>18</v>
      </c>
      <c r="H4" s="89" t="s">
        <v>19</v>
      </c>
      <c r="I4" s="62" t="s">
        <v>21</v>
      </c>
      <c r="J4" s="62" t="s">
        <v>1</v>
      </c>
      <c r="K4" s="114" t="s">
        <v>122</v>
      </c>
      <c r="M4" s="3"/>
      <c r="N4" s="171">
        <f t="shared" si="0"/>
        <v>1</v>
      </c>
      <c r="O4" s="74">
        <f t="shared" si="1"/>
        <v>6.08</v>
      </c>
      <c r="P4" s="160" t="str">
        <f t="shared" si="2"/>
        <v>6-7,9 литра</v>
      </c>
      <c r="Q4" s="100" t="str">
        <f t="shared" si="3"/>
        <v>5-10 л</v>
      </c>
      <c r="R4" s="153">
        <f t="shared" si="4"/>
        <v>380</v>
      </c>
      <c r="S4" s="153">
        <f t="shared" si="5"/>
        <v>160</v>
      </c>
      <c r="T4" s="153">
        <f t="shared" si="6"/>
        <v>100</v>
      </c>
      <c r="U4" s="16">
        <f t="shared" si="7"/>
        <v>0.30552000000000001</v>
      </c>
      <c r="V4" s="16" t="str">
        <f t="shared" si="8"/>
        <v>Длинные</v>
      </c>
      <c r="W4" s="16" t="str">
        <f t="shared" si="9"/>
        <v/>
      </c>
      <c r="X4" s="159" t="str">
        <f t="shared" si="13"/>
        <v>300-399 мм</v>
      </c>
      <c r="Y4" s="159" t="str">
        <f t="shared" si="14"/>
        <v>100-199 мм</v>
      </c>
      <c r="Z4" s="159" t="str">
        <f t="shared" si="15"/>
        <v>100-199 мм</v>
      </c>
      <c r="AA4" s="100" t="str">
        <f t="shared" si="10"/>
        <v>Четырехклапанные</v>
      </c>
      <c r="AB4" s="16">
        <v>1.73</v>
      </c>
      <c r="AC4" s="100" t="str">
        <f t="shared" si="11"/>
        <v>6-7 литра</v>
      </c>
    </row>
    <row r="5" spans="1:29" x14ac:dyDescent="0.3">
      <c r="A5" s="54">
        <v>2.48</v>
      </c>
      <c r="B5" s="59">
        <f t="shared" si="12"/>
        <v>2.976</v>
      </c>
      <c r="C5" s="108">
        <v>5</v>
      </c>
      <c r="D5" s="114" t="s">
        <v>27</v>
      </c>
      <c r="E5" s="86" t="s">
        <v>12</v>
      </c>
      <c r="F5" s="211"/>
      <c r="G5" s="62" t="s">
        <v>18</v>
      </c>
      <c r="H5" s="89" t="s">
        <v>19</v>
      </c>
      <c r="I5" s="62" t="s">
        <v>21</v>
      </c>
      <c r="J5" s="62" t="s">
        <v>1</v>
      </c>
      <c r="K5" s="114" t="s">
        <v>123</v>
      </c>
      <c r="M5" s="3"/>
      <c r="N5" s="171">
        <f t="shared" si="0"/>
        <v>1</v>
      </c>
      <c r="O5" s="74">
        <f t="shared" si="1"/>
        <v>73.55</v>
      </c>
      <c r="P5" s="160" t="str">
        <f t="shared" si="2"/>
        <v>70-79 литров</v>
      </c>
      <c r="Q5" s="100" t="str">
        <f t="shared" si="3"/>
        <v>50-100 л</v>
      </c>
      <c r="R5" s="153">
        <f t="shared" si="4"/>
        <v>460</v>
      </c>
      <c r="S5" s="153">
        <f t="shared" si="5"/>
        <v>410</v>
      </c>
      <c r="T5" s="153">
        <f t="shared" si="6"/>
        <v>390</v>
      </c>
      <c r="U5" s="16">
        <f t="shared" si="7"/>
        <v>1.4543999999999999</v>
      </c>
      <c r="V5" s="16" t="str">
        <f t="shared" si="8"/>
        <v/>
      </c>
      <c r="W5" s="16" t="str">
        <f t="shared" si="9"/>
        <v/>
      </c>
      <c r="X5" s="159" t="str">
        <f t="shared" si="13"/>
        <v>400-499 мм</v>
      </c>
      <c r="Y5" s="159" t="str">
        <f t="shared" si="14"/>
        <v>400-499 мм</v>
      </c>
      <c r="Z5" s="159" t="str">
        <f t="shared" si="15"/>
        <v>300-399 мм</v>
      </c>
      <c r="AA5" s="100" t="str">
        <f t="shared" si="10"/>
        <v>Четырехклапанные</v>
      </c>
      <c r="AB5" s="16">
        <v>1.73</v>
      </c>
      <c r="AC5" s="100" t="str">
        <f t="shared" si="11"/>
        <v>70-79 литров</v>
      </c>
    </row>
    <row r="6" spans="1:29" x14ac:dyDescent="0.3">
      <c r="A6" s="54">
        <v>2.2000000000000002</v>
      </c>
      <c r="B6" s="59">
        <f t="shared" si="12"/>
        <v>2.64</v>
      </c>
      <c r="C6" s="108">
        <v>6</v>
      </c>
      <c r="D6" s="114" t="s">
        <v>27</v>
      </c>
      <c r="E6" s="87" t="s">
        <v>13</v>
      </c>
      <c r="F6" s="211"/>
      <c r="G6" s="62" t="s">
        <v>18</v>
      </c>
      <c r="H6" s="89" t="s">
        <v>19</v>
      </c>
      <c r="I6" s="62" t="s">
        <v>21</v>
      </c>
      <c r="J6" s="62" t="s">
        <v>1</v>
      </c>
      <c r="K6" s="114" t="s">
        <v>125</v>
      </c>
      <c r="M6" s="3"/>
      <c r="N6" s="171">
        <f t="shared" si="0"/>
        <v>1</v>
      </c>
      <c r="O6" s="74">
        <f t="shared" si="1"/>
        <v>69.87</v>
      </c>
      <c r="P6" s="160" t="str">
        <f t="shared" si="2"/>
        <v>60-69 литров</v>
      </c>
      <c r="Q6" s="100" t="str">
        <f t="shared" si="3"/>
        <v>50-100 л</v>
      </c>
      <c r="R6" s="153">
        <f t="shared" si="4"/>
        <v>460</v>
      </c>
      <c r="S6" s="153">
        <f t="shared" si="5"/>
        <v>310</v>
      </c>
      <c r="T6" s="153">
        <f t="shared" si="6"/>
        <v>490</v>
      </c>
      <c r="U6" s="16">
        <f t="shared" si="7"/>
        <v>1.2927999999999999</v>
      </c>
      <c r="V6" s="16" t="str">
        <f t="shared" si="8"/>
        <v/>
      </c>
      <c r="W6" s="16" t="str">
        <f t="shared" si="9"/>
        <v/>
      </c>
      <c r="X6" s="159" t="str">
        <f t="shared" si="13"/>
        <v>400-499 мм</v>
      </c>
      <c r="Y6" s="159" t="str">
        <f t="shared" si="14"/>
        <v>400-499 мм</v>
      </c>
      <c r="Z6" s="159" t="str">
        <f t="shared" si="15"/>
        <v>300-399 мм</v>
      </c>
      <c r="AA6" s="100" t="str">
        <f t="shared" si="10"/>
        <v>Четырехклапанные</v>
      </c>
      <c r="AB6" s="16">
        <v>1.73</v>
      </c>
      <c r="AC6" s="100" t="str">
        <f t="shared" si="11"/>
        <v>60-69 литров</v>
      </c>
    </row>
    <row r="7" spans="1:29" x14ac:dyDescent="0.3">
      <c r="A7" s="53">
        <v>3.05</v>
      </c>
      <c r="B7" s="59">
        <f t="shared" si="12"/>
        <v>3.6599999999999997</v>
      </c>
      <c r="C7" s="108">
        <v>7</v>
      </c>
      <c r="D7" s="114" t="s">
        <v>27</v>
      </c>
      <c r="E7" s="87" t="s">
        <v>14</v>
      </c>
      <c r="G7" s="82" t="s">
        <v>18</v>
      </c>
      <c r="H7" s="89" t="s">
        <v>19</v>
      </c>
      <c r="I7" s="82" t="s">
        <v>21</v>
      </c>
      <c r="J7" s="82" t="s">
        <v>1</v>
      </c>
      <c r="K7" s="114" t="s">
        <v>126</v>
      </c>
      <c r="N7" s="171">
        <f t="shared" si="0"/>
        <v>1</v>
      </c>
      <c r="O7" s="74">
        <f t="shared" si="1"/>
        <v>112.61</v>
      </c>
      <c r="P7" s="160" t="str">
        <f t="shared" si="2"/>
        <v>100-200 литров</v>
      </c>
      <c r="Q7" s="100" t="str">
        <f t="shared" si="3"/>
        <v>100+ л</v>
      </c>
      <c r="R7" s="153">
        <f t="shared" si="4"/>
        <v>585</v>
      </c>
      <c r="S7" s="153">
        <f t="shared" si="5"/>
        <v>385</v>
      </c>
      <c r="T7" s="153">
        <f t="shared" si="6"/>
        <v>500</v>
      </c>
      <c r="U7" s="16">
        <f t="shared" si="7"/>
        <v>1.786</v>
      </c>
      <c r="V7" s="16" t="str">
        <f t="shared" si="8"/>
        <v/>
      </c>
      <c r="W7" s="16" t="str">
        <f t="shared" si="9"/>
        <v/>
      </c>
      <c r="X7" s="159" t="str">
        <f t="shared" si="13"/>
        <v>500-599 мм</v>
      </c>
      <c r="Y7" s="159" t="str">
        <f t="shared" si="14"/>
        <v>500-599 мм</v>
      </c>
      <c r="Z7" s="159" t="str">
        <f t="shared" si="15"/>
        <v>300-399 мм</v>
      </c>
      <c r="AA7" s="100" t="str">
        <f t="shared" si="10"/>
        <v>Четырехклапанные</v>
      </c>
      <c r="AB7" s="16">
        <v>1.73</v>
      </c>
      <c r="AC7" s="100" t="str">
        <f t="shared" si="11"/>
        <v>100-200 литров</v>
      </c>
    </row>
    <row r="8" spans="1:29" x14ac:dyDescent="0.3">
      <c r="A8" s="53">
        <v>1.3</v>
      </c>
      <c r="B8" s="59">
        <f t="shared" si="12"/>
        <v>1.56</v>
      </c>
      <c r="C8" s="108">
        <v>8</v>
      </c>
      <c r="D8" s="114" t="s">
        <v>27</v>
      </c>
      <c r="E8" s="87" t="s">
        <v>15</v>
      </c>
      <c r="G8" s="82" t="s">
        <v>18</v>
      </c>
      <c r="H8" s="89" t="s">
        <v>19</v>
      </c>
      <c r="I8" s="82" t="s">
        <v>21</v>
      </c>
      <c r="J8" s="82" t="s">
        <v>1</v>
      </c>
      <c r="K8" s="114" t="s">
        <v>128</v>
      </c>
      <c r="N8" s="171">
        <f t="shared" si="0"/>
        <v>1</v>
      </c>
      <c r="O8" s="74">
        <f t="shared" si="1"/>
        <v>30.8</v>
      </c>
      <c r="P8" s="160" t="str">
        <f t="shared" si="2"/>
        <v>30-49 литров</v>
      </c>
      <c r="Q8" s="101" t="str">
        <f t="shared" ref="Q8:Q71" si="16">IF(O8="","",IF(O8&lt;1,"&lt;1 л",IF(O8&lt;2,"1-2 л",IF(O8&lt;3,"2-3 л",IF(O8&lt;5,"3-5 л",IF(O8&lt;10,"5-10 л",IF(O8&lt;20,"10-20 л",IF(O8&lt;50,"20-50 л",IF(O8&lt;100,"50-100 л","100+ л")))))))))</f>
        <v>20-50 л</v>
      </c>
      <c r="R8" s="153">
        <f t="shared" si="4"/>
        <v>280</v>
      </c>
      <c r="S8" s="153">
        <f t="shared" si="5"/>
        <v>220</v>
      </c>
      <c r="T8" s="153">
        <f t="shared" si="6"/>
        <v>500</v>
      </c>
      <c r="U8" s="16">
        <f t="shared" si="7"/>
        <v>0.77168000000000003</v>
      </c>
      <c r="V8" s="16" t="str">
        <f t="shared" si="8"/>
        <v/>
      </c>
      <c r="W8" s="16" t="str">
        <f t="shared" si="9"/>
        <v/>
      </c>
      <c r="X8" s="159" t="str">
        <f t="shared" si="13"/>
        <v>500-599 мм</v>
      </c>
      <c r="Y8" s="159" t="str">
        <f t="shared" si="14"/>
        <v>200-299 мм</v>
      </c>
      <c r="Z8" s="159" t="str">
        <f t="shared" si="15"/>
        <v>200-299 мм</v>
      </c>
      <c r="AA8" s="100" t="str">
        <f t="shared" si="10"/>
        <v>Четырехклапанные</v>
      </c>
      <c r="AB8" s="16">
        <v>1.73</v>
      </c>
      <c r="AC8" s="100" t="str">
        <f t="shared" si="11"/>
        <v>30-49 литров</v>
      </c>
    </row>
    <row r="9" spans="1:29" x14ac:dyDescent="0.3">
      <c r="A9" s="53">
        <v>1.25</v>
      </c>
      <c r="B9" s="59">
        <f t="shared" si="12"/>
        <v>1.5</v>
      </c>
      <c r="C9" s="108">
        <v>9</v>
      </c>
      <c r="D9" s="114" t="s">
        <v>27</v>
      </c>
      <c r="E9" s="87" t="s">
        <v>16</v>
      </c>
      <c r="F9" s="212" t="s">
        <v>130</v>
      </c>
      <c r="G9" s="82" t="s">
        <v>18</v>
      </c>
      <c r="H9" s="89" t="s">
        <v>20</v>
      </c>
      <c r="I9" s="82" t="s">
        <v>21</v>
      </c>
      <c r="J9" s="82" t="s">
        <v>1</v>
      </c>
      <c r="K9" s="114" t="s">
        <v>131</v>
      </c>
      <c r="N9" s="171">
        <f t="shared" si="0"/>
        <v>1</v>
      </c>
      <c r="O9" s="74">
        <f t="shared" si="1"/>
        <v>13.48</v>
      </c>
      <c r="P9" s="160" t="str">
        <f t="shared" si="2"/>
        <v>10-14,9 литров</v>
      </c>
      <c r="Q9" s="101" t="str">
        <f t="shared" si="16"/>
        <v>10-20 л</v>
      </c>
      <c r="R9" s="153">
        <f t="shared" si="4"/>
        <v>405</v>
      </c>
      <c r="S9" s="153">
        <f t="shared" si="5"/>
        <v>55</v>
      </c>
      <c r="T9" s="153">
        <f t="shared" si="6"/>
        <v>605</v>
      </c>
      <c r="U9" s="16">
        <f t="shared" si="7"/>
        <v>0.65464</v>
      </c>
      <c r="V9" s="16" t="str">
        <f t="shared" si="8"/>
        <v/>
      </c>
      <c r="W9" s="16" t="str">
        <f t="shared" si="9"/>
        <v>Плоские</v>
      </c>
      <c r="X9" s="159" t="str">
        <f t="shared" si="13"/>
        <v>600-699 мм</v>
      </c>
      <c r="Y9" s="159" t="str">
        <f t="shared" si="14"/>
        <v>400-499 мм</v>
      </c>
      <c r="Z9" s="159" t="str">
        <f t="shared" si="15"/>
        <v>10-99 мм</v>
      </c>
      <c r="AA9" s="100" t="str">
        <f t="shared" si="10"/>
        <v>Четырехклапанные</v>
      </c>
      <c r="AB9" s="16">
        <v>1.73</v>
      </c>
      <c r="AC9" s="100" t="str">
        <f t="shared" si="11"/>
        <v>10-14 литров</v>
      </c>
    </row>
    <row r="10" spans="1:29" x14ac:dyDescent="0.3">
      <c r="A10" s="53">
        <v>1.0900000000000001</v>
      </c>
      <c r="B10" s="59">
        <f t="shared" si="12"/>
        <v>1.3080000000000001</v>
      </c>
      <c r="C10" s="108">
        <v>10</v>
      </c>
      <c r="D10" s="114" t="s">
        <v>27</v>
      </c>
      <c r="E10" s="87" t="s">
        <v>17</v>
      </c>
      <c r="G10" s="82" t="s">
        <v>18</v>
      </c>
      <c r="H10" s="89" t="s">
        <v>19</v>
      </c>
      <c r="I10" s="82" t="s">
        <v>21</v>
      </c>
      <c r="J10" s="82" t="s">
        <v>1</v>
      </c>
      <c r="K10" s="114" t="s">
        <v>133</v>
      </c>
      <c r="N10" s="171">
        <f t="shared" si="0"/>
        <v>1</v>
      </c>
      <c r="O10" s="74">
        <f>ROUND(R10*S10*T10/1000000,2)</f>
        <v>19.2</v>
      </c>
      <c r="P10" s="160" t="str">
        <f t="shared" si="2"/>
        <v>15-19,9 литров</v>
      </c>
      <c r="Q10" s="101" t="str">
        <f t="shared" si="16"/>
        <v>10-20 л</v>
      </c>
      <c r="R10" s="153">
        <f t="shared" si="4"/>
        <v>160</v>
      </c>
      <c r="S10" s="153">
        <f t="shared" si="5"/>
        <v>150</v>
      </c>
      <c r="T10" s="153">
        <f t="shared" si="6"/>
        <v>800</v>
      </c>
      <c r="U10" s="16">
        <f t="shared" si="7"/>
        <v>0.65144000000000002</v>
      </c>
      <c r="V10" s="16" t="str">
        <f t="shared" si="8"/>
        <v>Длинные</v>
      </c>
      <c r="W10" s="16" t="str">
        <f t="shared" si="9"/>
        <v/>
      </c>
      <c r="X10" s="159" t="str">
        <f t="shared" si="13"/>
        <v>700-999 мм</v>
      </c>
      <c r="Y10" s="159" t="str">
        <f t="shared" si="14"/>
        <v>100-199 мм</v>
      </c>
      <c r="Z10" s="159" t="str">
        <f t="shared" si="15"/>
        <v>100-199 мм</v>
      </c>
      <c r="AA10" s="100" t="str">
        <f t="shared" si="10"/>
        <v>Четырехклапанные</v>
      </c>
      <c r="AB10" s="16">
        <v>1.73</v>
      </c>
      <c r="AC10" s="100" t="str">
        <f t="shared" si="11"/>
        <v>20-29 литров</v>
      </c>
    </row>
    <row r="11" spans="1:29" x14ac:dyDescent="0.3">
      <c r="A11" s="53">
        <v>1.9</v>
      </c>
      <c r="B11" s="59">
        <f t="shared" si="12"/>
        <v>2.2799999999999998</v>
      </c>
      <c r="C11" s="108">
        <v>11</v>
      </c>
      <c r="D11" s="115" t="s">
        <v>27</v>
      </c>
      <c r="E11" s="87" t="s">
        <v>134</v>
      </c>
      <c r="G11" s="82" t="s">
        <v>18</v>
      </c>
      <c r="H11" s="89" t="s">
        <v>135</v>
      </c>
      <c r="I11" s="82" t="s">
        <v>21</v>
      </c>
      <c r="J11" s="82" t="s">
        <v>1</v>
      </c>
      <c r="K11" s="115" t="s">
        <v>136</v>
      </c>
      <c r="N11" s="171">
        <f t="shared" si="0"/>
        <v>1</v>
      </c>
      <c r="O11" s="74">
        <f t="shared" ref="O11:O74" si="17">ROUND(R11*S11*T11/1000000,2)</f>
        <v>15.53</v>
      </c>
      <c r="P11" s="160" t="str">
        <f t="shared" si="2"/>
        <v>15-19,9 литров</v>
      </c>
      <c r="Q11" s="101" t="str">
        <f t="shared" si="16"/>
        <v>10-20 л</v>
      </c>
      <c r="R11" s="153">
        <f t="shared" si="4"/>
        <v>870</v>
      </c>
      <c r="S11" s="153">
        <f t="shared" si="5"/>
        <v>510</v>
      </c>
      <c r="T11" s="153">
        <f t="shared" si="6"/>
        <v>35</v>
      </c>
      <c r="U11" s="16">
        <f t="shared" si="7"/>
        <v>1.5594600000000001</v>
      </c>
      <c r="V11" s="16" t="str">
        <f t="shared" si="8"/>
        <v/>
      </c>
      <c r="W11" s="16" t="str">
        <f t="shared" si="9"/>
        <v>Плоские</v>
      </c>
      <c r="X11" s="159" t="str">
        <f t="shared" si="13"/>
        <v>700-999 мм</v>
      </c>
      <c r="Y11" s="159" t="str">
        <f t="shared" si="14"/>
        <v>500-599 мм</v>
      </c>
      <c r="Z11" s="159" t="str">
        <f t="shared" si="15"/>
        <v>10-99 мм</v>
      </c>
      <c r="AA11" s="100" t="str">
        <f t="shared" si="10"/>
        <v>Четырехклапанные</v>
      </c>
      <c r="AB11" s="16">
        <v>1.73</v>
      </c>
      <c r="AC11" s="100" t="str">
        <f t="shared" si="11"/>
        <v>15-19 литров</v>
      </c>
    </row>
    <row r="12" spans="1:29" x14ac:dyDescent="0.3">
      <c r="A12" s="53">
        <v>1.71</v>
      </c>
      <c r="B12" s="59">
        <f t="shared" si="12"/>
        <v>2.052</v>
      </c>
      <c r="C12" s="108">
        <v>12</v>
      </c>
      <c r="D12" s="115" t="s">
        <v>27</v>
      </c>
      <c r="E12" s="87" t="s">
        <v>138</v>
      </c>
      <c r="G12" s="82" t="s">
        <v>18</v>
      </c>
      <c r="H12" s="89" t="s">
        <v>19</v>
      </c>
      <c r="I12" s="82" t="s">
        <v>21</v>
      </c>
      <c r="J12" s="82" t="s">
        <v>1</v>
      </c>
      <c r="K12" s="115" t="s">
        <v>139</v>
      </c>
      <c r="N12" s="171">
        <f t="shared" si="0"/>
        <v>1</v>
      </c>
      <c r="O12" s="74">
        <f t="shared" si="17"/>
        <v>32</v>
      </c>
      <c r="P12" s="160" t="str">
        <f t="shared" si="2"/>
        <v>30-49 литров</v>
      </c>
      <c r="Q12" s="101" t="str">
        <f t="shared" si="16"/>
        <v>20-50 л</v>
      </c>
      <c r="R12" s="153">
        <f t="shared" si="4"/>
        <v>400</v>
      </c>
      <c r="S12" s="153">
        <f t="shared" si="5"/>
        <v>400</v>
      </c>
      <c r="T12" s="153">
        <f t="shared" si="6"/>
        <v>200</v>
      </c>
      <c r="U12" s="16">
        <f t="shared" si="7"/>
        <v>1.00928</v>
      </c>
      <c r="V12" s="16" t="str">
        <f t="shared" si="8"/>
        <v/>
      </c>
      <c r="W12" s="16" t="str">
        <f t="shared" si="9"/>
        <v>Плоские</v>
      </c>
      <c r="X12" s="159" t="str">
        <f t="shared" si="13"/>
        <v>400-499 мм</v>
      </c>
      <c r="Y12" s="159" t="str">
        <f t="shared" si="14"/>
        <v>400-499 мм</v>
      </c>
      <c r="Z12" s="159" t="str">
        <f t="shared" si="15"/>
        <v>200-299 мм</v>
      </c>
      <c r="AA12" s="100" t="str">
        <f t="shared" si="10"/>
        <v>Четырехклапанные</v>
      </c>
      <c r="AB12" s="16">
        <v>1.73</v>
      </c>
      <c r="AC12" s="100" t="str">
        <f t="shared" si="11"/>
        <v>30-49 литров</v>
      </c>
    </row>
    <row r="13" spans="1:29" x14ac:dyDescent="0.3">
      <c r="A13" s="53">
        <v>2.1800000000000002</v>
      </c>
      <c r="B13" s="59">
        <f t="shared" si="12"/>
        <v>2.6160000000000001</v>
      </c>
      <c r="C13" s="108">
        <v>13</v>
      </c>
      <c r="D13" s="115" t="s">
        <v>27</v>
      </c>
      <c r="E13" s="87" t="s">
        <v>140</v>
      </c>
      <c r="G13" s="82" t="s">
        <v>18</v>
      </c>
      <c r="H13" s="89" t="s">
        <v>19</v>
      </c>
      <c r="I13" s="82" t="s">
        <v>21</v>
      </c>
      <c r="J13" s="82" t="s">
        <v>1</v>
      </c>
      <c r="K13" s="115" t="s">
        <v>141</v>
      </c>
      <c r="N13" s="171">
        <f t="shared" si="0"/>
        <v>1</v>
      </c>
      <c r="O13" s="74">
        <f t="shared" si="17"/>
        <v>64</v>
      </c>
      <c r="P13" s="160" t="str">
        <f t="shared" si="2"/>
        <v>60-69 литров</v>
      </c>
      <c r="Q13" s="101" t="str">
        <f t="shared" si="16"/>
        <v>50-100 л</v>
      </c>
      <c r="R13" s="153">
        <f t="shared" si="4"/>
        <v>400</v>
      </c>
      <c r="S13" s="153">
        <f t="shared" si="5"/>
        <v>400</v>
      </c>
      <c r="T13" s="153">
        <f t="shared" si="6"/>
        <v>400</v>
      </c>
      <c r="U13" s="16">
        <f t="shared" si="7"/>
        <v>1.34128</v>
      </c>
      <c r="V13" s="16" t="str">
        <f t="shared" si="8"/>
        <v/>
      </c>
      <c r="W13" s="16" t="str">
        <f t="shared" si="9"/>
        <v/>
      </c>
      <c r="X13" s="159" t="str">
        <f t="shared" si="13"/>
        <v>400-499 мм</v>
      </c>
      <c r="Y13" s="159" t="str">
        <f t="shared" si="14"/>
        <v>400-499 мм</v>
      </c>
      <c r="Z13" s="159" t="str">
        <f t="shared" si="15"/>
        <v>400-499 мм</v>
      </c>
      <c r="AA13" s="100" t="str">
        <f t="shared" si="10"/>
        <v>Четырехклапанные</v>
      </c>
      <c r="AB13" s="16">
        <v>1.73</v>
      </c>
      <c r="AC13" s="100" t="str">
        <f t="shared" si="11"/>
        <v>60-69 литров</v>
      </c>
    </row>
    <row r="14" spans="1:29" x14ac:dyDescent="0.3">
      <c r="A14" s="53">
        <v>0.13</v>
      </c>
      <c r="B14" s="59">
        <f t="shared" si="12"/>
        <v>0.156</v>
      </c>
      <c r="C14" s="108">
        <v>14</v>
      </c>
      <c r="D14" s="115" t="s">
        <v>27</v>
      </c>
      <c r="E14" s="87" t="s">
        <v>142</v>
      </c>
      <c r="G14" s="82" t="s">
        <v>143</v>
      </c>
      <c r="H14" s="89" t="s">
        <v>20</v>
      </c>
      <c r="I14" s="82" t="s">
        <v>144</v>
      </c>
      <c r="J14" s="82" t="s">
        <v>1</v>
      </c>
      <c r="K14" s="115" t="s">
        <v>145</v>
      </c>
      <c r="N14" s="171">
        <f t="shared" si="0"/>
        <v>1</v>
      </c>
      <c r="O14" s="74">
        <f t="shared" si="17"/>
        <v>0.36</v>
      </c>
      <c r="P14" s="160" t="str">
        <f t="shared" si="2"/>
        <v>0,1-0,9 литров</v>
      </c>
      <c r="Q14" s="101" t="str">
        <f t="shared" si="16"/>
        <v>&lt;1 л</v>
      </c>
      <c r="R14" s="153">
        <f t="shared" si="4"/>
        <v>50</v>
      </c>
      <c r="S14" s="153">
        <f t="shared" si="5"/>
        <v>50</v>
      </c>
      <c r="T14" s="153">
        <f t="shared" si="6"/>
        <v>145</v>
      </c>
      <c r="U14" s="16">
        <f t="shared" si="7"/>
        <v>5.2780000000000001E-2</v>
      </c>
      <c r="V14" s="16" t="str">
        <f t="shared" si="8"/>
        <v>Длинные</v>
      </c>
      <c r="W14" s="16" t="str">
        <f t="shared" si="9"/>
        <v/>
      </c>
      <c r="X14" s="159" t="str">
        <f t="shared" si="13"/>
        <v>100-199 мм</v>
      </c>
      <c r="Y14" s="159" t="str">
        <f t="shared" si="14"/>
        <v>10-99 мм</v>
      </c>
      <c r="Z14" s="159" t="str">
        <f t="shared" si="15"/>
        <v>10-99 мм</v>
      </c>
      <c r="AA14" s="100" t="str">
        <f t="shared" si="10"/>
        <v>Самосборные</v>
      </c>
      <c r="AB14" s="16">
        <v>1.73</v>
      </c>
      <c r="AC14" s="100" t="str">
        <f t="shared" si="11"/>
        <v>0-1 литров</v>
      </c>
    </row>
    <row r="15" spans="1:29" x14ac:dyDescent="0.3">
      <c r="A15" s="53">
        <v>0.17</v>
      </c>
      <c r="B15" s="59">
        <f t="shared" si="12"/>
        <v>0.20400000000000001</v>
      </c>
      <c r="C15" s="108">
        <v>15</v>
      </c>
      <c r="D15" s="115" t="s">
        <v>27</v>
      </c>
      <c r="E15" s="87" t="s">
        <v>146</v>
      </c>
      <c r="G15" s="82" t="s">
        <v>143</v>
      </c>
      <c r="H15" s="89" t="s">
        <v>147</v>
      </c>
      <c r="I15" s="82" t="s">
        <v>144</v>
      </c>
      <c r="J15" s="82" t="s">
        <v>1</v>
      </c>
      <c r="K15" s="115" t="s">
        <v>148</v>
      </c>
      <c r="N15" s="171">
        <f t="shared" si="0"/>
        <v>1</v>
      </c>
      <c r="O15" s="74">
        <f t="shared" si="17"/>
        <v>0.45</v>
      </c>
      <c r="P15" s="160" t="str">
        <f t="shared" si="2"/>
        <v>0,1-0,9 литров</v>
      </c>
      <c r="Q15" s="101" t="str">
        <f t="shared" si="16"/>
        <v>&lt;1 л</v>
      </c>
      <c r="R15" s="153">
        <f t="shared" si="4"/>
        <v>200</v>
      </c>
      <c r="S15" s="153">
        <f t="shared" si="5"/>
        <v>90</v>
      </c>
      <c r="T15" s="153">
        <f t="shared" si="6"/>
        <v>25</v>
      </c>
      <c r="U15" s="16">
        <f t="shared" si="7"/>
        <v>7.8719999999999998E-2</v>
      </c>
      <c r="V15" s="16" t="str">
        <f t="shared" si="8"/>
        <v>Длинные</v>
      </c>
      <c r="W15" s="16" t="str">
        <f t="shared" si="9"/>
        <v>Плоские</v>
      </c>
      <c r="X15" s="159" t="str">
        <f t="shared" si="13"/>
        <v>200-299 мм</v>
      </c>
      <c r="Y15" s="159" t="str">
        <f t="shared" si="14"/>
        <v>10-99 мм</v>
      </c>
      <c r="Z15" s="159" t="str">
        <f t="shared" si="15"/>
        <v>10-99 мм</v>
      </c>
      <c r="AA15" s="100" t="str">
        <f t="shared" si="10"/>
        <v>Самосборные</v>
      </c>
      <c r="AB15" s="16">
        <v>1.73</v>
      </c>
      <c r="AC15" s="100" t="str">
        <f t="shared" si="11"/>
        <v>0-1 литров</v>
      </c>
    </row>
    <row r="16" spans="1:29" x14ac:dyDescent="0.3">
      <c r="A16" s="53">
        <v>0.54</v>
      </c>
      <c r="B16" s="59">
        <f t="shared" si="12"/>
        <v>0.64800000000000002</v>
      </c>
      <c r="C16" s="108">
        <v>16</v>
      </c>
      <c r="D16" s="115" t="s">
        <v>27</v>
      </c>
      <c r="E16" s="87" t="s">
        <v>149</v>
      </c>
      <c r="G16" s="82" t="s">
        <v>18</v>
      </c>
      <c r="H16" s="89" t="s">
        <v>19</v>
      </c>
      <c r="I16" s="82" t="s">
        <v>21</v>
      </c>
      <c r="J16" s="82" t="s">
        <v>1</v>
      </c>
      <c r="K16" s="115" t="s">
        <v>150</v>
      </c>
      <c r="N16" s="171">
        <f t="shared" si="0"/>
        <v>1</v>
      </c>
      <c r="O16" s="104">
        <f t="shared" si="17"/>
        <v>8</v>
      </c>
      <c r="P16" s="160" t="str">
        <f t="shared" si="2"/>
        <v>8-9,9 литров</v>
      </c>
      <c r="Q16" s="105" t="str">
        <f t="shared" si="16"/>
        <v>5-10 л</v>
      </c>
      <c r="R16" s="153">
        <f t="shared" si="4"/>
        <v>250</v>
      </c>
      <c r="S16" s="153">
        <f t="shared" si="5"/>
        <v>100</v>
      </c>
      <c r="T16" s="153">
        <f t="shared" si="6"/>
        <v>320</v>
      </c>
      <c r="U16" s="16">
        <f t="shared" si="7"/>
        <v>0.32528000000000001</v>
      </c>
      <c r="V16" s="16" t="str">
        <f t="shared" si="8"/>
        <v/>
      </c>
      <c r="W16" s="16" t="str">
        <f t="shared" si="9"/>
        <v>Плоские</v>
      </c>
      <c r="X16" s="159" t="str">
        <f t="shared" si="13"/>
        <v>300-399 мм</v>
      </c>
      <c r="Y16" s="159" t="str">
        <f t="shared" si="14"/>
        <v>200-299 мм</v>
      </c>
      <c r="Z16" s="159" t="str">
        <f t="shared" si="15"/>
        <v>100-199 мм</v>
      </c>
      <c r="AA16" s="100" t="str">
        <f t="shared" si="10"/>
        <v>Четырехклапанные</v>
      </c>
      <c r="AB16" s="16">
        <v>1.73</v>
      </c>
      <c r="AC16" s="100" t="str">
        <f t="shared" si="11"/>
        <v>8-9 литров</v>
      </c>
    </row>
    <row r="17" spans="1:29" x14ac:dyDescent="0.3">
      <c r="A17" s="53">
        <v>0.15</v>
      </c>
      <c r="B17" s="59">
        <f t="shared" si="12"/>
        <v>0.18</v>
      </c>
      <c r="C17" s="108">
        <v>17</v>
      </c>
      <c r="D17" s="115" t="s">
        <v>27</v>
      </c>
      <c r="E17" s="87" t="s">
        <v>151</v>
      </c>
      <c r="G17" s="82" t="s">
        <v>143</v>
      </c>
      <c r="H17" s="89" t="s">
        <v>147</v>
      </c>
      <c r="I17" s="82" t="s">
        <v>144</v>
      </c>
      <c r="J17" s="82" t="s">
        <v>1</v>
      </c>
      <c r="K17" s="115" t="s">
        <v>152</v>
      </c>
      <c r="N17" s="171">
        <f t="shared" si="0"/>
        <v>1</v>
      </c>
      <c r="O17" s="74">
        <f t="shared" si="17"/>
        <v>0.22</v>
      </c>
      <c r="P17" s="160" t="str">
        <f t="shared" si="2"/>
        <v>0,1-0,9 литров</v>
      </c>
      <c r="Q17" s="101" t="str">
        <f t="shared" si="16"/>
        <v>&lt;1 л</v>
      </c>
      <c r="R17" s="153">
        <f t="shared" si="4"/>
        <v>90</v>
      </c>
      <c r="S17" s="153">
        <f t="shared" si="5"/>
        <v>80</v>
      </c>
      <c r="T17" s="153">
        <f t="shared" si="6"/>
        <v>30</v>
      </c>
      <c r="U17" s="16">
        <f t="shared" si="7"/>
        <v>4.7199999999999999E-2</v>
      </c>
      <c r="V17" s="16" t="str">
        <f t="shared" si="8"/>
        <v/>
      </c>
      <c r="W17" s="16" t="str">
        <f t="shared" si="9"/>
        <v>Плоские</v>
      </c>
      <c r="X17" s="159" t="str">
        <f t="shared" si="13"/>
        <v>10-99 мм</v>
      </c>
      <c r="Y17" s="159" t="str">
        <f t="shared" si="14"/>
        <v>10-99 мм</v>
      </c>
      <c r="Z17" s="159" t="str">
        <f t="shared" si="15"/>
        <v>10-99 мм</v>
      </c>
      <c r="AA17" s="100" t="str">
        <f t="shared" si="10"/>
        <v>Самосборные</v>
      </c>
      <c r="AB17" s="16">
        <v>1.73</v>
      </c>
      <c r="AC17" s="100" t="str">
        <f t="shared" si="11"/>
        <v>0-1 литров</v>
      </c>
    </row>
    <row r="18" spans="1:29" x14ac:dyDescent="0.3">
      <c r="A18" s="53">
        <v>0.28000000000000003</v>
      </c>
      <c r="B18" s="59">
        <f t="shared" si="12"/>
        <v>0.33600000000000002</v>
      </c>
      <c r="C18" s="108">
        <v>18</v>
      </c>
      <c r="D18" s="115" t="s">
        <v>27</v>
      </c>
      <c r="E18" s="87" t="s">
        <v>153</v>
      </c>
      <c r="G18" s="82" t="s">
        <v>143</v>
      </c>
      <c r="H18" s="89" t="s">
        <v>20</v>
      </c>
      <c r="I18" s="82" t="s">
        <v>144</v>
      </c>
      <c r="J18" s="82" t="s">
        <v>1</v>
      </c>
      <c r="K18" s="115" t="s">
        <v>154</v>
      </c>
      <c r="N18" s="171">
        <f t="shared" si="0"/>
        <v>1</v>
      </c>
      <c r="O18" s="74">
        <f t="shared" si="17"/>
        <v>0.17</v>
      </c>
      <c r="P18" s="160" t="str">
        <f t="shared" si="2"/>
        <v>0,1-0,9 литров</v>
      </c>
      <c r="Q18" s="101" t="str">
        <f t="shared" si="16"/>
        <v>&lt;1 л</v>
      </c>
      <c r="R18" s="153">
        <f t="shared" si="4"/>
        <v>65</v>
      </c>
      <c r="S18" s="153">
        <f t="shared" si="5"/>
        <v>65</v>
      </c>
      <c r="T18" s="153">
        <f t="shared" si="6"/>
        <v>40</v>
      </c>
      <c r="U18" s="16">
        <f t="shared" si="7"/>
        <v>3.6159999999999998E-2</v>
      </c>
      <c r="V18" s="16" t="str">
        <f t="shared" si="8"/>
        <v/>
      </c>
      <c r="W18" s="16" t="str">
        <f t="shared" si="9"/>
        <v/>
      </c>
      <c r="X18" s="159" t="str">
        <f t="shared" si="13"/>
        <v>10-99 мм</v>
      </c>
      <c r="Y18" s="159" t="str">
        <f t="shared" si="14"/>
        <v>10-99 мм</v>
      </c>
      <c r="Z18" s="159" t="str">
        <f t="shared" si="15"/>
        <v>10-99 мм</v>
      </c>
      <c r="AA18" s="100" t="str">
        <f t="shared" si="10"/>
        <v>Самосборные</v>
      </c>
      <c r="AB18" s="16">
        <v>1.73</v>
      </c>
      <c r="AC18" s="100" t="str">
        <f t="shared" si="11"/>
        <v>0-1 литров</v>
      </c>
    </row>
    <row r="19" spans="1:29" x14ac:dyDescent="0.3">
      <c r="A19" s="53">
        <v>0.28000000000000003</v>
      </c>
      <c r="B19" s="59">
        <f t="shared" si="12"/>
        <v>0.33600000000000002</v>
      </c>
      <c r="C19" s="108">
        <v>19</v>
      </c>
      <c r="D19" s="115" t="s">
        <v>27</v>
      </c>
      <c r="E19" s="87" t="s">
        <v>155</v>
      </c>
      <c r="G19" s="82" t="s">
        <v>143</v>
      </c>
      <c r="H19" s="89" t="s">
        <v>156</v>
      </c>
      <c r="I19" s="82" t="s">
        <v>144</v>
      </c>
      <c r="J19" s="82" t="s">
        <v>1</v>
      </c>
      <c r="K19" s="115" t="s">
        <v>157</v>
      </c>
      <c r="N19" s="171">
        <f t="shared" si="0"/>
        <v>1</v>
      </c>
      <c r="O19" s="74">
        <f t="shared" si="17"/>
        <v>0.98</v>
      </c>
      <c r="P19" s="160" t="str">
        <f t="shared" si="2"/>
        <v>0,1-0,9 литров</v>
      </c>
      <c r="Q19" s="101" t="str">
        <f t="shared" si="16"/>
        <v>&lt;1 л</v>
      </c>
      <c r="R19" s="153">
        <f t="shared" si="4"/>
        <v>178</v>
      </c>
      <c r="S19" s="153">
        <f t="shared" si="5"/>
        <v>120</v>
      </c>
      <c r="T19" s="153">
        <f t="shared" si="6"/>
        <v>46</v>
      </c>
      <c r="U19" s="16">
        <f t="shared" si="7"/>
        <v>0.114144</v>
      </c>
      <c r="V19" s="16" t="str">
        <f t="shared" si="8"/>
        <v/>
      </c>
      <c r="W19" s="16" t="str">
        <f t="shared" si="9"/>
        <v>Плоские</v>
      </c>
      <c r="X19" s="159" t="str">
        <f t="shared" si="13"/>
        <v>100-199 мм</v>
      </c>
      <c r="Y19" s="159" t="str">
        <f t="shared" si="14"/>
        <v>100-199 мм</v>
      </c>
      <c r="Z19" s="159" t="str">
        <f t="shared" si="15"/>
        <v>10-99 мм</v>
      </c>
      <c r="AA19" s="100" t="str">
        <f t="shared" si="10"/>
        <v>Самосборные</v>
      </c>
      <c r="AB19" s="16">
        <v>1.73</v>
      </c>
      <c r="AC19" s="100" t="str">
        <f t="shared" si="11"/>
        <v>0-1 литров</v>
      </c>
    </row>
    <row r="20" spans="1:29" x14ac:dyDescent="0.3">
      <c r="A20" s="53">
        <v>0.28000000000000003</v>
      </c>
      <c r="B20" s="59">
        <f t="shared" si="12"/>
        <v>0.33600000000000002</v>
      </c>
      <c r="C20" s="108">
        <v>20</v>
      </c>
      <c r="D20" s="115" t="s">
        <v>27</v>
      </c>
      <c r="E20" s="87" t="s">
        <v>158</v>
      </c>
      <c r="G20" s="82" t="s">
        <v>143</v>
      </c>
      <c r="H20" s="89" t="s">
        <v>20</v>
      </c>
      <c r="I20" s="82" t="s">
        <v>21</v>
      </c>
      <c r="J20" s="82" t="s">
        <v>1</v>
      </c>
      <c r="K20" s="115" t="s">
        <v>159</v>
      </c>
      <c r="N20" s="171">
        <f t="shared" si="0"/>
        <v>1</v>
      </c>
      <c r="O20" s="74">
        <f t="shared" si="17"/>
        <v>1.05</v>
      </c>
      <c r="P20" s="160" t="str">
        <f t="shared" si="2"/>
        <v>1-1,9 литра</v>
      </c>
      <c r="Q20" s="101" t="str">
        <f t="shared" si="16"/>
        <v>1-2 л</v>
      </c>
      <c r="R20" s="153">
        <f t="shared" si="4"/>
        <v>110</v>
      </c>
      <c r="S20" s="153">
        <f t="shared" si="5"/>
        <v>110</v>
      </c>
      <c r="T20" s="153">
        <f t="shared" si="6"/>
        <v>87</v>
      </c>
      <c r="U20" s="16">
        <f t="shared" si="7"/>
        <v>0.10249999999999999</v>
      </c>
      <c r="V20" s="16" t="str">
        <f t="shared" si="8"/>
        <v/>
      </c>
      <c r="W20" s="16" t="str">
        <f t="shared" si="9"/>
        <v/>
      </c>
      <c r="X20" s="159" t="str">
        <f t="shared" si="13"/>
        <v>100-199 мм</v>
      </c>
      <c r="Y20" s="159" t="str">
        <f t="shared" si="14"/>
        <v>100-199 мм</v>
      </c>
      <c r="Z20" s="159" t="str">
        <f t="shared" si="15"/>
        <v>10-99 мм</v>
      </c>
      <c r="AA20" s="100" t="str">
        <f t="shared" si="10"/>
        <v>Самосборные</v>
      </c>
      <c r="AB20" s="16">
        <v>1.73</v>
      </c>
      <c r="AC20" s="100" t="str">
        <f t="shared" si="11"/>
        <v>2-3 литра</v>
      </c>
    </row>
    <row r="21" spans="1:29" x14ac:dyDescent="0.3">
      <c r="A21" s="53">
        <v>0.17</v>
      </c>
      <c r="B21" s="59">
        <f t="shared" si="12"/>
        <v>0.20400000000000001</v>
      </c>
      <c r="C21" s="108">
        <v>21</v>
      </c>
      <c r="D21" s="115" t="s">
        <v>27</v>
      </c>
      <c r="E21" s="87" t="s">
        <v>161</v>
      </c>
      <c r="G21" s="82" t="s">
        <v>143</v>
      </c>
      <c r="H21" s="89" t="s">
        <v>20</v>
      </c>
      <c r="I21" s="82" t="s">
        <v>144</v>
      </c>
      <c r="J21" s="82" t="s">
        <v>1</v>
      </c>
      <c r="K21" s="115" t="s">
        <v>162</v>
      </c>
      <c r="N21" s="171">
        <f t="shared" si="0"/>
        <v>1</v>
      </c>
      <c r="O21" s="74">
        <f t="shared" si="17"/>
        <v>0.43</v>
      </c>
      <c r="P21" s="160" t="str">
        <f t="shared" si="2"/>
        <v>0,1-0,9 литров</v>
      </c>
      <c r="Q21" s="101" t="str">
        <f t="shared" si="16"/>
        <v>&lt;1 л</v>
      </c>
      <c r="R21" s="153">
        <f t="shared" si="4"/>
        <v>50</v>
      </c>
      <c r="S21" s="153">
        <f t="shared" si="5"/>
        <v>50</v>
      </c>
      <c r="T21" s="153">
        <f t="shared" si="6"/>
        <v>170</v>
      </c>
      <c r="U21" s="16">
        <f t="shared" si="7"/>
        <v>5.9279999999999999E-2</v>
      </c>
      <c r="V21" s="16" t="str">
        <f t="shared" si="8"/>
        <v>Длинные</v>
      </c>
      <c r="W21" s="16" t="str">
        <f t="shared" si="9"/>
        <v/>
      </c>
      <c r="X21" s="159" t="str">
        <f t="shared" si="13"/>
        <v>100-199 мм</v>
      </c>
      <c r="Y21" s="159" t="str">
        <f t="shared" si="14"/>
        <v>10-99 мм</v>
      </c>
      <c r="Z21" s="159" t="str">
        <f t="shared" si="15"/>
        <v>10-99 мм</v>
      </c>
      <c r="AA21" s="100" t="str">
        <f t="shared" si="10"/>
        <v>Самосборные</v>
      </c>
      <c r="AB21" s="16">
        <v>1.73</v>
      </c>
      <c r="AC21" s="100" t="str">
        <f t="shared" si="11"/>
        <v>0-1 литров</v>
      </c>
    </row>
    <row r="22" spans="1:29" x14ac:dyDescent="0.3">
      <c r="A22" s="53">
        <v>0.35</v>
      </c>
      <c r="B22" s="59">
        <f t="shared" si="12"/>
        <v>0.42</v>
      </c>
      <c r="C22" s="108">
        <v>22</v>
      </c>
      <c r="D22" s="115" t="s">
        <v>27</v>
      </c>
      <c r="E22" s="87" t="s">
        <v>163</v>
      </c>
      <c r="G22" s="82" t="s">
        <v>143</v>
      </c>
      <c r="H22" s="89" t="s">
        <v>20</v>
      </c>
      <c r="I22" s="82" t="s">
        <v>21</v>
      </c>
      <c r="J22" s="82" t="s">
        <v>1</v>
      </c>
      <c r="K22" s="115" t="s">
        <v>164</v>
      </c>
      <c r="N22" s="171">
        <f t="shared" si="0"/>
        <v>1</v>
      </c>
      <c r="O22" s="74">
        <f t="shared" si="17"/>
        <v>2.11</v>
      </c>
      <c r="P22" s="160" t="str">
        <f t="shared" si="2"/>
        <v>2-2,9 литра</v>
      </c>
      <c r="Q22" s="101" t="str">
        <f t="shared" si="16"/>
        <v>2-3 л</v>
      </c>
      <c r="R22" s="153">
        <f t="shared" si="4"/>
        <v>80</v>
      </c>
      <c r="S22" s="153">
        <f t="shared" si="5"/>
        <v>80</v>
      </c>
      <c r="T22" s="153">
        <f t="shared" si="6"/>
        <v>330</v>
      </c>
      <c r="U22" s="16">
        <f t="shared" si="7"/>
        <v>0.15884000000000001</v>
      </c>
      <c r="V22" s="16" t="str">
        <f t="shared" si="8"/>
        <v>Длинные</v>
      </c>
      <c r="W22" s="16" t="str">
        <f t="shared" si="9"/>
        <v/>
      </c>
      <c r="X22" s="159" t="str">
        <f t="shared" si="13"/>
        <v>300-399 мм</v>
      </c>
      <c r="Y22" s="159" t="str">
        <f t="shared" si="14"/>
        <v>10-99 мм</v>
      </c>
      <c r="Z22" s="159" t="str">
        <f t="shared" si="15"/>
        <v>10-99 мм</v>
      </c>
      <c r="AA22" s="100" t="str">
        <f t="shared" si="10"/>
        <v>Самосборные</v>
      </c>
      <c r="AB22" s="16">
        <v>1.73</v>
      </c>
      <c r="AC22" s="100" t="str">
        <f t="shared" si="11"/>
        <v>2-3 литра</v>
      </c>
    </row>
    <row r="23" spans="1:29" x14ac:dyDescent="0.3">
      <c r="A23" s="53">
        <v>0.2</v>
      </c>
      <c r="B23" s="59">
        <f t="shared" si="12"/>
        <v>0.24</v>
      </c>
      <c r="C23" s="108">
        <v>23</v>
      </c>
      <c r="D23" s="115" t="s">
        <v>27</v>
      </c>
      <c r="E23" s="87" t="s">
        <v>165</v>
      </c>
      <c r="G23" s="82" t="s">
        <v>143</v>
      </c>
      <c r="H23" s="89" t="s">
        <v>20</v>
      </c>
      <c r="I23" s="82" t="s">
        <v>21</v>
      </c>
      <c r="J23" s="82" t="s">
        <v>1</v>
      </c>
      <c r="K23" s="115" t="s">
        <v>166</v>
      </c>
      <c r="N23" s="171">
        <f t="shared" si="0"/>
        <v>1</v>
      </c>
      <c r="O23" s="74">
        <f t="shared" si="17"/>
        <v>0.46</v>
      </c>
      <c r="P23" s="160" t="str">
        <f t="shared" si="2"/>
        <v>0,1-0,9 литров</v>
      </c>
      <c r="Q23" s="101" t="str">
        <f t="shared" si="16"/>
        <v>&lt;1 л</v>
      </c>
      <c r="R23" s="153">
        <f t="shared" si="4"/>
        <v>92</v>
      </c>
      <c r="S23" s="153">
        <f t="shared" si="5"/>
        <v>92</v>
      </c>
      <c r="T23" s="153">
        <f t="shared" si="6"/>
        <v>54</v>
      </c>
      <c r="U23" s="16">
        <f t="shared" si="7"/>
        <v>6.5911999999999998E-2</v>
      </c>
      <c r="V23" s="16" t="str">
        <f t="shared" si="8"/>
        <v/>
      </c>
      <c r="W23" s="16" t="str">
        <f t="shared" si="9"/>
        <v/>
      </c>
      <c r="X23" s="159" t="str">
        <f t="shared" si="13"/>
        <v>10-99 мм</v>
      </c>
      <c r="Y23" s="159" t="str">
        <f t="shared" si="14"/>
        <v>10-99 мм</v>
      </c>
      <c r="Z23" s="159" t="str">
        <f t="shared" si="15"/>
        <v>10-99 мм</v>
      </c>
      <c r="AA23" s="100" t="str">
        <f t="shared" si="10"/>
        <v>Самосборные</v>
      </c>
      <c r="AB23" s="16">
        <v>1.73</v>
      </c>
      <c r="AC23" s="100" t="str">
        <f t="shared" si="11"/>
        <v>0-1 литров</v>
      </c>
    </row>
    <row r="24" spans="1:29" x14ac:dyDescent="0.3">
      <c r="A24" s="53">
        <v>0.5</v>
      </c>
      <c r="B24" s="59">
        <f t="shared" si="12"/>
        <v>0.6</v>
      </c>
      <c r="C24" s="108">
        <v>24</v>
      </c>
      <c r="D24" s="115" t="s">
        <v>27</v>
      </c>
      <c r="E24" s="87" t="s">
        <v>167</v>
      </c>
      <c r="G24" s="82" t="s">
        <v>143</v>
      </c>
      <c r="H24" s="89" t="s">
        <v>20</v>
      </c>
      <c r="I24" s="82" t="s">
        <v>21</v>
      </c>
      <c r="J24" s="82" t="s">
        <v>1</v>
      </c>
      <c r="K24" s="115" t="s">
        <v>168</v>
      </c>
      <c r="N24" s="171">
        <f t="shared" si="0"/>
        <v>1</v>
      </c>
      <c r="O24" s="74">
        <f t="shared" si="17"/>
        <v>3.51</v>
      </c>
      <c r="P24" s="160" t="str">
        <f t="shared" si="2"/>
        <v>3-3,9 литра</v>
      </c>
      <c r="Q24" s="101" t="str">
        <f t="shared" si="16"/>
        <v>3-5 л</v>
      </c>
      <c r="R24" s="153">
        <f t="shared" si="4"/>
        <v>309</v>
      </c>
      <c r="S24" s="153">
        <f t="shared" si="5"/>
        <v>307</v>
      </c>
      <c r="T24" s="153">
        <f t="shared" si="6"/>
        <v>37</v>
      </c>
      <c r="U24" s="16">
        <f t="shared" si="7"/>
        <v>0.45478400000000002</v>
      </c>
      <c r="V24" s="16" t="str">
        <f t="shared" si="8"/>
        <v/>
      </c>
      <c r="W24" s="16" t="str">
        <f t="shared" si="9"/>
        <v>Плоские</v>
      </c>
      <c r="X24" s="159" t="str">
        <f t="shared" si="13"/>
        <v>300-399 мм</v>
      </c>
      <c r="Y24" s="159" t="str">
        <f t="shared" si="14"/>
        <v>300-399 мм</v>
      </c>
      <c r="Z24" s="159" t="str">
        <f t="shared" si="15"/>
        <v>10-99 мм</v>
      </c>
      <c r="AA24" s="100" t="str">
        <f t="shared" si="10"/>
        <v>Самосборные</v>
      </c>
      <c r="AB24" s="16">
        <v>1.73</v>
      </c>
      <c r="AC24" s="100" t="str">
        <f t="shared" si="11"/>
        <v>4-5 литра</v>
      </c>
    </row>
    <row r="25" spans="1:29" x14ac:dyDescent="0.3">
      <c r="A25" s="53">
        <v>0.6</v>
      </c>
      <c r="B25" s="59">
        <f t="shared" si="12"/>
        <v>0.72</v>
      </c>
      <c r="C25" s="108">
        <v>25</v>
      </c>
      <c r="D25" s="115" t="s">
        <v>27</v>
      </c>
      <c r="E25" s="87" t="s">
        <v>170</v>
      </c>
      <c r="G25" s="82" t="s">
        <v>18</v>
      </c>
      <c r="H25" s="89" t="s">
        <v>19</v>
      </c>
      <c r="I25" s="82" t="s">
        <v>21</v>
      </c>
      <c r="J25" s="82" t="s">
        <v>1</v>
      </c>
      <c r="K25" s="115" t="s">
        <v>171</v>
      </c>
      <c r="N25" s="171">
        <f t="shared" si="0"/>
        <v>1</v>
      </c>
      <c r="O25" s="74">
        <f t="shared" si="17"/>
        <v>7.25</v>
      </c>
      <c r="P25" s="160" t="str">
        <f t="shared" si="2"/>
        <v>6-7,9 литра</v>
      </c>
      <c r="Q25" s="101" t="str">
        <f t="shared" si="16"/>
        <v>5-10 л</v>
      </c>
      <c r="R25" s="153">
        <f t="shared" si="4"/>
        <v>130</v>
      </c>
      <c r="S25" s="153">
        <f t="shared" si="5"/>
        <v>90</v>
      </c>
      <c r="T25" s="153">
        <f t="shared" si="6"/>
        <v>620</v>
      </c>
      <c r="U25" s="16">
        <f t="shared" si="7"/>
        <v>0.35899999999999999</v>
      </c>
      <c r="V25" s="16" t="str">
        <f t="shared" si="8"/>
        <v>Длинные</v>
      </c>
      <c r="W25" s="16" t="str">
        <f t="shared" si="9"/>
        <v/>
      </c>
      <c r="X25" s="159" t="str">
        <f t="shared" si="13"/>
        <v>600-699 мм</v>
      </c>
      <c r="Y25" s="159" t="str">
        <f t="shared" si="14"/>
        <v>100-199 мм</v>
      </c>
      <c r="Z25" s="159" t="str">
        <f t="shared" si="15"/>
        <v>10-99 мм</v>
      </c>
      <c r="AA25" s="100" t="str">
        <f t="shared" si="10"/>
        <v>Четырехклапанные</v>
      </c>
      <c r="AB25" s="16">
        <v>1.73</v>
      </c>
      <c r="AC25" s="100" t="str">
        <f t="shared" si="11"/>
        <v>8-9 литров</v>
      </c>
    </row>
    <row r="26" spans="1:29" x14ac:dyDescent="0.3">
      <c r="A26" s="53">
        <v>0.37</v>
      </c>
      <c r="B26" s="59">
        <f t="shared" si="12"/>
        <v>0.44400000000000001</v>
      </c>
      <c r="C26" s="108">
        <v>26</v>
      </c>
      <c r="D26" s="115" t="s">
        <v>27</v>
      </c>
      <c r="E26" s="87" t="s">
        <v>172</v>
      </c>
      <c r="G26" s="82" t="s">
        <v>143</v>
      </c>
      <c r="H26" s="89" t="s">
        <v>147</v>
      </c>
      <c r="I26" s="82" t="s">
        <v>21</v>
      </c>
      <c r="J26" s="82" t="s">
        <v>1</v>
      </c>
      <c r="K26" s="115" t="s">
        <v>173</v>
      </c>
      <c r="N26" s="171">
        <f t="shared" si="0"/>
        <v>1</v>
      </c>
      <c r="O26" s="74">
        <f t="shared" si="17"/>
        <v>1.21</v>
      </c>
      <c r="P26" s="160" t="str">
        <f t="shared" si="2"/>
        <v>1-1,9 литра</v>
      </c>
      <c r="Q26" s="101" t="str">
        <f t="shared" si="16"/>
        <v>1-2 л</v>
      </c>
      <c r="R26" s="153">
        <f t="shared" si="4"/>
        <v>215</v>
      </c>
      <c r="S26" s="153">
        <f t="shared" si="5"/>
        <v>125</v>
      </c>
      <c r="T26" s="153">
        <f t="shared" si="6"/>
        <v>45</v>
      </c>
      <c r="U26" s="16">
        <f t="shared" si="7"/>
        <v>0.13172</v>
      </c>
      <c r="V26" s="16" t="str">
        <f t="shared" si="8"/>
        <v/>
      </c>
      <c r="W26" s="16" t="str">
        <f t="shared" si="9"/>
        <v>Плоские</v>
      </c>
      <c r="X26" s="159" t="str">
        <f t="shared" si="13"/>
        <v>200-299 мм</v>
      </c>
      <c r="Y26" s="159" t="str">
        <f t="shared" si="14"/>
        <v>100-199 мм</v>
      </c>
      <c r="Z26" s="159" t="str">
        <f t="shared" si="15"/>
        <v>10-99 мм</v>
      </c>
      <c r="AA26" s="100" t="str">
        <f t="shared" si="10"/>
        <v>Самосборные</v>
      </c>
      <c r="AB26" s="16">
        <v>1.73</v>
      </c>
      <c r="AC26" s="100" t="str">
        <f t="shared" si="11"/>
        <v>2-3 литра</v>
      </c>
    </row>
    <row r="27" spans="1:29" x14ac:dyDescent="0.3">
      <c r="A27" s="53">
        <v>0.61</v>
      </c>
      <c r="B27" s="59">
        <f t="shared" si="12"/>
        <v>0.73199999999999998</v>
      </c>
      <c r="C27" s="108">
        <v>27</v>
      </c>
      <c r="D27" s="115" t="s">
        <v>27</v>
      </c>
      <c r="E27" s="87" t="s">
        <v>174</v>
      </c>
      <c r="G27" s="82" t="s">
        <v>143</v>
      </c>
      <c r="H27" s="89" t="s">
        <v>175</v>
      </c>
      <c r="I27" s="82" t="s">
        <v>21</v>
      </c>
      <c r="J27" s="82" t="s">
        <v>1</v>
      </c>
      <c r="K27" s="115" t="s">
        <v>176</v>
      </c>
      <c r="N27" s="171">
        <f t="shared" si="0"/>
        <v>1</v>
      </c>
      <c r="O27" s="74">
        <f t="shared" si="17"/>
        <v>1.17</v>
      </c>
      <c r="P27" s="160" t="str">
        <f t="shared" si="2"/>
        <v>1-1,9 литра</v>
      </c>
      <c r="Q27" s="101" t="str">
        <f t="shared" si="16"/>
        <v>1-2 л</v>
      </c>
      <c r="R27" s="153">
        <f t="shared" si="4"/>
        <v>425</v>
      </c>
      <c r="S27" s="153">
        <f t="shared" si="5"/>
        <v>55</v>
      </c>
      <c r="T27" s="153">
        <f t="shared" si="6"/>
        <v>50</v>
      </c>
      <c r="U27" s="16">
        <f t="shared" si="7"/>
        <v>0.11526</v>
      </c>
      <c r="V27" s="16" t="str">
        <f t="shared" si="8"/>
        <v>Длинные</v>
      </c>
      <c r="W27" s="16" t="str">
        <f t="shared" si="9"/>
        <v/>
      </c>
      <c r="X27" s="159" t="str">
        <f t="shared" si="13"/>
        <v>400-499 мм</v>
      </c>
      <c r="Y27" s="159" t="str">
        <f t="shared" si="14"/>
        <v>10-99 мм</v>
      </c>
      <c r="Z27" s="159" t="str">
        <f t="shared" si="15"/>
        <v>10-99 мм</v>
      </c>
      <c r="AA27" s="100" t="str">
        <f t="shared" si="10"/>
        <v>Самосборные</v>
      </c>
      <c r="AB27" s="16">
        <v>1.73</v>
      </c>
      <c r="AC27" s="100" t="str">
        <f t="shared" si="11"/>
        <v>2-3 литра</v>
      </c>
    </row>
    <row r="28" spans="1:29" x14ac:dyDescent="0.3">
      <c r="A28" s="53">
        <v>0.61</v>
      </c>
      <c r="B28" s="59">
        <f t="shared" si="12"/>
        <v>0.73199999999999998</v>
      </c>
      <c r="C28" s="108">
        <v>28</v>
      </c>
      <c r="D28" s="115" t="s">
        <v>27</v>
      </c>
      <c r="E28" s="87" t="s">
        <v>177</v>
      </c>
      <c r="G28" s="82" t="s">
        <v>143</v>
      </c>
      <c r="H28" s="89" t="s">
        <v>147</v>
      </c>
      <c r="I28" s="82" t="s">
        <v>144</v>
      </c>
      <c r="J28" s="82" t="s">
        <v>1</v>
      </c>
      <c r="K28" s="115" t="s">
        <v>178</v>
      </c>
      <c r="N28" s="171">
        <f t="shared" si="0"/>
        <v>1</v>
      </c>
      <c r="O28" s="74">
        <f t="shared" si="17"/>
        <v>1.92</v>
      </c>
      <c r="P28" s="160" t="str">
        <f t="shared" si="2"/>
        <v>1-1,9 литра</v>
      </c>
      <c r="Q28" s="101" t="str">
        <f t="shared" si="16"/>
        <v>1-2 л</v>
      </c>
      <c r="R28" s="153">
        <f t="shared" si="4"/>
        <v>160</v>
      </c>
      <c r="S28" s="153">
        <f t="shared" si="5"/>
        <v>120</v>
      </c>
      <c r="T28" s="153">
        <f t="shared" si="6"/>
        <v>100</v>
      </c>
      <c r="U28" s="16">
        <f t="shared" si="7"/>
        <v>0.14136000000000001</v>
      </c>
      <c r="V28" s="16" t="str">
        <f t="shared" si="8"/>
        <v/>
      </c>
      <c r="W28" s="16" t="str">
        <f t="shared" si="9"/>
        <v/>
      </c>
      <c r="X28" s="159" t="str">
        <f t="shared" si="13"/>
        <v>100-199 мм</v>
      </c>
      <c r="Y28" s="159" t="str">
        <f t="shared" si="14"/>
        <v>100-199 мм</v>
      </c>
      <c r="Z28" s="159" t="str">
        <f t="shared" si="15"/>
        <v>100-199 мм</v>
      </c>
      <c r="AA28" s="100" t="str">
        <f t="shared" si="10"/>
        <v>Самосборные</v>
      </c>
      <c r="AB28" s="16">
        <v>1.73</v>
      </c>
      <c r="AC28" s="100" t="str">
        <f t="shared" si="11"/>
        <v>2-3 литра</v>
      </c>
    </row>
    <row r="29" spans="1:29" x14ac:dyDescent="0.3">
      <c r="A29" s="53">
        <v>0.61</v>
      </c>
      <c r="B29" s="59">
        <f t="shared" si="12"/>
        <v>0.73199999999999998</v>
      </c>
      <c r="C29" s="108">
        <v>29</v>
      </c>
      <c r="D29" s="115" t="s">
        <v>27</v>
      </c>
      <c r="E29" s="87" t="s">
        <v>179</v>
      </c>
      <c r="G29" s="82" t="s">
        <v>143</v>
      </c>
      <c r="H29" s="89" t="s">
        <v>147</v>
      </c>
      <c r="I29" s="82" t="s">
        <v>21</v>
      </c>
      <c r="J29" s="82" t="s">
        <v>1</v>
      </c>
      <c r="K29" s="115" t="s">
        <v>180</v>
      </c>
      <c r="N29" s="171">
        <f t="shared" si="0"/>
        <v>1</v>
      </c>
      <c r="O29" s="74">
        <f t="shared" si="17"/>
        <v>3.49</v>
      </c>
      <c r="P29" s="160" t="str">
        <f t="shared" si="2"/>
        <v>3-3,9 литра</v>
      </c>
      <c r="Q29" s="101" t="str">
        <f t="shared" si="16"/>
        <v>3-5 л</v>
      </c>
      <c r="R29" s="153">
        <f t="shared" si="4"/>
        <v>277</v>
      </c>
      <c r="S29" s="153">
        <f t="shared" si="5"/>
        <v>280</v>
      </c>
      <c r="T29" s="153">
        <f t="shared" si="6"/>
        <v>45</v>
      </c>
      <c r="U29" s="16">
        <f t="shared" si="7"/>
        <v>0.39094200000000001</v>
      </c>
      <c r="V29" s="16" t="str">
        <f t="shared" si="8"/>
        <v/>
      </c>
      <c r="W29" s="16" t="str">
        <f t="shared" si="9"/>
        <v>Плоские</v>
      </c>
      <c r="X29" s="159" t="str">
        <f t="shared" si="13"/>
        <v>200-299 мм</v>
      </c>
      <c r="Y29" s="159" t="str">
        <f t="shared" si="14"/>
        <v>200-299 мм</v>
      </c>
      <c r="Z29" s="159" t="str">
        <f t="shared" si="15"/>
        <v>10-99 мм</v>
      </c>
      <c r="AA29" s="100" t="str">
        <f t="shared" si="10"/>
        <v>Самосборные</v>
      </c>
      <c r="AB29" s="16">
        <v>1.73</v>
      </c>
      <c r="AC29" s="100" t="str">
        <f t="shared" si="11"/>
        <v>4-5 литра</v>
      </c>
    </row>
    <row r="30" spans="1:29" x14ac:dyDescent="0.3">
      <c r="A30" s="53">
        <v>0.19</v>
      </c>
      <c r="B30" s="59">
        <f t="shared" si="12"/>
        <v>0.22799999999999998</v>
      </c>
      <c r="C30" s="108">
        <v>30</v>
      </c>
      <c r="D30" s="115" t="s">
        <v>27</v>
      </c>
      <c r="E30" s="87" t="s">
        <v>181</v>
      </c>
      <c r="G30" s="82" t="s">
        <v>143</v>
      </c>
      <c r="H30" s="89" t="s">
        <v>20</v>
      </c>
      <c r="I30" s="82" t="s">
        <v>144</v>
      </c>
      <c r="J30" s="82" t="s">
        <v>1</v>
      </c>
      <c r="K30" s="115" t="s">
        <v>182</v>
      </c>
      <c r="N30" s="171">
        <f t="shared" si="0"/>
        <v>1</v>
      </c>
      <c r="O30" s="74">
        <f t="shared" si="17"/>
        <v>0.77</v>
      </c>
      <c r="P30" s="160" t="str">
        <f t="shared" si="2"/>
        <v>0,1-0,9 литров</v>
      </c>
      <c r="Q30" s="101" t="str">
        <f t="shared" si="16"/>
        <v>&lt;1 л</v>
      </c>
      <c r="R30" s="153">
        <f t="shared" si="4"/>
        <v>71</v>
      </c>
      <c r="S30" s="153">
        <f t="shared" si="5"/>
        <v>71</v>
      </c>
      <c r="T30" s="153">
        <f t="shared" si="6"/>
        <v>152</v>
      </c>
      <c r="U30" s="16">
        <f t="shared" si="7"/>
        <v>7.9464000000000007E-2</v>
      </c>
      <c r="V30" s="16" t="str">
        <f t="shared" si="8"/>
        <v>Длинные</v>
      </c>
      <c r="W30" s="16" t="str">
        <f t="shared" si="9"/>
        <v/>
      </c>
      <c r="X30" s="159" t="str">
        <f t="shared" si="13"/>
        <v>100-199 мм</v>
      </c>
      <c r="Y30" s="159" t="str">
        <f t="shared" si="14"/>
        <v>10-99 мм</v>
      </c>
      <c r="Z30" s="159" t="str">
        <f t="shared" si="15"/>
        <v>10-99 мм</v>
      </c>
      <c r="AA30" s="100" t="str">
        <f t="shared" si="10"/>
        <v>Самосборные</v>
      </c>
      <c r="AB30" s="16">
        <v>1.73</v>
      </c>
      <c r="AC30" s="100" t="str">
        <f t="shared" si="11"/>
        <v>0-1 литров</v>
      </c>
    </row>
    <row r="31" spans="1:29" x14ac:dyDescent="0.3">
      <c r="A31" s="53">
        <v>0.19</v>
      </c>
      <c r="B31" s="59">
        <f t="shared" si="12"/>
        <v>0.22799999999999998</v>
      </c>
      <c r="C31" s="108">
        <v>31</v>
      </c>
      <c r="D31" s="115" t="s">
        <v>27</v>
      </c>
      <c r="E31" s="87" t="s">
        <v>183</v>
      </c>
      <c r="G31" s="82" t="s">
        <v>18</v>
      </c>
      <c r="H31" s="89" t="s">
        <v>19</v>
      </c>
      <c r="I31" s="82" t="s">
        <v>21</v>
      </c>
      <c r="J31" s="82" t="s">
        <v>1</v>
      </c>
      <c r="K31" s="115" t="s">
        <v>184</v>
      </c>
      <c r="N31" s="171">
        <f t="shared" si="0"/>
        <v>1</v>
      </c>
      <c r="O31" s="74">
        <f t="shared" si="17"/>
        <v>1.33</v>
      </c>
      <c r="P31" s="160" t="str">
        <f t="shared" si="2"/>
        <v>1-1,9 литра</v>
      </c>
      <c r="Q31" s="101" t="str">
        <f t="shared" si="16"/>
        <v>1-2 л</v>
      </c>
      <c r="R31" s="153">
        <f t="shared" si="4"/>
        <v>110</v>
      </c>
      <c r="S31" s="153">
        <f t="shared" si="5"/>
        <v>110</v>
      </c>
      <c r="T31" s="153">
        <f t="shared" si="6"/>
        <v>110</v>
      </c>
      <c r="U31" s="16">
        <f t="shared" si="7"/>
        <v>0.114</v>
      </c>
      <c r="V31" s="16" t="str">
        <f t="shared" si="8"/>
        <v/>
      </c>
      <c r="W31" s="16" t="str">
        <f t="shared" si="9"/>
        <v/>
      </c>
      <c r="X31" s="159" t="str">
        <f t="shared" si="13"/>
        <v>100-199 мм</v>
      </c>
      <c r="Y31" s="159" t="str">
        <f t="shared" si="14"/>
        <v>100-199 мм</v>
      </c>
      <c r="Z31" s="159" t="str">
        <f t="shared" si="15"/>
        <v>100-199 мм</v>
      </c>
      <c r="AA31" s="100" t="str">
        <f t="shared" si="10"/>
        <v>Четырехклапанные</v>
      </c>
      <c r="AB31" s="16">
        <v>1.73</v>
      </c>
      <c r="AC31" s="100" t="str">
        <f t="shared" si="11"/>
        <v>2-3 литра</v>
      </c>
    </row>
    <row r="32" spans="1:29" x14ac:dyDescent="0.3">
      <c r="A32" s="53">
        <v>0.41</v>
      </c>
      <c r="B32" s="59">
        <f t="shared" si="12"/>
        <v>0.49199999999999994</v>
      </c>
      <c r="C32" s="108">
        <v>32</v>
      </c>
      <c r="D32" s="115" t="s">
        <v>27</v>
      </c>
      <c r="E32" s="87" t="s">
        <v>185</v>
      </c>
      <c r="G32" s="82" t="s">
        <v>143</v>
      </c>
      <c r="H32" s="89" t="s">
        <v>20</v>
      </c>
      <c r="I32" s="82" t="s">
        <v>21</v>
      </c>
      <c r="J32" s="82" t="s">
        <v>1</v>
      </c>
      <c r="K32" s="115" t="s">
        <v>186</v>
      </c>
      <c r="N32" s="171">
        <f t="shared" si="0"/>
        <v>1</v>
      </c>
      <c r="O32" s="74">
        <f t="shared" si="17"/>
        <v>1.04</v>
      </c>
      <c r="P32" s="160" t="str">
        <f t="shared" si="2"/>
        <v>1-1,9 литра</v>
      </c>
      <c r="Q32" s="101" t="str">
        <f t="shared" si="16"/>
        <v>1-2 л</v>
      </c>
      <c r="R32" s="153">
        <f t="shared" si="4"/>
        <v>130</v>
      </c>
      <c r="S32" s="153">
        <f t="shared" si="5"/>
        <v>80</v>
      </c>
      <c r="T32" s="153">
        <f t="shared" si="6"/>
        <v>100</v>
      </c>
      <c r="U32" s="16">
        <f t="shared" si="7"/>
        <v>9.0240000000000001E-2</v>
      </c>
      <c r="V32" s="16" t="str">
        <f t="shared" si="8"/>
        <v/>
      </c>
      <c r="W32" s="16" t="str">
        <f t="shared" si="9"/>
        <v/>
      </c>
      <c r="X32" s="159" t="str">
        <f t="shared" si="13"/>
        <v>100-199 мм</v>
      </c>
      <c r="Y32" s="159" t="str">
        <f t="shared" si="14"/>
        <v>100-199 мм</v>
      </c>
      <c r="Z32" s="159" t="str">
        <f t="shared" si="15"/>
        <v>10-99 мм</v>
      </c>
      <c r="AA32" s="100" t="str">
        <f t="shared" si="10"/>
        <v>Самосборные</v>
      </c>
      <c r="AB32" s="16">
        <v>1.73</v>
      </c>
      <c r="AC32" s="100" t="str">
        <f t="shared" si="11"/>
        <v>2-3 литра</v>
      </c>
    </row>
    <row r="33" spans="1:29" ht="13.75" x14ac:dyDescent="0.3">
      <c r="A33" s="53">
        <v>0.77</v>
      </c>
      <c r="B33" s="59">
        <f t="shared" si="12"/>
        <v>0.92399999999999993</v>
      </c>
      <c r="C33" s="108">
        <v>33</v>
      </c>
      <c r="D33" s="115" t="s">
        <v>27</v>
      </c>
      <c r="E33" s="87" t="s">
        <v>187</v>
      </c>
      <c r="F33" s="212" t="s">
        <v>954</v>
      </c>
      <c r="G33" s="82" t="s">
        <v>143</v>
      </c>
      <c r="H33" s="89" t="s">
        <v>147</v>
      </c>
      <c r="I33" s="82" t="s">
        <v>21</v>
      </c>
      <c r="J33" s="82" t="s">
        <v>1</v>
      </c>
      <c r="K33" s="115" t="s">
        <v>188</v>
      </c>
      <c r="L33" s="103" t="s">
        <v>870</v>
      </c>
      <c r="N33" s="171">
        <f t="shared" si="0"/>
        <v>1</v>
      </c>
      <c r="O33" s="74">
        <f t="shared" si="17"/>
        <v>3.83</v>
      </c>
      <c r="P33" s="160" t="str">
        <f t="shared" si="2"/>
        <v>3-3,9 литра</v>
      </c>
      <c r="Q33" s="101" t="str">
        <f t="shared" si="16"/>
        <v>3-5 л</v>
      </c>
      <c r="R33" s="153">
        <f t="shared" si="4"/>
        <v>250</v>
      </c>
      <c r="S33" s="153">
        <f t="shared" si="5"/>
        <v>170</v>
      </c>
      <c r="T33" s="153">
        <f t="shared" si="6"/>
        <v>90</v>
      </c>
      <c r="U33" s="16">
        <f t="shared" si="7"/>
        <v>0.2412</v>
      </c>
      <c r="V33" s="16" t="str">
        <f t="shared" si="8"/>
        <v/>
      </c>
      <c r="W33" s="16" t="str">
        <f t="shared" si="9"/>
        <v/>
      </c>
      <c r="X33" s="159" t="str">
        <f t="shared" si="13"/>
        <v>200-299 мм</v>
      </c>
      <c r="Y33" s="159" t="str">
        <f t="shared" si="14"/>
        <v>100-199 мм</v>
      </c>
      <c r="Z33" s="159" t="str">
        <f t="shared" si="15"/>
        <v>10-99 мм</v>
      </c>
      <c r="AA33" s="100" t="str">
        <f t="shared" si="10"/>
        <v>Самосборные</v>
      </c>
      <c r="AB33" s="16">
        <v>1.73</v>
      </c>
      <c r="AC33" s="100" t="str">
        <f t="shared" si="11"/>
        <v>4-5 литра</v>
      </c>
    </row>
    <row r="34" spans="1:29" x14ac:dyDescent="0.3">
      <c r="A34" s="53">
        <v>0.31</v>
      </c>
      <c r="B34" s="59">
        <f t="shared" si="12"/>
        <v>0.372</v>
      </c>
      <c r="C34" s="108">
        <v>34</v>
      </c>
      <c r="D34" s="115" t="s">
        <v>27</v>
      </c>
      <c r="E34" s="87" t="s">
        <v>189</v>
      </c>
      <c r="G34" s="82" t="s">
        <v>143</v>
      </c>
      <c r="H34" s="89" t="s">
        <v>175</v>
      </c>
      <c r="I34" s="82" t="s">
        <v>21</v>
      </c>
      <c r="J34" s="82" t="s">
        <v>1</v>
      </c>
      <c r="K34" s="115" t="s">
        <v>190</v>
      </c>
      <c r="N34" s="171">
        <f t="shared" si="0"/>
        <v>1</v>
      </c>
      <c r="O34" s="74">
        <f t="shared" si="17"/>
        <v>1.28</v>
      </c>
      <c r="P34" s="160" t="str">
        <f t="shared" si="2"/>
        <v>1-1,9 литра</v>
      </c>
      <c r="Q34" s="101" t="str">
        <f t="shared" si="16"/>
        <v>1-2 л</v>
      </c>
      <c r="R34" s="153">
        <f t="shared" si="4"/>
        <v>200</v>
      </c>
      <c r="S34" s="153">
        <f t="shared" si="5"/>
        <v>80</v>
      </c>
      <c r="T34" s="153">
        <f t="shared" si="6"/>
        <v>80</v>
      </c>
      <c r="U34" s="16">
        <f t="shared" si="7"/>
        <v>0.10416</v>
      </c>
      <c r="V34" s="16" t="str">
        <f t="shared" si="8"/>
        <v>Длинные</v>
      </c>
      <c r="W34" s="16" t="str">
        <f t="shared" si="9"/>
        <v/>
      </c>
      <c r="X34" s="159" t="str">
        <f t="shared" si="13"/>
        <v>200-299 мм</v>
      </c>
      <c r="Y34" s="159" t="str">
        <f t="shared" si="14"/>
        <v>10-99 мм</v>
      </c>
      <c r="Z34" s="159" t="str">
        <f t="shared" si="15"/>
        <v>10-99 мм</v>
      </c>
      <c r="AA34" s="100" t="str">
        <f t="shared" si="10"/>
        <v>Самосборные</v>
      </c>
      <c r="AB34" s="16">
        <v>1.73</v>
      </c>
      <c r="AC34" s="100" t="str">
        <f t="shared" si="11"/>
        <v>2-3 литра</v>
      </c>
    </row>
    <row r="35" spans="1:29" x14ac:dyDescent="0.3">
      <c r="A35" s="53">
        <v>0.83</v>
      </c>
      <c r="B35" s="59">
        <f t="shared" si="12"/>
        <v>0.99599999999999989</v>
      </c>
      <c r="C35" s="108">
        <v>35</v>
      </c>
      <c r="D35" s="115" t="s">
        <v>27</v>
      </c>
      <c r="E35" s="87" t="s">
        <v>191</v>
      </c>
      <c r="G35" s="82" t="s">
        <v>143</v>
      </c>
      <c r="H35" s="89" t="s">
        <v>147</v>
      </c>
      <c r="I35" s="82" t="s">
        <v>21</v>
      </c>
      <c r="J35" s="82" t="s">
        <v>1</v>
      </c>
      <c r="K35" s="115" t="s">
        <v>192</v>
      </c>
      <c r="N35" s="171">
        <f t="shared" si="0"/>
        <v>1</v>
      </c>
      <c r="O35" s="74">
        <f t="shared" si="17"/>
        <v>6.45</v>
      </c>
      <c r="P35" s="160" t="str">
        <f t="shared" si="2"/>
        <v>6-7,9 литра</v>
      </c>
      <c r="Q35" s="101" t="str">
        <f t="shared" si="16"/>
        <v>5-10 л</v>
      </c>
      <c r="R35" s="153">
        <f t="shared" si="4"/>
        <v>690</v>
      </c>
      <c r="S35" s="153">
        <f t="shared" si="5"/>
        <v>170</v>
      </c>
      <c r="T35" s="153">
        <f t="shared" si="6"/>
        <v>55</v>
      </c>
      <c r="U35" s="16">
        <f t="shared" si="7"/>
        <v>0.41474</v>
      </c>
      <c r="V35" s="16" t="str">
        <f t="shared" si="8"/>
        <v>Длинные</v>
      </c>
      <c r="W35" s="16" t="str">
        <f t="shared" si="9"/>
        <v>Плоские</v>
      </c>
      <c r="X35" s="159" t="str">
        <f t="shared" si="13"/>
        <v>600-699 мм</v>
      </c>
      <c r="Y35" s="159" t="str">
        <f t="shared" si="14"/>
        <v>100-199 мм</v>
      </c>
      <c r="Z35" s="159" t="str">
        <f t="shared" si="15"/>
        <v>10-99 мм</v>
      </c>
      <c r="AA35" s="100" t="str">
        <f t="shared" si="10"/>
        <v>Самосборные</v>
      </c>
      <c r="AB35" s="16">
        <v>1.73</v>
      </c>
      <c r="AC35" s="100" t="str">
        <f t="shared" si="11"/>
        <v>6-7 литра</v>
      </c>
    </row>
    <row r="36" spans="1:29" x14ac:dyDescent="0.3">
      <c r="A36" s="53">
        <v>1.46</v>
      </c>
      <c r="B36" s="59">
        <f t="shared" si="12"/>
        <v>1.752</v>
      </c>
      <c r="C36" s="108">
        <v>36</v>
      </c>
      <c r="D36" s="115" t="s">
        <v>27</v>
      </c>
      <c r="E36" s="87" t="s">
        <v>193</v>
      </c>
      <c r="G36" s="82" t="s">
        <v>143</v>
      </c>
      <c r="H36" s="89" t="s">
        <v>147</v>
      </c>
      <c r="I36" s="82" t="s">
        <v>21</v>
      </c>
      <c r="J36" s="82" t="s">
        <v>1</v>
      </c>
      <c r="K36" s="115" t="s">
        <v>194</v>
      </c>
      <c r="N36" s="171">
        <f t="shared" si="0"/>
        <v>1</v>
      </c>
      <c r="O36" s="74">
        <f t="shared" si="17"/>
        <v>13.4</v>
      </c>
      <c r="P36" s="160" t="str">
        <f t="shared" si="2"/>
        <v>10-14,9 литров</v>
      </c>
      <c r="Q36" s="101" t="str">
        <f t="shared" si="16"/>
        <v>10-20 л</v>
      </c>
      <c r="R36" s="153">
        <f t="shared" si="4"/>
        <v>1110</v>
      </c>
      <c r="S36" s="153">
        <f t="shared" si="5"/>
        <v>115</v>
      </c>
      <c r="T36" s="153">
        <f t="shared" si="6"/>
        <v>105</v>
      </c>
      <c r="U36" s="16">
        <f t="shared" si="7"/>
        <v>0.57228000000000001</v>
      </c>
      <c r="V36" s="16" t="str">
        <f t="shared" si="8"/>
        <v>Длинные</v>
      </c>
      <c r="W36" s="16" t="str">
        <f t="shared" si="9"/>
        <v/>
      </c>
      <c r="X36" s="159" t="str">
        <f t="shared" si="13"/>
        <v>1000+ мм</v>
      </c>
      <c r="Y36" s="159" t="str">
        <f t="shared" si="14"/>
        <v>100-199 мм</v>
      </c>
      <c r="Z36" s="159" t="str">
        <f t="shared" si="15"/>
        <v>100-199 мм</v>
      </c>
      <c r="AA36" s="100" t="str">
        <f t="shared" si="10"/>
        <v>Самосборные</v>
      </c>
      <c r="AB36" s="16">
        <v>1.73</v>
      </c>
      <c r="AC36" s="100" t="str">
        <f t="shared" si="11"/>
        <v>10-14 литров</v>
      </c>
    </row>
    <row r="37" spans="1:29" x14ac:dyDescent="0.3">
      <c r="A37" s="53">
        <v>1.46</v>
      </c>
      <c r="B37" s="59">
        <f t="shared" si="12"/>
        <v>1.752</v>
      </c>
      <c r="C37" s="108">
        <v>37</v>
      </c>
      <c r="D37" s="115" t="s">
        <v>27</v>
      </c>
      <c r="E37" s="87" t="s">
        <v>195</v>
      </c>
      <c r="G37" s="82" t="s">
        <v>143</v>
      </c>
      <c r="H37" s="89" t="s">
        <v>156</v>
      </c>
      <c r="I37" s="82" t="s">
        <v>21</v>
      </c>
      <c r="J37" s="82" t="s">
        <v>1</v>
      </c>
      <c r="K37" s="115" t="s">
        <v>196</v>
      </c>
      <c r="N37" s="171">
        <f t="shared" si="0"/>
        <v>1</v>
      </c>
      <c r="O37" s="74">
        <f t="shared" si="17"/>
        <v>16.25</v>
      </c>
      <c r="P37" s="160" t="str">
        <f t="shared" si="2"/>
        <v>15-19,9 литров</v>
      </c>
      <c r="Q37" s="101" t="str">
        <f t="shared" si="16"/>
        <v>10-20 л</v>
      </c>
      <c r="R37" s="153">
        <f t="shared" si="4"/>
        <v>500</v>
      </c>
      <c r="S37" s="153">
        <f t="shared" si="5"/>
        <v>500</v>
      </c>
      <c r="T37" s="153">
        <f t="shared" si="6"/>
        <v>65</v>
      </c>
      <c r="U37" s="16">
        <f t="shared" si="7"/>
        <v>1.18038</v>
      </c>
      <c r="V37" s="16" t="str">
        <f t="shared" si="8"/>
        <v/>
      </c>
      <c r="W37" s="16" t="str">
        <f t="shared" si="9"/>
        <v>Плоские</v>
      </c>
      <c r="X37" s="159" t="str">
        <f t="shared" si="13"/>
        <v>500-599 мм</v>
      </c>
      <c r="Y37" s="159" t="str">
        <f t="shared" si="14"/>
        <v>500-599 мм</v>
      </c>
      <c r="Z37" s="159" t="str">
        <f t="shared" si="15"/>
        <v>10-99 мм</v>
      </c>
      <c r="AA37" s="100" t="str">
        <f t="shared" si="10"/>
        <v>Самосборные</v>
      </c>
      <c r="AB37" s="16">
        <v>1.73</v>
      </c>
      <c r="AC37" s="100" t="str">
        <f t="shared" si="11"/>
        <v>15-19 литров</v>
      </c>
    </row>
    <row r="38" spans="1:29" x14ac:dyDescent="0.3">
      <c r="A38" s="53">
        <v>0.73</v>
      </c>
      <c r="B38" s="59">
        <f t="shared" si="12"/>
        <v>0.876</v>
      </c>
      <c r="C38" s="108">
        <v>38</v>
      </c>
      <c r="D38" s="115" t="s">
        <v>27</v>
      </c>
      <c r="E38" s="87" t="s">
        <v>197</v>
      </c>
      <c r="G38" s="82" t="s">
        <v>143</v>
      </c>
      <c r="H38" s="89" t="s">
        <v>147</v>
      </c>
      <c r="I38" s="82" t="s">
        <v>21</v>
      </c>
      <c r="J38" s="82" t="s">
        <v>1</v>
      </c>
      <c r="K38" s="115" t="s">
        <v>198</v>
      </c>
      <c r="N38" s="171">
        <f t="shared" si="0"/>
        <v>1</v>
      </c>
      <c r="O38" s="74">
        <f t="shared" si="17"/>
        <v>4.1900000000000004</v>
      </c>
      <c r="P38" s="160" t="str">
        <f t="shared" si="2"/>
        <v>4-5,9 литра</v>
      </c>
      <c r="Q38" s="101" t="str">
        <f t="shared" si="16"/>
        <v>3-5 л</v>
      </c>
      <c r="R38" s="153">
        <f t="shared" si="4"/>
        <v>300</v>
      </c>
      <c r="S38" s="153">
        <f t="shared" si="5"/>
        <v>215</v>
      </c>
      <c r="T38" s="153">
        <f t="shared" si="6"/>
        <v>65</v>
      </c>
      <c r="U38" s="16">
        <f t="shared" si="7"/>
        <v>0.31391999999999998</v>
      </c>
      <c r="V38" s="16" t="str">
        <f t="shared" si="8"/>
        <v/>
      </c>
      <c r="W38" s="16" t="str">
        <f t="shared" si="9"/>
        <v>Плоские</v>
      </c>
      <c r="X38" s="159" t="str">
        <f t="shared" si="13"/>
        <v>300-399 мм</v>
      </c>
      <c r="Y38" s="159" t="str">
        <f t="shared" si="14"/>
        <v>200-299 мм</v>
      </c>
      <c r="Z38" s="159" t="str">
        <f t="shared" si="15"/>
        <v>10-99 мм</v>
      </c>
      <c r="AA38" s="100" t="str">
        <f t="shared" si="10"/>
        <v>Самосборные</v>
      </c>
      <c r="AB38" s="16">
        <v>1.73</v>
      </c>
      <c r="AC38" s="100" t="str">
        <f t="shared" si="11"/>
        <v>4-5 литра</v>
      </c>
    </row>
    <row r="39" spans="1:29" x14ac:dyDescent="0.3">
      <c r="A39" s="53">
        <v>0.94</v>
      </c>
      <c r="B39" s="59">
        <f t="shared" si="12"/>
        <v>1.1279999999999999</v>
      </c>
      <c r="C39" s="108">
        <v>39</v>
      </c>
      <c r="D39" s="115" t="s">
        <v>27</v>
      </c>
      <c r="E39" s="87" t="s">
        <v>199</v>
      </c>
      <c r="G39" s="82" t="s">
        <v>143</v>
      </c>
      <c r="H39" s="89" t="s">
        <v>19</v>
      </c>
      <c r="I39" s="82" t="s">
        <v>21</v>
      </c>
      <c r="J39" s="82" t="s">
        <v>1</v>
      </c>
      <c r="K39" s="115" t="s">
        <v>200</v>
      </c>
      <c r="N39" s="171">
        <f t="shared" si="0"/>
        <v>1</v>
      </c>
      <c r="O39" s="74">
        <f t="shared" si="17"/>
        <v>10.68</v>
      </c>
      <c r="P39" s="160" t="str">
        <f t="shared" si="2"/>
        <v>10-14,9 литров</v>
      </c>
      <c r="Q39" s="101" t="str">
        <f t="shared" si="16"/>
        <v>10-20 л</v>
      </c>
      <c r="R39" s="153">
        <f t="shared" si="4"/>
        <v>120</v>
      </c>
      <c r="S39" s="153">
        <f t="shared" si="5"/>
        <v>100</v>
      </c>
      <c r="T39" s="153">
        <f t="shared" si="6"/>
        <v>890</v>
      </c>
      <c r="U39" s="16">
        <f t="shared" si="7"/>
        <v>0.499</v>
      </c>
      <c r="V39" s="16" t="str">
        <f t="shared" si="8"/>
        <v>Длинные</v>
      </c>
      <c r="W39" s="16" t="str">
        <f t="shared" si="9"/>
        <v/>
      </c>
      <c r="X39" s="159" t="str">
        <f t="shared" si="13"/>
        <v>700-999 мм</v>
      </c>
      <c r="Y39" s="159" t="str">
        <f t="shared" si="14"/>
        <v>100-199 мм</v>
      </c>
      <c r="Z39" s="159" t="str">
        <f t="shared" si="15"/>
        <v>100-199 мм</v>
      </c>
      <c r="AA39" s="100" t="str">
        <f t="shared" si="10"/>
        <v>Самосборные</v>
      </c>
      <c r="AB39" s="16">
        <v>1.73</v>
      </c>
      <c r="AC39" s="100" t="str">
        <f t="shared" si="11"/>
        <v>10-14 литров</v>
      </c>
    </row>
    <row r="40" spans="1:29" x14ac:dyDescent="0.3">
      <c r="A40" s="53">
        <v>0.63</v>
      </c>
      <c r="B40" s="59">
        <f t="shared" si="12"/>
        <v>0.75600000000000001</v>
      </c>
      <c r="C40" s="108">
        <v>40</v>
      </c>
      <c r="D40" s="115" t="s">
        <v>27</v>
      </c>
      <c r="E40" s="87" t="s">
        <v>201</v>
      </c>
      <c r="G40" s="82" t="s">
        <v>143</v>
      </c>
      <c r="H40" s="89" t="s">
        <v>20</v>
      </c>
      <c r="I40" s="82" t="s">
        <v>21</v>
      </c>
      <c r="J40" s="82" t="s">
        <v>1</v>
      </c>
      <c r="K40" s="115" t="s">
        <v>202</v>
      </c>
      <c r="N40" s="171">
        <f t="shared" si="0"/>
        <v>1</v>
      </c>
      <c r="O40" s="74">
        <f t="shared" si="17"/>
        <v>1.29</v>
      </c>
      <c r="P40" s="160" t="str">
        <f t="shared" si="2"/>
        <v>1-1,9 литра</v>
      </c>
      <c r="Q40" s="101" t="str">
        <f t="shared" si="16"/>
        <v>1-2 л</v>
      </c>
      <c r="R40" s="153">
        <f t="shared" si="4"/>
        <v>55</v>
      </c>
      <c r="S40" s="153">
        <f t="shared" si="5"/>
        <v>55</v>
      </c>
      <c r="T40" s="153">
        <f t="shared" si="6"/>
        <v>425</v>
      </c>
      <c r="U40" s="16">
        <f t="shared" si="7"/>
        <v>0.13664000000000001</v>
      </c>
      <c r="V40" s="16" t="str">
        <f t="shared" si="8"/>
        <v>Длинные</v>
      </c>
      <c r="W40" s="16" t="str">
        <f t="shared" si="9"/>
        <v/>
      </c>
      <c r="X40" s="159" t="str">
        <f t="shared" si="13"/>
        <v>400-499 мм</v>
      </c>
      <c r="Y40" s="159" t="str">
        <f t="shared" si="14"/>
        <v>10-99 мм</v>
      </c>
      <c r="Z40" s="159" t="str">
        <f t="shared" si="15"/>
        <v>10-99 мм</v>
      </c>
      <c r="AA40" s="100" t="str">
        <f t="shared" si="10"/>
        <v>Самосборные</v>
      </c>
      <c r="AB40" s="16">
        <v>1.73</v>
      </c>
      <c r="AC40" s="100" t="str">
        <f t="shared" si="11"/>
        <v>2-3 литра</v>
      </c>
    </row>
    <row r="41" spans="1:29" x14ac:dyDescent="0.3">
      <c r="A41" s="53">
        <v>0.6</v>
      </c>
      <c r="B41" s="59">
        <f t="shared" si="12"/>
        <v>0.72</v>
      </c>
      <c r="C41" s="108">
        <v>41</v>
      </c>
      <c r="D41" s="115" t="s">
        <v>27</v>
      </c>
      <c r="E41" s="87" t="s">
        <v>203</v>
      </c>
      <c r="G41" s="82" t="s">
        <v>143</v>
      </c>
      <c r="H41" s="89" t="s">
        <v>147</v>
      </c>
      <c r="I41" s="82" t="s">
        <v>21</v>
      </c>
      <c r="J41" s="82" t="s">
        <v>1</v>
      </c>
      <c r="K41" s="115" t="s">
        <v>204</v>
      </c>
      <c r="N41" s="171">
        <f t="shared" si="0"/>
        <v>1</v>
      </c>
      <c r="O41" s="74">
        <f t="shared" si="17"/>
        <v>3.77</v>
      </c>
      <c r="P41" s="160" t="str">
        <f t="shared" si="2"/>
        <v>3-3,9 литра</v>
      </c>
      <c r="Q41" s="101" t="str">
        <f t="shared" si="16"/>
        <v>3-5 л</v>
      </c>
      <c r="R41" s="153">
        <f t="shared" si="4"/>
        <v>245</v>
      </c>
      <c r="S41" s="153">
        <f t="shared" si="5"/>
        <v>140</v>
      </c>
      <c r="T41" s="153">
        <f t="shared" si="6"/>
        <v>110</v>
      </c>
      <c r="U41" s="16">
        <f t="shared" si="7"/>
        <v>0.21414</v>
      </c>
      <c r="V41" s="16" t="str">
        <f t="shared" si="8"/>
        <v/>
      </c>
      <c r="W41" s="16" t="str">
        <f t="shared" si="9"/>
        <v/>
      </c>
      <c r="X41" s="159" t="str">
        <f t="shared" si="13"/>
        <v>200-299 мм</v>
      </c>
      <c r="Y41" s="159" t="str">
        <f t="shared" si="14"/>
        <v>100-199 мм</v>
      </c>
      <c r="Z41" s="159" t="str">
        <f t="shared" si="15"/>
        <v>100-199 мм</v>
      </c>
      <c r="AA41" s="100" t="str">
        <f t="shared" si="10"/>
        <v>Самосборные</v>
      </c>
      <c r="AB41" s="16">
        <v>1.73</v>
      </c>
      <c r="AC41" s="100" t="str">
        <f t="shared" si="11"/>
        <v>4-5 литра</v>
      </c>
    </row>
    <row r="42" spans="1:29" x14ac:dyDescent="0.3">
      <c r="A42" s="53">
        <v>1</v>
      </c>
      <c r="B42" s="59">
        <f t="shared" si="12"/>
        <v>1.2</v>
      </c>
      <c r="C42" s="108">
        <v>42</v>
      </c>
      <c r="D42" s="115" t="s">
        <v>27</v>
      </c>
      <c r="E42" s="87" t="s">
        <v>205</v>
      </c>
      <c r="G42" s="82" t="s">
        <v>143</v>
      </c>
      <c r="H42" s="89" t="s">
        <v>19</v>
      </c>
      <c r="I42" s="82" t="s">
        <v>21</v>
      </c>
      <c r="J42" s="82" t="s">
        <v>1</v>
      </c>
      <c r="K42" s="115" t="s">
        <v>206</v>
      </c>
      <c r="N42" s="171">
        <f t="shared" si="0"/>
        <v>1</v>
      </c>
      <c r="O42" s="74">
        <f t="shared" si="17"/>
        <v>19.010000000000002</v>
      </c>
      <c r="P42" s="160" t="str">
        <f t="shared" si="2"/>
        <v>15-19,9 литров</v>
      </c>
      <c r="Q42" s="101" t="str">
        <f t="shared" si="16"/>
        <v>10-20 л</v>
      </c>
      <c r="R42" s="153">
        <f t="shared" si="4"/>
        <v>450</v>
      </c>
      <c r="S42" s="153">
        <f t="shared" si="5"/>
        <v>220</v>
      </c>
      <c r="T42" s="153">
        <f t="shared" si="6"/>
        <v>192</v>
      </c>
      <c r="U42" s="16">
        <f t="shared" si="7"/>
        <v>0.58799999999999997</v>
      </c>
      <c r="V42" s="16" t="str">
        <f t="shared" si="8"/>
        <v>Длинные</v>
      </c>
      <c r="W42" s="16" t="str">
        <f t="shared" si="9"/>
        <v/>
      </c>
      <c r="X42" s="159" t="str">
        <f t="shared" si="13"/>
        <v>400-499 мм</v>
      </c>
      <c r="Y42" s="159" t="str">
        <f t="shared" si="14"/>
        <v>200-299 мм</v>
      </c>
      <c r="Z42" s="159" t="str">
        <f t="shared" si="15"/>
        <v>100-199 мм</v>
      </c>
      <c r="AA42" s="100" t="str">
        <f t="shared" si="10"/>
        <v>Самосборные</v>
      </c>
      <c r="AB42" s="16">
        <v>1.73</v>
      </c>
      <c r="AC42" s="100" t="str">
        <f t="shared" si="11"/>
        <v>20-29 литров</v>
      </c>
    </row>
    <row r="43" spans="1:29" x14ac:dyDescent="0.3">
      <c r="A43" s="53">
        <v>0.53</v>
      </c>
      <c r="B43" s="59">
        <f t="shared" si="12"/>
        <v>0.63600000000000001</v>
      </c>
      <c r="C43" s="108">
        <v>43</v>
      </c>
      <c r="D43" s="115" t="s">
        <v>27</v>
      </c>
      <c r="E43" s="87" t="s">
        <v>207</v>
      </c>
      <c r="G43" s="82" t="s">
        <v>143</v>
      </c>
      <c r="H43" s="89" t="s">
        <v>20</v>
      </c>
      <c r="I43" s="82" t="s">
        <v>21</v>
      </c>
      <c r="J43" s="82" t="s">
        <v>1</v>
      </c>
      <c r="K43" s="115" t="s">
        <v>208</v>
      </c>
      <c r="N43" s="171">
        <f t="shared" si="0"/>
        <v>1</v>
      </c>
      <c r="O43" s="74">
        <f t="shared" si="17"/>
        <v>1.6</v>
      </c>
      <c r="P43" s="160" t="str">
        <f t="shared" si="2"/>
        <v>1-1,9 литра</v>
      </c>
      <c r="Q43" s="101" t="str">
        <f t="shared" si="16"/>
        <v>1-2 л</v>
      </c>
      <c r="R43" s="153">
        <f t="shared" si="4"/>
        <v>200</v>
      </c>
      <c r="S43" s="153">
        <f t="shared" si="5"/>
        <v>80</v>
      </c>
      <c r="T43" s="153">
        <f t="shared" si="6"/>
        <v>100</v>
      </c>
      <c r="U43" s="16">
        <f t="shared" si="7"/>
        <v>0.11656</v>
      </c>
      <c r="V43" s="16" t="str">
        <f t="shared" si="8"/>
        <v>Длинные</v>
      </c>
      <c r="W43" s="16" t="str">
        <f t="shared" si="9"/>
        <v/>
      </c>
      <c r="X43" s="159" t="str">
        <f t="shared" si="13"/>
        <v>200-299 мм</v>
      </c>
      <c r="Y43" s="159" t="str">
        <f t="shared" si="14"/>
        <v>100-199 мм</v>
      </c>
      <c r="Z43" s="159" t="str">
        <f t="shared" si="15"/>
        <v>10-99 мм</v>
      </c>
      <c r="AA43" s="100" t="str">
        <f t="shared" si="10"/>
        <v>Самосборные</v>
      </c>
      <c r="AB43" s="16">
        <v>1.73</v>
      </c>
      <c r="AC43" s="100" t="str">
        <f t="shared" si="11"/>
        <v>2-3 литра</v>
      </c>
    </row>
    <row r="44" spans="1:29" x14ac:dyDescent="0.3">
      <c r="A44" s="53">
        <v>1.7</v>
      </c>
      <c r="B44" s="59">
        <f t="shared" si="12"/>
        <v>2.04</v>
      </c>
      <c r="C44" s="108">
        <v>44</v>
      </c>
      <c r="D44" s="115" t="s">
        <v>27</v>
      </c>
      <c r="E44" s="87" t="s">
        <v>209</v>
      </c>
      <c r="G44" s="82" t="s">
        <v>143</v>
      </c>
      <c r="H44" s="89" t="s">
        <v>147</v>
      </c>
      <c r="I44" s="82" t="s">
        <v>21</v>
      </c>
      <c r="J44" s="82" t="s">
        <v>1</v>
      </c>
      <c r="K44" s="115" t="s">
        <v>210</v>
      </c>
      <c r="N44" s="171">
        <f t="shared" si="0"/>
        <v>1</v>
      </c>
      <c r="O44" s="74">
        <f t="shared" si="17"/>
        <v>16.22</v>
      </c>
      <c r="P44" s="160" t="str">
        <f t="shared" si="2"/>
        <v>15-19,9 литров</v>
      </c>
      <c r="Q44" s="101" t="str">
        <f t="shared" si="16"/>
        <v>10-20 л</v>
      </c>
      <c r="R44" s="153">
        <f t="shared" si="4"/>
        <v>573</v>
      </c>
      <c r="S44" s="153">
        <f t="shared" si="5"/>
        <v>333</v>
      </c>
      <c r="T44" s="153">
        <f t="shared" si="6"/>
        <v>85</v>
      </c>
      <c r="U44" s="16">
        <f t="shared" si="7"/>
        <v>0.79747199999999996</v>
      </c>
      <c r="V44" s="16" t="str">
        <f t="shared" si="8"/>
        <v/>
      </c>
      <c r="W44" s="16" t="str">
        <f t="shared" si="9"/>
        <v>Плоские</v>
      </c>
      <c r="X44" s="159" t="str">
        <f t="shared" si="13"/>
        <v>500-599 мм</v>
      </c>
      <c r="Y44" s="159" t="str">
        <f t="shared" si="14"/>
        <v>300-399 мм</v>
      </c>
      <c r="Z44" s="159" t="str">
        <f t="shared" si="15"/>
        <v>10-99 мм</v>
      </c>
      <c r="AA44" s="100" t="str">
        <f t="shared" si="10"/>
        <v>Самосборные</v>
      </c>
      <c r="AB44" s="16">
        <v>1.73</v>
      </c>
      <c r="AC44" s="100" t="str">
        <f t="shared" si="11"/>
        <v>15-19 литров</v>
      </c>
    </row>
    <row r="45" spans="1:29" x14ac:dyDescent="0.3">
      <c r="A45" s="53">
        <v>0.85</v>
      </c>
      <c r="B45" s="59">
        <f t="shared" si="12"/>
        <v>1.02</v>
      </c>
      <c r="C45" s="108">
        <v>45</v>
      </c>
      <c r="D45" s="115" t="s">
        <v>27</v>
      </c>
      <c r="E45" s="87" t="s">
        <v>211</v>
      </c>
      <c r="G45" s="82" t="s">
        <v>143</v>
      </c>
      <c r="H45" s="89" t="s">
        <v>20</v>
      </c>
      <c r="I45" s="82" t="s">
        <v>21</v>
      </c>
      <c r="J45" s="82" t="s">
        <v>1</v>
      </c>
      <c r="K45" s="115" t="s">
        <v>212</v>
      </c>
      <c r="N45" s="171">
        <f t="shared" si="0"/>
        <v>1</v>
      </c>
      <c r="O45" s="74">
        <f t="shared" si="17"/>
        <v>7.36</v>
      </c>
      <c r="P45" s="160" t="str">
        <f t="shared" si="2"/>
        <v>6-7,9 литра</v>
      </c>
      <c r="Q45" s="101" t="str">
        <f t="shared" si="16"/>
        <v>5-10 л</v>
      </c>
      <c r="R45" s="153">
        <f t="shared" si="4"/>
        <v>380</v>
      </c>
      <c r="S45" s="153">
        <f t="shared" si="5"/>
        <v>155</v>
      </c>
      <c r="T45" s="153">
        <f t="shared" si="6"/>
        <v>125</v>
      </c>
      <c r="U45" s="16">
        <f t="shared" si="7"/>
        <v>0.32544000000000001</v>
      </c>
      <c r="V45" s="16" t="str">
        <f t="shared" si="8"/>
        <v>Длинные</v>
      </c>
      <c r="W45" s="16" t="str">
        <f t="shared" si="9"/>
        <v/>
      </c>
      <c r="X45" s="159" t="str">
        <f t="shared" si="13"/>
        <v>300-399 мм</v>
      </c>
      <c r="Y45" s="159" t="str">
        <f t="shared" si="14"/>
        <v>100-199 мм</v>
      </c>
      <c r="Z45" s="159" t="str">
        <f t="shared" si="15"/>
        <v>100-199 мм</v>
      </c>
      <c r="AA45" s="100" t="str">
        <f t="shared" si="10"/>
        <v>Самосборные</v>
      </c>
      <c r="AB45" s="16">
        <v>1.73</v>
      </c>
      <c r="AC45" s="100" t="str">
        <f t="shared" si="11"/>
        <v>8-9 литров</v>
      </c>
    </row>
    <row r="46" spans="1:29" x14ac:dyDescent="0.3">
      <c r="A46" s="53">
        <v>0.85</v>
      </c>
      <c r="B46" s="59">
        <f t="shared" si="12"/>
        <v>1.02</v>
      </c>
      <c r="C46" s="108">
        <v>46</v>
      </c>
      <c r="D46" s="115" t="s">
        <v>27</v>
      </c>
      <c r="E46" s="87" t="s">
        <v>213</v>
      </c>
      <c r="G46" s="82" t="s">
        <v>143</v>
      </c>
      <c r="H46" s="89" t="s">
        <v>19</v>
      </c>
      <c r="I46" s="82" t="s">
        <v>21</v>
      </c>
      <c r="J46" s="82" t="s">
        <v>1</v>
      </c>
      <c r="K46" s="115" t="s">
        <v>214</v>
      </c>
      <c r="N46" s="171">
        <f t="shared" si="0"/>
        <v>1</v>
      </c>
      <c r="O46" s="74">
        <f t="shared" si="17"/>
        <v>9.24</v>
      </c>
      <c r="P46" s="160" t="str">
        <f t="shared" si="2"/>
        <v>8-9,9 литров</v>
      </c>
      <c r="Q46" s="101" t="str">
        <f t="shared" si="16"/>
        <v>5-10 л</v>
      </c>
      <c r="R46" s="153">
        <f t="shared" si="4"/>
        <v>120</v>
      </c>
      <c r="S46" s="153">
        <f t="shared" si="5"/>
        <v>100</v>
      </c>
      <c r="T46" s="153">
        <f t="shared" si="6"/>
        <v>770</v>
      </c>
      <c r="U46" s="16">
        <f t="shared" si="7"/>
        <v>0.439</v>
      </c>
      <c r="V46" s="16" t="str">
        <f t="shared" si="8"/>
        <v>Длинные</v>
      </c>
      <c r="W46" s="16" t="str">
        <f t="shared" si="9"/>
        <v/>
      </c>
      <c r="X46" s="159" t="str">
        <f t="shared" si="13"/>
        <v>700-999 мм</v>
      </c>
      <c r="Y46" s="159" t="str">
        <f t="shared" si="14"/>
        <v>100-199 мм</v>
      </c>
      <c r="Z46" s="159" t="str">
        <f t="shared" si="15"/>
        <v>100-199 мм</v>
      </c>
      <c r="AA46" s="100" t="str">
        <f t="shared" si="10"/>
        <v>Самосборные</v>
      </c>
      <c r="AB46" s="16">
        <v>1.73</v>
      </c>
      <c r="AC46" s="100" t="str">
        <f t="shared" si="11"/>
        <v>10-14 литров</v>
      </c>
    </row>
    <row r="47" spans="1:29" x14ac:dyDescent="0.3">
      <c r="A47" s="53">
        <v>1.25</v>
      </c>
      <c r="B47" s="59">
        <f t="shared" si="12"/>
        <v>1.5</v>
      </c>
      <c r="C47" s="108">
        <v>47</v>
      </c>
      <c r="D47" s="115" t="s">
        <v>27</v>
      </c>
      <c r="E47" s="87" t="s">
        <v>215</v>
      </c>
      <c r="G47" s="82" t="s">
        <v>143</v>
      </c>
      <c r="H47" s="89" t="s">
        <v>156</v>
      </c>
      <c r="I47" s="82" t="s">
        <v>21</v>
      </c>
      <c r="J47" s="82" t="s">
        <v>1</v>
      </c>
      <c r="K47" s="115" t="s">
        <v>216</v>
      </c>
      <c r="N47" s="171">
        <f t="shared" si="0"/>
        <v>1</v>
      </c>
      <c r="O47" s="74">
        <f t="shared" si="17"/>
        <v>11.25</v>
      </c>
      <c r="P47" s="160" t="str">
        <f t="shared" si="2"/>
        <v>10-14,9 литров</v>
      </c>
      <c r="Q47" s="101" t="str">
        <f t="shared" si="16"/>
        <v>10-20 л</v>
      </c>
      <c r="R47" s="153">
        <f t="shared" si="4"/>
        <v>500</v>
      </c>
      <c r="S47" s="153">
        <f t="shared" si="5"/>
        <v>500</v>
      </c>
      <c r="T47" s="153">
        <f t="shared" si="6"/>
        <v>45</v>
      </c>
      <c r="U47" s="16">
        <f t="shared" si="7"/>
        <v>1.1391800000000001</v>
      </c>
      <c r="V47" s="16" t="str">
        <f t="shared" si="8"/>
        <v/>
      </c>
      <c r="W47" s="16" t="str">
        <f t="shared" si="9"/>
        <v>Плоские</v>
      </c>
      <c r="X47" s="159" t="str">
        <f t="shared" si="13"/>
        <v>500-599 мм</v>
      </c>
      <c r="Y47" s="159" t="str">
        <f t="shared" si="14"/>
        <v>500-599 мм</v>
      </c>
      <c r="Z47" s="159" t="str">
        <f t="shared" si="15"/>
        <v>10-99 мм</v>
      </c>
      <c r="AA47" s="100" t="str">
        <f t="shared" si="10"/>
        <v>Самосборные</v>
      </c>
      <c r="AB47" s="16">
        <v>1.73</v>
      </c>
      <c r="AC47" s="100" t="str">
        <f t="shared" si="11"/>
        <v>10-14 литров</v>
      </c>
    </row>
    <row r="48" spans="1:29" x14ac:dyDescent="0.3">
      <c r="A48" s="53">
        <v>1.61</v>
      </c>
      <c r="B48" s="59">
        <f t="shared" si="12"/>
        <v>1.9319999999999999</v>
      </c>
      <c r="C48" s="108">
        <v>48</v>
      </c>
      <c r="D48" s="115" t="s">
        <v>27</v>
      </c>
      <c r="E48" s="87" t="s">
        <v>217</v>
      </c>
      <c r="G48" s="82" t="s">
        <v>143</v>
      </c>
      <c r="H48" s="89" t="s">
        <v>19</v>
      </c>
      <c r="I48" s="82" t="s">
        <v>21</v>
      </c>
      <c r="J48" s="82" t="s">
        <v>1</v>
      </c>
      <c r="K48" s="115" t="s">
        <v>218</v>
      </c>
      <c r="N48" s="171">
        <f t="shared" si="0"/>
        <v>1</v>
      </c>
      <c r="O48" s="74">
        <f t="shared" si="17"/>
        <v>27</v>
      </c>
      <c r="P48" s="160" t="str">
        <f t="shared" si="2"/>
        <v>20-29 литров</v>
      </c>
      <c r="Q48" s="101" t="str">
        <f t="shared" si="16"/>
        <v>20-50 л</v>
      </c>
      <c r="R48" s="153">
        <f t="shared" si="4"/>
        <v>250</v>
      </c>
      <c r="S48" s="153">
        <f t="shared" si="5"/>
        <v>120</v>
      </c>
      <c r="T48" s="153">
        <f t="shared" si="6"/>
        <v>900</v>
      </c>
      <c r="U48" s="16">
        <f t="shared" si="7"/>
        <v>0.82240000000000002</v>
      </c>
      <c r="V48" s="16" t="str">
        <f t="shared" si="8"/>
        <v>Длинные</v>
      </c>
      <c r="W48" s="16" t="str">
        <f t="shared" si="9"/>
        <v>Плоские</v>
      </c>
      <c r="X48" s="159" t="str">
        <f t="shared" si="13"/>
        <v>700-999 мм</v>
      </c>
      <c r="Y48" s="159" t="str">
        <f t="shared" si="14"/>
        <v>200-299 мм</v>
      </c>
      <c r="Z48" s="159" t="str">
        <f t="shared" si="15"/>
        <v>100-199 мм</v>
      </c>
      <c r="AA48" s="100" t="str">
        <f t="shared" si="10"/>
        <v>Самосборные</v>
      </c>
      <c r="AB48" s="16">
        <v>1.73</v>
      </c>
      <c r="AC48" s="100" t="str">
        <f t="shared" si="11"/>
        <v>20-29 литров</v>
      </c>
    </row>
    <row r="49" spans="1:29" x14ac:dyDescent="0.3">
      <c r="A49" s="53">
        <v>0.86</v>
      </c>
      <c r="B49" s="59">
        <f t="shared" si="12"/>
        <v>1.032</v>
      </c>
      <c r="C49" s="108">
        <v>49</v>
      </c>
      <c r="D49" s="115" t="s">
        <v>27</v>
      </c>
      <c r="E49" s="87" t="s">
        <v>219</v>
      </c>
      <c r="G49" s="82" t="s">
        <v>143</v>
      </c>
      <c r="H49" s="89" t="s">
        <v>147</v>
      </c>
      <c r="I49" s="82" t="s">
        <v>21</v>
      </c>
      <c r="J49" s="82" t="s">
        <v>1</v>
      </c>
      <c r="K49" s="115" t="s">
        <v>220</v>
      </c>
      <c r="N49" s="171">
        <f t="shared" si="0"/>
        <v>1</v>
      </c>
      <c r="O49" s="74">
        <f t="shared" si="17"/>
        <v>4.9000000000000004</v>
      </c>
      <c r="P49" s="160" t="str">
        <f t="shared" si="2"/>
        <v>4-5,9 литра</v>
      </c>
      <c r="Q49" s="101" t="str">
        <f t="shared" si="16"/>
        <v>3-5 л</v>
      </c>
      <c r="R49" s="153">
        <f t="shared" si="4"/>
        <v>350</v>
      </c>
      <c r="S49" s="153">
        <f t="shared" si="5"/>
        <v>350</v>
      </c>
      <c r="T49" s="153">
        <f t="shared" si="6"/>
        <v>40</v>
      </c>
      <c r="U49" s="16">
        <f t="shared" si="7"/>
        <v>0.58108000000000004</v>
      </c>
      <c r="V49" s="16" t="str">
        <f t="shared" si="8"/>
        <v/>
      </c>
      <c r="W49" s="16" t="str">
        <f t="shared" si="9"/>
        <v>Плоские</v>
      </c>
      <c r="X49" s="159" t="str">
        <f t="shared" si="13"/>
        <v>300-399 мм</v>
      </c>
      <c r="Y49" s="159" t="str">
        <f t="shared" si="14"/>
        <v>300-399 мм</v>
      </c>
      <c r="Z49" s="159" t="str">
        <f t="shared" si="15"/>
        <v>10-99 мм</v>
      </c>
      <c r="AA49" s="100" t="str">
        <f t="shared" si="10"/>
        <v>Самосборные</v>
      </c>
      <c r="AB49" s="16">
        <v>1.73</v>
      </c>
      <c r="AC49" s="100" t="str">
        <f t="shared" si="11"/>
        <v>4-5 литра</v>
      </c>
    </row>
    <row r="50" spans="1:29" x14ac:dyDescent="0.3">
      <c r="A50" s="53">
        <v>0.86</v>
      </c>
      <c r="B50" s="59">
        <f t="shared" si="12"/>
        <v>1.032</v>
      </c>
      <c r="C50" s="108">
        <v>50</v>
      </c>
      <c r="D50" s="115" t="s">
        <v>27</v>
      </c>
      <c r="E50" s="87" t="s">
        <v>221</v>
      </c>
      <c r="G50" s="82" t="s">
        <v>143</v>
      </c>
      <c r="H50" s="89" t="s">
        <v>222</v>
      </c>
      <c r="I50" s="82" t="s">
        <v>21</v>
      </c>
      <c r="J50" s="82" t="s">
        <v>1</v>
      </c>
      <c r="K50" s="115" t="s">
        <v>223</v>
      </c>
      <c r="N50" s="171">
        <f t="shared" si="0"/>
        <v>1</v>
      </c>
      <c r="O50" s="74">
        <f t="shared" si="17"/>
        <v>6.94</v>
      </c>
      <c r="P50" s="160" t="str">
        <f t="shared" si="2"/>
        <v>6-7,9 литра</v>
      </c>
      <c r="Q50" s="101" t="str">
        <f t="shared" si="16"/>
        <v>5-10 л</v>
      </c>
      <c r="R50" s="153">
        <f t="shared" si="4"/>
        <v>935</v>
      </c>
      <c r="S50" s="153">
        <f t="shared" si="5"/>
        <v>135</v>
      </c>
      <c r="T50" s="153">
        <f t="shared" si="6"/>
        <v>55</v>
      </c>
      <c r="U50" s="16">
        <f t="shared" si="7"/>
        <v>0.43559999999999999</v>
      </c>
      <c r="V50" s="16" t="str">
        <f t="shared" si="8"/>
        <v>Длинные</v>
      </c>
      <c r="W50" s="16" t="str">
        <f t="shared" si="9"/>
        <v>Плоские</v>
      </c>
      <c r="X50" s="159" t="str">
        <f t="shared" si="13"/>
        <v>700-999 мм</v>
      </c>
      <c r="Y50" s="159" t="str">
        <f t="shared" si="14"/>
        <v>100-199 мм</v>
      </c>
      <c r="Z50" s="159" t="str">
        <f t="shared" si="15"/>
        <v>10-99 мм</v>
      </c>
      <c r="AA50" s="100" t="str">
        <f t="shared" si="10"/>
        <v>Самосборные</v>
      </c>
      <c r="AB50" s="16">
        <v>1.73</v>
      </c>
      <c r="AC50" s="100" t="str">
        <f t="shared" si="11"/>
        <v>6-7 литра</v>
      </c>
    </row>
    <row r="51" spans="1:29" x14ac:dyDescent="0.3">
      <c r="A51" s="53">
        <v>0.16</v>
      </c>
      <c r="B51" s="59">
        <f t="shared" si="12"/>
        <v>0.192</v>
      </c>
      <c r="C51" s="108">
        <v>51</v>
      </c>
      <c r="D51" s="115" t="s">
        <v>27</v>
      </c>
      <c r="E51" s="87" t="s">
        <v>224</v>
      </c>
      <c r="G51" s="82" t="s">
        <v>143</v>
      </c>
      <c r="H51" s="89" t="s">
        <v>20</v>
      </c>
      <c r="I51" s="82" t="s">
        <v>144</v>
      </c>
      <c r="J51" s="82" t="s">
        <v>1</v>
      </c>
      <c r="K51" s="115" t="s">
        <v>225</v>
      </c>
      <c r="N51" s="171">
        <f t="shared" si="0"/>
        <v>1</v>
      </c>
      <c r="O51" s="74">
        <f t="shared" si="17"/>
        <v>0.51</v>
      </c>
      <c r="P51" s="160" t="str">
        <f t="shared" si="2"/>
        <v>0,1-0,9 литров</v>
      </c>
      <c r="Q51" s="101" t="str">
        <f t="shared" si="16"/>
        <v>&lt;1 л</v>
      </c>
      <c r="R51" s="153">
        <f t="shared" si="4"/>
        <v>80</v>
      </c>
      <c r="S51" s="153">
        <f t="shared" si="5"/>
        <v>80</v>
      </c>
      <c r="T51" s="153">
        <f t="shared" si="6"/>
        <v>80</v>
      </c>
      <c r="U51" s="16">
        <f t="shared" si="7"/>
        <v>6.3839999999999994E-2</v>
      </c>
      <c r="V51" s="16" t="str">
        <f t="shared" si="8"/>
        <v/>
      </c>
      <c r="W51" s="16" t="str">
        <f t="shared" si="9"/>
        <v/>
      </c>
      <c r="X51" s="159" t="str">
        <f t="shared" si="13"/>
        <v>10-99 мм</v>
      </c>
      <c r="Y51" s="159" t="str">
        <f t="shared" si="14"/>
        <v>10-99 мм</v>
      </c>
      <c r="Z51" s="159" t="str">
        <f t="shared" si="15"/>
        <v>10-99 мм</v>
      </c>
      <c r="AA51" s="100" t="str">
        <f t="shared" si="10"/>
        <v>Самосборные</v>
      </c>
      <c r="AB51" s="16">
        <v>1.73</v>
      </c>
      <c r="AC51" s="100" t="str">
        <f t="shared" si="11"/>
        <v>0-1 литров</v>
      </c>
    </row>
    <row r="52" spans="1:29" x14ac:dyDescent="0.3">
      <c r="A52" s="53">
        <v>0.19</v>
      </c>
      <c r="B52" s="59">
        <f t="shared" si="12"/>
        <v>0.22799999999999998</v>
      </c>
      <c r="C52" s="108">
        <v>52</v>
      </c>
      <c r="D52" s="115" t="s">
        <v>27</v>
      </c>
      <c r="E52" s="87" t="s">
        <v>226</v>
      </c>
      <c r="G52" s="82" t="s">
        <v>143</v>
      </c>
      <c r="H52" s="89" t="s">
        <v>147</v>
      </c>
      <c r="I52" s="82" t="s">
        <v>144</v>
      </c>
      <c r="J52" s="82" t="s">
        <v>27</v>
      </c>
      <c r="K52" s="115" t="s">
        <v>227</v>
      </c>
      <c r="N52" s="171">
        <f t="shared" si="0"/>
        <v>1</v>
      </c>
      <c r="O52" s="74">
        <f t="shared" si="17"/>
        <v>0.74</v>
      </c>
      <c r="P52" s="160" t="str">
        <f t="shared" si="2"/>
        <v>0,1-0,9 литров</v>
      </c>
      <c r="Q52" s="101" t="str">
        <f t="shared" si="16"/>
        <v>&lt;1 л</v>
      </c>
      <c r="R52" s="153">
        <f t="shared" si="4"/>
        <v>205</v>
      </c>
      <c r="S52" s="153">
        <f t="shared" si="5"/>
        <v>60</v>
      </c>
      <c r="T52" s="153">
        <f t="shared" si="6"/>
        <v>60</v>
      </c>
      <c r="U52" s="16">
        <f t="shared" si="7"/>
        <v>7.5520000000000004E-2</v>
      </c>
      <c r="V52" s="16" t="str">
        <f t="shared" si="8"/>
        <v>Длинные</v>
      </c>
      <c r="W52" s="16" t="str">
        <f t="shared" si="9"/>
        <v/>
      </c>
      <c r="X52" s="159" t="str">
        <f t="shared" si="13"/>
        <v>200-299 мм</v>
      </c>
      <c r="Y52" s="159" t="str">
        <f t="shared" si="14"/>
        <v>10-99 мм</v>
      </c>
      <c r="Z52" s="159" t="str">
        <f t="shared" si="15"/>
        <v>10-99 мм</v>
      </c>
      <c r="AA52" s="100" t="str">
        <f t="shared" si="10"/>
        <v>Самосборные</v>
      </c>
      <c r="AB52" s="16">
        <v>1.73</v>
      </c>
      <c r="AC52" s="100" t="str">
        <f t="shared" si="11"/>
        <v>0-1 литров</v>
      </c>
    </row>
    <row r="53" spans="1:29" x14ac:dyDescent="0.3">
      <c r="A53" s="53">
        <v>0.28999999999999998</v>
      </c>
      <c r="B53" s="59">
        <f t="shared" si="12"/>
        <v>0.34799999999999998</v>
      </c>
      <c r="C53" s="108">
        <v>53</v>
      </c>
      <c r="D53" s="115" t="s">
        <v>27</v>
      </c>
      <c r="E53" s="87" t="s">
        <v>228</v>
      </c>
      <c r="G53" s="82" t="s">
        <v>143</v>
      </c>
      <c r="H53" s="89" t="s">
        <v>175</v>
      </c>
      <c r="I53" s="82" t="s">
        <v>144</v>
      </c>
      <c r="J53" s="82" t="s">
        <v>1</v>
      </c>
      <c r="K53" s="115" t="s">
        <v>229</v>
      </c>
      <c r="N53" s="171">
        <f t="shared" si="0"/>
        <v>1</v>
      </c>
      <c r="O53" s="74">
        <f t="shared" si="17"/>
        <v>1.38</v>
      </c>
      <c r="P53" s="160" t="str">
        <f t="shared" si="2"/>
        <v>1-1,9 литра</v>
      </c>
      <c r="Q53" s="101" t="str">
        <f t="shared" si="16"/>
        <v>1-2 л</v>
      </c>
      <c r="R53" s="153">
        <f t="shared" si="4"/>
        <v>245</v>
      </c>
      <c r="S53" s="153">
        <f t="shared" si="5"/>
        <v>75</v>
      </c>
      <c r="T53" s="153">
        <f t="shared" si="6"/>
        <v>75</v>
      </c>
      <c r="U53" s="16">
        <f t="shared" si="7"/>
        <v>0.1106</v>
      </c>
      <c r="V53" s="16" t="str">
        <f t="shared" si="8"/>
        <v>Длинные</v>
      </c>
      <c r="W53" s="16" t="str">
        <f t="shared" si="9"/>
        <v/>
      </c>
      <c r="X53" s="159" t="str">
        <f t="shared" si="13"/>
        <v>200-299 мм</v>
      </c>
      <c r="Y53" s="159" t="str">
        <f t="shared" si="14"/>
        <v>10-99 мм</v>
      </c>
      <c r="Z53" s="159" t="str">
        <f t="shared" si="15"/>
        <v>10-99 мм</v>
      </c>
      <c r="AA53" s="100" t="str">
        <f t="shared" si="10"/>
        <v>Самосборные</v>
      </c>
      <c r="AB53" s="16">
        <v>1.73</v>
      </c>
      <c r="AC53" s="100" t="str">
        <f t="shared" si="11"/>
        <v>2-3 литра</v>
      </c>
    </row>
    <row r="54" spans="1:29" x14ac:dyDescent="0.3">
      <c r="A54" s="53">
        <v>0.42</v>
      </c>
      <c r="B54" s="59">
        <f t="shared" si="12"/>
        <v>0.504</v>
      </c>
      <c r="C54" s="108">
        <v>54</v>
      </c>
      <c r="D54" s="115" t="s">
        <v>27</v>
      </c>
      <c r="E54" s="87" t="s">
        <v>230</v>
      </c>
      <c r="G54" s="82" t="s">
        <v>143</v>
      </c>
      <c r="H54" s="89" t="s">
        <v>175</v>
      </c>
      <c r="I54" s="82" t="s">
        <v>21</v>
      </c>
      <c r="J54" s="82" t="s">
        <v>1</v>
      </c>
      <c r="K54" s="115" t="s">
        <v>231</v>
      </c>
      <c r="N54" s="171">
        <f t="shared" si="0"/>
        <v>1</v>
      </c>
      <c r="O54" s="74">
        <f t="shared" si="17"/>
        <v>1.92</v>
      </c>
      <c r="P54" s="160" t="str">
        <f t="shared" si="2"/>
        <v>1-1,9 литра</v>
      </c>
      <c r="Q54" s="101" t="str">
        <f t="shared" si="16"/>
        <v>1-2 л</v>
      </c>
      <c r="R54" s="153">
        <f t="shared" si="4"/>
        <v>145</v>
      </c>
      <c r="S54" s="153">
        <f t="shared" si="5"/>
        <v>115</v>
      </c>
      <c r="T54" s="153">
        <f t="shared" si="6"/>
        <v>115</v>
      </c>
      <c r="U54" s="16">
        <f t="shared" si="7"/>
        <v>0.13804</v>
      </c>
      <c r="V54" s="16" t="str">
        <f t="shared" si="8"/>
        <v/>
      </c>
      <c r="W54" s="16" t="str">
        <f t="shared" si="9"/>
        <v/>
      </c>
      <c r="X54" s="159" t="str">
        <f t="shared" si="13"/>
        <v>100-199 мм</v>
      </c>
      <c r="Y54" s="159" t="str">
        <f t="shared" si="14"/>
        <v>100-199 мм</v>
      </c>
      <c r="Z54" s="159" t="str">
        <f t="shared" si="15"/>
        <v>100-199 мм</v>
      </c>
      <c r="AA54" s="100" t="str">
        <f t="shared" si="10"/>
        <v>Самосборные</v>
      </c>
      <c r="AB54" s="16">
        <v>1.73</v>
      </c>
      <c r="AC54" s="100" t="str">
        <f t="shared" si="11"/>
        <v>2-3 литра</v>
      </c>
    </row>
    <row r="55" spans="1:29" x14ac:dyDescent="0.3">
      <c r="A55" s="53">
        <v>0.47</v>
      </c>
      <c r="B55" s="59">
        <f t="shared" si="12"/>
        <v>0.56399999999999995</v>
      </c>
      <c r="C55" s="108">
        <v>55</v>
      </c>
      <c r="D55" s="115" t="s">
        <v>27</v>
      </c>
      <c r="E55" s="87" t="s">
        <v>232</v>
      </c>
      <c r="G55" s="82" t="s">
        <v>143</v>
      </c>
      <c r="H55" s="89" t="s">
        <v>19</v>
      </c>
      <c r="I55" s="82" t="s">
        <v>21</v>
      </c>
      <c r="J55" s="82" t="s">
        <v>1</v>
      </c>
      <c r="K55" s="115" t="s">
        <v>233</v>
      </c>
      <c r="N55" s="171">
        <f t="shared" si="0"/>
        <v>1</v>
      </c>
      <c r="O55" s="74">
        <f t="shared" si="17"/>
        <v>4.08</v>
      </c>
      <c r="P55" s="160" t="str">
        <f t="shared" si="2"/>
        <v>4-5,9 литра</v>
      </c>
      <c r="Q55" s="101" t="str">
        <f t="shared" si="16"/>
        <v>3-5 л</v>
      </c>
      <c r="R55" s="153">
        <f t="shared" si="4"/>
        <v>320</v>
      </c>
      <c r="S55" s="153">
        <f t="shared" si="5"/>
        <v>170</v>
      </c>
      <c r="T55" s="153">
        <f t="shared" si="6"/>
        <v>75</v>
      </c>
      <c r="U55" s="16">
        <f t="shared" si="7"/>
        <v>0.26312000000000002</v>
      </c>
      <c r="V55" s="16" t="str">
        <f t="shared" si="8"/>
        <v/>
      </c>
      <c r="W55" s="16" t="str">
        <f t="shared" si="9"/>
        <v>Плоские</v>
      </c>
      <c r="X55" s="159" t="str">
        <f t="shared" si="13"/>
        <v>300-399 мм</v>
      </c>
      <c r="Y55" s="159" t="str">
        <f t="shared" si="14"/>
        <v>100-199 мм</v>
      </c>
      <c r="Z55" s="159" t="str">
        <f t="shared" si="15"/>
        <v>10-99 мм</v>
      </c>
      <c r="AA55" s="100" t="str">
        <f t="shared" si="10"/>
        <v>Самосборные</v>
      </c>
      <c r="AB55" s="16">
        <v>1.73</v>
      </c>
      <c r="AC55" s="100" t="str">
        <f t="shared" si="11"/>
        <v>4-5 литра</v>
      </c>
    </row>
    <row r="56" spans="1:29" x14ac:dyDescent="0.3">
      <c r="A56" s="53">
        <v>1.02</v>
      </c>
      <c r="B56" s="59">
        <f t="shared" si="12"/>
        <v>1.224</v>
      </c>
      <c r="C56" s="108">
        <v>56</v>
      </c>
      <c r="D56" s="115" t="s">
        <v>27</v>
      </c>
      <c r="E56" s="87" t="s">
        <v>234</v>
      </c>
      <c r="G56" s="82" t="s">
        <v>143</v>
      </c>
      <c r="H56" s="89" t="s">
        <v>175</v>
      </c>
      <c r="I56" s="82" t="s">
        <v>21</v>
      </c>
      <c r="J56" s="82" t="s">
        <v>1</v>
      </c>
      <c r="K56" s="115" t="s">
        <v>235</v>
      </c>
      <c r="N56" s="171">
        <f t="shared" si="0"/>
        <v>1</v>
      </c>
      <c r="O56" s="74">
        <f t="shared" si="17"/>
        <v>9.92</v>
      </c>
      <c r="P56" s="160" t="str">
        <f t="shared" si="2"/>
        <v>8-9,9 литров</v>
      </c>
      <c r="Q56" s="101" t="str">
        <f t="shared" si="16"/>
        <v>5-10 л</v>
      </c>
      <c r="R56" s="153">
        <f t="shared" si="4"/>
        <v>820</v>
      </c>
      <c r="S56" s="153">
        <f t="shared" si="5"/>
        <v>110</v>
      </c>
      <c r="T56" s="153">
        <f t="shared" si="6"/>
        <v>110</v>
      </c>
      <c r="U56" s="16">
        <f t="shared" si="7"/>
        <v>0.43775999999999998</v>
      </c>
      <c r="V56" s="16" t="str">
        <f t="shared" si="8"/>
        <v>Длинные</v>
      </c>
      <c r="W56" s="16" t="str">
        <f t="shared" si="9"/>
        <v/>
      </c>
      <c r="X56" s="159" t="str">
        <f t="shared" si="13"/>
        <v>700-999 мм</v>
      </c>
      <c r="Y56" s="159" t="str">
        <f t="shared" si="14"/>
        <v>100-199 мм</v>
      </c>
      <c r="Z56" s="159" t="str">
        <f t="shared" si="15"/>
        <v>100-199 мм</v>
      </c>
      <c r="AA56" s="100" t="str">
        <f t="shared" si="10"/>
        <v>Самосборные</v>
      </c>
      <c r="AB56" s="16">
        <v>1.73</v>
      </c>
      <c r="AC56" s="100" t="str">
        <f t="shared" si="11"/>
        <v>10-14 литров</v>
      </c>
    </row>
    <row r="57" spans="1:29" x14ac:dyDescent="0.3">
      <c r="A57" s="53">
        <v>2.0099999999999998</v>
      </c>
      <c r="B57" s="59">
        <f t="shared" si="12"/>
        <v>2.4119999999999995</v>
      </c>
      <c r="C57" s="108">
        <v>57</v>
      </c>
      <c r="D57" s="115" t="s">
        <v>27</v>
      </c>
      <c r="E57" s="87" t="s">
        <v>236</v>
      </c>
      <c r="G57" s="82" t="s">
        <v>18</v>
      </c>
      <c r="H57" s="89" t="s">
        <v>19</v>
      </c>
      <c r="I57" s="82" t="s">
        <v>21</v>
      </c>
      <c r="J57" s="82" t="s">
        <v>1</v>
      </c>
      <c r="K57" s="115" t="s">
        <v>237</v>
      </c>
      <c r="N57" s="171">
        <f t="shared" si="0"/>
        <v>1</v>
      </c>
      <c r="O57" s="74">
        <f t="shared" si="17"/>
        <v>56.05</v>
      </c>
      <c r="P57" s="160" t="str">
        <f t="shared" si="2"/>
        <v>50-59 литров</v>
      </c>
      <c r="Q57" s="101" t="str">
        <f t="shared" si="16"/>
        <v>50-100 л</v>
      </c>
      <c r="R57" s="153">
        <f t="shared" si="4"/>
        <v>440</v>
      </c>
      <c r="S57" s="153">
        <f t="shared" si="5"/>
        <v>330</v>
      </c>
      <c r="T57" s="153">
        <f t="shared" si="6"/>
        <v>386</v>
      </c>
      <c r="U57" s="16">
        <f t="shared" si="7"/>
        <v>1.1584000000000001</v>
      </c>
      <c r="V57" s="16" t="str">
        <f t="shared" si="8"/>
        <v/>
      </c>
      <c r="W57" s="16" t="str">
        <f t="shared" si="9"/>
        <v/>
      </c>
      <c r="X57" s="159" t="str">
        <f t="shared" si="13"/>
        <v>400-499 мм</v>
      </c>
      <c r="Y57" s="159" t="str">
        <f t="shared" si="14"/>
        <v>300-399 мм</v>
      </c>
      <c r="Z57" s="159" t="str">
        <f t="shared" si="15"/>
        <v>300-399 мм</v>
      </c>
      <c r="AA57" s="100" t="str">
        <f t="shared" si="10"/>
        <v>Четырехклапанные</v>
      </c>
      <c r="AB57" s="16">
        <v>1.73</v>
      </c>
      <c r="AC57" s="100" t="str">
        <f t="shared" si="11"/>
        <v>50-59 литров</v>
      </c>
    </row>
    <row r="58" spans="1:29" x14ac:dyDescent="0.3">
      <c r="A58" s="53">
        <v>6.55</v>
      </c>
      <c r="B58" s="59">
        <f t="shared" si="12"/>
        <v>7.8599999999999994</v>
      </c>
      <c r="C58" s="108">
        <v>58</v>
      </c>
      <c r="D58" s="115" t="s">
        <v>27</v>
      </c>
      <c r="E58" s="87" t="s">
        <v>241</v>
      </c>
      <c r="F58" s="212" t="s">
        <v>776</v>
      </c>
      <c r="G58" s="82" t="s">
        <v>18</v>
      </c>
      <c r="H58" s="89" t="s">
        <v>238</v>
      </c>
      <c r="I58" s="82" t="s">
        <v>239</v>
      </c>
      <c r="J58" s="82" t="s">
        <v>1</v>
      </c>
      <c r="K58" s="115" t="s">
        <v>240</v>
      </c>
      <c r="N58" s="171">
        <f t="shared" si="0"/>
        <v>1</v>
      </c>
      <c r="O58" s="74">
        <f t="shared" si="17"/>
        <v>352.74</v>
      </c>
      <c r="P58" s="160" t="str">
        <f t="shared" si="2"/>
        <v>200+ литров</v>
      </c>
      <c r="Q58" s="101" t="str">
        <f t="shared" si="16"/>
        <v>100+ л</v>
      </c>
      <c r="R58" s="153">
        <f t="shared" si="4"/>
        <v>795</v>
      </c>
      <c r="S58" s="153">
        <f t="shared" si="5"/>
        <v>510</v>
      </c>
      <c r="T58" s="153">
        <f t="shared" si="6"/>
        <v>870</v>
      </c>
      <c r="U58" s="16">
        <f t="shared" si="7"/>
        <v>3.7059600000000001</v>
      </c>
      <c r="V58" s="16" t="str">
        <f t="shared" si="8"/>
        <v/>
      </c>
      <c r="W58" s="16" t="str">
        <f t="shared" si="9"/>
        <v/>
      </c>
      <c r="X58" s="159" t="str">
        <f t="shared" si="13"/>
        <v>700-999 мм</v>
      </c>
      <c r="Y58" s="159" t="str">
        <f t="shared" si="14"/>
        <v>700-999 мм</v>
      </c>
      <c r="Z58" s="159" t="str">
        <f t="shared" si="15"/>
        <v>500-599 мм</v>
      </c>
      <c r="AA58" s="100" t="str">
        <f t="shared" si="10"/>
        <v>Четырехклапанные</v>
      </c>
      <c r="AB58" s="16">
        <v>1.73</v>
      </c>
      <c r="AC58" s="100" t="str">
        <f t="shared" si="11"/>
        <v>200+ литров</v>
      </c>
    </row>
    <row r="59" spans="1:29" x14ac:dyDescent="0.3">
      <c r="A59" s="53">
        <v>7.76</v>
      </c>
      <c r="B59" s="59">
        <f t="shared" si="12"/>
        <v>9.3119999999999994</v>
      </c>
      <c r="C59" s="108">
        <v>59</v>
      </c>
      <c r="D59" s="115" t="s">
        <v>27</v>
      </c>
      <c r="E59" s="87" t="s">
        <v>241</v>
      </c>
      <c r="F59" s="212" t="s">
        <v>242</v>
      </c>
      <c r="G59" s="82" t="s">
        <v>18</v>
      </c>
      <c r="H59" s="89" t="s">
        <v>243</v>
      </c>
      <c r="I59" s="82" t="s">
        <v>239</v>
      </c>
      <c r="J59" s="82" t="s">
        <v>1</v>
      </c>
      <c r="K59" s="115" t="s">
        <v>244</v>
      </c>
      <c r="N59" s="171">
        <f t="shared" si="0"/>
        <v>1</v>
      </c>
      <c r="O59" s="74">
        <f t="shared" si="17"/>
        <v>352.74</v>
      </c>
      <c r="P59" s="160" t="str">
        <f t="shared" si="2"/>
        <v>200+ литров</v>
      </c>
      <c r="Q59" s="101" t="str">
        <f t="shared" si="16"/>
        <v>100+ л</v>
      </c>
      <c r="R59" s="153">
        <f t="shared" si="4"/>
        <v>795</v>
      </c>
      <c r="S59" s="153">
        <f t="shared" si="5"/>
        <v>510</v>
      </c>
      <c r="T59" s="153">
        <f t="shared" si="6"/>
        <v>870</v>
      </c>
      <c r="U59" s="16">
        <f t="shared" si="7"/>
        <v>3.7059600000000001</v>
      </c>
      <c r="V59" s="16" t="str">
        <f t="shared" si="8"/>
        <v/>
      </c>
      <c r="W59" s="16" t="str">
        <f t="shared" si="9"/>
        <v/>
      </c>
      <c r="X59" s="159" t="str">
        <f t="shared" si="13"/>
        <v>700-999 мм</v>
      </c>
      <c r="Y59" s="159" t="str">
        <f t="shared" si="14"/>
        <v>700-999 мм</v>
      </c>
      <c r="Z59" s="159" t="str">
        <f t="shared" si="15"/>
        <v>500-599 мм</v>
      </c>
      <c r="AA59" s="100" t="str">
        <f t="shared" si="10"/>
        <v>Четырехклапанные</v>
      </c>
      <c r="AB59" s="16">
        <v>1.73</v>
      </c>
      <c r="AC59" s="100" t="str">
        <f t="shared" si="11"/>
        <v>200+ литров</v>
      </c>
    </row>
    <row r="60" spans="1:29" x14ac:dyDescent="0.3">
      <c r="A60" s="53">
        <v>5.46</v>
      </c>
      <c r="B60" s="59">
        <f t="shared" si="12"/>
        <v>6.5519999999999996</v>
      </c>
      <c r="C60" s="108">
        <v>60</v>
      </c>
      <c r="D60" s="115" t="s">
        <v>27</v>
      </c>
      <c r="E60" s="87" t="s">
        <v>241</v>
      </c>
      <c r="F60" s="212" t="s">
        <v>778</v>
      </c>
      <c r="G60" s="82" t="s">
        <v>18</v>
      </c>
      <c r="H60" s="89" t="s">
        <v>238</v>
      </c>
      <c r="I60" s="82" t="s">
        <v>21</v>
      </c>
      <c r="J60" s="82" t="s">
        <v>1</v>
      </c>
      <c r="K60" s="115" t="s">
        <v>245</v>
      </c>
      <c r="N60" s="171">
        <f t="shared" si="0"/>
        <v>1</v>
      </c>
      <c r="O60" s="74">
        <f t="shared" si="17"/>
        <v>352.74</v>
      </c>
      <c r="P60" s="160" t="str">
        <f t="shared" si="2"/>
        <v>200+ литров</v>
      </c>
      <c r="Q60" s="101" t="str">
        <f t="shared" si="16"/>
        <v>100+ л</v>
      </c>
      <c r="R60" s="153">
        <f t="shared" si="4"/>
        <v>795</v>
      </c>
      <c r="S60" s="153">
        <f t="shared" si="5"/>
        <v>510</v>
      </c>
      <c r="T60" s="153">
        <f t="shared" si="6"/>
        <v>870</v>
      </c>
      <c r="U60" s="16">
        <f t="shared" si="7"/>
        <v>3.7059600000000001</v>
      </c>
      <c r="V60" s="16" t="str">
        <f t="shared" si="8"/>
        <v/>
      </c>
      <c r="W60" s="16" t="str">
        <f t="shared" si="9"/>
        <v/>
      </c>
      <c r="X60" s="159" t="str">
        <f t="shared" si="13"/>
        <v>700-999 мм</v>
      </c>
      <c r="Y60" s="159" t="str">
        <f t="shared" si="14"/>
        <v>700-999 мм</v>
      </c>
      <c r="Z60" s="159" t="str">
        <f t="shared" si="15"/>
        <v>500-599 мм</v>
      </c>
      <c r="AA60" s="100" t="str">
        <f t="shared" si="10"/>
        <v>Четырехклапанные</v>
      </c>
      <c r="AB60" s="16">
        <v>1.73</v>
      </c>
      <c r="AC60" s="100" t="str">
        <f t="shared" si="11"/>
        <v>200+ литров</v>
      </c>
    </row>
    <row r="61" spans="1:29" x14ac:dyDescent="0.3">
      <c r="A61" s="53">
        <v>6.43</v>
      </c>
      <c r="B61" s="59">
        <f t="shared" si="12"/>
        <v>7.7159999999999993</v>
      </c>
      <c r="C61" s="108">
        <v>61</v>
      </c>
      <c r="D61" s="115" t="s">
        <v>27</v>
      </c>
      <c r="E61" s="87" t="s">
        <v>241</v>
      </c>
      <c r="F61" s="212" t="s">
        <v>777</v>
      </c>
      <c r="G61" s="82" t="s">
        <v>18</v>
      </c>
      <c r="H61" s="89" t="s">
        <v>243</v>
      </c>
      <c r="I61" s="82" t="s">
        <v>21</v>
      </c>
      <c r="J61" s="82" t="s">
        <v>1</v>
      </c>
      <c r="K61" s="115" t="s">
        <v>246</v>
      </c>
      <c r="N61" s="171">
        <f t="shared" si="0"/>
        <v>1</v>
      </c>
      <c r="O61" s="74">
        <f t="shared" si="17"/>
        <v>352.74</v>
      </c>
      <c r="P61" s="160" t="str">
        <f t="shared" si="2"/>
        <v>200+ литров</v>
      </c>
      <c r="Q61" s="101" t="str">
        <f t="shared" si="16"/>
        <v>100+ л</v>
      </c>
      <c r="R61" s="153">
        <f t="shared" si="4"/>
        <v>795</v>
      </c>
      <c r="S61" s="153">
        <f t="shared" si="5"/>
        <v>510</v>
      </c>
      <c r="T61" s="153">
        <f t="shared" si="6"/>
        <v>870</v>
      </c>
      <c r="U61" s="16">
        <f t="shared" si="7"/>
        <v>3.7059600000000001</v>
      </c>
      <c r="V61" s="16" t="str">
        <f t="shared" si="8"/>
        <v/>
      </c>
      <c r="W61" s="16" t="str">
        <f t="shared" si="9"/>
        <v/>
      </c>
      <c r="X61" s="159" t="str">
        <f t="shared" si="13"/>
        <v>700-999 мм</v>
      </c>
      <c r="Y61" s="159" t="str">
        <f t="shared" si="14"/>
        <v>700-999 мм</v>
      </c>
      <c r="Z61" s="159" t="str">
        <f t="shared" si="15"/>
        <v>500-599 мм</v>
      </c>
      <c r="AA61" s="100" t="str">
        <f t="shared" si="10"/>
        <v>Четырехклапанные</v>
      </c>
      <c r="AB61" s="16">
        <v>1.73</v>
      </c>
      <c r="AC61" s="100" t="str">
        <f t="shared" si="11"/>
        <v>200+ литров</v>
      </c>
    </row>
    <row r="62" spans="1:29" x14ac:dyDescent="0.3">
      <c r="A62" s="53">
        <v>8.77</v>
      </c>
      <c r="B62" s="59">
        <f t="shared" si="12"/>
        <v>10.523999999999999</v>
      </c>
      <c r="C62" s="108">
        <v>62</v>
      </c>
      <c r="D62" s="115" t="s">
        <v>27</v>
      </c>
      <c r="E62" s="87" t="s">
        <v>247</v>
      </c>
      <c r="F62" s="212" t="s">
        <v>248</v>
      </c>
      <c r="G62" s="82" t="s">
        <v>18</v>
      </c>
      <c r="H62" s="89" t="s">
        <v>238</v>
      </c>
      <c r="I62" s="82" t="s">
        <v>21</v>
      </c>
      <c r="J62" s="82" t="s">
        <v>1</v>
      </c>
      <c r="K62" s="115" t="s">
        <v>249</v>
      </c>
      <c r="N62" s="171">
        <f t="shared" si="0"/>
        <v>1</v>
      </c>
      <c r="O62" s="74">
        <f t="shared" si="17"/>
        <v>770</v>
      </c>
      <c r="P62" s="160" t="str">
        <f t="shared" si="2"/>
        <v>200+ литров</v>
      </c>
      <c r="Q62" s="101" t="str">
        <f t="shared" si="16"/>
        <v>100+ л</v>
      </c>
      <c r="R62" s="153">
        <f t="shared" si="4"/>
        <v>1100</v>
      </c>
      <c r="S62" s="153">
        <f t="shared" si="5"/>
        <v>700</v>
      </c>
      <c r="T62" s="153">
        <f t="shared" si="6"/>
        <v>1000</v>
      </c>
      <c r="U62" s="16">
        <f t="shared" si="7"/>
        <v>6.2512800000000004</v>
      </c>
      <c r="V62" s="16" t="str">
        <f t="shared" si="8"/>
        <v/>
      </c>
      <c r="W62" s="16" t="str">
        <f t="shared" si="9"/>
        <v/>
      </c>
      <c r="X62" s="159" t="str">
        <f t="shared" si="13"/>
        <v>1000+ мм</v>
      </c>
      <c r="Y62" s="159" t="str">
        <f t="shared" si="14"/>
        <v>1000+ мм</v>
      </c>
      <c r="Z62" s="159" t="str">
        <f t="shared" si="15"/>
        <v>700-999 мм</v>
      </c>
      <c r="AA62" s="100" t="str">
        <f t="shared" si="10"/>
        <v>Четырехклапанные</v>
      </c>
      <c r="AB62" s="16">
        <v>1.73</v>
      </c>
      <c r="AC62" s="100" t="str">
        <f t="shared" si="11"/>
        <v>200+ литров</v>
      </c>
    </row>
    <row r="63" spans="1:29" x14ac:dyDescent="0.3">
      <c r="A63" s="53">
        <v>15.17</v>
      </c>
      <c r="B63" s="59">
        <f t="shared" si="12"/>
        <v>18.204000000000001</v>
      </c>
      <c r="C63" s="108">
        <v>63</v>
      </c>
      <c r="D63" s="115" t="s">
        <v>27</v>
      </c>
      <c r="E63" s="87" t="s">
        <v>247</v>
      </c>
      <c r="F63" s="212" t="s">
        <v>250</v>
      </c>
      <c r="G63" s="82" t="s">
        <v>18</v>
      </c>
      <c r="H63" s="89" t="s">
        <v>238</v>
      </c>
      <c r="I63" s="82" t="s">
        <v>239</v>
      </c>
      <c r="J63" s="82" t="s">
        <v>1</v>
      </c>
      <c r="K63" s="115" t="s">
        <v>251</v>
      </c>
      <c r="N63" s="171">
        <f t="shared" si="0"/>
        <v>1</v>
      </c>
      <c r="O63" s="74">
        <f t="shared" si="17"/>
        <v>770</v>
      </c>
      <c r="P63" s="160" t="str">
        <f t="shared" si="2"/>
        <v>200+ литров</v>
      </c>
      <c r="Q63" s="101" t="str">
        <f t="shared" si="16"/>
        <v>100+ л</v>
      </c>
      <c r="R63" s="153">
        <f t="shared" si="4"/>
        <v>1100</v>
      </c>
      <c r="S63" s="153">
        <f t="shared" si="5"/>
        <v>700</v>
      </c>
      <c r="T63" s="153">
        <f t="shared" si="6"/>
        <v>1000</v>
      </c>
      <c r="U63" s="16">
        <f t="shared" si="7"/>
        <v>6.2512800000000004</v>
      </c>
      <c r="V63" s="16" t="str">
        <f t="shared" si="8"/>
        <v/>
      </c>
      <c r="W63" s="16" t="str">
        <f t="shared" si="9"/>
        <v/>
      </c>
      <c r="X63" s="159" t="str">
        <f t="shared" si="13"/>
        <v>1000+ мм</v>
      </c>
      <c r="Y63" s="159" t="str">
        <f t="shared" si="14"/>
        <v>1000+ мм</v>
      </c>
      <c r="Z63" s="159" t="str">
        <f t="shared" si="15"/>
        <v>700-999 мм</v>
      </c>
      <c r="AA63" s="100" t="str">
        <f t="shared" si="10"/>
        <v>Четырехклапанные</v>
      </c>
      <c r="AB63" s="16">
        <v>1.73</v>
      </c>
      <c r="AC63" s="100" t="str">
        <f t="shared" si="11"/>
        <v>200+ литров</v>
      </c>
    </row>
    <row r="64" spans="1:29" x14ac:dyDescent="0.3">
      <c r="A64" s="53">
        <v>10.56</v>
      </c>
      <c r="B64" s="59">
        <f t="shared" si="12"/>
        <v>12.672000000000001</v>
      </c>
      <c r="C64" s="108">
        <v>64</v>
      </c>
      <c r="D64" s="115" t="s">
        <v>27</v>
      </c>
      <c r="E64" s="87" t="s">
        <v>247</v>
      </c>
      <c r="F64" s="212" t="s">
        <v>252</v>
      </c>
      <c r="G64" s="82" t="s">
        <v>18</v>
      </c>
      <c r="H64" s="89" t="s">
        <v>243</v>
      </c>
      <c r="I64" s="82" t="s">
        <v>21</v>
      </c>
      <c r="J64" s="82" t="s">
        <v>1</v>
      </c>
      <c r="K64" s="115" t="s">
        <v>253</v>
      </c>
      <c r="N64" s="171">
        <f t="shared" si="0"/>
        <v>1</v>
      </c>
      <c r="O64" s="74">
        <f t="shared" si="17"/>
        <v>770</v>
      </c>
      <c r="P64" s="160" t="str">
        <f t="shared" si="2"/>
        <v>200+ литров</v>
      </c>
      <c r="Q64" s="101" t="str">
        <f t="shared" si="16"/>
        <v>100+ л</v>
      </c>
      <c r="R64" s="153">
        <f t="shared" si="4"/>
        <v>1100</v>
      </c>
      <c r="S64" s="153">
        <f t="shared" si="5"/>
        <v>700</v>
      </c>
      <c r="T64" s="153">
        <f t="shared" si="6"/>
        <v>1000</v>
      </c>
      <c r="U64" s="16">
        <f t="shared" si="7"/>
        <v>6.2512800000000004</v>
      </c>
      <c r="V64" s="16" t="str">
        <f t="shared" si="8"/>
        <v/>
      </c>
      <c r="W64" s="16" t="str">
        <f t="shared" si="9"/>
        <v/>
      </c>
      <c r="X64" s="159" t="str">
        <f t="shared" si="13"/>
        <v>1000+ мм</v>
      </c>
      <c r="Y64" s="159" t="str">
        <f t="shared" si="14"/>
        <v>1000+ мм</v>
      </c>
      <c r="Z64" s="159" t="str">
        <f t="shared" si="15"/>
        <v>700-999 мм</v>
      </c>
      <c r="AA64" s="100" t="str">
        <f t="shared" si="10"/>
        <v>Четырехклапанные</v>
      </c>
      <c r="AB64" s="16">
        <v>1.73</v>
      </c>
      <c r="AC64" s="100" t="str">
        <f t="shared" si="11"/>
        <v>200+ литров</v>
      </c>
    </row>
    <row r="65" spans="1:29" x14ac:dyDescent="0.3">
      <c r="A65" s="53">
        <v>16.96</v>
      </c>
      <c r="B65" s="59">
        <f t="shared" si="12"/>
        <v>20.352</v>
      </c>
      <c r="C65" s="108">
        <v>65</v>
      </c>
      <c r="D65" s="115" t="s">
        <v>27</v>
      </c>
      <c r="E65" s="87" t="s">
        <v>247</v>
      </c>
      <c r="F65" s="212" t="s">
        <v>254</v>
      </c>
      <c r="G65" s="82" t="s">
        <v>18</v>
      </c>
      <c r="H65" s="89" t="s">
        <v>243</v>
      </c>
      <c r="I65" s="82" t="s">
        <v>239</v>
      </c>
      <c r="J65" s="82" t="s">
        <v>1</v>
      </c>
      <c r="K65" s="115" t="s">
        <v>255</v>
      </c>
      <c r="N65" s="171">
        <f t="shared" si="0"/>
        <v>1</v>
      </c>
      <c r="O65" s="74">
        <f t="shared" si="17"/>
        <v>770</v>
      </c>
      <c r="P65" s="160" t="str">
        <f t="shared" si="2"/>
        <v>200+ литров</v>
      </c>
      <c r="Q65" s="101" t="str">
        <f t="shared" si="16"/>
        <v>100+ л</v>
      </c>
      <c r="R65" s="153">
        <f t="shared" si="4"/>
        <v>1100</v>
      </c>
      <c r="S65" s="153">
        <f t="shared" si="5"/>
        <v>700</v>
      </c>
      <c r="T65" s="153">
        <f t="shared" si="6"/>
        <v>1000</v>
      </c>
      <c r="U65" s="16">
        <f t="shared" si="7"/>
        <v>6.2512800000000004</v>
      </c>
      <c r="V65" s="16" t="str">
        <f t="shared" si="8"/>
        <v/>
      </c>
      <c r="W65" s="16" t="str">
        <f t="shared" si="9"/>
        <v/>
      </c>
      <c r="X65" s="159" t="str">
        <f t="shared" si="13"/>
        <v>1000+ мм</v>
      </c>
      <c r="Y65" s="159" t="str">
        <f t="shared" si="14"/>
        <v>1000+ мм</v>
      </c>
      <c r="Z65" s="159" t="str">
        <f t="shared" si="15"/>
        <v>700-999 мм</v>
      </c>
      <c r="AA65" s="100" t="str">
        <f t="shared" si="10"/>
        <v>Четырехклапанные</v>
      </c>
      <c r="AB65" s="16">
        <v>1.73</v>
      </c>
      <c r="AC65" s="100" t="str">
        <f t="shared" si="11"/>
        <v>200+ литров</v>
      </c>
    </row>
    <row r="66" spans="1:29" x14ac:dyDescent="0.3">
      <c r="A66" s="53">
        <v>0.85</v>
      </c>
      <c r="B66" s="59">
        <f t="shared" si="12"/>
        <v>1.02</v>
      </c>
      <c r="C66" s="108">
        <v>66</v>
      </c>
      <c r="D66" s="115" t="s">
        <v>27</v>
      </c>
      <c r="E66" s="87" t="s">
        <v>256</v>
      </c>
      <c r="G66" s="82" t="s">
        <v>143</v>
      </c>
      <c r="H66" s="89" t="s">
        <v>147</v>
      </c>
      <c r="I66" s="82" t="s">
        <v>21</v>
      </c>
      <c r="J66" s="82" t="s">
        <v>1</v>
      </c>
      <c r="K66" s="115" t="s">
        <v>257</v>
      </c>
      <c r="N66" s="171">
        <f t="shared" ref="N66:N129" si="18">IF(D66="","",IF(LEFT(D66,1)="0",0,1))</f>
        <v>1</v>
      </c>
      <c r="O66" s="74">
        <f t="shared" si="17"/>
        <v>3.57</v>
      </c>
      <c r="P66" s="160" t="str">
        <f t="shared" ref="P66:P129" si="19">IF(O66="","",
IF(O66&lt;1,"0,1-0,9 литров",
IF(O66&lt;2,"1-1,9 литра",
IF(O66&lt;3,"2-2,9 литра",
IF(O66&lt;4,"3-3,9 литра",
IF(O66&lt;6,"4-5,9 литра",IF(O66&lt;8,"6-7,9 литра",IF(O66&lt;10,"8-9,9 литров",IF(O66&lt;15,"10-14,9 литров",IF(O66&lt;20,"15-19,9 литров",IF(O66&lt;30,"20-29 литров",IF(O66&lt;50,"30-49 литров",IF(O66&lt;60,"50-59 литров",IF(O66&lt;70,"60-69 литров",IF(O66&lt;80,"70-79 литров",IF(O66&lt;90,"80-89 литров",IF(O66&lt;100,"90-99 литров",IF(O66&lt;200,"100-200 литров","200+ литров"))))))))))))))))))</f>
        <v>3-3,9 литра</v>
      </c>
      <c r="Q66" s="101" t="str">
        <f t="shared" si="16"/>
        <v>3-5 л</v>
      </c>
      <c r="R66" s="153">
        <f t="shared" ref="R66:R129" si="20">IF(E66="","",--LEFT(E66,FIND("х",E66)-1))</f>
        <v>340</v>
      </c>
      <c r="S66" s="153">
        <f t="shared" ref="S66:S129" si="21">IF(E66="","",--MID(E66,FIND("х",E66)+1,FIND("х",E66,FIND("х",E66)+1)-FIND("х",E66)-1))</f>
        <v>420</v>
      </c>
      <c r="T66" s="153">
        <f t="shared" ref="T66:T129" si="22">IF(E66="","",--RIGHT(E66,LEN(E66)-FIND("х",E66,FIND("х",E66)+1)))</f>
        <v>25</v>
      </c>
      <c r="U66" s="16">
        <f t="shared" ref="U66:U129" si="23">(2*(R66+S66)+60)*(S66+T66+8)/1000000</f>
        <v>0.71574000000000004</v>
      </c>
      <c r="V66" s="16" t="str">
        <f t="shared" ref="V66:V129" si="24">IF(OR(AND(R66&gt;=2*S66,R66&gt;=2*T66),AND(S66&gt;=2*R66,S66&gt;=2*T66),AND(T66&gt;=2*R66,T66&gt;=2*S66)),"Длинные","")</f>
        <v/>
      </c>
      <c r="W66" s="16" t="str">
        <f t="shared" ref="W66:W129" si="25">IF(OR(AND(R66&lt;=S66/2,R66&lt;=T66/2),AND(S66&lt;=R66/2,S66&lt;=T66/2),AND(T66&lt;=R66/2,T66&lt;=S66/2)),"Плоские","")</f>
        <v>Плоские</v>
      </c>
      <c r="X66" s="159" t="str">
        <f t="shared" si="13"/>
        <v>400-499 мм</v>
      </c>
      <c r="Y66" s="159" t="str">
        <f t="shared" si="14"/>
        <v>300-399 мм</v>
      </c>
      <c r="Z66" s="159" t="str">
        <f t="shared" si="15"/>
        <v>10-99 мм</v>
      </c>
      <c r="AA66" s="100" t="str">
        <f t="shared" ref="AA66:AA129" si="26">IF(G66="","",IF(G66="Л","Лист гофрокартона",IF(G66="КД","Крышка-дно",IF(G66="С","Самосборные",IF(G66="Ч","Четырехклапанные",IF(G66="А","Архивные","Неизвестно"))))))</f>
        <v>Самосборные</v>
      </c>
      <c r="AB66" s="16">
        <v>1.73</v>
      </c>
      <c r="AC66" s="100" t="str">
        <f t="shared" ref="AC66:AC129" si="27">IF(O66="","",IF(O66&lt;=1,"0-1 литров",IF(O66&lt;=3,"2-3 литра",IF(O66&lt;=5,"4-5 литра",IF(O66&lt;=7,"6-7 литра",IF(O66&lt;=9,"8-9 литров",IF(O66&lt;=14,"10-14 литров",IF(O66&lt;=19,"15-19 литров",IF(O66&lt;=29,"20-29 литров",IF(O66&lt;=49,"30-49 литров",IF(O66&lt;=59,"50-59 литров",IF(O66&lt;=70,"60-69 литров",IF(O66&lt;=79,"70-79 литров",IF(O66&lt;=89,"80-89 литров",IF(O66&lt;=99,"90-99 литров",IF(O66&lt;=200,"100-200 литров","200+ литров"))))))))))))))))</f>
        <v>4-5 литра</v>
      </c>
    </row>
    <row r="67" spans="1:29" x14ac:dyDescent="0.3">
      <c r="A67" s="53">
        <v>1.28</v>
      </c>
      <c r="B67" s="59">
        <f t="shared" ref="B67:B130" si="28">A67*1.2</f>
        <v>1.536</v>
      </c>
      <c r="C67" s="108">
        <v>67</v>
      </c>
      <c r="D67" s="115" t="s">
        <v>27</v>
      </c>
      <c r="E67" s="87" t="s">
        <v>258</v>
      </c>
      <c r="G67" s="82" t="s">
        <v>143</v>
      </c>
      <c r="H67" s="89" t="s">
        <v>156</v>
      </c>
      <c r="I67" s="82" t="s">
        <v>21</v>
      </c>
      <c r="J67" s="82" t="s">
        <v>1</v>
      </c>
      <c r="K67" s="115" t="s">
        <v>259</v>
      </c>
      <c r="N67" s="171">
        <f t="shared" si="18"/>
        <v>1</v>
      </c>
      <c r="O67" s="74">
        <f t="shared" si="17"/>
        <v>16.46</v>
      </c>
      <c r="P67" s="160" t="str">
        <f t="shared" si="19"/>
        <v>15-19,9 литров</v>
      </c>
      <c r="Q67" s="101" t="str">
        <f t="shared" si="16"/>
        <v>10-20 л</v>
      </c>
      <c r="R67" s="153">
        <f t="shared" si="20"/>
        <v>440</v>
      </c>
      <c r="S67" s="153">
        <f t="shared" si="21"/>
        <v>440</v>
      </c>
      <c r="T67" s="153">
        <f t="shared" si="22"/>
        <v>85</v>
      </c>
      <c r="U67" s="16">
        <f t="shared" si="23"/>
        <v>0.97006000000000003</v>
      </c>
      <c r="V67" s="16" t="str">
        <f t="shared" si="24"/>
        <v/>
      </c>
      <c r="W67" s="16" t="str">
        <f t="shared" si="25"/>
        <v>Плоские</v>
      </c>
      <c r="X67" s="159" t="str">
        <f t="shared" ref="X67:X130" si="29">IF(LARGE($R67:$T67,1)="","",IF(LARGE($R67:$T67,1)&lt;=99,"10-99 мм",IF(LARGE($R67:$T67,1)&lt;=199,"100-199 мм",IF(LARGE($R67:$T67,1)&lt;=299,"200-299 мм",IF(LARGE($R67:$T67,1)&lt;=399,"300-399 мм",IF(LARGE($R67:$T67,1)&lt;=499,"400-499 мм",IF(LARGE($R67:$T67,1)&lt;=599,"500-599 мм",IF(LARGE($R67:$T67,1)&lt;=699,"600-699 мм",IF(LARGE($R67:$T67,1)&lt;=999,"700-999 мм","1000+ мм")))))))))</f>
        <v>400-499 мм</v>
      </c>
      <c r="Y67" s="159" t="str">
        <f t="shared" ref="Y67:Y130" si="30">IF(LARGE($R67:$T67,2)="","",IF(LARGE($R67:$T67,2)&lt;=99,"10-99 мм",IF(LARGE($R67:$T67,2)&lt;=199,"100-199 мм",IF(LARGE($R67:$T67,2)&lt;=299,"200-299 мм",IF(LARGE($R67:$T67,2)&lt;=399,"300-399 мм",IF(LARGE($R67:$T67,2)&lt;=499,"400-499 мм",IF(LARGE($R67:$T67,2)&lt;=599,"500-599 мм",IF(LARGE($R67:$T67,2)&lt;=699,"600-699 мм",IF(LARGE($R67:$T67,2)&lt;=999,"700-999 мм","1000+ мм")))))))))</f>
        <v>400-499 мм</v>
      </c>
      <c r="Z67" s="159" t="str">
        <f t="shared" ref="Z67:Z130" si="31">IF(SMALL($R67:$T67,1)="","",IF(SMALL($R67:$T67,1)&lt;=99,"10-99 мм",IF(SMALL($R67:$T67,1)&lt;=199,"100-199 мм",IF(SMALL($R67:$T67,1)&lt;=299,"200-299 мм",IF(SMALL($R67:$T67,1)&lt;=399,"300-399 мм",IF(SMALL($R67:$T67,1)&lt;=499,"400-499 мм",IF(SMALL($R67:$T67,1)&lt;=599,"500-599 мм",IF(SMALL($R67:$T67,1)&lt;=699,"600-699 мм",IF(SMALL($R67:$T67,1)&lt;=999,"700-999 мм","1000+ мм")))))))))</f>
        <v>10-99 мм</v>
      </c>
      <c r="AA67" s="100" t="str">
        <f t="shared" si="26"/>
        <v>Самосборные</v>
      </c>
      <c r="AB67" s="16">
        <v>1.73</v>
      </c>
      <c r="AC67" s="100" t="str">
        <f t="shared" si="27"/>
        <v>15-19 литров</v>
      </c>
    </row>
    <row r="68" spans="1:29" x14ac:dyDescent="0.3">
      <c r="A68" s="53">
        <v>0.87</v>
      </c>
      <c r="B68" s="59">
        <f t="shared" si="28"/>
        <v>1.044</v>
      </c>
      <c r="C68" s="108">
        <v>68</v>
      </c>
      <c r="D68" s="115" t="s">
        <v>27</v>
      </c>
      <c r="E68" s="87" t="s">
        <v>260</v>
      </c>
      <c r="G68" s="82" t="s">
        <v>143</v>
      </c>
      <c r="H68" s="89" t="s">
        <v>156</v>
      </c>
      <c r="I68" s="82" t="s">
        <v>21</v>
      </c>
      <c r="J68" s="82" t="s">
        <v>1</v>
      </c>
      <c r="K68" s="115" t="s">
        <v>261</v>
      </c>
      <c r="N68" s="171">
        <f t="shared" si="18"/>
        <v>1</v>
      </c>
      <c r="O68" s="74">
        <f t="shared" si="17"/>
        <v>6.3</v>
      </c>
      <c r="P68" s="160" t="str">
        <f t="shared" si="19"/>
        <v>6-7,9 литра</v>
      </c>
      <c r="Q68" s="101" t="str">
        <f t="shared" si="16"/>
        <v>5-10 л</v>
      </c>
      <c r="R68" s="153">
        <f t="shared" si="20"/>
        <v>450</v>
      </c>
      <c r="S68" s="153">
        <f t="shared" si="21"/>
        <v>350</v>
      </c>
      <c r="T68" s="153">
        <f t="shared" si="22"/>
        <v>40</v>
      </c>
      <c r="U68" s="16">
        <f t="shared" si="23"/>
        <v>0.66068000000000005</v>
      </c>
      <c r="V68" s="16" t="str">
        <f t="shared" si="24"/>
        <v/>
      </c>
      <c r="W68" s="16" t="str">
        <f t="shared" si="25"/>
        <v>Плоские</v>
      </c>
      <c r="X68" s="159" t="str">
        <f t="shared" si="29"/>
        <v>400-499 мм</v>
      </c>
      <c r="Y68" s="159" t="str">
        <f t="shared" si="30"/>
        <v>300-399 мм</v>
      </c>
      <c r="Z68" s="159" t="str">
        <f t="shared" si="31"/>
        <v>10-99 мм</v>
      </c>
      <c r="AA68" s="100" t="str">
        <f t="shared" si="26"/>
        <v>Самосборные</v>
      </c>
      <c r="AB68" s="16">
        <v>1.73</v>
      </c>
      <c r="AC68" s="100" t="str">
        <f t="shared" si="27"/>
        <v>6-7 литра</v>
      </c>
    </row>
    <row r="69" spans="1:29" x14ac:dyDescent="0.3">
      <c r="A69" s="53">
        <v>1.42</v>
      </c>
      <c r="B69" s="59">
        <f t="shared" si="28"/>
        <v>1.704</v>
      </c>
      <c r="C69" s="108">
        <v>69</v>
      </c>
      <c r="D69" s="115" t="s">
        <v>27</v>
      </c>
      <c r="E69" s="87" t="s">
        <v>262</v>
      </c>
      <c r="G69" s="82" t="s">
        <v>143</v>
      </c>
      <c r="H69" s="89" t="s">
        <v>147</v>
      </c>
      <c r="I69" s="82" t="s">
        <v>21</v>
      </c>
      <c r="J69" s="82" t="s">
        <v>1</v>
      </c>
      <c r="K69" s="115" t="s">
        <v>263</v>
      </c>
      <c r="N69" s="171">
        <f t="shared" si="18"/>
        <v>1</v>
      </c>
      <c r="O69" s="74">
        <f t="shared" si="17"/>
        <v>13.23</v>
      </c>
      <c r="P69" s="160" t="str">
        <f t="shared" si="19"/>
        <v>10-14,9 литров</v>
      </c>
      <c r="Q69" s="101" t="str">
        <f t="shared" si="16"/>
        <v>10-20 л</v>
      </c>
      <c r="R69" s="153">
        <f t="shared" si="20"/>
        <v>1050</v>
      </c>
      <c r="S69" s="153">
        <f t="shared" si="21"/>
        <v>180</v>
      </c>
      <c r="T69" s="153">
        <f t="shared" si="22"/>
        <v>70</v>
      </c>
      <c r="U69" s="16">
        <f t="shared" si="23"/>
        <v>0.65015999999999996</v>
      </c>
      <c r="V69" s="16" t="str">
        <f t="shared" si="24"/>
        <v>Длинные</v>
      </c>
      <c r="W69" s="16" t="str">
        <f t="shared" si="25"/>
        <v>Плоские</v>
      </c>
      <c r="X69" s="159" t="str">
        <f t="shared" si="29"/>
        <v>1000+ мм</v>
      </c>
      <c r="Y69" s="159" t="str">
        <f t="shared" si="30"/>
        <v>100-199 мм</v>
      </c>
      <c r="Z69" s="159" t="str">
        <f t="shared" si="31"/>
        <v>10-99 мм</v>
      </c>
      <c r="AA69" s="100" t="str">
        <f t="shared" si="26"/>
        <v>Самосборные</v>
      </c>
      <c r="AB69" s="16">
        <v>1.73</v>
      </c>
      <c r="AC69" s="100" t="str">
        <f t="shared" si="27"/>
        <v>10-14 литров</v>
      </c>
    </row>
    <row r="70" spans="1:29" x14ac:dyDescent="0.3">
      <c r="A70" s="53">
        <v>0.22</v>
      </c>
      <c r="B70" s="59">
        <f t="shared" si="28"/>
        <v>0.26400000000000001</v>
      </c>
      <c r="C70" s="108">
        <v>70</v>
      </c>
      <c r="D70" s="115" t="s">
        <v>27</v>
      </c>
      <c r="E70" s="87" t="s">
        <v>264</v>
      </c>
      <c r="G70" s="82" t="s">
        <v>143</v>
      </c>
      <c r="H70" s="89" t="s">
        <v>175</v>
      </c>
      <c r="I70" s="82" t="s">
        <v>21</v>
      </c>
      <c r="J70" s="82" t="s">
        <v>1</v>
      </c>
      <c r="K70" s="115" t="s">
        <v>265</v>
      </c>
      <c r="N70" s="171">
        <f t="shared" si="18"/>
        <v>1</v>
      </c>
      <c r="O70" s="74">
        <f t="shared" si="17"/>
        <v>0.92</v>
      </c>
      <c r="P70" s="160" t="str">
        <f t="shared" si="19"/>
        <v>0,1-0,9 литров</v>
      </c>
      <c r="Q70" s="101" t="str">
        <f t="shared" si="16"/>
        <v>&lt;1 л</v>
      </c>
      <c r="R70" s="153">
        <f t="shared" si="20"/>
        <v>305</v>
      </c>
      <c r="S70" s="153">
        <f t="shared" si="21"/>
        <v>55</v>
      </c>
      <c r="T70" s="153">
        <f t="shared" si="22"/>
        <v>55</v>
      </c>
      <c r="U70" s="16">
        <f t="shared" si="23"/>
        <v>9.2039999999999997E-2</v>
      </c>
      <c r="V70" s="16" t="str">
        <f t="shared" si="24"/>
        <v>Длинные</v>
      </c>
      <c r="W70" s="16" t="str">
        <f t="shared" si="25"/>
        <v/>
      </c>
      <c r="X70" s="159" t="str">
        <f t="shared" si="29"/>
        <v>300-399 мм</v>
      </c>
      <c r="Y70" s="159" t="str">
        <f t="shared" si="30"/>
        <v>10-99 мм</v>
      </c>
      <c r="Z70" s="159" t="str">
        <f t="shared" si="31"/>
        <v>10-99 мм</v>
      </c>
      <c r="AA70" s="100" t="str">
        <f t="shared" si="26"/>
        <v>Самосборные</v>
      </c>
      <c r="AB70" s="16">
        <v>1.73</v>
      </c>
      <c r="AC70" s="100" t="str">
        <f t="shared" si="27"/>
        <v>0-1 литров</v>
      </c>
    </row>
    <row r="71" spans="1:29" x14ac:dyDescent="0.3">
      <c r="A71" s="53">
        <v>0.77</v>
      </c>
      <c r="B71" s="59">
        <f t="shared" si="28"/>
        <v>0.92399999999999993</v>
      </c>
      <c r="C71" s="108">
        <v>71</v>
      </c>
      <c r="D71" s="115" t="s">
        <v>27</v>
      </c>
      <c r="E71" s="87" t="s">
        <v>266</v>
      </c>
      <c r="G71" s="82" t="s">
        <v>143</v>
      </c>
      <c r="H71" s="89" t="s">
        <v>20</v>
      </c>
      <c r="I71" s="82" t="s">
        <v>21</v>
      </c>
      <c r="J71" s="82" t="s">
        <v>1</v>
      </c>
      <c r="K71" s="115" t="s">
        <v>267</v>
      </c>
      <c r="N71" s="171">
        <f t="shared" si="18"/>
        <v>1</v>
      </c>
      <c r="O71" s="74">
        <f t="shared" si="17"/>
        <v>6.73</v>
      </c>
      <c r="P71" s="160" t="str">
        <f t="shared" si="19"/>
        <v>6-7,9 литра</v>
      </c>
      <c r="Q71" s="101" t="str">
        <f t="shared" si="16"/>
        <v>5-10 л</v>
      </c>
      <c r="R71" s="153">
        <f t="shared" si="20"/>
        <v>370</v>
      </c>
      <c r="S71" s="153">
        <f t="shared" si="21"/>
        <v>140</v>
      </c>
      <c r="T71" s="153">
        <f t="shared" si="22"/>
        <v>130</v>
      </c>
      <c r="U71" s="16">
        <f t="shared" si="23"/>
        <v>0.30024000000000001</v>
      </c>
      <c r="V71" s="16" t="str">
        <f t="shared" si="24"/>
        <v>Длинные</v>
      </c>
      <c r="W71" s="16" t="str">
        <f t="shared" si="25"/>
        <v/>
      </c>
      <c r="X71" s="159" t="str">
        <f t="shared" si="29"/>
        <v>300-399 мм</v>
      </c>
      <c r="Y71" s="159" t="str">
        <f t="shared" si="30"/>
        <v>100-199 мм</v>
      </c>
      <c r="Z71" s="159" t="str">
        <f t="shared" si="31"/>
        <v>100-199 мм</v>
      </c>
      <c r="AA71" s="100" t="str">
        <f t="shared" si="26"/>
        <v>Самосборные</v>
      </c>
      <c r="AB71" s="16">
        <v>1.73</v>
      </c>
      <c r="AC71" s="100" t="str">
        <f t="shared" si="27"/>
        <v>6-7 литра</v>
      </c>
    </row>
    <row r="72" spans="1:29" x14ac:dyDescent="0.3">
      <c r="A72" s="53">
        <v>0.44</v>
      </c>
      <c r="B72" s="59">
        <f t="shared" si="28"/>
        <v>0.52800000000000002</v>
      </c>
      <c r="C72" s="108">
        <v>72</v>
      </c>
      <c r="D72" s="115" t="s">
        <v>27</v>
      </c>
      <c r="E72" s="87" t="s">
        <v>268</v>
      </c>
      <c r="G72" s="82" t="s">
        <v>143</v>
      </c>
      <c r="H72" s="89" t="s">
        <v>20</v>
      </c>
      <c r="I72" s="82" t="s">
        <v>21</v>
      </c>
      <c r="J72" s="82" t="s">
        <v>1</v>
      </c>
      <c r="K72" s="115" t="s">
        <v>269</v>
      </c>
      <c r="N72" s="171">
        <f t="shared" si="18"/>
        <v>1</v>
      </c>
      <c r="O72" s="74">
        <f t="shared" si="17"/>
        <v>3.19</v>
      </c>
      <c r="P72" s="160" t="str">
        <f t="shared" si="19"/>
        <v>3-3,9 литра</v>
      </c>
      <c r="Q72" s="101" t="str">
        <f t="shared" ref="Q72:Q135" si="32">IF(O72="","",IF(O72&lt;1,"&lt;1 л",IF(O72&lt;2,"1-2 л",IF(O72&lt;3,"2-3 л",IF(O72&lt;5,"3-5 л",IF(O72&lt;10,"5-10 л",IF(O72&lt;20,"10-20 л",IF(O72&lt;50,"20-50 л",IF(O72&lt;100,"50-100 л","100+ л")))))))))</f>
        <v>3-5 л</v>
      </c>
      <c r="R72" s="153">
        <f t="shared" si="20"/>
        <v>178</v>
      </c>
      <c r="S72" s="153">
        <f t="shared" si="21"/>
        <v>118</v>
      </c>
      <c r="T72" s="153">
        <f t="shared" si="22"/>
        <v>152</v>
      </c>
      <c r="U72" s="16">
        <f t="shared" si="23"/>
        <v>0.181256</v>
      </c>
      <c r="V72" s="16" t="str">
        <f t="shared" si="24"/>
        <v/>
      </c>
      <c r="W72" s="16" t="str">
        <f t="shared" si="25"/>
        <v/>
      </c>
      <c r="X72" s="159" t="str">
        <f t="shared" si="29"/>
        <v>100-199 мм</v>
      </c>
      <c r="Y72" s="159" t="str">
        <f t="shared" si="30"/>
        <v>100-199 мм</v>
      </c>
      <c r="Z72" s="159" t="str">
        <f t="shared" si="31"/>
        <v>100-199 мм</v>
      </c>
      <c r="AA72" s="100" t="str">
        <f t="shared" si="26"/>
        <v>Самосборные</v>
      </c>
      <c r="AB72" s="16">
        <v>1.73</v>
      </c>
      <c r="AC72" s="100" t="str">
        <f t="shared" si="27"/>
        <v>4-5 литра</v>
      </c>
    </row>
    <row r="73" spans="1:29" x14ac:dyDescent="0.3">
      <c r="A73" s="53">
        <v>1.65</v>
      </c>
      <c r="B73" s="59">
        <f t="shared" si="28"/>
        <v>1.9799999999999998</v>
      </c>
      <c r="C73" s="108">
        <v>73</v>
      </c>
      <c r="D73" s="115" t="s">
        <v>27</v>
      </c>
      <c r="E73" s="87" t="s">
        <v>270</v>
      </c>
      <c r="G73" s="82" t="s">
        <v>143</v>
      </c>
      <c r="H73" s="89" t="s">
        <v>271</v>
      </c>
      <c r="I73" s="82" t="s">
        <v>21</v>
      </c>
      <c r="J73" s="82" t="s">
        <v>1</v>
      </c>
      <c r="K73" s="115" t="s">
        <v>272</v>
      </c>
      <c r="N73" s="171">
        <f t="shared" si="18"/>
        <v>1</v>
      </c>
      <c r="O73" s="74">
        <f t="shared" si="17"/>
        <v>27.5</v>
      </c>
      <c r="P73" s="160" t="str">
        <f t="shared" si="19"/>
        <v>20-29 литров</v>
      </c>
      <c r="Q73" s="101" t="str">
        <f t="shared" si="32"/>
        <v>20-50 л</v>
      </c>
      <c r="R73" s="153">
        <f t="shared" si="20"/>
        <v>1100</v>
      </c>
      <c r="S73" s="153">
        <f t="shared" si="21"/>
        <v>250</v>
      </c>
      <c r="T73" s="153">
        <f t="shared" si="22"/>
        <v>100</v>
      </c>
      <c r="U73" s="16">
        <f t="shared" si="23"/>
        <v>0.98807999999999996</v>
      </c>
      <c r="V73" s="16" t="str">
        <f t="shared" si="24"/>
        <v>Длинные</v>
      </c>
      <c r="W73" s="16" t="str">
        <f t="shared" si="25"/>
        <v>Плоские</v>
      </c>
      <c r="X73" s="159" t="str">
        <f t="shared" si="29"/>
        <v>1000+ мм</v>
      </c>
      <c r="Y73" s="159" t="str">
        <f t="shared" si="30"/>
        <v>200-299 мм</v>
      </c>
      <c r="Z73" s="159" t="str">
        <f t="shared" si="31"/>
        <v>100-199 мм</v>
      </c>
      <c r="AA73" s="100" t="str">
        <f t="shared" si="26"/>
        <v>Самосборные</v>
      </c>
      <c r="AB73" s="16">
        <v>1.73</v>
      </c>
      <c r="AC73" s="100" t="str">
        <f t="shared" si="27"/>
        <v>20-29 литров</v>
      </c>
    </row>
    <row r="74" spans="1:29" x14ac:dyDescent="0.3">
      <c r="A74" s="53">
        <v>1.1100000000000001</v>
      </c>
      <c r="B74" s="59">
        <f t="shared" si="28"/>
        <v>1.3320000000000001</v>
      </c>
      <c r="C74" s="108">
        <v>74</v>
      </c>
      <c r="D74" s="115" t="s">
        <v>27</v>
      </c>
      <c r="E74" s="87" t="s">
        <v>273</v>
      </c>
      <c r="G74" s="82" t="s">
        <v>143</v>
      </c>
      <c r="H74" s="89" t="s">
        <v>147</v>
      </c>
      <c r="I74" s="82" t="s">
        <v>21</v>
      </c>
      <c r="J74" s="82" t="s">
        <v>1</v>
      </c>
      <c r="K74" s="115" t="s">
        <v>274</v>
      </c>
      <c r="N74" s="171">
        <f t="shared" si="18"/>
        <v>1</v>
      </c>
      <c r="O74" s="74">
        <f t="shared" si="17"/>
        <v>7.73</v>
      </c>
      <c r="P74" s="160" t="str">
        <f t="shared" si="19"/>
        <v>6-7,9 литра</v>
      </c>
      <c r="Q74" s="101" t="str">
        <f t="shared" si="32"/>
        <v>5-10 л</v>
      </c>
      <c r="R74" s="153">
        <f t="shared" si="20"/>
        <v>460</v>
      </c>
      <c r="S74" s="153">
        <f t="shared" si="21"/>
        <v>280</v>
      </c>
      <c r="T74" s="153">
        <f t="shared" si="22"/>
        <v>60</v>
      </c>
      <c r="U74" s="16">
        <f t="shared" si="23"/>
        <v>0.53591999999999995</v>
      </c>
      <c r="V74" s="16" t="str">
        <f t="shared" si="24"/>
        <v/>
      </c>
      <c r="W74" s="16" t="str">
        <f t="shared" si="25"/>
        <v>Плоские</v>
      </c>
      <c r="X74" s="159" t="str">
        <f t="shared" si="29"/>
        <v>400-499 мм</v>
      </c>
      <c r="Y74" s="159" t="str">
        <f t="shared" si="30"/>
        <v>200-299 мм</v>
      </c>
      <c r="Z74" s="159" t="str">
        <f t="shared" si="31"/>
        <v>10-99 мм</v>
      </c>
      <c r="AA74" s="100" t="str">
        <f t="shared" si="26"/>
        <v>Самосборные</v>
      </c>
      <c r="AB74" s="16">
        <v>1.73</v>
      </c>
      <c r="AC74" s="100" t="str">
        <f t="shared" si="27"/>
        <v>8-9 литров</v>
      </c>
    </row>
    <row r="75" spans="1:29" x14ac:dyDescent="0.3">
      <c r="A75" s="53">
        <v>1</v>
      </c>
      <c r="B75" s="59">
        <f t="shared" si="28"/>
        <v>1.2</v>
      </c>
      <c r="C75" s="108">
        <v>75</v>
      </c>
      <c r="D75" s="115" t="s">
        <v>27</v>
      </c>
      <c r="E75" s="87" t="s">
        <v>275</v>
      </c>
      <c r="G75" s="82" t="s">
        <v>143</v>
      </c>
      <c r="H75" s="89" t="s">
        <v>147</v>
      </c>
      <c r="I75" s="82" t="s">
        <v>21</v>
      </c>
      <c r="J75" s="82" t="s">
        <v>1</v>
      </c>
      <c r="K75" s="115" t="s">
        <v>276</v>
      </c>
      <c r="N75" s="171">
        <f t="shared" si="18"/>
        <v>1</v>
      </c>
      <c r="O75" s="74">
        <f t="shared" ref="O75:O138" si="33">ROUND(R75*S75*T75/1000000,2)</f>
        <v>7.25</v>
      </c>
      <c r="P75" s="160" t="str">
        <f t="shared" si="19"/>
        <v>6-7,9 литра</v>
      </c>
      <c r="Q75" s="101" t="str">
        <f t="shared" si="32"/>
        <v>5-10 л</v>
      </c>
      <c r="R75" s="153">
        <f t="shared" si="20"/>
        <v>600</v>
      </c>
      <c r="S75" s="153">
        <f t="shared" si="21"/>
        <v>115</v>
      </c>
      <c r="T75" s="153">
        <f t="shared" si="22"/>
        <v>105</v>
      </c>
      <c r="U75" s="16">
        <f t="shared" si="23"/>
        <v>0.33972000000000002</v>
      </c>
      <c r="V75" s="16" t="str">
        <f t="shared" si="24"/>
        <v>Длинные</v>
      </c>
      <c r="W75" s="16" t="str">
        <f t="shared" si="25"/>
        <v/>
      </c>
      <c r="X75" s="159" t="str">
        <f t="shared" si="29"/>
        <v>600-699 мм</v>
      </c>
      <c r="Y75" s="159" t="str">
        <f t="shared" si="30"/>
        <v>100-199 мм</v>
      </c>
      <c r="Z75" s="159" t="str">
        <f t="shared" si="31"/>
        <v>100-199 мм</v>
      </c>
      <c r="AA75" s="100" t="str">
        <f t="shared" si="26"/>
        <v>Самосборные</v>
      </c>
      <c r="AB75" s="16">
        <v>1.73</v>
      </c>
      <c r="AC75" s="100" t="str">
        <f t="shared" si="27"/>
        <v>8-9 литров</v>
      </c>
    </row>
    <row r="76" spans="1:29" x14ac:dyDescent="0.3">
      <c r="A76" s="53">
        <v>0.68</v>
      </c>
      <c r="B76" s="59">
        <f t="shared" si="28"/>
        <v>0.81600000000000006</v>
      </c>
      <c r="C76" s="108">
        <v>76</v>
      </c>
      <c r="D76" s="115" t="s">
        <v>27</v>
      </c>
      <c r="E76" s="87" t="s">
        <v>277</v>
      </c>
      <c r="G76" s="82" t="s">
        <v>143</v>
      </c>
      <c r="H76" s="89" t="s">
        <v>147</v>
      </c>
      <c r="I76" s="82" t="s">
        <v>21</v>
      </c>
      <c r="J76" s="82" t="s">
        <v>1</v>
      </c>
      <c r="K76" s="115" t="s">
        <v>278</v>
      </c>
      <c r="N76" s="171">
        <f t="shared" si="18"/>
        <v>1</v>
      </c>
      <c r="O76" s="74">
        <f t="shared" si="33"/>
        <v>2.6</v>
      </c>
      <c r="P76" s="160" t="str">
        <f t="shared" si="19"/>
        <v>2-2,9 литра</v>
      </c>
      <c r="Q76" s="101" t="str">
        <f t="shared" si="32"/>
        <v>2-3 л</v>
      </c>
      <c r="R76" s="153">
        <f t="shared" si="20"/>
        <v>170</v>
      </c>
      <c r="S76" s="153">
        <f t="shared" si="21"/>
        <v>170</v>
      </c>
      <c r="T76" s="153">
        <f t="shared" si="22"/>
        <v>90</v>
      </c>
      <c r="U76" s="16">
        <f t="shared" si="23"/>
        <v>0.19832</v>
      </c>
      <c r="V76" s="16" t="str">
        <f t="shared" si="24"/>
        <v/>
      </c>
      <c r="W76" s="16" t="str">
        <f t="shared" si="25"/>
        <v/>
      </c>
      <c r="X76" s="159" t="str">
        <f t="shared" si="29"/>
        <v>100-199 мм</v>
      </c>
      <c r="Y76" s="159" t="str">
        <f t="shared" si="30"/>
        <v>100-199 мм</v>
      </c>
      <c r="Z76" s="159" t="str">
        <f t="shared" si="31"/>
        <v>10-99 мм</v>
      </c>
      <c r="AA76" s="100" t="str">
        <f t="shared" si="26"/>
        <v>Самосборные</v>
      </c>
      <c r="AB76" s="16">
        <v>1.73</v>
      </c>
      <c r="AC76" s="100" t="str">
        <f t="shared" si="27"/>
        <v>2-3 литра</v>
      </c>
    </row>
    <row r="77" spans="1:29" x14ac:dyDescent="0.3">
      <c r="A77" s="53">
        <v>1.01</v>
      </c>
      <c r="B77" s="59">
        <f t="shared" si="28"/>
        <v>1.212</v>
      </c>
      <c r="C77" s="108">
        <v>77</v>
      </c>
      <c r="D77" s="115" t="s">
        <v>27</v>
      </c>
      <c r="E77" s="87" t="s">
        <v>279</v>
      </c>
      <c r="G77" s="82" t="s">
        <v>143</v>
      </c>
      <c r="H77" s="89" t="s">
        <v>222</v>
      </c>
      <c r="I77" s="82" t="s">
        <v>144</v>
      </c>
      <c r="J77" s="82" t="s">
        <v>1</v>
      </c>
      <c r="K77" s="115" t="s">
        <v>280</v>
      </c>
      <c r="N77" s="171">
        <f t="shared" si="18"/>
        <v>1</v>
      </c>
      <c r="O77" s="74">
        <f t="shared" si="33"/>
        <v>8.52</v>
      </c>
      <c r="P77" s="160" t="str">
        <f t="shared" si="19"/>
        <v>8-9,9 литров</v>
      </c>
      <c r="Q77" s="101" t="str">
        <f t="shared" si="32"/>
        <v>5-10 л</v>
      </c>
      <c r="R77" s="153">
        <f t="shared" si="20"/>
        <v>780</v>
      </c>
      <c r="S77" s="153">
        <f t="shared" si="21"/>
        <v>130</v>
      </c>
      <c r="T77" s="153">
        <f t="shared" si="22"/>
        <v>84</v>
      </c>
      <c r="U77" s="16">
        <f t="shared" si="23"/>
        <v>0.41736000000000001</v>
      </c>
      <c r="V77" s="16" t="str">
        <f t="shared" si="24"/>
        <v>Длинные</v>
      </c>
      <c r="W77" s="16" t="str">
        <f t="shared" si="25"/>
        <v/>
      </c>
      <c r="X77" s="159" t="str">
        <f t="shared" si="29"/>
        <v>700-999 мм</v>
      </c>
      <c r="Y77" s="159" t="str">
        <f t="shared" si="30"/>
        <v>100-199 мм</v>
      </c>
      <c r="Z77" s="159" t="str">
        <f t="shared" si="31"/>
        <v>10-99 мм</v>
      </c>
      <c r="AA77" s="100" t="str">
        <f t="shared" si="26"/>
        <v>Самосборные</v>
      </c>
      <c r="AB77" s="16">
        <v>1.73</v>
      </c>
      <c r="AC77" s="100" t="str">
        <f t="shared" si="27"/>
        <v>8-9 литров</v>
      </c>
    </row>
    <row r="78" spans="1:29" x14ac:dyDescent="0.3">
      <c r="A78" s="53">
        <v>0.47</v>
      </c>
      <c r="B78" s="59">
        <f t="shared" si="28"/>
        <v>0.56399999999999995</v>
      </c>
      <c r="C78" s="108">
        <v>78</v>
      </c>
      <c r="D78" s="115" t="s">
        <v>27</v>
      </c>
      <c r="E78" s="87" t="s">
        <v>281</v>
      </c>
      <c r="G78" s="82" t="s">
        <v>143</v>
      </c>
      <c r="H78" s="89" t="s">
        <v>147</v>
      </c>
      <c r="I78" s="82" t="s">
        <v>144</v>
      </c>
      <c r="J78" s="82" t="s">
        <v>1</v>
      </c>
      <c r="K78" s="115" t="s">
        <v>282</v>
      </c>
      <c r="N78" s="171">
        <f t="shared" si="18"/>
        <v>1</v>
      </c>
      <c r="O78" s="74">
        <f t="shared" si="33"/>
        <v>1.8</v>
      </c>
      <c r="P78" s="160" t="str">
        <f t="shared" si="19"/>
        <v>1-1,9 литра</v>
      </c>
      <c r="Q78" s="101" t="str">
        <f t="shared" si="32"/>
        <v>1-2 л</v>
      </c>
      <c r="R78" s="153">
        <f t="shared" si="20"/>
        <v>300</v>
      </c>
      <c r="S78" s="153">
        <f t="shared" si="21"/>
        <v>100</v>
      </c>
      <c r="T78" s="153">
        <f t="shared" si="22"/>
        <v>60</v>
      </c>
      <c r="U78" s="16">
        <f t="shared" si="23"/>
        <v>0.14448</v>
      </c>
      <c r="V78" s="16" t="str">
        <f t="shared" si="24"/>
        <v>Длинные</v>
      </c>
      <c r="W78" s="16" t="str">
        <f t="shared" si="25"/>
        <v/>
      </c>
      <c r="X78" s="159" t="str">
        <f t="shared" si="29"/>
        <v>300-399 мм</v>
      </c>
      <c r="Y78" s="159" t="str">
        <f t="shared" si="30"/>
        <v>100-199 мм</v>
      </c>
      <c r="Z78" s="159" t="str">
        <f t="shared" si="31"/>
        <v>10-99 мм</v>
      </c>
      <c r="AA78" s="100" t="str">
        <f t="shared" si="26"/>
        <v>Самосборные</v>
      </c>
      <c r="AB78" s="16">
        <v>1.73</v>
      </c>
      <c r="AC78" s="100" t="str">
        <f t="shared" si="27"/>
        <v>2-3 литра</v>
      </c>
    </row>
    <row r="79" spans="1:29" x14ac:dyDescent="0.3">
      <c r="A79" s="53">
        <v>0.71</v>
      </c>
      <c r="B79" s="59">
        <f t="shared" si="28"/>
        <v>0.85199999999999998</v>
      </c>
      <c r="C79" s="108">
        <v>79</v>
      </c>
      <c r="D79" s="115" t="s">
        <v>27</v>
      </c>
      <c r="E79" s="87" t="s">
        <v>283</v>
      </c>
      <c r="G79" s="82" t="s">
        <v>143</v>
      </c>
      <c r="H79" s="89" t="s">
        <v>147</v>
      </c>
      <c r="I79" s="82" t="s">
        <v>21</v>
      </c>
      <c r="J79" s="82" t="s">
        <v>1</v>
      </c>
      <c r="K79" s="115" t="s">
        <v>284</v>
      </c>
      <c r="N79" s="171">
        <f t="shared" si="18"/>
        <v>1</v>
      </c>
      <c r="O79" s="74">
        <f t="shared" si="33"/>
        <v>2.8</v>
      </c>
      <c r="P79" s="160" t="str">
        <f t="shared" si="19"/>
        <v>2-2,9 литра</v>
      </c>
      <c r="Q79" s="101" t="str">
        <f t="shared" si="32"/>
        <v>2-3 л</v>
      </c>
      <c r="R79" s="153">
        <f t="shared" si="20"/>
        <v>280</v>
      </c>
      <c r="S79" s="153">
        <f t="shared" si="21"/>
        <v>100</v>
      </c>
      <c r="T79" s="153">
        <f t="shared" si="22"/>
        <v>100</v>
      </c>
      <c r="U79" s="16">
        <f t="shared" si="23"/>
        <v>0.17055999999999999</v>
      </c>
      <c r="V79" s="16" t="str">
        <f t="shared" si="24"/>
        <v>Длинные</v>
      </c>
      <c r="W79" s="16" t="str">
        <f t="shared" si="25"/>
        <v/>
      </c>
      <c r="X79" s="159" t="str">
        <f t="shared" si="29"/>
        <v>200-299 мм</v>
      </c>
      <c r="Y79" s="159" t="str">
        <f t="shared" si="30"/>
        <v>100-199 мм</v>
      </c>
      <c r="Z79" s="159" t="str">
        <f t="shared" si="31"/>
        <v>100-199 мм</v>
      </c>
      <c r="AA79" s="100" t="str">
        <f t="shared" si="26"/>
        <v>Самосборные</v>
      </c>
      <c r="AB79" s="16">
        <v>1.73</v>
      </c>
      <c r="AC79" s="100" t="str">
        <f t="shared" si="27"/>
        <v>2-3 литра</v>
      </c>
    </row>
    <row r="80" spans="1:29" x14ac:dyDescent="0.3">
      <c r="A80" s="53">
        <v>0.56999999999999995</v>
      </c>
      <c r="B80" s="59">
        <f t="shared" si="28"/>
        <v>0.68399999999999994</v>
      </c>
      <c r="C80" s="108">
        <v>80</v>
      </c>
      <c r="D80" s="115" t="s">
        <v>27</v>
      </c>
      <c r="E80" s="87" t="s">
        <v>285</v>
      </c>
      <c r="G80" s="82" t="s">
        <v>143</v>
      </c>
      <c r="H80" s="89" t="s">
        <v>147</v>
      </c>
      <c r="I80" s="82" t="s">
        <v>144</v>
      </c>
      <c r="J80" s="82" t="s">
        <v>1</v>
      </c>
      <c r="K80" s="115" t="s">
        <v>286</v>
      </c>
      <c r="N80" s="171">
        <f t="shared" si="18"/>
        <v>1</v>
      </c>
      <c r="O80" s="74">
        <f t="shared" si="33"/>
        <v>3.02</v>
      </c>
      <c r="P80" s="160" t="str">
        <f t="shared" si="19"/>
        <v>3-3,9 литра</v>
      </c>
      <c r="Q80" s="101" t="str">
        <f t="shared" si="32"/>
        <v>3-5 л</v>
      </c>
      <c r="R80" s="153">
        <f t="shared" si="20"/>
        <v>320</v>
      </c>
      <c r="S80" s="153">
        <f t="shared" si="21"/>
        <v>210</v>
      </c>
      <c r="T80" s="153">
        <f t="shared" si="22"/>
        <v>45</v>
      </c>
      <c r="U80" s="16">
        <f t="shared" si="23"/>
        <v>0.29455999999999999</v>
      </c>
      <c r="V80" s="16" t="str">
        <f t="shared" si="24"/>
        <v/>
      </c>
      <c r="W80" s="16" t="str">
        <f t="shared" si="25"/>
        <v>Плоские</v>
      </c>
      <c r="X80" s="159" t="str">
        <f t="shared" si="29"/>
        <v>300-399 мм</v>
      </c>
      <c r="Y80" s="159" t="str">
        <f t="shared" si="30"/>
        <v>200-299 мм</v>
      </c>
      <c r="Z80" s="159" t="str">
        <f t="shared" si="31"/>
        <v>10-99 мм</v>
      </c>
      <c r="AA80" s="100" t="str">
        <f t="shared" si="26"/>
        <v>Самосборные</v>
      </c>
      <c r="AB80" s="16">
        <v>1.73</v>
      </c>
      <c r="AC80" s="100" t="str">
        <f t="shared" si="27"/>
        <v>4-5 литра</v>
      </c>
    </row>
    <row r="81" spans="1:29" x14ac:dyDescent="0.3">
      <c r="A81" s="53">
        <v>0.8</v>
      </c>
      <c r="B81" s="59">
        <f t="shared" si="28"/>
        <v>0.96</v>
      </c>
      <c r="C81" s="108">
        <v>81</v>
      </c>
      <c r="D81" s="115" t="s">
        <v>27</v>
      </c>
      <c r="E81" s="87" t="s">
        <v>287</v>
      </c>
      <c r="G81" s="82" t="s">
        <v>143</v>
      </c>
      <c r="H81" s="89" t="s">
        <v>156</v>
      </c>
      <c r="I81" s="82" t="s">
        <v>21</v>
      </c>
      <c r="J81" s="82" t="s">
        <v>1</v>
      </c>
      <c r="K81" s="115" t="s">
        <v>288</v>
      </c>
      <c r="N81" s="171">
        <f t="shared" si="18"/>
        <v>1</v>
      </c>
      <c r="O81" s="74">
        <f t="shared" si="33"/>
        <v>6.35</v>
      </c>
      <c r="P81" s="160" t="str">
        <f t="shared" si="19"/>
        <v>6-7,9 литра</v>
      </c>
      <c r="Q81" s="101" t="str">
        <f t="shared" si="32"/>
        <v>5-10 л</v>
      </c>
      <c r="R81" s="153">
        <f t="shared" si="20"/>
        <v>325</v>
      </c>
      <c r="S81" s="153">
        <f t="shared" si="21"/>
        <v>170</v>
      </c>
      <c r="T81" s="153">
        <f t="shared" si="22"/>
        <v>115</v>
      </c>
      <c r="U81" s="16">
        <f t="shared" si="23"/>
        <v>0.30764999999999998</v>
      </c>
      <c r="V81" s="16" t="str">
        <f t="shared" si="24"/>
        <v/>
      </c>
      <c r="W81" s="16" t="str">
        <f t="shared" si="25"/>
        <v/>
      </c>
      <c r="X81" s="159" t="str">
        <f t="shared" si="29"/>
        <v>300-399 мм</v>
      </c>
      <c r="Y81" s="159" t="str">
        <f t="shared" si="30"/>
        <v>100-199 мм</v>
      </c>
      <c r="Z81" s="159" t="str">
        <f t="shared" si="31"/>
        <v>100-199 мм</v>
      </c>
      <c r="AA81" s="100" t="str">
        <f t="shared" si="26"/>
        <v>Самосборные</v>
      </c>
      <c r="AB81" s="16">
        <v>1.73</v>
      </c>
      <c r="AC81" s="100" t="str">
        <f t="shared" si="27"/>
        <v>6-7 литра</v>
      </c>
    </row>
    <row r="82" spans="1:29" x14ac:dyDescent="0.3">
      <c r="A82" s="53">
        <v>0.48</v>
      </c>
      <c r="B82" s="59">
        <f t="shared" si="28"/>
        <v>0.57599999999999996</v>
      </c>
      <c r="C82" s="108">
        <v>82</v>
      </c>
      <c r="D82" s="115" t="s">
        <v>27</v>
      </c>
      <c r="E82" s="87" t="s">
        <v>289</v>
      </c>
      <c r="G82" s="82" t="s">
        <v>143</v>
      </c>
      <c r="H82" s="89" t="s">
        <v>147</v>
      </c>
      <c r="I82" s="82" t="s">
        <v>21</v>
      </c>
      <c r="J82" s="82" t="s">
        <v>1</v>
      </c>
      <c r="K82" s="115" t="s">
        <v>290</v>
      </c>
      <c r="N82" s="171">
        <f t="shared" si="18"/>
        <v>1</v>
      </c>
      <c r="O82" s="74">
        <f t="shared" si="33"/>
        <v>1.1299999999999999</v>
      </c>
      <c r="P82" s="160" t="str">
        <f t="shared" si="19"/>
        <v>1-1,9 литра</v>
      </c>
      <c r="Q82" s="101" t="str">
        <f t="shared" si="32"/>
        <v>1-2 л</v>
      </c>
      <c r="R82" s="153">
        <f t="shared" si="20"/>
        <v>140</v>
      </c>
      <c r="S82" s="153">
        <f t="shared" si="21"/>
        <v>90</v>
      </c>
      <c r="T82" s="153">
        <f t="shared" si="22"/>
        <v>90</v>
      </c>
      <c r="U82" s="16">
        <f t="shared" si="23"/>
        <v>9.776E-2</v>
      </c>
      <c r="V82" s="16" t="str">
        <f t="shared" si="24"/>
        <v/>
      </c>
      <c r="W82" s="16" t="str">
        <f t="shared" si="25"/>
        <v/>
      </c>
      <c r="X82" s="159" t="str">
        <f t="shared" si="29"/>
        <v>100-199 мм</v>
      </c>
      <c r="Y82" s="159" t="str">
        <f t="shared" si="30"/>
        <v>10-99 мм</v>
      </c>
      <c r="Z82" s="159" t="str">
        <f t="shared" si="31"/>
        <v>10-99 мм</v>
      </c>
      <c r="AA82" s="100" t="str">
        <f t="shared" si="26"/>
        <v>Самосборные</v>
      </c>
      <c r="AB82" s="16">
        <v>1.73</v>
      </c>
      <c r="AC82" s="100" t="str">
        <f t="shared" si="27"/>
        <v>2-3 литра</v>
      </c>
    </row>
    <row r="83" spans="1:29" x14ac:dyDescent="0.3">
      <c r="A83" s="53">
        <v>0.48</v>
      </c>
      <c r="B83" s="59">
        <f t="shared" si="28"/>
        <v>0.57599999999999996</v>
      </c>
      <c r="C83" s="108">
        <v>83</v>
      </c>
      <c r="D83" s="115" t="s">
        <v>27</v>
      </c>
      <c r="E83" s="87" t="s">
        <v>291</v>
      </c>
      <c r="G83" s="82" t="s">
        <v>143</v>
      </c>
      <c r="H83" s="89" t="s">
        <v>147</v>
      </c>
      <c r="I83" s="82" t="s">
        <v>21</v>
      </c>
      <c r="J83" s="82" t="s">
        <v>1</v>
      </c>
      <c r="K83" s="115" t="s">
        <v>292</v>
      </c>
      <c r="N83" s="171">
        <f t="shared" si="18"/>
        <v>1</v>
      </c>
      <c r="O83" s="74">
        <f t="shared" si="33"/>
        <v>2.6</v>
      </c>
      <c r="P83" s="160" t="str">
        <f t="shared" si="19"/>
        <v>2-2,9 литра</v>
      </c>
      <c r="Q83" s="101" t="str">
        <f t="shared" si="32"/>
        <v>2-3 л</v>
      </c>
      <c r="R83" s="153">
        <f t="shared" si="20"/>
        <v>305</v>
      </c>
      <c r="S83" s="153">
        <f t="shared" si="21"/>
        <v>155</v>
      </c>
      <c r="T83" s="153">
        <f t="shared" si="22"/>
        <v>55</v>
      </c>
      <c r="U83" s="16">
        <f t="shared" si="23"/>
        <v>0.21364</v>
      </c>
      <c r="V83" s="16" t="str">
        <f t="shared" si="24"/>
        <v/>
      </c>
      <c r="W83" s="16" t="str">
        <f t="shared" si="25"/>
        <v>Плоские</v>
      </c>
      <c r="X83" s="159" t="str">
        <f t="shared" si="29"/>
        <v>300-399 мм</v>
      </c>
      <c r="Y83" s="159" t="str">
        <f t="shared" si="30"/>
        <v>100-199 мм</v>
      </c>
      <c r="Z83" s="159" t="str">
        <f t="shared" si="31"/>
        <v>10-99 мм</v>
      </c>
      <c r="AA83" s="100" t="str">
        <f t="shared" si="26"/>
        <v>Самосборные</v>
      </c>
      <c r="AB83" s="16">
        <v>1.73</v>
      </c>
      <c r="AC83" s="100" t="str">
        <f t="shared" si="27"/>
        <v>2-3 литра</v>
      </c>
    </row>
    <row r="84" spans="1:29" x14ac:dyDescent="0.3">
      <c r="A84" s="53">
        <v>0.23</v>
      </c>
      <c r="B84" s="59">
        <f t="shared" si="28"/>
        <v>0.27600000000000002</v>
      </c>
      <c r="C84" s="108">
        <v>84</v>
      </c>
      <c r="D84" s="115" t="s">
        <v>27</v>
      </c>
      <c r="E84" s="87" t="s">
        <v>293</v>
      </c>
      <c r="G84" s="82" t="s">
        <v>143</v>
      </c>
      <c r="H84" s="89" t="s">
        <v>147</v>
      </c>
      <c r="I84" s="82" t="s">
        <v>144</v>
      </c>
      <c r="J84" s="82" t="s">
        <v>1</v>
      </c>
      <c r="K84" s="115" t="s">
        <v>294</v>
      </c>
      <c r="N84" s="171">
        <f t="shared" si="18"/>
        <v>1</v>
      </c>
      <c r="O84" s="74">
        <f t="shared" si="33"/>
        <v>0.68</v>
      </c>
      <c r="P84" s="160" t="str">
        <f t="shared" si="19"/>
        <v>0,1-0,9 литров</v>
      </c>
      <c r="Q84" s="101" t="str">
        <f t="shared" si="32"/>
        <v>&lt;1 л</v>
      </c>
      <c r="R84" s="153">
        <f t="shared" si="20"/>
        <v>155</v>
      </c>
      <c r="S84" s="153">
        <f t="shared" si="21"/>
        <v>110</v>
      </c>
      <c r="T84" s="153">
        <f t="shared" si="22"/>
        <v>40</v>
      </c>
      <c r="U84" s="16">
        <f t="shared" si="23"/>
        <v>9.3219999999999997E-2</v>
      </c>
      <c r="V84" s="16" t="str">
        <f t="shared" si="24"/>
        <v/>
      </c>
      <c r="W84" s="16" t="str">
        <f t="shared" si="25"/>
        <v>Плоские</v>
      </c>
      <c r="X84" s="159" t="str">
        <f t="shared" si="29"/>
        <v>100-199 мм</v>
      </c>
      <c r="Y84" s="159" t="str">
        <f t="shared" si="30"/>
        <v>100-199 мм</v>
      </c>
      <c r="Z84" s="159" t="str">
        <f t="shared" si="31"/>
        <v>10-99 мм</v>
      </c>
      <c r="AA84" s="100" t="str">
        <f t="shared" si="26"/>
        <v>Самосборные</v>
      </c>
      <c r="AB84" s="16">
        <v>1.73</v>
      </c>
      <c r="AC84" s="100" t="str">
        <f t="shared" si="27"/>
        <v>0-1 литров</v>
      </c>
    </row>
    <row r="85" spans="1:29" x14ac:dyDescent="0.3">
      <c r="A85" s="53">
        <v>0.2</v>
      </c>
      <c r="B85" s="59">
        <f t="shared" si="28"/>
        <v>0.24</v>
      </c>
      <c r="C85" s="108">
        <v>85</v>
      </c>
      <c r="D85" s="115" t="s">
        <v>27</v>
      </c>
      <c r="E85" s="87" t="s">
        <v>295</v>
      </c>
      <c r="G85" s="82" t="s">
        <v>143</v>
      </c>
      <c r="H85" s="89" t="s">
        <v>20</v>
      </c>
      <c r="I85" s="82" t="s">
        <v>144</v>
      </c>
      <c r="J85" s="82" t="s">
        <v>296</v>
      </c>
      <c r="K85" s="115" t="s">
        <v>297</v>
      </c>
      <c r="N85" s="171">
        <f t="shared" si="18"/>
        <v>1</v>
      </c>
      <c r="O85" s="74">
        <f t="shared" si="33"/>
        <v>0.76</v>
      </c>
      <c r="P85" s="160" t="str">
        <f t="shared" si="19"/>
        <v>0,1-0,9 литров</v>
      </c>
      <c r="Q85" s="101" t="str">
        <f t="shared" si="32"/>
        <v>&lt;1 л</v>
      </c>
      <c r="R85" s="153">
        <f t="shared" si="20"/>
        <v>60</v>
      </c>
      <c r="S85" s="153">
        <f t="shared" si="21"/>
        <v>60</v>
      </c>
      <c r="T85" s="153">
        <f t="shared" si="22"/>
        <v>210</v>
      </c>
      <c r="U85" s="16">
        <f t="shared" si="23"/>
        <v>8.3400000000000002E-2</v>
      </c>
      <c r="V85" s="16" t="str">
        <f t="shared" si="24"/>
        <v>Длинные</v>
      </c>
      <c r="W85" s="16" t="str">
        <f t="shared" si="25"/>
        <v/>
      </c>
      <c r="X85" s="159" t="str">
        <f t="shared" si="29"/>
        <v>200-299 мм</v>
      </c>
      <c r="Y85" s="159" t="str">
        <f t="shared" si="30"/>
        <v>10-99 мм</v>
      </c>
      <c r="Z85" s="159" t="str">
        <f t="shared" si="31"/>
        <v>10-99 мм</v>
      </c>
      <c r="AA85" s="100" t="str">
        <f t="shared" si="26"/>
        <v>Самосборные</v>
      </c>
      <c r="AB85" s="16">
        <v>1.73</v>
      </c>
      <c r="AC85" s="100" t="str">
        <f t="shared" si="27"/>
        <v>0-1 литров</v>
      </c>
    </row>
    <row r="86" spans="1:29" x14ac:dyDescent="0.3">
      <c r="A86" s="53">
        <v>0.46</v>
      </c>
      <c r="B86" s="59">
        <f t="shared" si="28"/>
        <v>0.55200000000000005</v>
      </c>
      <c r="C86" s="108">
        <v>86</v>
      </c>
      <c r="D86" s="115" t="s">
        <v>27</v>
      </c>
      <c r="E86" s="87" t="s">
        <v>298</v>
      </c>
      <c r="G86" s="82" t="s">
        <v>143</v>
      </c>
      <c r="H86" s="89" t="s">
        <v>156</v>
      </c>
      <c r="I86" s="82" t="s">
        <v>21</v>
      </c>
      <c r="J86" s="82" t="s">
        <v>1</v>
      </c>
      <c r="K86" s="115" t="s">
        <v>299</v>
      </c>
      <c r="N86" s="171">
        <f t="shared" si="18"/>
        <v>1</v>
      </c>
      <c r="O86" s="74">
        <f t="shared" si="33"/>
        <v>3.44</v>
      </c>
      <c r="P86" s="160" t="str">
        <f t="shared" si="19"/>
        <v>3-3,9 литра</v>
      </c>
      <c r="Q86" s="101" t="str">
        <f t="shared" si="32"/>
        <v>3-5 л</v>
      </c>
      <c r="R86" s="153">
        <f t="shared" si="20"/>
        <v>250</v>
      </c>
      <c r="S86" s="153">
        <f t="shared" si="21"/>
        <v>250</v>
      </c>
      <c r="T86" s="153">
        <f t="shared" si="22"/>
        <v>55</v>
      </c>
      <c r="U86" s="16">
        <f t="shared" si="23"/>
        <v>0.33178000000000002</v>
      </c>
      <c r="V86" s="16" t="str">
        <f t="shared" si="24"/>
        <v/>
      </c>
      <c r="W86" s="16" t="str">
        <f t="shared" si="25"/>
        <v>Плоские</v>
      </c>
      <c r="X86" s="159" t="str">
        <f t="shared" si="29"/>
        <v>200-299 мм</v>
      </c>
      <c r="Y86" s="159" t="str">
        <f t="shared" si="30"/>
        <v>200-299 мм</v>
      </c>
      <c r="Z86" s="159" t="str">
        <f t="shared" si="31"/>
        <v>10-99 мм</v>
      </c>
      <c r="AA86" s="100" t="str">
        <f t="shared" si="26"/>
        <v>Самосборные</v>
      </c>
      <c r="AB86" s="16">
        <v>1.73</v>
      </c>
      <c r="AC86" s="100" t="str">
        <f t="shared" si="27"/>
        <v>4-5 литра</v>
      </c>
    </row>
    <row r="87" spans="1:29" x14ac:dyDescent="0.3">
      <c r="A87" s="53">
        <v>0.69</v>
      </c>
      <c r="B87" s="59">
        <f t="shared" si="28"/>
        <v>0.82799999999999996</v>
      </c>
      <c r="C87" s="108">
        <v>87</v>
      </c>
      <c r="D87" s="115" t="s">
        <v>27</v>
      </c>
      <c r="E87" s="87" t="s">
        <v>300</v>
      </c>
      <c r="G87" s="82" t="s">
        <v>143</v>
      </c>
      <c r="H87" s="89" t="s">
        <v>156</v>
      </c>
      <c r="I87" s="82" t="s">
        <v>21</v>
      </c>
      <c r="J87" s="82" t="s">
        <v>1</v>
      </c>
      <c r="K87" s="115" t="s">
        <v>301</v>
      </c>
      <c r="N87" s="171">
        <f t="shared" si="18"/>
        <v>1</v>
      </c>
      <c r="O87" s="74">
        <f t="shared" si="33"/>
        <v>6.22</v>
      </c>
      <c r="P87" s="160" t="str">
        <f t="shared" si="19"/>
        <v>6-7,9 литра</v>
      </c>
      <c r="Q87" s="101" t="str">
        <f t="shared" si="32"/>
        <v>5-10 л</v>
      </c>
      <c r="R87" s="153">
        <f t="shared" si="20"/>
        <v>370</v>
      </c>
      <c r="S87" s="153">
        <f t="shared" si="21"/>
        <v>280</v>
      </c>
      <c r="T87" s="153">
        <f t="shared" si="22"/>
        <v>60</v>
      </c>
      <c r="U87" s="16">
        <f t="shared" si="23"/>
        <v>0.47327999999999998</v>
      </c>
      <c r="V87" s="16" t="str">
        <f t="shared" si="24"/>
        <v/>
      </c>
      <c r="W87" s="16" t="str">
        <f t="shared" si="25"/>
        <v>Плоские</v>
      </c>
      <c r="X87" s="159" t="str">
        <f t="shared" si="29"/>
        <v>300-399 мм</v>
      </c>
      <c r="Y87" s="159" t="str">
        <f t="shared" si="30"/>
        <v>200-299 мм</v>
      </c>
      <c r="Z87" s="159" t="str">
        <f t="shared" si="31"/>
        <v>10-99 мм</v>
      </c>
      <c r="AA87" s="100" t="str">
        <f t="shared" si="26"/>
        <v>Самосборные</v>
      </c>
      <c r="AB87" s="16">
        <v>1.73</v>
      </c>
      <c r="AC87" s="100" t="str">
        <f t="shared" si="27"/>
        <v>6-7 литра</v>
      </c>
    </row>
    <row r="88" spans="1:29" x14ac:dyDescent="0.3">
      <c r="A88" s="53">
        <v>0.35</v>
      </c>
      <c r="B88" s="59">
        <f t="shared" si="28"/>
        <v>0.42</v>
      </c>
      <c r="C88" s="108">
        <v>88</v>
      </c>
      <c r="D88" s="115" t="s">
        <v>27</v>
      </c>
      <c r="E88" s="87" t="s">
        <v>302</v>
      </c>
      <c r="G88" s="82" t="s">
        <v>143</v>
      </c>
      <c r="H88" s="89" t="s">
        <v>1</v>
      </c>
      <c r="I88" s="82" t="s">
        <v>21</v>
      </c>
      <c r="J88" s="82" t="s">
        <v>1</v>
      </c>
      <c r="K88" s="115" t="s">
        <v>303</v>
      </c>
      <c r="N88" s="171">
        <f t="shared" si="18"/>
        <v>1</v>
      </c>
      <c r="O88" s="74">
        <f t="shared" si="33"/>
        <v>1.41</v>
      </c>
      <c r="P88" s="160" t="str">
        <f t="shared" si="19"/>
        <v>1-1,9 литра</v>
      </c>
      <c r="Q88" s="101" t="str">
        <f t="shared" si="32"/>
        <v>1-2 л</v>
      </c>
      <c r="R88" s="153">
        <f t="shared" si="20"/>
        <v>125</v>
      </c>
      <c r="S88" s="153">
        <f t="shared" si="21"/>
        <v>125</v>
      </c>
      <c r="T88" s="153">
        <f t="shared" si="22"/>
        <v>90</v>
      </c>
      <c r="U88" s="16">
        <f t="shared" si="23"/>
        <v>0.12488</v>
      </c>
      <c r="V88" s="16" t="str">
        <f t="shared" si="24"/>
        <v/>
      </c>
      <c r="W88" s="16" t="str">
        <f t="shared" si="25"/>
        <v/>
      </c>
      <c r="X88" s="159" t="str">
        <f t="shared" si="29"/>
        <v>100-199 мм</v>
      </c>
      <c r="Y88" s="159" t="str">
        <f t="shared" si="30"/>
        <v>100-199 мм</v>
      </c>
      <c r="Z88" s="159" t="str">
        <f t="shared" si="31"/>
        <v>10-99 мм</v>
      </c>
      <c r="AA88" s="100" t="str">
        <f t="shared" si="26"/>
        <v>Самосборные</v>
      </c>
      <c r="AB88" s="16">
        <v>1.73</v>
      </c>
      <c r="AC88" s="100" t="str">
        <f t="shared" si="27"/>
        <v>2-3 литра</v>
      </c>
    </row>
    <row r="89" spans="1:29" x14ac:dyDescent="0.3">
      <c r="A89" s="53">
        <v>0.82</v>
      </c>
      <c r="B89" s="59">
        <f t="shared" si="28"/>
        <v>0.98399999999999987</v>
      </c>
      <c r="C89" s="108">
        <v>89</v>
      </c>
      <c r="D89" s="115" t="s">
        <v>27</v>
      </c>
      <c r="E89" s="87" t="s">
        <v>304</v>
      </c>
      <c r="G89" s="82" t="s">
        <v>18</v>
      </c>
      <c r="H89" s="89" t="s">
        <v>1</v>
      </c>
      <c r="I89" s="82" t="s">
        <v>21</v>
      </c>
      <c r="J89" s="82" t="s">
        <v>1</v>
      </c>
      <c r="K89" s="115" t="s">
        <v>305</v>
      </c>
      <c r="N89" s="171">
        <f t="shared" si="18"/>
        <v>1</v>
      </c>
      <c r="O89" s="74">
        <f t="shared" si="33"/>
        <v>13.37</v>
      </c>
      <c r="P89" s="160" t="str">
        <f t="shared" si="19"/>
        <v>10-14,9 литров</v>
      </c>
      <c r="Q89" s="101" t="str">
        <f t="shared" si="32"/>
        <v>10-20 л</v>
      </c>
      <c r="R89" s="153">
        <f t="shared" si="20"/>
        <v>495</v>
      </c>
      <c r="S89" s="153">
        <f t="shared" si="21"/>
        <v>90</v>
      </c>
      <c r="T89" s="153">
        <f t="shared" si="22"/>
        <v>300</v>
      </c>
      <c r="U89" s="16">
        <f t="shared" si="23"/>
        <v>0.48953999999999998</v>
      </c>
      <c r="V89" s="16" t="str">
        <f t="shared" si="24"/>
        <v/>
      </c>
      <c r="W89" s="16" t="str">
        <f t="shared" si="25"/>
        <v>Плоские</v>
      </c>
      <c r="X89" s="159" t="str">
        <f t="shared" si="29"/>
        <v>400-499 мм</v>
      </c>
      <c r="Y89" s="159" t="str">
        <f t="shared" si="30"/>
        <v>300-399 мм</v>
      </c>
      <c r="Z89" s="159" t="str">
        <f t="shared" si="31"/>
        <v>10-99 мм</v>
      </c>
      <c r="AA89" s="100" t="str">
        <f t="shared" si="26"/>
        <v>Четырехклапанные</v>
      </c>
      <c r="AB89" s="16">
        <v>1.73</v>
      </c>
      <c r="AC89" s="100" t="str">
        <f t="shared" si="27"/>
        <v>10-14 литров</v>
      </c>
    </row>
    <row r="90" spans="1:29" x14ac:dyDescent="0.3">
      <c r="A90" s="53">
        <v>0.47</v>
      </c>
      <c r="B90" s="59">
        <f t="shared" si="28"/>
        <v>0.56399999999999995</v>
      </c>
      <c r="C90" s="108">
        <v>90</v>
      </c>
      <c r="D90" s="115" t="s">
        <v>27</v>
      </c>
      <c r="E90" s="87" t="s">
        <v>306</v>
      </c>
      <c r="G90" s="82" t="s">
        <v>143</v>
      </c>
      <c r="H90" s="89" t="s">
        <v>1</v>
      </c>
      <c r="I90" s="82" t="s">
        <v>21</v>
      </c>
      <c r="J90" s="82" t="s">
        <v>1</v>
      </c>
      <c r="K90" s="115" t="s">
        <v>307</v>
      </c>
      <c r="N90" s="171">
        <f t="shared" si="18"/>
        <v>1</v>
      </c>
      <c r="O90" s="74">
        <f t="shared" si="33"/>
        <v>2.76</v>
      </c>
      <c r="P90" s="160" t="str">
        <f t="shared" si="19"/>
        <v>2-2,9 литра</v>
      </c>
      <c r="Q90" s="101" t="str">
        <f t="shared" si="32"/>
        <v>2-3 л</v>
      </c>
      <c r="R90" s="153">
        <f t="shared" si="20"/>
        <v>175</v>
      </c>
      <c r="S90" s="153">
        <f t="shared" si="21"/>
        <v>175</v>
      </c>
      <c r="T90" s="153">
        <f t="shared" si="22"/>
        <v>90</v>
      </c>
      <c r="U90" s="16">
        <f t="shared" si="23"/>
        <v>0.20748</v>
      </c>
      <c r="V90" s="16" t="str">
        <f t="shared" si="24"/>
        <v/>
      </c>
      <c r="W90" s="16" t="str">
        <f t="shared" si="25"/>
        <v/>
      </c>
      <c r="X90" s="159" t="str">
        <f t="shared" si="29"/>
        <v>100-199 мм</v>
      </c>
      <c r="Y90" s="159" t="str">
        <f t="shared" si="30"/>
        <v>100-199 мм</v>
      </c>
      <c r="Z90" s="159" t="str">
        <f t="shared" si="31"/>
        <v>10-99 мм</v>
      </c>
      <c r="AA90" s="100" t="str">
        <f t="shared" si="26"/>
        <v>Самосборные</v>
      </c>
      <c r="AB90" s="16">
        <v>1.73</v>
      </c>
      <c r="AC90" s="100" t="str">
        <f t="shared" si="27"/>
        <v>2-3 литра</v>
      </c>
    </row>
    <row r="91" spans="1:29" x14ac:dyDescent="0.3">
      <c r="A91" s="53">
        <v>0.47</v>
      </c>
      <c r="B91" s="59">
        <f t="shared" si="28"/>
        <v>0.56399999999999995</v>
      </c>
      <c r="C91" s="108">
        <v>91</v>
      </c>
      <c r="D91" s="115" t="s">
        <v>27</v>
      </c>
      <c r="E91" s="87" t="s">
        <v>308</v>
      </c>
      <c r="G91" s="82" t="s">
        <v>143</v>
      </c>
      <c r="H91" s="89" t="s">
        <v>20</v>
      </c>
      <c r="I91" s="82" t="s">
        <v>309</v>
      </c>
      <c r="J91" s="82" t="s">
        <v>1</v>
      </c>
      <c r="K91" s="115" t="s">
        <v>310</v>
      </c>
      <c r="N91" s="171">
        <f t="shared" si="18"/>
        <v>1</v>
      </c>
      <c r="O91" s="74">
        <f t="shared" si="33"/>
        <v>4.09</v>
      </c>
      <c r="P91" s="160" t="str">
        <f t="shared" si="19"/>
        <v>4-5,9 литра</v>
      </c>
      <c r="Q91" s="101" t="str">
        <f t="shared" si="32"/>
        <v>3-5 л</v>
      </c>
      <c r="R91" s="153">
        <f t="shared" si="20"/>
        <v>220</v>
      </c>
      <c r="S91" s="153">
        <f t="shared" si="21"/>
        <v>120</v>
      </c>
      <c r="T91" s="153">
        <f t="shared" si="22"/>
        <v>155</v>
      </c>
      <c r="U91" s="16">
        <f t="shared" si="23"/>
        <v>0.20942</v>
      </c>
      <c r="V91" s="16" t="str">
        <f t="shared" si="24"/>
        <v/>
      </c>
      <c r="W91" s="16" t="str">
        <f t="shared" si="25"/>
        <v/>
      </c>
      <c r="X91" s="159" t="str">
        <f t="shared" si="29"/>
        <v>200-299 мм</v>
      </c>
      <c r="Y91" s="159" t="str">
        <f t="shared" si="30"/>
        <v>100-199 мм</v>
      </c>
      <c r="Z91" s="159" t="str">
        <f t="shared" si="31"/>
        <v>100-199 мм</v>
      </c>
      <c r="AA91" s="100" t="str">
        <f t="shared" si="26"/>
        <v>Самосборные</v>
      </c>
      <c r="AB91" s="16">
        <v>1.73</v>
      </c>
      <c r="AC91" s="100" t="str">
        <f t="shared" si="27"/>
        <v>4-5 литра</v>
      </c>
    </row>
    <row r="92" spans="1:29" x14ac:dyDescent="0.3">
      <c r="A92" s="53">
        <v>1.78</v>
      </c>
      <c r="B92" s="59">
        <f t="shared" si="28"/>
        <v>2.1360000000000001</v>
      </c>
      <c r="C92" s="108">
        <v>92</v>
      </c>
      <c r="D92" s="115" t="s">
        <v>27</v>
      </c>
      <c r="E92" s="87" t="s">
        <v>311</v>
      </c>
      <c r="G92" s="82" t="s">
        <v>18</v>
      </c>
      <c r="H92" s="89" t="s">
        <v>19</v>
      </c>
      <c r="I92" s="82" t="s">
        <v>21</v>
      </c>
      <c r="J92" s="82" t="s">
        <v>1</v>
      </c>
      <c r="K92" s="115" t="s">
        <v>312</v>
      </c>
      <c r="N92" s="171">
        <f t="shared" si="18"/>
        <v>1</v>
      </c>
      <c r="O92" s="74">
        <f t="shared" si="33"/>
        <v>46.9</v>
      </c>
      <c r="P92" s="160" t="str">
        <f t="shared" si="19"/>
        <v>30-49 литров</v>
      </c>
      <c r="Q92" s="101" t="str">
        <f t="shared" si="32"/>
        <v>20-50 л</v>
      </c>
      <c r="R92" s="153">
        <f t="shared" si="20"/>
        <v>390</v>
      </c>
      <c r="S92" s="153">
        <f t="shared" si="21"/>
        <v>325</v>
      </c>
      <c r="T92" s="153">
        <f t="shared" si="22"/>
        <v>370</v>
      </c>
      <c r="U92" s="16">
        <f t="shared" si="23"/>
        <v>1.0474699999999999</v>
      </c>
      <c r="V92" s="16" t="str">
        <f t="shared" si="24"/>
        <v/>
      </c>
      <c r="W92" s="16" t="str">
        <f t="shared" si="25"/>
        <v/>
      </c>
      <c r="X92" s="159" t="str">
        <f t="shared" si="29"/>
        <v>300-399 мм</v>
      </c>
      <c r="Y92" s="159" t="str">
        <f t="shared" si="30"/>
        <v>300-399 мм</v>
      </c>
      <c r="Z92" s="159" t="str">
        <f t="shared" si="31"/>
        <v>300-399 мм</v>
      </c>
      <c r="AA92" s="100" t="str">
        <f t="shared" si="26"/>
        <v>Четырехклапанные</v>
      </c>
      <c r="AB92" s="16">
        <v>1.73</v>
      </c>
      <c r="AC92" s="100" t="str">
        <f t="shared" si="27"/>
        <v>30-49 литров</v>
      </c>
    </row>
    <row r="93" spans="1:29" x14ac:dyDescent="0.3">
      <c r="A93" s="53">
        <v>1.77</v>
      </c>
      <c r="B93" s="59">
        <f t="shared" si="28"/>
        <v>2.1240000000000001</v>
      </c>
      <c r="C93" s="108">
        <v>93</v>
      </c>
      <c r="D93" s="115" t="s">
        <v>27</v>
      </c>
      <c r="E93" s="87" t="s">
        <v>313</v>
      </c>
      <c r="G93" s="82" t="s">
        <v>18</v>
      </c>
      <c r="H93" s="89" t="s">
        <v>19</v>
      </c>
      <c r="I93" s="82" t="s">
        <v>21</v>
      </c>
      <c r="J93" s="82" t="s">
        <v>1</v>
      </c>
      <c r="K93" s="115" t="s">
        <v>314</v>
      </c>
      <c r="N93" s="171">
        <f t="shared" si="18"/>
        <v>1</v>
      </c>
      <c r="O93" s="74">
        <f t="shared" si="33"/>
        <v>37.909999999999997</v>
      </c>
      <c r="P93" s="160" t="str">
        <f t="shared" si="19"/>
        <v>30-49 литров</v>
      </c>
      <c r="Q93" s="101" t="str">
        <f t="shared" si="32"/>
        <v>20-50 л</v>
      </c>
      <c r="R93" s="153">
        <f t="shared" si="20"/>
        <v>570</v>
      </c>
      <c r="S93" s="153">
        <f t="shared" si="21"/>
        <v>350</v>
      </c>
      <c r="T93" s="153">
        <f t="shared" si="22"/>
        <v>190</v>
      </c>
      <c r="U93" s="16">
        <f t="shared" si="23"/>
        <v>1.0411999999999999</v>
      </c>
      <c r="V93" s="16" t="str">
        <f t="shared" si="24"/>
        <v/>
      </c>
      <c r="W93" s="16" t="str">
        <f t="shared" si="25"/>
        <v/>
      </c>
      <c r="X93" s="159" t="str">
        <f t="shared" si="29"/>
        <v>500-599 мм</v>
      </c>
      <c r="Y93" s="159" t="str">
        <f t="shared" si="30"/>
        <v>300-399 мм</v>
      </c>
      <c r="Z93" s="159" t="str">
        <f t="shared" si="31"/>
        <v>100-199 мм</v>
      </c>
      <c r="AA93" s="100" t="str">
        <f t="shared" si="26"/>
        <v>Четырехклапанные</v>
      </c>
      <c r="AB93" s="16">
        <v>1.73</v>
      </c>
      <c r="AC93" s="100" t="str">
        <f t="shared" si="27"/>
        <v>30-49 литров</v>
      </c>
    </row>
    <row r="94" spans="1:29" x14ac:dyDescent="0.3">
      <c r="A94" s="53">
        <v>0.26</v>
      </c>
      <c r="B94" s="59">
        <f t="shared" si="28"/>
        <v>0.312</v>
      </c>
      <c r="C94" s="108">
        <v>94</v>
      </c>
      <c r="D94" s="115" t="s">
        <v>27</v>
      </c>
      <c r="E94" s="87" t="s">
        <v>315</v>
      </c>
      <c r="G94" s="82" t="s">
        <v>143</v>
      </c>
      <c r="H94" s="89" t="s">
        <v>147</v>
      </c>
      <c r="I94" s="82" t="s">
        <v>309</v>
      </c>
      <c r="J94" s="82" t="s">
        <v>1</v>
      </c>
      <c r="K94" s="115" t="s">
        <v>316</v>
      </c>
      <c r="N94" s="171">
        <f t="shared" si="18"/>
        <v>1</v>
      </c>
      <c r="O94" s="74">
        <f t="shared" si="33"/>
        <v>0.72</v>
      </c>
      <c r="P94" s="160" t="str">
        <f t="shared" si="19"/>
        <v>0,1-0,9 литров</v>
      </c>
      <c r="Q94" s="101" t="str">
        <f t="shared" si="32"/>
        <v>&lt;1 л</v>
      </c>
      <c r="R94" s="153">
        <f t="shared" si="20"/>
        <v>200</v>
      </c>
      <c r="S94" s="153">
        <f t="shared" si="21"/>
        <v>90</v>
      </c>
      <c r="T94" s="153">
        <f t="shared" si="22"/>
        <v>40</v>
      </c>
      <c r="U94" s="16">
        <f t="shared" si="23"/>
        <v>8.8319999999999996E-2</v>
      </c>
      <c r="V94" s="16" t="str">
        <f t="shared" si="24"/>
        <v>Длинные</v>
      </c>
      <c r="W94" s="16" t="str">
        <f t="shared" si="25"/>
        <v>Плоские</v>
      </c>
      <c r="X94" s="159" t="str">
        <f t="shared" si="29"/>
        <v>200-299 мм</v>
      </c>
      <c r="Y94" s="159" t="str">
        <f t="shared" si="30"/>
        <v>10-99 мм</v>
      </c>
      <c r="Z94" s="159" t="str">
        <f t="shared" si="31"/>
        <v>10-99 мм</v>
      </c>
      <c r="AA94" s="100" t="str">
        <f t="shared" si="26"/>
        <v>Самосборные</v>
      </c>
      <c r="AB94" s="16">
        <v>1.73</v>
      </c>
      <c r="AC94" s="100" t="str">
        <f t="shared" si="27"/>
        <v>0-1 литров</v>
      </c>
    </row>
    <row r="95" spans="1:29" x14ac:dyDescent="0.3">
      <c r="A95" s="53">
        <v>0.26</v>
      </c>
      <c r="B95" s="59">
        <f t="shared" si="28"/>
        <v>0.312</v>
      </c>
      <c r="C95" s="108">
        <v>95</v>
      </c>
      <c r="D95" s="115" t="s">
        <v>27</v>
      </c>
      <c r="E95" s="87" t="s">
        <v>317</v>
      </c>
      <c r="G95" s="82" t="s">
        <v>143</v>
      </c>
      <c r="H95" s="89" t="s">
        <v>20</v>
      </c>
      <c r="I95" s="82" t="s">
        <v>21</v>
      </c>
      <c r="J95" s="82" t="s">
        <v>1</v>
      </c>
      <c r="K95" s="115" t="s">
        <v>318</v>
      </c>
      <c r="N95" s="171">
        <f t="shared" si="18"/>
        <v>1</v>
      </c>
      <c r="O95" s="74">
        <f t="shared" si="33"/>
        <v>1.3</v>
      </c>
      <c r="P95" s="160" t="str">
        <f t="shared" si="19"/>
        <v>1-1,9 литра</v>
      </c>
      <c r="Q95" s="101" t="str">
        <f t="shared" si="32"/>
        <v>1-2 л</v>
      </c>
      <c r="R95" s="153">
        <f t="shared" si="20"/>
        <v>74</v>
      </c>
      <c r="S95" s="153">
        <f t="shared" si="21"/>
        <v>71</v>
      </c>
      <c r="T95" s="153">
        <f t="shared" si="22"/>
        <v>247</v>
      </c>
      <c r="U95" s="16">
        <f t="shared" si="23"/>
        <v>0.11409999999999999</v>
      </c>
      <c r="V95" s="16" t="str">
        <f t="shared" si="24"/>
        <v>Длинные</v>
      </c>
      <c r="W95" s="16" t="str">
        <f t="shared" si="25"/>
        <v/>
      </c>
      <c r="X95" s="159" t="str">
        <f t="shared" si="29"/>
        <v>200-299 мм</v>
      </c>
      <c r="Y95" s="159" t="str">
        <f t="shared" si="30"/>
        <v>10-99 мм</v>
      </c>
      <c r="Z95" s="159" t="str">
        <f t="shared" si="31"/>
        <v>10-99 мм</v>
      </c>
      <c r="AA95" s="100" t="str">
        <f t="shared" si="26"/>
        <v>Самосборные</v>
      </c>
      <c r="AB95" s="16">
        <v>1.73</v>
      </c>
      <c r="AC95" s="100" t="str">
        <f t="shared" si="27"/>
        <v>2-3 литра</v>
      </c>
    </row>
    <row r="96" spans="1:29" x14ac:dyDescent="0.3">
      <c r="A96" s="53">
        <v>0.12</v>
      </c>
      <c r="B96" s="59">
        <f t="shared" si="28"/>
        <v>0.14399999999999999</v>
      </c>
      <c r="C96" s="108">
        <v>96</v>
      </c>
      <c r="D96" s="115" t="s">
        <v>27</v>
      </c>
      <c r="E96" s="87" t="s">
        <v>319</v>
      </c>
      <c r="G96" s="82" t="s">
        <v>143</v>
      </c>
      <c r="H96" s="89" t="s">
        <v>320</v>
      </c>
      <c r="I96" s="82" t="s">
        <v>21</v>
      </c>
      <c r="J96" s="82" t="s">
        <v>1</v>
      </c>
      <c r="K96" s="115" t="s">
        <v>321</v>
      </c>
      <c r="N96" s="171">
        <f t="shared" si="18"/>
        <v>1</v>
      </c>
      <c r="O96" s="74">
        <f t="shared" si="33"/>
        <v>0.28999999999999998</v>
      </c>
      <c r="P96" s="160" t="str">
        <f t="shared" si="19"/>
        <v>0,1-0,9 литров</v>
      </c>
      <c r="Q96" s="101" t="str">
        <f t="shared" si="32"/>
        <v>&lt;1 л</v>
      </c>
      <c r="R96" s="153">
        <f t="shared" si="20"/>
        <v>235</v>
      </c>
      <c r="S96" s="153">
        <f t="shared" si="21"/>
        <v>35</v>
      </c>
      <c r="T96" s="153">
        <f t="shared" si="22"/>
        <v>35</v>
      </c>
      <c r="U96" s="16">
        <f t="shared" si="23"/>
        <v>4.6800000000000001E-2</v>
      </c>
      <c r="V96" s="16" t="str">
        <f t="shared" si="24"/>
        <v>Длинные</v>
      </c>
      <c r="W96" s="16" t="str">
        <f t="shared" si="25"/>
        <v/>
      </c>
      <c r="X96" s="159" t="str">
        <f t="shared" si="29"/>
        <v>200-299 мм</v>
      </c>
      <c r="Y96" s="159" t="str">
        <f t="shared" si="30"/>
        <v>10-99 мм</v>
      </c>
      <c r="Z96" s="159" t="str">
        <f t="shared" si="31"/>
        <v>10-99 мм</v>
      </c>
      <c r="AA96" s="100" t="str">
        <f t="shared" si="26"/>
        <v>Самосборные</v>
      </c>
      <c r="AB96" s="16">
        <v>1.73</v>
      </c>
      <c r="AC96" s="100" t="str">
        <f t="shared" si="27"/>
        <v>0-1 литров</v>
      </c>
    </row>
    <row r="97" spans="1:29" x14ac:dyDescent="0.3">
      <c r="A97" s="53">
        <v>0.73</v>
      </c>
      <c r="B97" s="59">
        <f t="shared" si="28"/>
        <v>0.876</v>
      </c>
      <c r="C97" s="108">
        <v>97</v>
      </c>
      <c r="D97" s="115" t="s">
        <v>27</v>
      </c>
      <c r="E97" s="87" t="s">
        <v>322</v>
      </c>
      <c r="G97" s="82" t="s">
        <v>18</v>
      </c>
      <c r="H97" s="89" t="s">
        <v>19</v>
      </c>
      <c r="I97" s="82" t="s">
        <v>21</v>
      </c>
      <c r="J97" s="82" t="s">
        <v>1</v>
      </c>
      <c r="K97" s="115" t="s">
        <v>323</v>
      </c>
      <c r="N97" s="171">
        <f t="shared" si="18"/>
        <v>1</v>
      </c>
      <c r="O97" s="74">
        <f t="shared" si="33"/>
        <v>10.34</v>
      </c>
      <c r="P97" s="160" t="str">
        <f t="shared" si="19"/>
        <v>10-14,9 литров</v>
      </c>
      <c r="Q97" s="101" t="str">
        <f t="shared" si="32"/>
        <v>10-20 л</v>
      </c>
      <c r="R97" s="153">
        <f t="shared" si="20"/>
        <v>290</v>
      </c>
      <c r="S97" s="153">
        <f t="shared" si="21"/>
        <v>230</v>
      </c>
      <c r="T97" s="153">
        <f t="shared" si="22"/>
        <v>155</v>
      </c>
      <c r="U97" s="16">
        <f t="shared" si="23"/>
        <v>0.43230000000000002</v>
      </c>
      <c r="V97" s="16" t="str">
        <f t="shared" si="24"/>
        <v/>
      </c>
      <c r="W97" s="16" t="str">
        <f t="shared" si="25"/>
        <v/>
      </c>
      <c r="X97" s="159" t="str">
        <f t="shared" si="29"/>
        <v>200-299 мм</v>
      </c>
      <c r="Y97" s="159" t="str">
        <f t="shared" si="30"/>
        <v>200-299 мм</v>
      </c>
      <c r="Z97" s="159" t="str">
        <f t="shared" si="31"/>
        <v>100-199 мм</v>
      </c>
      <c r="AA97" s="100" t="str">
        <f t="shared" si="26"/>
        <v>Четырехклапанные</v>
      </c>
      <c r="AB97" s="16">
        <v>1.73</v>
      </c>
      <c r="AC97" s="100" t="str">
        <f t="shared" si="27"/>
        <v>10-14 литров</v>
      </c>
    </row>
    <row r="98" spans="1:29" x14ac:dyDescent="0.3">
      <c r="A98" s="53">
        <v>1.71</v>
      </c>
      <c r="B98" s="59">
        <f t="shared" si="28"/>
        <v>2.052</v>
      </c>
      <c r="C98" s="108">
        <v>98</v>
      </c>
      <c r="D98" s="115" t="s">
        <v>27</v>
      </c>
      <c r="E98" s="87" t="s">
        <v>324</v>
      </c>
      <c r="G98" s="82" t="s">
        <v>18</v>
      </c>
      <c r="H98" s="89" t="s">
        <v>19</v>
      </c>
      <c r="I98" s="82" t="s">
        <v>21</v>
      </c>
      <c r="J98" s="82" t="s">
        <v>1</v>
      </c>
      <c r="K98" s="115" t="s">
        <v>325</v>
      </c>
      <c r="N98" s="171">
        <f t="shared" si="18"/>
        <v>1</v>
      </c>
      <c r="O98" s="74">
        <f t="shared" si="33"/>
        <v>45.36</v>
      </c>
      <c r="P98" s="160" t="str">
        <f t="shared" si="19"/>
        <v>30-49 литров</v>
      </c>
      <c r="Q98" s="101" t="str">
        <f t="shared" si="32"/>
        <v>20-50 л</v>
      </c>
      <c r="R98" s="153">
        <f t="shared" si="20"/>
        <v>600</v>
      </c>
      <c r="S98" s="153">
        <f t="shared" si="21"/>
        <v>270</v>
      </c>
      <c r="T98" s="153">
        <f t="shared" si="22"/>
        <v>280</v>
      </c>
      <c r="U98" s="16">
        <f t="shared" si="23"/>
        <v>1.0044</v>
      </c>
      <c r="V98" s="16" t="str">
        <f t="shared" si="24"/>
        <v>Длинные</v>
      </c>
      <c r="W98" s="16" t="str">
        <f t="shared" si="25"/>
        <v/>
      </c>
      <c r="X98" s="159" t="str">
        <f t="shared" si="29"/>
        <v>600-699 мм</v>
      </c>
      <c r="Y98" s="159" t="str">
        <f t="shared" si="30"/>
        <v>200-299 мм</v>
      </c>
      <c r="Z98" s="159" t="str">
        <f t="shared" si="31"/>
        <v>200-299 мм</v>
      </c>
      <c r="AA98" s="100" t="str">
        <f t="shared" si="26"/>
        <v>Четырехклапанные</v>
      </c>
      <c r="AB98" s="16">
        <v>1.73</v>
      </c>
      <c r="AC98" s="100" t="str">
        <f t="shared" si="27"/>
        <v>30-49 литров</v>
      </c>
    </row>
    <row r="99" spans="1:29" x14ac:dyDescent="0.3">
      <c r="A99" s="53">
        <v>0.49</v>
      </c>
      <c r="B99" s="59">
        <f t="shared" si="28"/>
        <v>0.58799999999999997</v>
      </c>
      <c r="C99" s="108">
        <v>99</v>
      </c>
      <c r="D99" s="115" t="s">
        <v>27</v>
      </c>
      <c r="E99" s="87" t="s">
        <v>326</v>
      </c>
      <c r="G99" s="82" t="s">
        <v>18</v>
      </c>
      <c r="H99" s="89" t="s">
        <v>19</v>
      </c>
      <c r="I99" s="82" t="s">
        <v>21</v>
      </c>
      <c r="J99" s="82" t="s">
        <v>1</v>
      </c>
      <c r="K99" s="115" t="s">
        <v>327</v>
      </c>
      <c r="N99" s="171">
        <f t="shared" si="18"/>
        <v>1</v>
      </c>
      <c r="O99" s="74">
        <f t="shared" si="33"/>
        <v>6.13</v>
      </c>
      <c r="P99" s="160" t="str">
        <f t="shared" si="19"/>
        <v>6-7,9 литра</v>
      </c>
      <c r="Q99" s="101" t="str">
        <f t="shared" si="32"/>
        <v>5-10 л</v>
      </c>
      <c r="R99" s="153">
        <f t="shared" si="20"/>
        <v>175</v>
      </c>
      <c r="S99" s="153">
        <f t="shared" si="21"/>
        <v>175</v>
      </c>
      <c r="T99" s="153">
        <f t="shared" si="22"/>
        <v>200</v>
      </c>
      <c r="U99" s="16">
        <f t="shared" si="23"/>
        <v>0.29108000000000001</v>
      </c>
      <c r="V99" s="16" t="str">
        <f t="shared" si="24"/>
        <v/>
      </c>
      <c r="W99" s="16" t="str">
        <f t="shared" si="25"/>
        <v/>
      </c>
      <c r="X99" s="159" t="str">
        <f t="shared" si="29"/>
        <v>200-299 мм</v>
      </c>
      <c r="Y99" s="159" t="str">
        <f t="shared" si="30"/>
        <v>100-199 мм</v>
      </c>
      <c r="Z99" s="159" t="str">
        <f t="shared" si="31"/>
        <v>100-199 мм</v>
      </c>
      <c r="AA99" s="100" t="str">
        <f t="shared" si="26"/>
        <v>Четырехклапанные</v>
      </c>
      <c r="AB99" s="16">
        <v>1.73</v>
      </c>
      <c r="AC99" s="100" t="str">
        <f t="shared" si="27"/>
        <v>6-7 литра</v>
      </c>
    </row>
    <row r="100" spans="1:29" x14ac:dyDescent="0.3">
      <c r="A100" s="53">
        <v>1.41</v>
      </c>
      <c r="B100" s="59">
        <f t="shared" si="28"/>
        <v>1.6919999999999999</v>
      </c>
      <c r="C100" s="108">
        <v>100</v>
      </c>
      <c r="D100" s="115" t="s">
        <v>27</v>
      </c>
      <c r="E100" s="87" t="s">
        <v>328</v>
      </c>
      <c r="G100" s="82" t="s">
        <v>18</v>
      </c>
      <c r="H100" s="89" t="s">
        <v>19</v>
      </c>
      <c r="I100" s="82" t="s">
        <v>21</v>
      </c>
      <c r="J100" s="82" t="s">
        <v>1</v>
      </c>
      <c r="K100" s="115" t="s">
        <v>329</v>
      </c>
      <c r="N100" s="171">
        <f t="shared" si="18"/>
        <v>1</v>
      </c>
      <c r="O100" s="74">
        <f t="shared" si="33"/>
        <v>32.799999999999997</v>
      </c>
      <c r="P100" s="160" t="str">
        <f t="shared" si="19"/>
        <v>30-49 литров</v>
      </c>
      <c r="Q100" s="101" t="str">
        <f t="shared" si="32"/>
        <v>20-50 л</v>
      </c>
      <c r="R100" s="153">
        <f t="shared" si="20"/>
        <v>390</v>
      </c>
      <c r="S100" s="153">
        <f t="shared" si="21"/>
        <v>290</v>
      </c>
      <c r="T100" s="153">
        <f t="shared" si="22"/>
        <v>290</v>
      </c>
      <c r="U100" s="16">
        <f t="shared" si="23"/>
        <v>0.83496000000000004</v>
      </c>
      <c r="V100" s="16" t="str">
        <f t="shared" si="24"/>
        <v/>
      </c>
      <c r="W100" s="16" t="str">
        <f t="shared" si="25"/>
        <v/>
      </c>
      <c r="X100" s="159" t="str">
        <f t="shared" si="29"/>
        <v>300-399 мм</v>
      </c>
      <c r="Y100" s="159" t="str">
        <f t="shared" si="30"/>
        <v>200-299 мм</v>
      </c>
      <c r="Z100" s="159" t="str">
        <f t="shared" si="31"/>
        <v>200-299 мм</v>
      </c>
      <c r="AA100" s="100" t="str">
        <f t="shared" si="26"/>
        <v>Четырехклапанные</v>
      </c>
      <c r="AB100" s="16">
        <v>1.73</v>
      </c>
      <c r="AC100" s="100" t="str">
        <f t="shared" si="27"/>
        <v>30-49 литров</v>
      </c>
    </row>
    <row r="101" spans="1:29" x14ac:dyDescent="0.3">
      <c r="A101" s="53">
        <v>0.85</v>
      </c>
      <c r="B101" s="59">
        <f t="shared" si="28"/>
        <v>1.02</v>
      </c>
      <c r="C101" s="108">
        <v>101</v>
      </c>
      <c r="D101" s="115" t="s">
        <v>27</v>
      </c>
      <c r="E101" s="87" t="s">
        <v>330</v>
      </c>
      <c r="G101" s="82" t="s">
        <v>18</v>
      </c>
      <c r="H101" s="89" t="s">
        <v>19</v>
      </c>
      <c r="I101" s="82" t="s">
        <v>21</v>
      </c>
      <c r="J101" s="82" t="s">
        <v>1</v>
      </c>
      <c r="K101" s="115" t="s">
        <v>331</v>
      </c>
      <c r="N101" s="171">
        <f t="shared" si="18"/>
        <v>1</v>
      </c>
      <c r="O101" s="74">
        <f t="shared" si="33"/>
        <v>15.01</v>
      </c>
      <c r="P101" s="160" t="str">
        <f t="shared" si="19"/>
        <v>15-19,9 литров</v>
      </c>
      <c r="Q101" s="101" t="str">
        <f t="shared" si="32"/>
        <v>10-20 л</v>
      </c>
      <c r="R101" s="153">
        <f t="shared" si="20"/>
        <v>290</v>
      </c>
      <c r="S101" s="153">
        <f t="shared" si="21"/>
        <v>225</v>
      </c>
      <c r="T101" s="153">
        <f t="shared" si="22"/>
        <v>230</v>
      </c>
      <c r="U101" s="16">
        <f t="shared" si="23"/>
        <v>0.50466999999999995</v>
      </c>
      <c r="V101" s="16" t="str">
        <f t="shared" si="24"/>
        <v/>
      </c>
      <c r="W101" s="16" t="str">
        <f t="shared" si="25"/>
        <v/>
      </c>
      <c r="X101" s="159" t="str">
        <f t="shared" si="29"/>
        <v>200-299 мм</v>
      </c>
      <c r="Y101" s="159" t="str">
        <f t="shared" si="30"/>
        <v>200-299 мм</v>
      </c>
      <c r="Z101" s="159" t="str">
        <f t="shared" si="31"/>
        <v>200-299 мм</v>
      </c>
      <c r="AA101" s="100" t="str">
        <f t="shared" si="26"/>
        <v>Четырехклапанные</v>
      </c>
      <c r="AB101" s="16">
        <v>1.73</v>
      </c>
      <c r="AC101" s="100" t="str">
        <f t="shared" si="27"/>
        <v>15-19 литров</v>
      </c>
    </row>
    <row r="102" spans="1:29" x14ac:dyDescent="0.3">
      <c r="A102" s="53">
        <v>0.25</v>
      </c>
      <c r="B102" s="59">
        <f t="shared" si="28"/>
        <v>0.3</v>
      </c>
      <c r="C102" s="108">
        <v>102</v>
      </c>
      <c r="D102" s="115" t="s">
        <v>27</v>
      </c>
      <c r="E102" s="87" t="s">
        <v>332</v>
      </c>
      <c r="G102" s="82" t="s">
        <v>143</v>
      </c>
      <c r="H102" s="89" t="s">
        <v>20</v>
      </c>
      <c r="I102" s="82" t="s">
        <v>21</v>
      </c>
      <c r="J102" s="82" t="s">
        <v>1</v>
      </c>
      <c r="K102" s="115" t="s">
        <v>333</v>
      </c>
      <c r="N102" s="171">
        <f t="shared" si="18"/>
        <v>1</v>
      </c>
      <c r="O102" s="74">
        <f t="shared" si="33"/>
        <v>1</v>
      </c>
      <c r="P102" s="160" t="str">
        <f t="shared" si="19"/>
        <v>1-1,9 литра</v>
      </c>
      <c r="Q102" s="101" t="str">
        <f t="shared" si="32"/>
        <v>1-2 л</v>
      </c>
      <c r="R102" s="153">
        <f t="shared" si="20"/>
        <v>100</v>
      </c>
      <c r="S102" s="153">
        <f t="shared" si="21"/>
        <v>100</v>
      </c>
      <c r="T102" s="153">
        <f t="shared" si="22"/>
        <v>100</v>
      </c>
      <c r="U102" s="16">
        <f t="shared" si="23"/>
        <v>9.5680000000000001E-2</v>
      </c>
      <c r="V102" s="16" t="str">
        <f t="shared" si="24"/>
        <v/>
      </c>
      <c r="W102" s="16" t="str">
        <f t="shared" si="25"/>
        <v/>
      </c>
      <c r="X102" s="159" t="str">
        <f t="shared" si="29"/>
        <v>100-199 мм</v>
      </c>
      <c r="Y102" s="159" t="str">
        <f t="shared" si="30"/>
        <v>100-199 мм</v>
      </c>
      <c r="Z102" s="159" t="str">
        <f t="shared" si="31"/>
        <v>100-199 мм</v>
      </c>
      <c r="AA102" s="100" t="str">
        <f t="shared" si="26"/>
        <v>Самосборные</v>
      </c>
      <c r="AB102" s="16">
        <v>1.73</v>
      </c>
      <c r="AC102" s="100" t="str">
        <f t="shared" si="27"/>
        <v>0-1 литров</v>
      </c>
    </row>
    <row r="103" spans="1:29" x14ac:dyDescent="0.3">
      <c r="A103" s="53">
        <v>0.25</v>
      </c>
      <c r="B103" s="59">
        <f t="shared" si="28"/>
        <v>0.3</v>
      </c>
      <c r="C103" s="108">
        <v>103</v>
      </c>
      <c r="D103" s="115" t="s">
        <v>27</v>
      </c>
      <c r="E103" s="87" t="s">
        <v>334</v>
      </c>
      <c r="G103" s="82" t="s">
        <v>18</v>
      </c>
      <c r="H103" s="89" t="s">
        <v>19</v>
      </c>
      <c r="I103" s="82" t="s">
        <v>21</v>
      </c>
      <c r="J103" s="82" t="s">
        <v>1</v>
      </c>
      <c r="K103" s="115" t="s">
        <v>335</v>
      </c>
      <c r="N103" s="171">
        <f t="shared" si="18"/>
        <v>1</v>
      </c>
      <c r="O103" s="74">
        <f t="shared" si="33"/>
        <v>2.33</v>
      </c>
      <c r="P103" s="160" t="str">
        <f t="shared" si="19"/>
        <v>2-2,9 литра</v>
      </c>
      <c r="Q103" s="101" t="str">
        <f t="shared" si="32"/>
        <v>2-3 л</v>
      </c>
      <c r="R103" s="153">
        <f t="shared" si="20"/>
        <v>150</v>
      </c>
      <c r="S103" s="153">
        <f t="shared" si="21"/>
        <v>115</v>
      </c>
      <c r="T103" s="153">
        <f t="shared" si="22"/>
        <v>135</v>
      </c>
      <c r="U103" s="16">
        <f t="shared" si="23"/>
        <v>0.15221999999999999</v>
      </c>
      <c r="V103" s="16" t="str">
        <f t="shared" si="24"/>
        <v/>
      </c>
      <c r="W103" s="16" t="str">
        <f t="shared" si="25"/>
        <v/>
      </c>
      <c r="X103" s="159" t="str">
        <f t="shared" si="29"/>
        <v>100-199 мм</v>
      </c>
      <c r="Y103" s="159" t="str">
        <f t="shared" si="30"/>
        <v>100-199 мм</v>
      </c>
      <c r="Z103" s="159" t="str">
        <f t="shared" si="31"/>
        <v>100-199 мм</v>
      </c>
      <c r="AA103" s="100" t="str">
        <f t="shared" si="26"/>
        <v>Четырехклапанные</v>
      </c>
      <c r="AB103" s="16">
        <v>1.73</v>
      </c>
      <c r="AC103" s="100" t="str">
        <f t="shared" si="27"/>
        <v>2-3 литра</v>
      </c>
    </row>
    <row r="104" spans="1:29" x14ac:dyDescent="0.3">
      <c r="A104" s="53">
        <v>0.63</v>
      </c>
      <c r="B104" s="59">
        <f t="shared" si="28"/>
        <v>0.75600000000000001</v>
      </c>
      <c r="C104" s="108">
        <v>104</v>
      </c>
      <c r="D104" s="115" t="s">
        <v>27</v>
      </c>
      <c r="E104" s="87" t="s">
        <v>336</v>
      </c>
      <c r="G104" s="82" t="s">
        <v>18</v>
      </c>
      <c r="H104" s="89" t="s">
        <v>19</v>
      </c>
      <c r="I104" s="82" t="s">
        <v>21</v>
      </c>
      <c r="J104" s="82" t="s">
        <v>1</v>
      </c>
      <c r="K104" s="115" t="s">
        <v>337</v>
      </c>
      <c r="N104" s="171">
        <f t="shared" si="18"/>
        <v>1</v>
      </c>
      <c r="O104" s="74">
        <f t="shared" si="33"/>
        <v>7.18</v>
      </c>
      <c r="P104" s="160" t="str">
        <f t="shared" si="19"/>
        <v>6-7,9 литра</v>
      </c>
      <c r="Q104" s="101" t="str">
        <f t="shared" si="32"/>
        <v>5-10 л</v>
      </c>
      <c r="R104" s="153">
        <f t="shared" si="20"/>
        <v>290</v>
      </c>
      <c r="S104" s="153">
        <f t="shared" si="21"/>
        <v>225</v>
      </c>
      <c r="T104" s="153">
        <f t="shared" si="22"/>
        <v>110</v>
      </c>
      <c r="U104" s="16">
        <f t="shared" si="23"/>
        <v>0.37386999999999998</v>
      </c>
      <c r="V104" s="16" t="str">
        <f t="shared" si="24"/>
        <v/>
      </c>
      <c r="W104" s="16" t="str">
        <f t="shared" si="25"/>
        <v>Плоские</v>
      </c>
      <c r="X104" s="159" t="str">
        <f t="shared" si="29"/>
        <v>200-299 мм</v>
      </c>
      <c r="Y104" s="159" t="str">
        <f t="shared" si="30"/>
        <v>200-299 мм</v>
      </c>
      <c r="Z104" s="159" t="str">
        <f t="shared" si="31"/>
        <v>100-199 мм</v>
      </c>
      <c r="AA104" s="100" t="str">
        <f t="shared" si="26"/>
        <v>Четырехклапанные</v>
      </c>
      <c r="AB104" s="16">
        <v>1.73</v>
      </c>
      <c r="AC104" s="100" t="str">
        <f t="shared" si="27"/>
        <v>8-9 литров</v>
      </c>
    </row>
    <row r="105" spans="1:29" x14ac:dyDescent="0.3">
      <c r="A105" s="53">
        <v>0.51</v>
      </c>
      <c r="B105" s="59">
        <f t="shared" si="28"/>
        <v>0.61199999999999999</v>
      </c>
      <c r="C105" s="108">
        <v>105</v>
      </c>
      <c r="D105" s="115" t="s">
        <v>27</v>
      </c>
      <c r="E105" s="87" t="s">
        <v>338</v>
      </c>
      <c r="G105" s="82" t="s">
        <v>18</v>
      </c>
      <c r="H105" s="89" t="s">
        <v>19</v>
      </c>
      <c r="I105" s="82" t="s">
        <v>21</v>
      </c>
      <c r="J105" s="82" t="s">
        <v>1</v>
      </c>
      <c r="K105" s="115" t="s">
        <v>339</v>
      </c>
      <c r="N105" s="171">
        <f t="shared" si="18"/>
        <v>1</v>
      </c>
      <c r="O105" s="74">
        <f t="shared" si="33"/>
        <v>5.64</v>
      </c>
      <c r="P105" s="160" t="str">
        <f t="shared" si="19"/>
        <v>4-5,9 литра</v>
      </c>
      <c r="Q105" s="101" t="str">
        <f t="shared" si="32"/>
        <v>5-10 л</v>
      </c>
      <c r="R105" s="153">
        <f t="shared" si="20"/>
        <v>330</v>
      </c>
      <c r="S105" s="153">
        <f t="shared" si="21"/>
        <v>180</v>
      </c>
      <c r="T105" s="153">
        <f t="shared" si="22"/>
        <v>95</v>
      </c>
      <c r="U105" s="16">
        <f t="shared" si="23"/>
        <v>0.30564000000000002</v>
      </c>
      <c r="V105" s="16" t="str">
        <f t="shared" si="24"/>
        <v/>
      </c>
      <c r="W105" s="16" t="str">
        <f t="shared" si="25"/>
        <v/>
      </c>
      <c r="X105" s="159" t="str">
        <f t="shared" si="29"/>
        <v>300-399 мм</v>
      </c>
      <c r="Y105" s="159" t="str">
        <f t="shared" si="30"/>
        <v>100-199 мм</v>
      </c>
      <c r="Z105" s="159" t="str">
        <f t="shared" si="31"/>
        <v>10-99 мм</v>
      </c>
      <c r="AA105" s="100" t="str">
        <f t="shared" si="26"/>
        <v>Четырехклапанные</v>
      </c>
      <c r="AB105" s="16">
        <v>1.73</v>
      </c>
      <c r="AC105" s="100" t="str">
        <f t="shared" si="27"/>
        <v>6-7 литра</v>
      </c>
    </row>
    <row r="106" spans="1:29" x14ac:dyDescent="0.3">
      <c r="A106" s="53">
        <v>1.03</v>
      </c>
      <c r="B106" s="59">
        <f t="shared" si="28"/>
        <v>1.236</v>
      </c>
      <c r="C106" s="108">
        <v>106</v>
      </c>
      <c r="D106" s="115" t="s">
        <v>27</v>
      </c>
      <c r="E106" s="87" t="s">
        <v>340</v>
      </c>
      <c r="G106" s="82" t="s">
        <v>18</v>
      </c>
      <c r="H106" s="89" t="s">
        <v>19</v>
      </c>
      <c r="I106" s="82" t="s">
        <v>21</v>
      </c>
      <c r="J106" s="82" t="s">
        <v>1</v>
      </c>
      <c r="K106" s="115" t="s">
        <v>341</v>
      </c>
      <c r="N106" s="171">
        <f t="shared" si="18"/>
        <v>1</v>
      </c>
      <c r="O106" s="74">
        <f t="shared" si="33"/>
        <v>20.6</v>
      </c>
      <c r="P106" s="160" t="str">
        <f t="shared" si="19"/>
        <v>20-29 литров</v>
      </c>
      <c r="Q106" s="101" t="str">
        <f t="shared" si="32"/>
        <v>20-50 л</v>
      </c>
      <c r="R106" s="153">
        <f t="shared" si="20"/>
        <v>515</v>
      </c>
      <c r="S106" s="153">
        <f t="shared" si="21"/>
        <v>200</v>
      </c>
      <c r="T106" s="153">
        <f t="shared" si="22"/>
        <v>200</v>
      </c>
      <c r="U106" s="16">
        <f t="shared" si="23"/>
        <v>0.60792000000000002</v>
      </c>
      <c r="V106" s="16" t="str">
        <f t="shared" si="24"/>
        <v>Длинные</v>
      </c>
      <c r="W106" s="16" t="str">
        <f t="shared" si="25"/>
        <v/>
      </c>
      <c r="X106" s="159" t="str">
        <f t="shared" si="29"/>
        <v>500-599 мм</v>
      </c>
      <c r="Y106" s="159" t="str">
        <f t="shared" si="30"/>
        <v>200-299 мм</v>
      </c>
      <c r="Z106" s="159" t="str">
        <f t="shared" si="31"/>
        <v>200-299 мм</v>
      </c>
      <c r="AA106" s="100" t="str">
        <f t="shared" si="26"/>
        <v>Четырехклапанные</v>
      </c>
      <c r="AB106" s="16">
        <v>1.73</v>
      </c>
      <c r="AC106" s="100" t="str">
        <f t="shared" si="27"/>
        <v>20-29 литров</v>
      </c>
    </row>
    <row r="107" spans="1:29" x14ac:dyDescent="0.3">
      <c r="A107" s="53">
        <v>1.29</v>
      </c>
      <c r="B107" s="59">
        <f t="shared" si="28"/>
        <v>1.548</v>
      </c>
      <c r="C107" s="108">
        <v>107</v>
      </c>
      <c r="D107" s="115" t="s">
        <v>27</v>
      </c>
      <c r="E107" s="87" t="s">
        <v>342</v>
      </c>
      <c r="G107" s="82" t="s">
        <v>18</v>
      </c>
      <c r="H107" s="89" t="s">
        <v>19</v>
      </c>
      <c r="I107" s="82" t="s">
        <v>21</v>
      </c>
      <c r="J107" s="82" t="s">
        <v>1</v>
      </c>
      <c r="K107" s="115" t="s">
        <v>343</v>
      </c>
      <c r="N107" s="171">
        <f t="shared" si="18"/>
        <v>1</v>
      </c>
      <c r="O107" s="74">
        <f t="shared" si="33"/>
        <v>29.68</v>
      </c>
      <c r="P107" s="160" t="str">
        <f t="shared" si="19"/>
        <v>20-29 литров</v>
      </c>
      <c r="Q107" s="101" t="str">
        <f t="shared" si="32"/>
        <v>20-50 л</v>
      </c>
      <c r="R107" s="153">
        <f t="shared" si="20"/>
        <v>350</v>
      </c>
      <c r="S107" s="153">
        <f t="shared" si="21"/>
        <v>265</v>
      </c>
      <c r="T107" s="153">
        <f t="shared" si="22"/>
        <v>320</v>
      </c>
      <c r="U107" s="16">
        <f t="shared" si="23"/>
        <v>0.76497000000000004</v>
      </c>
      <c r="V107" s="16" t="str">
        <f t="shared" si="24"/>
        <v/>
      </c>
      <c r="W107" s="16" t="str">
        <f t="shared" si="25"/>
        <v/>
      </c>
      <c r="X107" s="159" t="str">
        <f t="shared" si="29"/>
        <v>300-399 мм</v>
      </c>
      <c r="Y107" s="159" t="str">
        <f t="shared" si="30"/>
        <v>300-399 мм</v>
      </c>
      <c r="Z107" s="159" t="str">
        <f t="shared" si="31"/>
        <v>200-299 мм</v>
      </c>
      <c r="AA107" s="100" t="str">
        <f t="shared" si="26"/>
        <v>Четырехклапанные</v>
      </c>
      <c r="AB107" s="16">
        <v>1.73</v>
      </c>
      <c r="AC107" s="100" t="str">
        <f t="shared" si="27"/>
        <v>30-49 литров</v>
      </c>
    </row>
    <row r="108" spans="1:29" x14ac:dyDescent="0.3">
      <c r="A108" s="53">
        <v>1.55</v>
      </c>
      <c r="B108" s="59">
        <f t="shared" si="28"/>
        <v>1.8599999999999999</v>
      </c>
      <c r="C108" s="108">
        <v>108</v>
      </c>
      <c r="D108" s="115" t="s">
        <v>27</v>
      </c>
      <c r="E108" s="87" t="s">
        <v>344</v>
      </c>
      <c r="G108" s="82" t="s">
        <v>18</v>
      </c>
      <c r="H108" s="89" t="s">
        <v>19</v>
      </c>
      <c r="I108" s="82" t="s">
        <v>21</v>
      </c>
      <c r="J108" s="82" t="s">
        <v>1</v>
      </c>
      <c r="K108" s="115" t="s">
        <v>345</v>
      </c>
      <c r="N108" s="171">
        <f t="shared" si="18"/>
        <v>1</v>
      </c>
      <c r="O108" s="74">
        <f t="shared" si="33"/>
        <v>30.99</v>
      </c>
      <c r="P108" s="160" t="str">
        <f t="shared" si="19"/>
        <v>30-49 литров</v>
      </c>
      <c r="Q108" s="101" t="str">
        <f t="shared" si="32"/>
        <v>20-50 л</v>
      </c>
      <c r="R108" s="153">
        <f t="shared" si="20"/>
        <v>500</v>
      </c>
      <c r="S108" s="153">
        <f t="shared" si="21"/>
        <v>335</v>
      </c>
      <c r="T108" s="153">
        <f t="shared" si="22"/>
        <v>185</v>
      </c>
      <c r="U108" s="16">
        <f t="shared" si="23"/>
        <v>0.91344000000000003</v>
      </c>
      <c r="V108" s="16" t="str">
        <f t="shared" si="24"/>
        <v/>
      </c>
      <c r="W108" s="16" t="str">
        <f t="shared" si="25"/>
        <v/>
      </c>
      <c r="X108" s="159" t="str">
        <f t="shared" si="29"/>
        <v>500-599 мм</v>
      </c>
      <c r="Y108" s="159" t="str">
        <f t="shared" si="30"/>
        <v>300-399 мм</v>
      </c>
      <c r="Z108" s="159" t="str">
        <f t="shared" si="31"/>
        <v>100-199 мм</v>
      </c>
      <c r="AA108" s="100" t="str">
        <f t="shared" si="26"/>
        <v>Четырехклапанные</v>
      </c>
      <c r="AB108" s="16">
        <v>1.73</v>
      </c>
      <c r="AC108" s="100" t="str">
        <f t="shared" si="27"/>
        <v>30-49 литров</v>
      </c>
    </row>
    <row r="109" spans="1:29" x14ac:dyDescent="0.3">
      <c r="A109" s="53">
        <v>5.72</v>
      </c>
      <c r="B109" s="59">
        <f t="shared" si="28"/>
        <v>6.8639999999999999</v>
      </c>
      <c r="C109" s="108">
        <v>109</v>
      </c>
      <c r="D109" s="115" t="s">
        <v>27</v>
      </c>
      <c r="E109" s="87" t="s">
        <v>346</v>
      </c>
      <c r="G109" s="82" t="s">
        <v>18</v>
      </c>
      <c r="H109" s="89" t="s">
        <v>19</v>
      </c>
      <c r="I109" s="82" t="s">
        <v>21</v>
      </c>
      <c r="J109" s="82" t="s">
        <v>1</v>
      </c>
      <c r="K109" s="115" t="s">
        <v>347</v>
      </c>
      <c r="N109" s="171">
        <f t="shared" si="18"/>
        <v>1</v>
      </c>
      <c r="O109" s="74">
        <f t="shared" si="33"/>
        <v>259.3</v>
      </c>
      <c r="P109" s="160" t="str">
        <f t="shared" si="19"/>
        <v>200+ литров</v>
      </c>
      <c r="Q109" s="101" t="str">
        <f t="shared" si="32"/>
        <v>100+ л</v>
      </c>
      <c r="R109" s="153">
        <f t="shared" si="20"/>
        <v>985</v>
      </c>
      <c r="S109" s="153">
        <f t="shared" si="21"/>
        <v>585</v>
      </c>
      <c r="T109" s="153">
        <f t="shared" si="22"/>
        <v>450</v>
      </c>
      <c r="U109" s="16">
        <f t="shared" si="23"/>
        <v>3.3376000000000001</v>
      </c>
      <c r="V109" s="16" t="str">
        <f t="shared" si="24"/>
        <v/>
      </c>
      <c r="W109" s="16" t="str">
        <f t="shared" si="25"/>
        <v/>
      </c>
      <c r="X109" s="159" t="str">
        <f t="shared" si="29"/>
        <v>700-999 мм</v>
      </c>
      <c r="Y109" s="159" t="str">
        <f t="shared" si="30"/>
        <v>500-599 мм</v>
      </c>
      <c r="Z109" s="159" t="str">
        <f t="shared" si="31"/>
        <v>400-499 мм</v>
      </c>
      <c r="AA109" s="100" t="str">
        <f t="shared" si="26"/>
        <v>Четырехклапанные</v>
      </c>
      <c r="AB109" s="16">
        <v>1.73</v>
      </c>
      <c r="AC109" s="100" t="str">
        <f t="shared" si="27"/>
        <v>200+ литров</v>
      </c>
    </row>
    <row r="110" spans="1:29" x14ac:dyDescent="0.3">
      <c r="A110" s="53">
        <v>1.43</v>
      </c>
      <c r="B110" s="59">
        <f t="shared" si="28"/>
        <v>1.716</v>
      </c>
      <c r="C110" s="108">
        <v>110</v>
      </c>
      <c r="D110" s="115" t="s">
        <v>27</v>
      </c>
      <c r="E110" s="87" t="s">
        <v>348</v>
      </c>
      <c r="G110" s="82" t="s">
        <v>18</v>
      </c>
      <c r="H110" s="89" t="s">
        <v>19</v>
      </c>
      <c r="I110" s="82" t="s">
        <v>21</v>
      </c>
      <c r="J110" s="82" t="s">
        <v>1</v>
      </c>
      <c r="K110" s="115" t="s">
        <v>349</v>
      </c>
      <c r="N110" s="171">
        <f t="shared" si="18"/>
        <v>1</v>
      </c>
      <c r="O110" s="74">
        <f t="shared" si="33"/>
        <v>16</v>
      </c>
      <c r="P110" s="160" t="str">
        <f t="shared" si="19"/>
        <v>15-19,9 литров</v>
      </c>
      <c r="Q110" s="101" t="str">
        <f t="shared" si="32"/>
        <v>10-20 л</v>
      </c>
      <c r="R110" s="153">
        <f t="shared" si="20"/>
        <v>400</v>
      </c>
      <c r="S110" s="153">
        <f t="shared" si="21"/>
        <v>400</v>
      </c>
      <c r="T110" s="153">
        <f t="shared" si="22"/>
        <v>100</v>
      </c>
      <c r="U110" s="16">
        <f t="shared" si="23"/>
        <v>0.84328000000000003</v>
      </c>
      <c r="V110" s="16" t="str">
        <f t="shared" si="24"/>
        <v/>
      </c>
      <c r="W110" s="16" t="str">
        <f t="shared" si="25"/>
        <v>Плоские</v>
      </c>
      <c r="X110" s="159" t="str">
        <f t="shared" si="29"/>
        <v>400-499 мм</v>
      </c>
      <c r="Y110" s="159" t="str">
        <f t="shared" si="30"/>
        <v>400-499 мм</v>
      </c>
      <c r="Z110" s="159" t="str">
        <f t="shared" si="31"/>
        <v>100-199 мм</v>
      </c>
      <c r="AA110" s="100" t="str">
        <f t="shared" si="26"/>
        <v>Четырехклапанные</v>
      </c>
      <c r="AB110" s="16">
        <v>1.73</v>
      </c>
      <c r="AC110" s="100" t="str">
        <f t="shared" si="27"/>
        <v>15-19 литров</v>
      </c>
    </row>
    <row r="111" spans="1:29" x14ac:dyDescent="0.3">
      <c r="A111" s="53">
        <v>0.27</v>
      </c>
      <c r="B111" s="59">
        <f t="shared" si="28"/>
        <v>0.32400000000000001</v>
      </c>
      <c r="C111" s="108">
        <v>111</v>
      </c>
      <c r="D111" s="115" t="s">
        <v>27</v>
      </c>
      <c r="E111" s="87" t="s">
        <v>350</v>
      </c>
      <c r="G111" s="82" t="s">
        <v>143</v>
      </c>
      <c r="H111" s="89" t="s">
        <v>1</v>
      </c>
      <c r="I111" s="82" t="s">
        <v>21</v>
      </c>
      <c r="J111" s="82" t="s">
        <v>1</v>
      </c>
      <c r="K111" s="115" t="s">
        <v>351</v>
      </c>
      <c r="N111" s="171">
        <f t="shared" si="18"/>
        <v>1</v>
      </c>
      <c r="O111" s="74">
        <f t="shared" si="33"/>
        <v>1.31</v>
      </c>
      <c r="P111" s="160" t="str">
        <f t="shared" si="19"/>
        <v>1-1,9 литра</v>
      </c>
      <c r="Q111" s="101" t="str">
        <f t="shared" si="32"/>
        <v>1-2 л</v>
      </c>
      <c r="R111" s="153">
        <f t="shared" si="20"/>
        <v>125</v>
      </c>
      <c r="S111" s="153">
        <f t="shared" si="21"/>
        <v>110</v>
      </c>
      <c r="T111" s="153">
        <f t="shared" si="22"/>
        <v>95</v>
      </c>
      <c r="U111" s="16">
        <f t="shared" si="23"/>
        <v>0.11289</v>
      </c>
      <c r="V111" s="16" t="str">
        <f t="shared" si="24"/>
        <v/>
      </c>
      <c r="W111" s="16" t="str">
        <f t="shared" si="25"/>
        <v/>
      </c>
      <c r="X111" s="159" t="str">
        <f t="shared" si="29"/>
        <v>100-199 мм</v>
      </c>
      <c r="Y111" s="159" t="str">
        <f t="shared" si="30"/>
        <v>100-199 мм</v>
      </c>
      <c r="Z111" s="159" t="str">
        <f t="shared" si="31"/>
        <v>10-99 мм</v>
      </c>
      <c r="AA111" s="100" t="str">
        <f t="shared" si="26"/>
        <v>Самосборные</v>
      </c>
      <c r="AB111" s="16">
        <v>1.73</v>
      </c>
      <c r="AC111" s="100" t="str">
        <f t="shared" si="27"/>
        <v>2-3 литра</v>
      </c>
    </row>
    <row r="112" spans="1:29" x14ac:dyDescent="0.3">
      <c r="A112" s="53">
        <v>1.08</v>
      </c>
      <c r="B112" s="59">
        <f t="shared" si="28"/>
        <v>1.296</v>
      </c>
      <c r="C112" s="108">
        <v>112</v>
      </c>
      <c r="D112" s="115" t="s">
        <v>27</v>
      </c>
      <c r="E112" s="87" t="s">
        <v>352</v>
      </c>
      <c r="G112" s="82" t="s">
        <v>18</v>
      </c>
      <c r="H112" s="89" t="s">
        <v>1</v>
      </c>
      <c r="I112" s="82" t="s">
        <v>21</v>
      </c>
      <c r="J112" s="82" t="s">
        <v>1</v>
      </c>
      <c r="K112" s="115" t="s">
        <v>353</v>
      </c>
      <c r="N112" s="171">
        <f t="shared" si="18"/>
        <v>1</v>
      </c>
      <c r="O112" s="74">
        <f t="shared" si="33"/>
        <v>21.56</v>
      </c>
      <c r="P112" s="160" t="str">
        <f t="shared" si="19"/>
        <v>20-29 литров</v>
      </c>
      <c r="Q112" s="101" t="str">
        <f t="shared" si="32"/>
        <v>20-50 л</v>
      </c>
      <c r="R112" s="153">
        <f t="shared" si="20"/>
        <v>375</v>
      </c>
      <c r="S112" s="153">
        <f t="shared" si="21"/>
        <v>250</v>
      </c>
      <c r="T112" s="153">
        <f t="shared" si="22"/>
        <v>230</v>
      </c>
      <c r="U112" s="16">
        <f t="shared" si="23"/>
        <v>0.63927999999999996</v>
      </c>
      <c r="V112" s="16" t="str">
        <f t="shared" si="24"/>
        <v/>
      </c>
      <c r="W112" s="16" t="str">
        <f t="shared" si="25"/>
        <v/>
      </c>
      <c r="X112" s="159" t="str">
        <f t="shared" si="29"/>
        <v>300-399 мм</v>
      </c>
      <c r="Y112" s="159" t="str">
        <f t="shared" si="30"/>
        <v>200-299 мм</v>
      </c>
      <c r="Z112" s="159" t="str">
        <f t="shared" si="31"/>
        <v>200-299 мм</v>
      </c>
      <c r="AA112" s="100" t="str">
        <f t="shared" si="26"/>
        <v>Четырехклапанные</v>
      </c>
      <c r="AB112" s="16">
        <v>1.73</v>
      </c>
      <c r="AC112" s="100" t="str">
        <f t="shared" si="27"/>
        <v>20-29 литров</v>
      </c>
    </row>
    <row r="113" spans="1:29" x14ac:dyDescent="0.3">
      <c r="A113" s="53">
        <v>4.88</v>
      </c>
      <c r="B113" s="59">
        <f t="shared" si="28"/>
        <v>5.8559999999999999</v>
      </c>
      <c r="C113" s="108">
        <v>113</v>
      </c>
      <c r="D113" s="115" t="s">
        <v>27</v>
      </c>
      <c r="E113" s="87" t="s">
        <v>354</v>
      </c>
      <c r="G113" s="82" t="s">
        <v>18</v>
      </c>
      <c r="H113" s="89" t="s">
        <v>1</v>
      </c>
      <c r="I113" s="82" t="s">
        <v>21</v>
      </c>
      <c r="J113" s="82" t="s">
        <v>1</v>
      </c>
      <c r="K113" s="115" t="s">
        <v>355</v>
      </c>
      <c r="N113" s="171">
        <f t="shared" si="18"/>
        <v>1</v>
      </c>
      <c r="O113" s="74">
        <f t="shared" si="33"/>
        <v>168.48</v>
      </c>
      <c r="P113" s="160" t="str">
        <f t="shared" si="19"/>
        <v>100-200 литров</v>
      </c>
      <c r="Q113" s="101" t="str">
        <f t="shared" si="32"/>
        <v>100+ л</v>
      </c>
      <c r="R113" s="153">
        <f t="shared" si="20"/>
        <v>720</v>
      </c>
      <c r="S113" s="153">
        <f t="shared" si="21"/>
        <v>650</v>
      </c>
      <c r="T113" s="153">
        <f t="shared" si="22"/>
        <v>360</v>
      </c>
      <c r="U113" s="16">
        <f t="shared" si="23"/>
        <v>2.8504</v>
      </c>
      <c r="V113" s="16" t="str">
        <f t="shared" si="24"/>
        <v/>
      </c>
      <c r="W113" s="16" t="str">
        <f t="shared" si="25"/>
        <v/>
      </c>
      <c r="X113" s="159" t="str">
        <f t="shared" si="29"/>
        <v>700-999 мм</v>
      </c>
      <c r="Y113" s="159" t="str">
        <f t="shared" si="30"/>
        <v>600-699 мм</v>
      </c>
      <c r="Z113" s="159" t="str">
        <f t="shared" si="31"/>
        <v>300-399 мм</v>
      </c>
      <c r="AA113" s="100" t="str">
        <f t="shared" si="26"/>
        <v>Четырехклапанные</v>
      </c>
      <c r="AB113" s="16">
        <v>1.73</v>
      </c>
      <c r="AC113" s="100" t="str">
        <f t="shared" si="27"/>
        <v>100-200 литров</v>
      </c>
    </row>
    <row r="114" spans="1:29" x14ac:dyDescent="0.3">
      <c r="A114" s="53">
        <v>9.17</v>
      </c>
      <c r="B114" s="59">
        <f t="shared" si="28"/>
        <v>11.004</v>
      </c>
      <c r="C114" s="108">
        <v>114</v>
      </c>
      <c r="D114" s="115" t="s">
        <v>27</v>
      </c>
      <c r="E114" s="87" t="s">
        <v>356</v>
      </c>
      <c r="G114" s="82" t="s">
        <v>18</v>
      </c>
      <c r="H114" s="89" t="s">
        <v>1</v>
      </c>
      <c r="I114" s="82" t="s">
        <v>21</v>
      </c>
      <c r="J114" s="82" t="s">
        <v>1</v>
      </c>
      <c r="K114" s="115" t="s">
        <v>357</v>
      </c>
      <c r="N114" s="171">
        <f t="shared" si="18"/>
        <v>1</v>
      </c>
      <c r="O114" s="74">
        <f t="shared" si="33"/>
        <v>511.5</v>
      </c>
      <c r="P114" s="160" t="str">
        <f t="shared" si="19"/>
        <v>200+ литров</v>
      </c>
      <c r="Q114" s="101" t="str">
        <f t="shared" si="32"/>
        <v>100+ л</v>
      </c>
      <c r="R114" s="153">
        <f t="shared" si="20"/>
        <v>1200</v>
      </c>
      <c r="S114" s="153">
        <f t="shared" si="21"/>
        <v>550</v>
      </c>
      <c r="T114" s="153">
        <f t="shared" si="22"/>
        <v>775</v>
      </c>
      <c r="U114" s="16">
        <f t="shared" si="23"/>
        <v>4.7454799999999997</v>
      </c>
      <c r="V114" s="16" t="str">
        <f t="shared" si="24"/>
        <v/>
      </c>
      <c r="W114" s="16" t="str">
        <f t="shared" si="25"/>
        <v/>
      </c>
      <c r="X114" s="159" t="str">
        <f t="shared" si="29"/>
        <v>1000+ мм</v>
      </c>
      <c r="Y114" s="159" t="str">
        <f t="shared" si="30"/>
        <v>700-999 мм</v>
      </c>
      <c r="Z114" s="159" t="str">
        <f t="shared" si="31"/>
        <v>500-599 мм</v>
      </c>
      <c r="AA114" s="100" t="str">
        <f t="shared" si="26"/>
        <v>Четырехклапанные</v>
      </c>
      <c r="AB114" s="16">
        <v>1.73</v>
      </c>
      <c r="AC114" s="100" t="str">
        <f t="shared" si="27"/>
        <v>200+ литров</v>
      </c>
    </row>
    <row r="115" spans="1:29" x14ac:dyDescent="0.3">
      <c r="A115" s="53">
        <v>1.3</v>
      </c>
      <c r="B115" s="59">
        <f t="shared" si="28"/>
        <v>1.56</v>
      </c>
      <c r="C115" s="108">
        <v>115</v>
      </c>
      <c r="D115" s="115" t="s">
        <v>27</v>
      </c>
      <c r="E115" s="87" t="s">
        <v>358</v>
      </c>
      <c r="G115" s="82" t="s">
        <v>18</v>
      </c>
      <c r="H115" s="89" t="s">
        <v>1</v>
      </c>
      <c r="I115" s="82" t="s">
        <v>21</v>
      </c>
      <c r="J115" s="82" t="s">
        <v>1</v>
      </c>
      <c r="K115" s="115" t="s">
        <v>359</v>
      </c>
      <c r="N115" s="171">
        <f t="shared" si="18"/>
        <v>1</v>
      </c>
      <c r="O115" s="74">
        <f t="shared" si="33"/>
        <v>27</v>
      </c>
      <c r="P115" s="160" t="str">
        <f t="shared" si="19"/>
        <v>20-29 литров</v>
      </c>
      <c r="Q115" s="101" t="str">
        <f t="shared" si="32"/>
        <v>20-50 л</v>
      </c>
      <c r="R115" s="153">
        <f t="shared" si="20"/>
        <v>300</v>
      </c>
      <c r="S115" s="153">
        <f t="shared" si="21"/>
        <v>300</v>
      </c>
      <c r="T115" s="153">
        <f t="shared" si="22"/>
        <v>300</v>
      </c>
      <c r="U115" s="16">
        <f t="shared" si="23"/>
        <v>0.76607999999999998</v>
      </c>
      <c r="V115" s="16" t="str">
        <f t="shared" si="24"/>
        <v/>
      </c>
      <c r="W115" s="16" t="str">
        <f t="shared" si="25"/>
        <v/>
      </c>
      <c r="X115" s="159" t="str">
        <f t="shared" si="29"/>
        <v>300-399 мм</v>
      </c>
      <c r="Y115" s="159" t="str">
        <f t="shared" si="30"/>
        <v>300-399 мм</v>
      </c>
      <c r="Z115" s="159" t="str">
        <f t="shared" si="31"/>
        <v>300-399 мм</v>
      </c>
      <c r="AA115" s="100" t="str">
        <f t="shared" si="26"/>
        <v>Четырехклапанные</v>
      </c>
      <c r="AB115" s="16">
        <v>1.73</v>
      </c>
      <c r="AC115" s="100" t="str">
        <f t="shared" si="27"/>
        <v>20-29 литров</v>
      </c>
    </row>
    <row r="116" spans="1:29" x14ac:dyDescent="0.3">
      <c r="A116" s="53">
        <v>6.7</v>
      </c>
      <c r="B116" s="59">
        <f t="shared" si="28"/>
        <v>8.0399999999999991</v>
      </c>
      <c r="C116" s="108">
        <v>116</v>
      </c>
      <c r="D116" s="115" t="s">
        <v>27</v>
      </c>
      <c r="E116" s="87" t="s">
        <v>360</v>
      </c>
      <c r="G116" s="82" t="s">
        <v>18</v>
      </c>
      <c r="H116" s="89" t="s">
        <v>19</v>
      </c>
      <c r="I116" s="82" t="s">
        <v>21</v>
      </c>
      <c r="J116" s="82" t="s">
        <v>1</v>
      </c>
      <c r="K116" s="115" t="s">
        <v>361</v>
      </c>
      <c r="N116" s="171">
        <f t="shared" si="18"/>
        <v>1</v>
      </c>
      <c r="O116" s="74">
        <f t="shared" si="33"/>
        <v>381.17</v>
      </c>
      <c r="P116" s="160" t="str">
        <f t="shared" si="19"/>
        <v>200+ литров</v>
      </c>
      <c r="Q116" s="101" t="str">
        <f t="shared" si="32"/>
        <v>100+ л</v>
      </c>
      <c r="R116" s="153">
        <f t="shared" si="20"/>
        <v>1022</v>
      </c>
      <c r="S116" s="153">
        <f t="shared" si="21"/>
        <v>518</v>
      </c>
      <c r="T116" s="153">
        <f t="shared" si="22"/>
        <v>720</v>
      </c>
      <c r="U116" s="16">
        <f t="shared" si="23"/>
        <v>3.9124400000000001</v>
      </c>
      <c r="V116" s="16" t="str">
        <f t="shared" si="24"/>
        <v/>
      </c>
      <c r="W116" s="16" t="str">
        <f t="shared" si="25"/>
        <v/>
      </c>
      <c r="X116" s="159" t="str">
        <f t="shared" si="29"/>
        <v>1000+ мм</v>
      </c>
      <c r="Y116" s="159" t="str">
        <f t="shared" si="30"/>
        <v>700-999 мм</v>
      </c>
      <c r="Z116" s="159" t="str">
        <f t="shared" si="31"/>
        <v>500-599 мм</v>
      </c>
      <c r="AA116" s="100" t="str">
        <f t="shared" si="26"/>
        <v>Четырехклапанные</v>
      </c>
      <c r="AB116" s="16">
        <v>1.73</v>
      </c>
      <c r="AC116" s="100" t="str">
        <f t="shared" si="27"/>
        <v>200+ литров</v>
      </c>
    </row>
    <row r="117" spans="1:29" x14ac:dyDescent="0.3">
      <c r="A117" s="53">
        <v>2</v>
      </c>
      <c r="B117" s="59">
        <f t="shared" si="28"/>
        <v>2.4</v>
      </c>
      <c r="C117" s="108">
        <v>117</v>
      </c>
      <c r="D117" s="115" t="s">
        <v>27</v>
      </c>
      <c r="E117" s="87" t="s">
        <v>362</v>
      </c>
      <c r="G117" s="82" t="s">
        <v>18</v>
      </c>
      <c r="H117" s="89" t="s">
        <v>1</v>
      </c>
      <c r="I117" s="82" t="s">
        <v>21</v>
      </c>
      <c r="J117" s="82" t="s">
        <v>1</v>
      </c>
      <c r="K117" s="115" t="s">
        <v>363</v>
      </c>
      <c r="N117" s="171">
        <f t="shared" si="18"/>
        <v>1</v>
      </c>
      <c r="O117" s="74">
        <f t="shared" si="33"/>
        <v>48</v>
      </c>
      <c r="P117" s="160" t="str">
        <f t="shared" si="19"/>
        <v>30-49 литров</v>
      </c>
      <c r="Q117" s="101" t="str">
        <f t="shared" si="32"/>
        <v>20-50 л</v>
      </c>
      <c r="R117" s="153">
        <f t="shared" si="20"/>
        <v>400</v>
      </c>
      <c r="S117" s="153">
        <f t="shared" si="21"/>
        <v>400</v>
      </c>
      <c r="T117" s="153">
        <f t="shared" si="22"/>
        <v>300</v>
      </c>
      <c r="U117" s="16">
        <f t="shared" si="23"/>
        <v>1.1752800000000001</v>
      </c>
      <c r="V117" s="16" t="str">
        <f t="shared" si="24"/>
        <v/>
      </c>
      <c r="W117" s="16" t="str">
        <f t="shared" si="25"/>
        <v/>
      </c>
      <c r="X117" s="159" t="str">
        <f t="shared" si="29"/>
        <v>400-499 мм</v>
      </c>
      <c r="Y117" s="159" t="str">
        <f t="shared" si="30"/>
        <v>400-499 мм</v>
      </c>
      <c r="Z117" s="159" t="str">
        <f t="shared" si="31"/>
        <v>300-399 мм</v>
      </c>
      <c r="AA117" s="100" t="str">
        <f t="shared" si="26"/>
        <v>Четырехклапанные</v>
      </c>
      <c r="AB117" s="16">
        <v>1.73</v>
      </c>
      <c r="AC117" s="100" t="str">
        <f t="shared" si="27"/>
        <v>30-49 литров</v>
      </c>
    </row>
    <row r="118" spans="1:29" x14ac:dyDescent="0.3">
      <c r="A118" s="53">
        <v>0.14000000000000001</v>
      </c>
      <c r="B118" s="59">
        <f t="shared" si="28"/>
        <v>0.16800000000000001</v>
      </c>
      <c r="C118" s="108">
        <v>118</v>
      </c>
      <c r="D118" s="115" t="s">
        <v>27</v>
      </c>
      <c r="E118" s="87" t="s">
        <v>364</v>
      </c>
      <c r="G118" s="82" t="s">
        <v>143</v>
      </c>
      <c r="H118" s="89" t="s">
        <v>1</v>
      </c>
      <c r="I118" s="82" t="s">
        <v>1</v>
      </c>
      <c r="J118" s="82" t="s">
        <v>1</v>
      </c>
      <c r="K118" s="115" t="s">
        <v>365</v>
      </c>
      <c r="N118" s="171">
        <f t="shared" si="18"/>
        <v>1</v>
      </c>
      <c r="O118" s="74">
        <f t="shared" si="33"/>
        <v>0.28999999999999998</v>
      </c>
      <c r="P118" s="160" t="str">
        <f t="shared" si="19"/>
        <v>0,1-0,9 литров</v>
      </c>
      <c r="Q118" s="101" t="str">
        <f t="shared" si="32"/>
        <v>&lt;1 л</v>
      </c>
      <c r="R118" s="153">
        <f t="shared" si="20"/>
        <v>35</v>
      </c>
      <c r="S118" s="153">
        <f t="shared" si="21"/>
        <v>35</v>
      </c>
      <c r="T118" s="153">
        <f t="shared" si="22"/>
        <v>235</v>
      </c>
      <c r="U118" s="16">
        <f t="shared" si="23"/>
        <v>5.5599999999999997E-2</v>
      </c>
      <c r="V118" s="16" t="str">
        <f t="shared" si="24"/>
        <v>Длинные</v>
      </c>
      <c r="W118" s="16" t="str">
        <f t="shared" si="25"/>
        <v/>
      </c>
      <c r="X118" s="159" t="str">
        <f t="shared" si="29"/>
        <v>200-299 мм</v>
      </c>
      <c r="Y118" s="159" t="str">
        <f t="shared" si="30"/>
        <v>10-99 мм</v>
      </c>
      <c r="Z118" s="159" t="str">
        <f t="shared" si="31"/>
        <v>10-99 мм</v>
      </c>
      <c r="AA118" s="100" t="str">
        <f t="shared" si="26"/>
        <v>Самосборные</v>
      </c>
      <c r="AB118" s="16">
        <v>1.73</v>
      </c>
      <c r="AC118" s="100" t="str">
        <f t="shared" si="27"/>
        <v>0-1 литров</v>
      </c>
    </row>
    <row r="119" spans="1:29" x14ac:dyDescent="0.3">
      <c r="A119" s="53">
        <v>0.56000000000000005</v>
      </c>
      <c r="B119" s="59">
        <f t="shared" si="28"/>
        <v>0.67200000000000004</v>
      </c>
      <c r="C119" s="108">
        <v>119</v>
      </c>
      <c r="D119" s="115" t="s">
        <v>27</v>
      </c>
      <c r="E119" s="87" t="s">
        <v>366</v>
      </c>
      <c r="G119" s="82" t="s">
        <v>18</v>
      </c>
      <c r="H119" s="89" t="s">
        <v>1</v>
      </c>
      <c r="I119" s="82" t="s">
        <v>21</v>
      </c>
      <c r="J119" s="82" t="s">
        <v>1</v>
      </c>
      <c r="K119" s="115" t="s">
        <v>367</v>
      </c>
      <c r="N119" s="171">
        <f t="shared" si="18"/>
        <v>1</v>
      </c>
      <c r="O119" s="74">
        <f t="shared" si="33"/>
        <v>6.81</v>
      </c>
      <c r="P119" s="160" t="str">
        <f t="shared" si="19"/>
        <v>6-7,9 литра</v>
      </c>
      <c r="Q119" s="101" t="str">
        <f t="shared" si="32"/>
        <v>5-10 л</v>
      </c>
      <c r="R119" s="153">
        <f t="shared" si="20"/>
        <v>255</v>
      </c>
      <c r="S119" s="153">
        <f t="shared" si="21"/>
        <v>204</v>
      </c>
      <c r="T119" s="153">
        <f t="shared" si="22"/>
        <v>131</v>
      </c>
      <c r="U119" s="16">
        <f t="shared" si="23"/>
        <v>0.33545399999999997</v>
      </c>
      <c r="V119" s="16" t="str">
        <f t="shared" si="24"/>
        <v/>
      </c>
      <c r="W119" s="16" t="str">
        <f t="shared" si="25"/>
        <v/>
      </c>
      <c r="X119" s="159" t="str">
        <f t="shared" si="29"/>
        <v>200-299 мм</v>
      </c>
      <c r="Y119" s="159" t="str">
        <f t="shared" si="30"/>
        <v>200-299 мм</v>
      </c>
      <c r="Z119" s="159" t="str">
        <f t="shared" si="31"/>
        <v>100-199 мм</v>
      </c>
      <c r="AA119" s="100" t="str">
        <f t="shared" si="26"/>
        <v>Четырехклапанные</v>
      </c>
      <c r="AB119" s="16">
        <v>1.73</v>
      </c>
      <c r="AC119" s="100" t="str">
        <f t="shared" si="27"/>
        <v>6-7 литра</v>
      </c>
    </row>
    <row r="120" spans="1:29" x14ac:dyDescent="0.3">
      <c r="A120" s="53">
        <v>1.41</v>
      </c>
      <c r="B120" s="59">
        <f t="shared" si="28"/>
        <v>1.6919999999999999</v>
      </c>
      <c r="C120" s="108">
        <v>120</v>
      </c>
      <c r="D120" s="115" t="s">
        <v>27</v>
      </c>
      <c r="E120" s="87" t="s">
        <v>368</v>
      </c>
      <c r="G120" s="82" t="s">
        <v>18</v>
      </c>
      <c r="H120" s="89" t="s">
        <v>1</v>
      </c>
      <c r="I120" s="82" t="s">
        <v>21</v>
      </c>
      <c r="J120" s="82" t="s">
        <v>1</v>
      </c>
      <c r="K120" s="115" t="s">
        <v>369</v>
      </c>
      <c r="N120" s="171">
        <f t="shared" si="18"/>
        <v>1</v>
      </c>
      <c r="O120" s="74">
        <f t="shared" si="33"/>
        <v>22.82</v>
      </c>
      <c r="P120" s="160" t="str">
        <f t="shared" si="19"/>
        <v>20-29 литров</v>
      </c>
      <c r="Q120" s="101" t="str">
        <f t="shared" si="32"/>
        <v>20-50 л</v>
      </c>
      <c r="R120" s="153">
        <f t="shared" si="20"/>
        <v>540</v>
      </c>
      <c r="S120" s="153">
        <f t="shared" si="21"/>
        <v>325</v>
      </c>
      <c r="T120" s="153">
        <f t="shared" si="22"/>
        <v>130</v>
      </c>
      <c r="U120" s="16">
        <f t="shared" si="23"/>
        <v>0.82877000000000001</v>
      </c>
      <c r="V120" s="16" t="str">
        <f t="shared" si="24"/>
        <v/>
      </c>
      <c r="W120" s="16" t="str">
        <f t="shared" si="25"/>
        <v>Плоские</v>
      </c>
      <c r="X120" s="159" t="str">
        <f t="shared" si="29"/>
        <v>500-599 мм</v>
      </c>
      <c r="Y120" s="159" t="str">
        <f t="shared" si="30"/>
        <v>300-399 мм</v>
      </c>
      <c r="Z120" s="159" t="str">
        <f t="shared" si="31"/>
        <v>100-199 мм</v>
      </c>
      <c r="AA120" s="100" t="str">
        <f t="shared" si="26"/>
        <v>Четырехклапанные</v>
      </c>
      <c r="AB120" s="16">
        <v>1.73</v>
      </c>
      <c r="AC120" s="100" t="str">
        <f t="shared" si="27"/>
        <v>20-29 литров</v>
      </c>
    </row>
    <row r="121" spans="1:29" x14ac:dyDescent="0.3">
      <c r="A121" s="53">
        <v>0.73</v>
      </c>
      <c r="B121" s="59">
        <f t="shared" si="28"/>
        <v>0.876</v>
      </c>
      <c r="C121" s="108">
        <v>121</v>
      </c>
      <c r="D121" s="115" t="s">
        <v>27</v>
      </c>
      <c r="E121" s="87" t="s">
        <v>370</v>
      </c>
      <c r="G121" s="82" t="s">
        <v>18</v>
      </c>
      <c r="H121" s="89" t="s">
        <v>1</v>
      </c>
      <c r="I121" s="82" t="s">
        <v>21</v>
      </c>
      <c r="J121" s="82" t="s">
        <v>1</v>
      </c>
      <c r="K121" s="115" t="s">
        <v>371</v>
      </c>
      <c r="N121" s="171">
        <f t="shared" si="18"/>
        <v>1</v>
      </c>
      <c r="O121" s="74">
        <f t="shared" si="33"/>
        <v>12.31</v>
      </c>
      <c r="P121" s="160" t="str">
        <f t="shared" si="19"/>
        <v>10-14,9 литров</v>
      </c>
      <c r="Q121" s="101" t="str">
        <f t="shared" si="32"/>
        <v>10-20 л</v>
      </c>
      <c r="R121" s="153">
        <f t="shared" si="20"/>
        <v>190</v>
      </c>
      <c r="S121" s="153">
        <f t="shared" si="21"/>
        <v>180</v>
      </c>
      <c r="T121" s="153">
        <f t="shared" si="22"/>
        <v>360</v>
      </c>
      <c r="U121" s="16">
        <f t="shared" si="23"/>
        <v>0.43840000000000001</v>
      </c>
      <c r="V121" s="16" t="str">
        <f t="shared" si="24"/>
        <v/>
      </c>
      <c r="W121" s="16" t="str">
        <f t="shared" si="25"/>
        <v/>
      </c>
      <c r="X121" s="159" t="str">
        <f t="shared" si="29"/>
        <v>300-399 мм</v>
      </c>
      <c r="Y121" s="159" t="str">
        <f t="shared" si="30"/>
        <v>100-199 мм</v>
      </c>
      <c r="Z121" s="159" t="str">
        <f t="shared" si="31"/>
        <v>100-199 мм</v>
      </c>
      <c r="AA121" s="100" t="str">
        <f t="shared" si="26"/>
        <v>Четырехклапанные</v>
      </c>
      <c r="AB121" s="16">
        <v>1.73</v>
      </c>
      <c r="AC121" s="100" t="str">
        <f t="shared" si="27"/>
        <v>10-14 литров</v>
      </c>
    </row>
    <row r="122" spans="1:29" x14ac:dyDescent="0.3">
      <c r="A122" s="53">
        <v>0.44</v>
      </c>
      <c r="B122" s="59">
        <f t="shared" si="28"/>
        <v>0.52800000000000002</v>
      </c>
      <c r="C122" s="108">
        <v>122</v>
      </c>
      <c r="D122" s="115" t="s">
        <v>27</v>
      </c>
      <c r="E122" s="87" t="s">
        <v>372</v>
      </c>
      <c r="G122" s="82" t="s">
        <v>18</v>
      </c>
      <c r="H122" s="89" t="s">
        <v>1</v>
      </c>
      <c r="I122" s="82" t="s">
        <v>21</v>
      </c>
      <c r="J122" s="82" t="s">
        <v>1</v>
      </c>
      <c r="K122" s="115" t="s">
        <v>373</v>
      </c>
      <c r="N122" s="171">
        <f t="shared" si="18"/>
        <v>1</v>
      </c>
      <c r="O122" s="74">
        <f t="shared" si="33"/>
        <v>5.8</v>
      </c>
      <c r="P122" s="160" t="str">
        <f t="shared" si="19"/>
        <v>4-5,9 литра</v>
      </c>
      <c r="Q122" s="101" t="str">
        <f t="shared" si="32"/>
        <v>5-10 л</v>
      </c>
      <c r="R122" s="153">
        <f t="shared" si="20"/>
        <v>230</v>
      </c>
      <c r="S122" s="153">
        <f t="shared" si="21"/>
        <v>140</v>
      </c>
      <c r="T122" s="153">
        <f t="shared" si="22"/>
        <v>180</v>
      </c>
      <c r="U122" s="16">
        <f t="shared" si="23"/>
        <v>0.26240000000000002</v>
      </c>
      <c r="V122" s="16" t="str">
        <f t="shared" si="24"/>
        <v/>
      </c>
      <c r="W122" s="16" t="str">
        <f t="shared" si="25"/>
        <v/>
      </c>
      <c r="X122" s="159" t="str">
        <f t="shared" si="29"/>
        <v>200-299 мм</v>
      </c>
      <c r="Y122" s="159" t="str">
        <f t="shared" si="30"/>
        <v>100-199 мм</v>
      </c>
      <c r="Z122" s="159" t="str">
        <f t="shared" si="31"/>
        <v>100-199 мм</v>
      </c>
      <c r="AA122" s="100" t="str">
        <f t="shared" si="26"/>
        <v>Четырехклапанные</v>
      </c>
      <c r="AB122" s="16">
        <v>1.73</v>
      </c>
      <c r="AC122" s="100" t="str">
        <f t="shared" si="27"/>
        <v>6-7 литра</v>
      </c>
    </row>
    <row r="123" spans="1:29" x14ac:dyDescent="0.3">
      <c r="A123" s="53">
        <v>0.45</v>
      </c>
      <c r="B123" s="59">
        <f t="shared" si="28"/>
        <v>0.54</v>
      </c>
      <c r="C123" s="108">
        <v>123</v>
      </c>
      <c r="D123" s="115" t="s">
        <v>27</v>
      </c>
      <c r="E123" s="87" t="s">
        <v>374</v>
      </c>
      <c r="G123" s="82" t="s">
        <v>18</v>
      </c>
      <c r="H123" s="89" t="s">
        <v>1</v>
      </c>
      <c r="I123" s="82" t="s">
        <v>21</v>
      </c>
      <c r="J123" s="82" t="s">
        <v>1</v>
      </c>
      <c r="K123" s="115" t="s">
        <v>375</v>
      </c>
      <c r="N123" s="171">
        <f t="shared" si="18"/>
        <v>1</v>
      </c>
      <c r="O123" s="74">
        <f t="shared" si="33"/>
        <v>5.71</v>
      </c>
      <c r="P123" s="160" t="str">
        <f t="shared" si="19"/>
        <v>4-5,9 литра</v>
      </c>
      <c r="Q123" s="101" t="str">
        <f t="shared" si="32"/>
        <v>5-10 л</v>
      </c>
      <c r="R123" s="153">
        <f t="shared" si="20"/>
        <v>170</v>
      </c>
      <c r="S123" s="153">
        <f t="shared" si="21"/>
        <v>160</v>
      </c>
      <c r="T123" s="153">
        <f t="shared" si="22"/>
        <v>210</v>
      </c>
      <c r="U123" s="16">
        <f t="shared" si="23"/>
        <v>0.27216000000000001</v>
      </c>
      <c r="V123" s="16" t="str">
        <f t="shared" si="24"/>
        <v/>
      </c>
      <c r="W123" s="16" t="str">
        <f t="shared" si="25"/>
        <v/>
      </c>
      <c r="X123" s="159" t="str">
        <f t="shared" si="29"/>
        <v>200-299 мм</v>
      </c>
      <c r="Y123" s="159" t="str">
        <f t="shared" si="30"/>
        <v>100-199 мм</v>
      </c>
      <c r="Z123" s="159" t="str">
        <f t="shared" si="31"/>
        <v>100-199 мм</v>
      </c>
      <c r="AA123" s="100" t="str">
        <f t="shared" si="26"/>
        <v>Четырехклапанные</v>
      </c>
      <c r="AB123" s="16">
        <v>1.73</v>
      </c>
      <c r="AC123" s="100" t="str">
        <f t="shared" si="27"/>
        <v>6-7 литра</v>
      </c>
    </row>
    <row r="124" spans="1:29" x14ac:dyDescent="0.3">
      <c r="A124" s="53">
        <v>0.15</v>
      </c>
      <c r="B124" s="59">
        <f t="shared" si="28"/>
        <v>0.18</v>
      </c>
      <c r="C124" s="108">
        <v>124</v>
      </c>
      <c r="D124" s="115" t="s">
        <v>27</v>
      </c>
      <c r="E124" s="87" t="s">
        <v>376</v>
      </c>
      <c r="G124" s="82" t="s">
        <v>143</v>
      </c>
      <c r="H124" s="89" t="s">
        <v>1</v>
      </c>
      <c r="I124" s="82" t="s">
        <v>21</v>
      </c>
      <c r="J124" s="82" t="s">
        <v>1</v>
      </c>
      <c r="K124" s="115" t="s">
        <v>377</v>
      </c>
      <c r="N124" s="171">
        <f t="shared" si="18"/>
        <v>1</v>
      </c>
      <c r="O124" s="74">
        <f t="shared" si="33"/>
        <v>0.34</v>
      </c>
      <c r="P124" s="160" t="str">
        <f t="shared" si="19"/>
        <v>0,1-0,9 литров</v>
      </c>
      <c r="Q124" s="101" t="str">
        <f t="shared" si="32"/>
        <v>&lt;1 л</v>
      </c>
      <c r="R124" s="153">
        <f t="shared" si="20"/>
        <v>70</v>
      </c>
      <c r="S124" s="153">
        <f t="shared" si="21"/>
        <v>70</v>
      </c>
      <c r="T124" s="153">
        <f t="shared" si="22"/>
        <v>70</v>
      </c>
      <c r="U124" s="16">
        <f t="shared" si="23"/>
        <v>5.0319999999999997E-2</v>
      </c>
      <c r="V124" s="16" t="str">
        <f t="shared" si="24"/>
        <v/>
      </c>
      <c r="W124" s="16" t="str">
        <f t="shared" si="25"/>
        <v/>
      </c>
      <c r="X124" s="159" t="str">
        <f t="shared" si="29"/>
        <v>10-99 мм</v>
      </c>
      <c r="Y124" s="159" t="str">
        <f t="shared" si="30"/>
        <v>10-99 мм</v>
      </c>
      <c r="Z124" s="159" t="str">
        <f t="shared" si="31"/>
        <v>10-99 мм</v>
      </c>
      <c r="AA124" s="100" t="str">
        <f t="shared" si="26"/>
        <v>Самосборные</v>
      </c>
      <c r="AB124" s="16">
        <v>1.73</v>
      </c>
      <c r="AC124" s="100" t="str">
        <f t="shared" si="27"/>
        <v>0-1 литров</v>
      </c>
    </row>
    <row r="125" spans="1:29" x14ac:dyDescent="0.3">
      <c r="A125" s="53">
        <v>0.91</v>
      </c>
      <c r="B125" s="59">
        <f t="shared" si="28"/>
        <v>1.0920000000000001</v>
      </c>
      <c r="C125" s="108">
        <v>125</v>
      </c>
      <c r="D125" s="115" t="s">
        <v>27</v>
      </c>
      <c r="E125" s="87" t="s">
        <v>378</v>
      </c>
      <c r="G125" s="82" t="s">
        <v>18</v>
      </c>
      <c r="H125" s="89" t="s">
        <v>1</v>
      </c>
      <c r="I125" s="82" t="s">
        <v>21</v>
      </c>
      <c r="J125" s="82" t="s">
        <v>1</v>
      </c>
      <c r="K125" s="115" t="s">
        <v>379</v>
      </c>
      <c r="N125" s="171">
        <f t="shared" si="18"/>
        <v>1</v>
      </c>
      <c r="O125" s="74">
        <f t="shared" si="33"/>
        <v>15.99</v>
      </c>
      <c r="P125" s="160" t="str">
        <f t="shared" si="19"/>
        <v>15-19,9 литров</v>
      </c>
      <c r="Q125" s="101" t="str">
        <f t="shared" si="32"/>
        <v>10-20 л</v>
      </c>
      <c r="R125" s="153">
        <f t="shared" si="20"/>
        <v>410</v>
      </c>
      <c r="S125" s="153">
        <f t="shared" si="21"/>
        <v>100</v>
      </c>
      <c r="T125" s="153">
        <f t="shared" si="22"/>
        <v>390</v>
      </c>
      <c r="U125" s="16">
        <f t="shared" si="23"/>
        <v>0.53783999999999998</v>
      </c>
      <c r="V125" s="16" t="str">
        <f t="shared" si="24"/>
        <v/>
      </c>
      <c r="W125" s="16" t="str">
        <f t="shared" si="25"/>
        <v>Плоские</v>
      </c>
      <c r="X125" s="159" t="str">
        <f t="shared" si="29"/>
        <v>400-499 мм</v>
      </c>
      <c r="Y125" s="159" t="str">
        <f t="shared" si="30"/>
        <v>300-399 мм</v>
      </c>
      <c r="Z125" s="159" t="str">
        <f t="shared" si="31"/>
        <v>100-199 мм</v>
      </c>
      <c r="AA125" s="100" t="str">
        <f t="shared" si="26"/>
        <v>Четырехклапанные</v>
      </c>
      <c r="AB125" s="16">
        <v>1.73</v>
      </c>
      <c r="AC125" s="100" t="str">
        <f t="shared" si="27"/>
        <v>15-19 литров</v>
      </c>
    </row>
    <row r="126" spans="1:29" x14ac:dyDescent="0.3">
      <c r="A126" s="53">
        <v>0.77</v>
      </c>
      <c r="B126" s="59">
        <f t="shared" si="28"/>
        <v>0.92399999999999993</v>
      </c>
      <c r="C126" s="108">
        <v>126</v>
      </c>
      <c r="D126" s="115" t="s">
        <v>27</v>
      </c>
      <c r="E126" s="87" t="s">
        <v>380</v>
      </c>
      <c r="G126" s="82" t="s">
        <v>18</v>
      </c>
      <c r="H126" s="89" t="s">
        <v>1</v>
      </c>
      <c r="I126" s="82" t="s">
        <v>21</v>
      </c>
      <c r="J126" s="82" t="s">
        <v>1</v>
      </c>
      <c r="K126" s="115" t="s">
        <v>381</v>
      </c>
      <c r="N126" s="171">
        <f t="shared" si="18"/>
        <v>1</v>
      </c>
      <c r="O126" s="74">
        <f t="shared" si="33"/>
        <v>14.16</v>
      </c>
      <c r="P126" s="160" t="str">
        <f t="shared" si="19"/>
        <v>10-14,9 литров</v>
      </c>
      <c r="Q126" s="101" t="str">
        <f t="shared" si="32"/>
        <v>10-20 л</v>
      </c>
      <c r="R126" s="153">
        <f t="shared" si="20"/>
        <v>210</v>
      </c>
      <c r="S126" s="153">
        <f t="shared" si="21"/>
        <v>190</v>
      </c>
      <c r="T126" s="153">
        <f t="shared" si="22"/>
        <v>355</v>
      </c>
      <c r="U126" s="16">
        <f t="shared" si="23"/>
        <v>0.47558</v>
      </c>
      <c r="V126" s="16" t="str">
        <f t="shared" si="24"/>
        <v/>
      </c>
      <c r="W126" s="16" t="str">
        <f t="shared" si="25"/>
        <v/>
      </c>
      <c r="X126" s="159" t="str">
        <f t="shared" si="29"/>
        <v>300-399 мм</v>
      </c>
      <c r="Y126" s="159" t="str">
        <f t="shared" si="30"/>
        <v>200-299 мм</v>
      </c>
      <c r="Z126" s="159" t="str">
        <f t="shared" si="31"/>
        <v>100-199 мм</v>
      </c>
      <c r="AA126" s="100" t="str">
        <f t="shared" si="26"/>
        <v>Четырехклапанные</v>
      </c>
      <c r="AB126" s="16">
        <v>1.73</v>
      </c>
      <c r="AC126" s="100" t="str">
        <f t="shared" si="27"/>
        <v>15-19 литров</v>
      </c>
    </row>
    <row r="127" spans="1:29" x14ac:dyDescent="0.3">
      <c r="A127" s="53">
        <v>2.1800000000000002</v>
      </c>
      <c r="B127" s="59">
        <f t="shared" si="28"/>
        <v>2.6160000000000001</v>
      </c>
      <c r="C127" s="108">
        <v>127</v>
      </c>
      <c r="D127" s="115" t="s">
        <v>27</v>
      </c>
      <c r="E127" s="87" t="s">
        <v>382</v>
      </c>
      <c r="G127" s="82" t="s">
        <v>18</v>
      </c>
      <c r="H127" s="89" t="s">
        <v>1</v>
      </c>
      <c r="I127" s="82" t="s">
        <v>21</v>
      </c>
      <c r="J127" s="82" t="s">
        <v>1</v>
      </c>
      <c r="K127" s="115" t="s">
        <v>383</v>
      </c>
      <c r="N127" s="171">
        <f t="shared" si="18"/>
        <v>1</v>
      </c>
      <c r="O127" s="74">
        <f t="shared" si="33"/>
        <v>69.489999999999995</v>
      </c>
      <c r="P127" s="160" t="str">
        <f t="shared" si="19"/>
        <v>60-69 литров</v>
      </c>
      <c r="Q127" s="101" t="str">
        <f t="shared" si="32"/>
        <v>50-100 л</v>
      </c>
      <c r="R127" s="153">
        <f t="shared" si="20"/>
        <v>465</v>
      </c>
      <c r="S127" s="153">
        <f t="shared" si="21"/>
        <v>305</v>
      </c>
      <c r="T127" s="153">
        <f t="shared" si="22"/>
        <v>490</v>
      </c>
      <c r="U127" s="16">
        <f t="shared" si="23"/>
        <v>1.2847999999999999</v>
      </c>
      <c r="V127" s="16" t="str">
        <f t="shared" si="24"/>
        <v/>
      </c>
      <c r="W127" s="16" t="str">
        <f t="shared" si="25"/>
        <v/>
      </c>
      <c r="X127" s="159" t="str">
        <f t="shared" si="29"/>
        <v>400-499 мм</v>
      </c>
      <c r="Y127" s="159" t="str">
        <f t="shared" si="30"/>
        <v>400-499 мм</v>
      </c>
      <c r="Z127" s="159" t="str">
        <f t="shared" si="31"/>
        <v>300-399 мм</v>
      </c>
      <c r="AA127" s="100" t="str">
        <f t="shared" si="26"/>
        <v>Четырехклапанные</v>
      </c>
      <c r="AB127" s="16">
        <v>1.73</v>
      </c>
      <c r="AC127" s="100" t="str">
        <f t="shared" si="27"/>
        <v>60-69 литров</v>
      </c>
    </row>
    <row r="128" spans="1:29" x14ac:dyDescent="0.3">
      <c r="A128" s="53">
        <v>0.59</v>
      </c>
      <c r="B128" s="59">
        <f t="shared" si="28"/>
        <v>0.70799999999999996</v>
      </c>
      <c r="C128" s="108">
        <v>128</v>
      </c>
      <c r="D128" s="115" t="s">
        <v>27</v>
      </c>
      <c r="E128" s="87" t="s">
        <v>384</v>
      </c>
      <c r="G128" s="82" t="s">
        <v>18</v>
      </c>
      <c r="H128" s="89" t="s">
        <v>1</v>
      </c>
      <c r="I128" s="82" t="s">
        <v>21</v>
      </c>
      <c r="J128" s="82" t="s">
        <v>1</v>
      </c>
      <c r="K128" s="115" t="s">
        <v>385</v>
      </c>
      <c r="N128" s="171">
        <f t="shared" si="18"/>
        <v>1</v>
      </c>
      <c r="O128" s="74">
        <f t="shared" si="33"/>
        <v>6.83</v>
      </c>
      <c r="P128" s="160" t="str">
        <f t="shared" si="19"/>
        <v>6-7,9 литра</v>
      </c>
      <c r="Q128" s="101" t="str">
        <f t="shared" si="32"/>
        <v>5-10 л</v>
      </c>
      <c r="R128" s="153">
        <f t="shared" si="20"/>
        <v>225</v>
      </c>
      <c r="S128" s="153">
        <f t="shared" si="21"/>
        <v>225</v>
      </c>
      <c r="T128" s="153">
        <f t="shared" si="22"/>
        <v>135</v>
      </c>
      <c r="U128" s="16">
        <f t="shared" si="23"/>
        <v>0.35327999999999998</v>
      </c>
      <c r="V128" s="16" t="str">
        <f t="shared" si="24"/>
        <v/>
      </c>
      <c r="W128" s="16" t="str">
        <f t="shared" si="25"/>
        <v/>
      </c>
      <c r="X128" s="159" t="str">
        <f t="shared" si="29"/>
        <v>200-299 мм</v>
      </c>
      <c r="Y128" s="159" t="str">
        <f t="shared" si="30"/>
        <v>200-299 мм</v>
      </c>
      <c r="Z128" s="159" t="str">
        <f t="shared" si="31"/>
        <v>100-199 мм</v>
      </c>
      <c r="AA128" s="100" t="str">
        <f t="shared" si="26"/>
        <v>Четырехклапанные</v>
      </c>
      <c r="AB128" s="16">
        <v>1.73</v>
      </c>
      <c r="AC128" s="100" t="str">
        <f t="shared" si="27"/>
        <v>6-7 литра</v>
      </c>
    </row>
    <row r="129" spans="1:29" x14ac:dyDescent="0.3">
      <c r="A129" s="53">
        <v>1.1200000000000001</v>
      </c>
      <c r="B129" s="59">
        <f t="shared" si="28"/>
        <v>1.3440000000000001</v>
      </c>
      <c r="C129" s="108">
        <v>129</v>
      </c>
      <c r="D129" s="115" t="s">
        <v>27</v>
      </c>
      <c r="E129" s="87" t="s">
        <v>386</v>
      </c>
      <c r="G129" s="82" t="s">
        <v>18</v>
      </c>
      <c r="H129" s="89" t="s">
        <v>1</v>
      </c>
      <c r="I129" s="82" t="s">
        <v>21</v>
      </c>
      <c r="J129" s="82" t="s">
        <v>1</v>
      </c>
      <c r="K129" s="115" t="s">
        <v>387</v>
      </c>
      <c r="N129" s="171">
        <f t="shared" si="18"/>
        <v>1</v>
      </c>
      <c r="O129" s="74">
        <f t="shared" si="33"/>
        <v>24.66</v>
      </c>
      <c r="P129" s="160" t="str">
        <f t="shared" si="19"/>
        <v>20-29 литров</v>
      </c>
      <c r="Q129" s="101" t="str">
        <f t="shared" si="32"/>
        <v>20-50 л</v>
      </c>
      <c r="R129" s="153">
        <f t="shared" si="20"/>
        <v>320</v>
      </c>
      <c r="S129" s="153">
        <f t="shared" si="21"/>
        <v>230</v>
      </c>
      <c r="T129" s="153">
        <f t="shared" si="22"/>
        <v>335</v>
      </c>
      <c r="U129" s="16">
        <f t="shared" si="23"/>
        <v>0.66468000000000005</v>
      </c>
      <c r="V129" s="16" t="str">
        <f t="shared" si="24"/>
        <v/>
      </c>
      <c r="W129" s="16" t="str">
        <f t="shared" si="25"/>
        <v/>
      </c>
      <c r="X129" s="159" t="str">
        <f t="shared" si="29"/>
        <v>300-399 мм</v>
      </c>
      <c r="Y129" s="159" t="str">
        <f t="shared" si="30"/>
        <v>300-399 мм</v>
      </c>
      <c r="Z129" s="159" t="str">
        <f t="shared" si="31"/>
        <v>200-299 мм</v>
      </c>
      <c r="AA129" s="100" t="str">
        <f t="shared" si="26"/>
        <v>Четырехклапанные</v>
      </c>
      <c r="AB129" s="16">
        <v>1.73</v>
      </c>
      <c r="AC129" s="100" t="str">
        <f t="shared" si="27"/>
        <v>20-29 литров</v>
      </c>
    </row>
    <row r="130" spans="1:29" x14ac:dyDescent="0.3">
      <c r="A130" s="53">
        <v>0.34</v>
      </c>
      <c r="B130" s="59">
        <f t="shared" si="28"/>
        <v>0.40800000000000003</v>
      </c>
      <c r="C130" s="108">
        <v>130</v>
      </c>
      <c r="D130" s="115" t="s">
        <v>27</v>
      </c>
      <c r="E130" s="87" t="s">
        <v>388</v>
      </c>
      <c r="G130" s="82" t="s">
        <v>143</v>
      </c>
      <c r="H130" s="89" t="s">
        <v>1</v>
      </c>
      <c r="I130" s="82" t="s">
        <v>144</v>
      </c>
      <c r="J130" s="82" t="s">
        <v>1</v>
      </c>
      <c r="K130" s="115" t="s">
        <v>389</v>
      </c>
      <c r="N130" s="171">
        <f t="shared" ref="N130:N193" si="34">IF(D130="","",IF(LEFT(D130,1)="0",0,1))</f>
        <v>1</v>
      </c>
      <c r="O130" s="74">
        <f t="shared" si="33"/>
        <v>1.79</v>
      </c>
      <c r="P130" s="160" t="str">
        <f t="shared" ref="P130:P193" si="35">IF(O130="","",
IF(O130&lt;1,"0,1-0,9 литров",
IF(O130&lt;2,"1-1,9 литра",
IF(O130&lt;3,"2-2,9 литра",
IF(O130&lt;4,"3-3,9 литра",
IF(O130&lt;6,"4-5,9 литра",IF(O130&lt;8,"6-7,9 литра",IF(O130&lt;10,"8-9,9 литров",IF(O130&lt;15,"10-14,9 литров",IF(O130&lt;20,"15-19,9 литров",IF(O130&lt;30,"20-29 литров",IF(O130&lt;50,"30-49 литров",IF(O130&lt;60,"50-59 литров",IF(O130&lt;70,"60-69 литров",IF(O130&lt;80,"70-79 литров",IF(O130&lt;90,"80-89 литров",IF(O130&lt;100,"90-99 литров",IF(O130&lt;200,"100-200 литров","200+ литров"))))))))))))))))))</f>
        <v>1-1,9 литра</v>
      </c>
      <c r="Q130" s="101" t="str">
        <f t="shared" si="32"/>
        <v>1-2 л</v>
      </c>
      <c r="R130" s="153">
        <f t="shared" ref="R130:R193" si="36">IF(E130="","",--LEFT(E130,FIND("х",E130)-1))</f>
        <v>320</v>
      </c>
      <c r="S130" s="153">
        <f t="shared" ref="S130:S193" si="37">IF(E130="","",--MID(E130,FIND("х",E130)+1,FIND("х",E130,FIND("х",E130)+1)-FIND("х",E130)-1))</f>
        <v>160</v>
      </c>
      <c r="T130" s="153">
        <f t="shared" ref="T130:T193" si="38">IF(E130="","",--RIGHT(E130,LEN(E130)-FIND("х",E130,FIND("х",E130)+1)))</f>
        <v>35</v>
      </c>
      <c r="U130" s="16">
        <f t="shared" ref="U130:U193" si="39">(2*(R130+S130)+60)*(S130+T130+8)/1000000</f>
        <v>0.20705999999999999</v>
      </c>
      <c r="V130" s="16" t="str">
        <f t="shared" ref="V130:V193" si="40">IF(OR(AND(R130&gt;=2*S130,R130&gt;=2*T130),AND(S130&gt;=2*R130,S130&gt;=2*T130),AND(T130&gt;=2*R130,T130&gt;=2*S130)),"Длинные","")</f>
        <v>Длинные</v>
      </c>
      <c r="W130" s="16" t="str">
        <f t="shared" ref="W130:W193" si="41">IF(OR(AND(R130&lt;=S130/2,R130&lt;=T130/2),AND(S130&lt;=R130/2,S130&lt;=T130/2),AND(T130&lt;=R130/2,T130&lt;=S130/2)),"Плоские","")</f>
        <v>Плоские</v>
      </c>
      <c r="X130" s="159" t="str">
        <f t="shared" si="29"/>
        <v>300-399 мм</v>
      </c>
      <c r="Y130" s="159" t="str">
        <f t="shared" si="30"/>
        <v>100-199 мм</v>
      </c>
      <c r="Z130" s="159" t="str">
        <f t="shared" si="31"/>
        <v>10-99 мм</v>
      </c>
      <c r="AA130" s="100" t="str">
        <f t="shared" ref="AA130:AA193" si="42">IF(G130="","",IF(G130="Л","Лист гофрокартона",IF(G130="КД","Крышка-дно",IF(G130="С","Самосборные",IF(G130="Ч","Четырехклапанные",IF(G130="А","Архивные","Неизвестно"))))))</f>
        <v>Самосборные</v>
      </c>
      <c r="AB130" s="16">
        <v>1.73</v>
      </c>
      <c r="AC130" s="100" t="str">
        <f t="shared" ref="AC130:AC193" si="43">IF(O130="","",IF(O130&lt;=1,"0-1 литров",IF(O130&lt;=3,"2-3 литра",IF(O130&lt;=5,"4-5 литра",IF(O130&lt;=7,"6-7 литра",IF(O130&lt;=9,"8-9 литров",IF(O130&lt;=14,"10-14 литров",IF(O130&lt;=19,"15-19 литров",IF(O130&lt;=29,"20-29 литров",IF(O130&lt;=49,"30-49 литров",IF(O130&lt;=59,"50-59 литров",IF(O130&lt;=70,"60-69 литров",IF(O130&lt;=79,"70-79 литров",IF(O130&lt;=89,"80-89 литров",IF(O130&lt;=99,"90-99 литров",IF(O130&lt;=200,"100-200 литров","200+ литров"))))))))))))))))</f>
        <v>2-3 литра</v>
      </c>
    </row>
    <row r="131" spans="1:29" x14ac:dyDescent="0.3">
      <c r="A131" s="53">
        <v>0.85</v>
      </c>
      <c r="B131" s="59">
        <f t="shared" ref="B131:B194" si="44">A131*1.2</f>
        <v>1.02</v>
      </c>
      <c r="C131" s="108">
        <v>131</v>
      </c>
      <c r="D131" s="115" t="s">
        <v>27</v>
      </c>
      <c r="E131" s="87" t="s">
        <v>390</v>
      </c>
      <c r="G131" s="82" t="s">
        <v>18</v>
      </c>
      <c r="H131" s="89" t="s">
        <v>1</v>
      </c>
      <c r="I131" s="82" t="s">
        <v>21</v>
      </c>
      <c r="J131" s="82" t="s">
        <v>1</v>
      </c>
      <c r="K131" s="115" t="s">
        <v>391</v>
      </c>
      <c r="N131" s="171">
        <f t="shared" si="34"/>
        <v>1</v>
      </c>
      <c r="O131" s="74">
        <f t="shared" si="33"/>
        <v>7.58</v>
      </c>
      <c r="P131" s="160" t="str">
        <f t="shared" si="35"/>
        <v>6-7,9 литра</v>
      </c>
      <c r="Q131" s="101" t="str">
        <f t="shared" si="32"/>
        <v>5-10 л</v>
      </c>
      <c r="R131" s="153">
        <f t="shared" si="36"/>
        <v>380</v>
      </c>
      <c r="S131" s="153">
        <f t="shared" si="37"/>
        <v>285</v>
      </c>
      <c r="T131" s="153">
        <f t="shared" si="38"/>
        <v>70</v>
      </c>
      <c r="U131" s="16">
        <f t="shared" si="39"/>
        <v>0.50456999999999996</v>
      </c>
      <c r="V131" s="16" t="str">
        <f t="shared" si="40"/>
        <v/>
      </c>
      <c r="W131" s="16" t="str">
        <f t="shared" si="41"/>
        <v>Плоские</v>
      </c>
      <c r="X131" s="159" t="str">
        <f t="shared" ref="X131:X194" si="45">IF(LARGE($R131:$T131,1)="","",IF(LARGE($R131:$T131,1)&lt;=99,"10-99 мм",IF(LARGE($R131:$T131,1)&lt;=199,"100-199 мм",IF(LARGE($R131:$T131,1)&lt;=299,"200-299 мм",IF(LARGE($R131:$T131,1)&lt;=399,"300-399 мм",IF(LARGE($R131:$T131,1)&lt;=499,"400-499 мм",IF(LARGE($R131:$T131,1)&lt;=599,"500-599 мм",IF(LARGE($R131:$T131,1)&lt;=699,"600-699 мм",IF(LARGE($R131:$T131,1)&lt;=999,"700-999 мм","1000+ мм")))))))))</f>
        <v>300-399 мм</v>
      </c>
      <c r="Y131" s="159" t="str">
        <f t="shared" ref="Y131:Y194" si="46">IF(LARGE($R131:$T131,2)="","",IF(LARGE($R131:$T131,2)&lt;=99,"10-99 мм",IF(LARGE($R131:$T131,2)&lt;=199,"100-199 мм",IF(LARGE($R131:$T131,2)&lt;=299,"200-299 мм",IF(LARGE($R131:$T131,2)&lt;=399,"300-399 мм",IF(LARGE($R131:$T131,2)&lt;=499,"400-499 мм",IF(LARGE($R131:$T131,2)&lt;=599,"500-599 мм",IF(LARGE($R131:$T131,2)&lt;=699,"600-699 мм",IF(LARGE($R131:$T131,2)&lt;=999,"700-999 мм","1000+ мм")))))))))</f>
        <v>200-299 мм</v>
      </c>
      <c r="Z131" s="159" t="str">
        <f t="shared" ref="Z131:Z194" si="47">IF(SMALL($R131:$T131,1)="","",IF(SMALL($R131:$T131,1)&lt;=99,"10-99 мм",IF(SMALL($R131:$T131,1)&lt;=199,"100-199 мм",IF(SMALL($R131:$T131,1)&lt;=299,"200-299 мм",IF(SMALL($R131:$T131,1)&lt;=399,"300-399 мм",IF(SMALL($R131:$T131,1)&lt;=499,"400-499 мм",IF(SMALL($R131:$T131,1)&lt;=599,"500-599 мм",IF(SMALL($R131:$T131,1)&lt;=699,"600-699 мм",IF(SMALL($R131:$T131,1)&lt;=999,"700-999 мм","1000+ мм")))))))))</f>
        <v>10-99 мм</v>
      </c>
      <c r="AA131" s="100" t="str">
        <f t="shared" si="42"/>
        <v>Четырехклапанные</v>
      </c>
      <c r="AB131" s="16">
        <v>1.73</v>
      </c>
      <c r="AC131" s="100" t="str">
        <f t="shared" si="43"/>
        <v>8-9 литров</v>
      </c>
    </row>
    <row r="132" spans="1:29" x14ac:dyDescent="0.3">
      <c r="A132" s="53">
        <v>0.53</v>
      </c>
      <c r="B132" s="59">
        <f t="shared" si="44"/>
        <v>0.63600000000000001</v>
      </c>
      <c r="C132" s="108">
        <v>132</v>
      </c>
      <c r="D132" s="115" t="s">
        <v>27</v>
      </c>
      <c r="E132" s="87" t="s">
        <v>392</v>
      </c>
      <c r="G132" s="82" t="s">
        <v>18</v>
      </c>
      <c r="H132" s="89" t="s">
        <v>1</v>
      </c>
      <c r="I132" s="82" t="s">
        <v>21</v>
      </c>
      <c r="J132" s="82" t="s">
        <v>1</v>
      </c>
      <c r="K132" s="115" t="s">
        <v>393</v>
      </c>
      <c r="N132" s="171">
        <f t="shared" si="34"/>
        <v>1</v>
      </c>
      <c r="O132" s="74">
        <f t="shared" si="33"/>
        <v>8</v>
      </c>
      <c r="P132" s="160" t="str">
        <f t="shared" si="35"/>
        <v>8-9,9 литров</v>
      </c>
      <c r="Q132" s="101" t="str">
        <f t="shared" si="32"/>
        <v>5-10 л</v>
      </c>
      <c r="R132" s="153">
        <f t="shared" si="36"/>
        <v>230</v>
      </c>
      <c r="S132" s="153">
        <f t="shared" si="37"/>
        <v>145</v>
      </c>
      <c r="T132" s="153">
        <f t="shared" si="38"/>
        <v>240</v>
      </c>
      <c r="U132" s="16">
        <f t="shared" si="39"/>
        <v>0.31833</v>
      </c>
      <c r="V132" s="16" t="str">
        <f t="shared" si="40"/>
        <v/>
      </c>
      <c r="W132" s="16" t="str">
        <f t="shared" si="41"/>
        <v/>
      </c>
      <c r="X132" s="159" t="str">
        <f t="shared" si="45"/>
        <v>200-299 мм</v>
      </c>
      <c r="Y132" s="159" t="str">
        <f t="shared" si="46"/>
        <v>200-299 мм</v>
      </c>
      <c r="Z132" s="159" t="str">
        <f t="shared" si="47"/>
        <v>100-199 мм</v>
      </c>
      <c r="AA132" s="100" t="str">
        <f t="shared" si="42"/>
        <v>Четырехклапанные</v>
      </c>
      <c r="AB132" s="16">
        <v>1.73</v>
      </c>
      <c r="AC132" s="100" t="str">
        <f t="shared" si="43"/>
        <v>8-9 литров</v>
      </c>
    </row>
    <row r="133" spans="1:29" x14ac:dyDescent="0.3">
      <c r="A133" s="53">
        <v>1.42</v>
      </c>
      <c r="B133" s="59">
        <f t="shared" si="44"/>
        <v>1.704</v>
      </c>
      <c r="C133" s="108">
        <v>133</v>
      </c>
      <c r="D133" s="115" t="s">
        <v>27</v>
      </c>
      <c r="E133" s="87" t="s">
        <v>394</v>
      </c>
      <c r="G133" s="82" t="s">
        <v>18</v>
      </c>
      <c r="H133" s="89" t="s">
        <v>1</v>
      </c>
      <c r="I133" s="82" t="s">
        <v>21</v>
      </c>
      <c r="J133" s="82" t="s">
        <v>1</v>
      </c>
      <c r="K133" s="115" t="s">
        <v>395</v>
      </c>
      <c r="N133" s="171">
        <f t="shared" si="34"/>
        <v>1</v>
      </c>
      <c r="O133" s="74">
        <f t="shared" si="33"/>
        <v>33.57</v>
      </c>
      <c r="P133" s="160" t="str">
        <f t="shared" si="35"/>
        <v>30-49 литров</v>
      </c>
      <c r="Q133" s="101" t="str">
        <f t="shared" si="32"/>
        <v>20-50 л</v>
      </c>
      <c r="R133" s="153">
        <f t="shared" si="36"/>
        <v>380</v>
      </c>
      <c r="S133" s="153">
        <f t="shared" si="37"/>
        <v>285</v>
      </c>
      <c r="T133" s="153">
        <f t="shared" si="38"/>
        <v>310</v>
      </c>
      <c r="U133" s="16">
        <f t="shared" si="39"/>
        <v>0.83816999999999997</v>
      </c>
      <c r="V133" s="16" t="str">
        <f t="shared" si="40"/>
        <v/>
      </c>
      <c r="W133" s="16" t="str">
        <f t="shared" si="41"/>
        <v/>
      </c>
      <c r="X133" s="159" t="str">
        <f t="shared" si="45"/>
        <v>300-399 мм</v>
      </c>
      <c r="Y133" s="159" t="str">
        <f t="shared" si="46"/>
        <v>300-399 мм</v>
      </c>
      <c r="Z133" s="159" t="str">
        <f t="shared" si="47"/>
        <v>200-299 мм</v>
      </c>
      <c r="AA133" s="100" t="str">
        <f t="shared" si="42"/>
        <v>Четырехклапанные</v>
      </c>
      <c r="AB133" s="16">
        <v>1.73</v>
      </c>
      <c r="AC133" s="100" t="str">
        <f t="shared" si="43"/>
        <v>30-49 литров</v>
      </c>
    </row>
    <row r="134" spans="1:29" x14ac:dyDescent="0.3">
      <c r="A134" s="53">
        <v>1.07</v>
      </c>
      <c r="B134" s="59">
        <f t="shared" si="44"/>
        <v>1.284</v>
      </c>
      <c r="C134" s="108">
        <v>134</v>
      </c>
      <c r="D134" s="115" t="s">
        <v>27</v>
      </c>
      <c r="E134" s="87" t="s">
        <v>396</v>
      </c>
      <c r="G134" s="82" t="s">
        <v>18</v>
      </c>
      <c r="H134" s="89" t="s">
        <v>1</v>
      </c>
      <c r="I134" s="82" t="s">
        <v>21</v>
      </c>
      <c r="J134" s="82" t="s">
        <v>1</v>
      </c>
      <c r="K134" s="115" t="s">
        <v>397</v>
      </c>
      <c r="N134" s="171">
        <f t="shared" si="34"/>
        <v>1</v>
      </c>
      <c r="O134" s="74">
        <f t="shared" si="33"/>
        <v>18.14</v>
      </c>
      <c r="P134" s="160" t="str">
        <f t="shared" si="35"/>
        <v>15-19,9 литров</v>
      </c>
      <c r="Q134" s="101" t="str">
        <f t="shared" si="32"/>
        <v>10-20 л</v>
      </c>
      <c r="R134" s="153">
        <f t="shared" si="36"/>
        <v>420</v>
      </c>
      <c r="S134" s="153">
        <f t="shared" si="37"/>
        <v>270</v>
      </c>
      <c r="T134" s="153">
        <f t="shared" si="38"/>
        <v>160</v>
      </c>
      <c r="U134" s="16">
        <f t="shared" si="39"/>
        <v>0.63071999999999995</v>
      </c>
      <c r="V134" s="16" t="str">
        <f t="shared" si="40"/>
        <v/>
      </c>
      <c r="W134" s="16" t="str">
        <f t="shared" si="41"/>
        <v/>
      </c>
      <c r="X134" s="159" t="str">
        <f t="shared" si="45"/>
        <v>400-499 мм</v>
      </c>
      <c r="Y134" s="159" t="str">
        <f t="shared" si="46"/>
        <v>200-299 мм</v>
      </c>
      <c r="Z134" s="159" t="str">
        <f t="shared" si="47"/>
        <v>100-199 мм</v>
      </c>
      <c r="AA134" s="100" t="str">
        <f t="shared" si="42"/>
        <v>Четырехклапанные</v>
      </c>
      <c r="AB134" s="16">
        <v>1.73</v>
      </c>
      <c r="AC134" s="100" t="str">
        <f t="shared" si="43"/>
        <v>15-19 литров</v>
      </c>
    </row>
    <row r="135" spans="1:29" x14ac:dyDescent="0.3">
      <c r="A135" s="53">
        <v>1.25</v>
      </c>
      <c r="B135" s="59">
        <f t="shared" si="44"/>
        <v>1.5</v>
      </c>
      <c r="C135" s="108">
        <v>135</v>
      </c>
      <c r="D135" s="115" t="s">
        <v>27</v>
      </c>
      <c r="E135" s="87" t="s">
        <v>398</v>
      </c>
      <c r="G135" s="82" t="s">
        <v>18</v>
      </c>
      <c r="H135" s="89" t="s">
        <v>1</v>
      </c>
      <c r="I135" s="82" t="s">
        <v>21</v>
      </c>
      <c r="J135" s="82" t="s">
        <v>1</v>
      </c>
      <c r="K135" s="115" t="s">
        <v>399</v>
      </c>
      <c r="N135" s="171">
        <f t="shared" si="34"/>
        <v>1</v>
      </c>
      <c r="O135" s="74">
        <f t="shared" si="33"/>
        <v>25.67</v>
      </c>
      <c r="P135" s="160" t="str">
        <f t="shared" si="35"/>
        <v>20-29 литров</v>
      </c>
      <c r="Q135" s="101" t="str">
        <f t="shared" si="32"/>
        <v>20-50 л</v>
      </c>
      <c r="R135" s="153">
        <f t="shared" si="36"/>
        <v>380</v>
      </c>
      <c r="S135" s="153">
        <f t="shared" si="37"/>
        <v>285</v>
      </c>
      <c r="T135" s="153">
        <f t="shared" si="38"/>
        <v>237</v>
      </c>
      <c r="U135" s="16">
        <f t="shared" si="39"/>
        <v>0.73670000000000002</v>
      </c>
      <c r="V135" s="16" t="str">
        <f t="shared" si="40"/>
        <v/>
      </c>
      <c r="W135" s="16" t="str">
        <f t="shared" si="41"/>
        <v/>
      </c>
      <c r="X135" s="159" t="str">
        <f t="shared" si="45"/>
        <v>300-399 мм</v>
      </c>
      <c r="Y135" s="159" t="str">
        <f t="shared" si="46"/>
        <v>200-299 мм</v>
      </c>
      <c r="Z135" s="159" t="str">
        <f t="shared" si="47"/>
        <v>200-299 мм</v>
      </c>
      <c r="AA135" s="100" t="str">
        <f t="shared" si="42"/>
        <v>Четырехклапанные</v>
      </c>
      <c r="AB135" s="16">
        <v>1.73</v>
      </c>
      <c r="AC135" s="100" t="str">
        <f t="shared" si="43"/>
        <v>20-29 литров</v>
      </c>
    </row>
    <row r="136" spans="1:29" x14ac:dyDescent="0.3">
      <c r="A136" s="53">
        <v>0.54</v>
      </c>
      <c r="B136" s="59">
        <f t="shared" si="44"/>
        <v>0.64800000000000002</v>
      </c>
      <c r="C136" s="108">
        <v>136</v>
      </c>
      <c r="D136" s="115" t="s">
        <v>27</v>
      </c>
      <c r="E136" s="87" t="s">
        <v>400</v>
      </c>
      <c r="G136" s="82" t="s">
        <v>18</v>
      </c>
      <c r="H136" s="89" t="s">
        <v>1</v>
      </c>
      <c r="I136" s="82" t="s">
        <v>21</v>
      </c>
      <c r="J136" s="82" t="s">
        <v>1</v>
      </c>
      <c r="K136" s="115" t="s">
        <v>401</v>
      </c>
      <c r="N136" s="171">
        <f t="shared" si="34"/>
        <v>1</v>
      </c>
      <c r="O136" s="74">
        <f t="shared" si="33"/>
        <v>8</v>
      </c>
      <c r="P136" s="160" t="str">
        <f t="shared" si="35"/>
        <v>8-9,9 литров</v>
      </c>
      <c r="Q136" s="101" t="str">
        <f t="shared" ref="Q136:Q199" si="48">IF(O136="","",IF(O136&lt;1,"&lt;1 л",IF(O136&lt;2,"1-2 л",IF(O136&lt;3,"2-3 л",IF(O136&lt;5,"3-5 л",IF(O136&lt;10,"5-10 л",IF(O136&lt;20,"10-20 л",IF(O136&lt;50,"20-50 л",IF(O136&lt;100,"50-100 л","100+ л")))))))))</f>
        <v>5-10 л</v>
      </c>
      <c r="R136" s="153">
        <f t="shared" si="36"/>
        <v>200</v>
      </c>
      <c r="S136" s="153">
        <f t="shared" si="37"/>
        <v>160</v>
      </c>
      <c r="T136" s="153">
        <f t="shared" si="38"/>
        <v>250</v>
      </c>
      <c r="U136" s="16">
        <f t="shared" si="39"/>
        <v>0.32604</v>
      </c>
      <c r="V136" s="16" t="str">
        <f t="shared" si="40"/>
        <v/>
      </c>
      <c r="W136" s="16" t="str">
        <f t="shared" si="41"/>
        <v/>
      </c>
      <c r="X136" s="159" t="str">
        <f t="shared" si="45"/>
        <v>200-299 мм</v>
      </c>
      <c r="Y136" s="159" t="str">
        <f t="shared" si="46"/>
        <v>200-299 мм</v>
      </c>
      <c r="Z136" s="159" t="str">
        <f t="shared" si="47"/>
        <v>100-199 мм</v>
      </c>
      <c r="AA136" s="100" t="str">
        <f t="shared" si="42"/>
        <v>Четырехклапанные</v>
      </c>
      <c r="AB136" s="16">
        <v>1.73</v>
      </c>
      <c r="AC136" s="100" t="str">
        <f t="shared" si="43"/>
        <v>8-9 литров</v>
      </c>
    </row>
    <row r="137" spans="1:29" x14ac:dyDescent="0.3">
      <c r="A137" s="53">
        <v>0.73</v>
      </c>
      <c r="B137" s="59">
        <f t="shared" si="44"/>
        <v>0.876</v>
      </c>
      <c r="C137" s="108">
        <v>137</v>
      </c>
      <c r="D137" s="115" t="s">
        <v>27</v>
      </c>
      <c r="E137" s="87" t="s">
        <v>402</v>
      </c>
      <c r="G137" s="82" t="s">
        <v>18</v>
      </c>
      <c r="H137" s="89" t="s">
        <v>1</v>
      </c>
      <c r="I137" s="82" t="s">
        <v>21</v>
      </c>
      <c r="J137" s="82" t="s">
        <v>1</v>
      </c>
      <c r="K137" s="115" t="s">
        <v>403</v>
      </c>
      <c r="N137" s="171">
        <f t="shared" si="34"/>
        <v>1</v>
      </c>
      <c r="O137" s="74">
        <f t="shared" si="33"/>
        <v>10.62</v>
      </c>
      <c r="P137" s="160" t="str">
        <f t="shared" si="35"/>
        <v>10-14,9 литров</v>
      </c>
      <c r="Q137" s="101" t="str">
        <f t="shared" si="48"/>
        <v>10-20 л</v>
      </c>
      <c r="R137" s="153">
        <f t="shared" si="36"/>
        <v>295</v>
      </c>
      <c r="S137" s="153">
        <f t="shared" si="37"/>
        <v>225</v>
      </c>
      <c r="T137" s="153">
        <f t="shared" si="38"/>
        <v>160</v>
      </c>
      <c r="U137" s="16">
        <f t="shared" si="39"/>
        <v>0.43230000000000002</v>
      </c>
      <c r="V137" s="16" t="str">
        <f t="shared" si="40"/>
        <v/>
      </c>
      <c r="W137" s="16" t="str">
        <f t="shared" si="41"/>
        <v/>
      </c>
      <c r="X137" s="159" t="str">
        <f t="shared" si="45"/>
        <v>200-299 мм</v>
      </c>
      <c r="Y137" s="159" t="str">
        <f t="shared" si="46"/>
        <v>200-299 мм</v>
      </c>
      <c r="Z137" s="159" t="str">
        <f t="shared" si="47"/>
        <v>100-199 мм</v>
      </c>
      <c r="AA137" s="100" t="str">
        <f t="shared" si="42"/>
        <v>Четырехклапанные</v>
      </c>
      <c r="AB137" s="16">
        <v>1.73</v>
      </c>
      <c r="AC137" s="100" t="str">
        <f t="shared" si="43"/>
        <v>10-14 литров</v>
      </c>
    </row>
    <row r="138" spans="1:29" x14ac:dyDescent="0.3">
      <c r="A138" s="53">
        <v>1.65</v>
      </c>
      <c r="B138" s="59">
        <f t="shared" si="44"/>
        <v>1.9799999999999998</v>
      </c>
      <c r="C138" s="108">
        <v>138</v>
      </c>
      <c r="D138" s="115" t="s">
        <v>27</v>
      </c>
      <c r="E138" s="87" t="s">
        <v>404</v>
      </c>
      <c r="G138" s="82" t="s">
        <v>18</v>
      </c>
      <c r="H138" s="89" t="s">
        <v>1</v>
      </c>
      <c r="I138" s="82" t="s">
        <v>21</v>
      </c>
      <c r="J138" s="82" t="s">
        <v>1</v>
      </c>
      <c r="K138" s="115" t="s">
        <v>405</v>
      </c>
      <c r="N138" s="171">
        <f t="shared" si="34"/>
        <v>1</v>
      </c>
      <c r="O138" s="74">
        <f t="shared" si="33"/>
        <v>34.04</v>
      </c>
      <c r="P138" s="160" t="str">
        <f t="shared" si="35"/>
        <v>30-49 литров</v>
      </c>
      <c r="Q138" s="101" t="str">
        <f t="shared" si="48"/>
        <v>20-50 л</v>
      </c>
      <c r="R138" s="153">
        <f t="shared" si="36"/>
        <v>400</v>
      </c>
      <c r="S138" s="153">
        <f t="shared" si="37"/>
        <v>370</v>
      </c>
      <c r="T138" s="153">
        <f t="shared" si="38"/>
        <v>230</v>
      </c>
      <c r="U138" s="16">
        <f t="shared" si="39"/>
        <v>0.9728</v>
      </c>
      <c r="V138" s="16" t="str">
        <f t="shared" si="40"/>
        <v/>
      </c>
      <c r="W138" s="16" t="str">
        <f t="shared" si="41"/>
        <v/>
      </c>
      <c r="X138" s="159" t="str">
        <f t="shared" si="45"/>
        <v>400-499 мм</v>
      </c>
      <c r="Y138" s="159" t="str">
        <f t="shared" si="46"/>
        <v>300-399 мм</v>
      </c>
      <c r="Z138" s="159" t="str">
        <f t="shared" si="47"/>
        <v>200-299 мм</v>
      </c>
      <c r="AA138" s="100" t="str">
        <f t="shared" si="42"/>
        <v>Четырехклапанные</v>
      </c>
      <c r="AB138" s="16">
        <v>1.73</v>
      </c>
      <c r="AC138" s="100" t="str">
        <f t="shared" si="43"/>
        <v>30-49 литров</v>
      </c>
    </row>
    <row r="139" spans="1:29" x14ac:dyDescent="0.3">
      <c r="A139" s="53">
        <v>2.23</v>
      </c>
      <c r="B139" s="59">
        <f t="shared" si="44"/>
        <v>2.6759999999999997</v>
      </c>
      <c r="C139" s="108">
        <v>139</v>
      </c>
      <c r="D139" s="115" t="s">
        <v>27</v>
      </c>
      <c r="E139" s="87" t="s">
        <v>406</v>
      </c>
      <c r="G139" s="82" t="s">
        <v>18</v>
      </c>
      <c r="H139" s="89" t="s">
        <v>1</v>
      </c>
      <c r="I139" s="82" t="s">
        <v>21</v>
      </c>
      <c r="J139" s="82" t="s">
        <v>1</v>
      </c>
      <c r="K139" s="115" t="s">
        <v>407</v>
      </c>
      <c r="N139" s="171">
        <f t="shared" si="34"/>
        <v>1</v>
      </c>
      <c r="O139" s="74">
        <f t="shared" ref="O139:O202" si="49">ROUND(R139*S139*T139/1000000,2)</f>
        <v>68.540000000000006</v>
      </c>
      <c r="P139" s="160" t="str">
        <f t="shared" si="35"/>
        <v>60-69 литров</v>
      </c>
      <c r="Q139" s="101" t="str">
        <f t="shared" si="48"/>
        <v>50-100 л</v>
      </c>
      <c r="R139" s="153">
        <f t="shared" si="36"/>
        <v>630</v>
      </c>
      <c r="S139" s="153">
        <f t="shared" si="37"/>
        <v>320</v>
      </c>
      <c r="T139" s="153">
        <f t="shared" si="38"/>
        <v>340</v>
      </c>
      <c r="U139" s="16">
        <f t="shared" si="39"/>
        <v>1.30928</v>
      </c>
      <c r="V139" s="16" t="str">
        <f t="shared" si="40"/>
        <v/>
      </c>
      <c r="W139" s="16" t="str">
        <f t="shared" si="41"/>
        <v/>
      </c>
      <c r="X139" s="159" t="str">
        <f t="shared" si="45"/>
        <v>600-699 мм</v>
      </c>
      <c r="Y139" s="159" t="str">
        <f t="shared" si="46"/>
        <v>300-399 мм</v>
      </c>
      <c r="Z139" s="159" t="str">
        <f t="shared" si="47"/>
        <v>300-399 мм</v>
      </c>
      <c r="AA139" s="100" t="str">
        <f t="shared" si="42"/>
        <v>Четырехклапанные</v>
      </c>
      <c r="AB139" s="16">
        <v>1.73</v>
      </c>
      <c r="AC139" s="100" t="str">
        <f t="shared" si="43"/>
        <v>60-69 литров</v>
      </c>
    </row>
    <row r="140" spans="1:29" x14ac:dyDescent="0.3">
      <c r="A140" s="53">
        <v>1.31</v>
      </c>
      <c r="B140" s="59">
        <f t="shared" si="44"/>
        <v>1.5720000000000001</v>
      </c>
      <c r="C140" s="108">
        <v>140</v>
      </c>
      <c r="D140" s="115" t="s">
        <v>27</v>
      </c>
      <c r="E140" s="87" t="s">
        <v>408</v>
      </c>
      <c r="G140" s="82" t="s">
        <v>18</v>
      </c>
      <c r="H140" s="89" t="s">
        <v>1</v>
      </c>
      <c r="I140" s="82" t="s">
        <v>21</v>
      </c>
      <c r="J140" s="82" t="s">
        <v>1</v>
      </c>
      <c r="K140" s="115" t="s">
        <v>409</v>
      </c>
      <c r="N140" s="171">
        <f t="shared" si="34"/>
        <v>1</v>
      </c>
      <c r="O140" s="74">
        <f t="shared" si="49"/>
        <v>22.61</v>
      </c>
      <c r="P140" s="160" t="str">
        <f t="shared" si="35"/>
        <v>20-29 литров</v>
      </c>
      <c r="Q140" s="101" t="str">
        <f t="shared" si="48"/>
        <v>20-50 л</v>
      </c>
      <c r="R140" s="153">
        <f t="shared" si="36"/>
        <v>350</v>
      </c>
      <c r="S140" s="153">
        <f t="shared" si="37"/>
        <v>340</v>
      </c>
      <c r="T140" s="153">
        <f t="shared" si="38"/>
        <v>190</v>
      </c>
      <c r="U140" s="16">
        <f t="shared" si="39"/>
        <v>0.77471999999999996</v>
      </c>
      <c r="V140" s="16" t="str">
        <f t="shared" si="40"/>
        <v/>
      </c>
      <c r="W140" s="16" t="str">
        <f t="shared" si="41"/>
        <v/>
      </c>
      <c r="X140" s="159" t="str">
        <f t="shared" si="45"/>
        <v>300-399 мм</v>
      </c>
      <c r="Y140" s="159" t="str">
        <f t="shared" si="46"/>
        <v>300-399 мм</v>
      </c>
      <c r="Z140" s="159" t="str">
        <f t="shared" si="47"/>
        <v>100-199 мм</v>
      </c>
      <c r="AA140" s="100" t="str">
        <f t="shared" si="42"/>
        <v>Четырехклапанные</v>
      </c>
      <c r="AB140" s="16">
        <v>1.73</v>
      </c>
      <c r="AC140" s="100" t="str">
        <f t="shared" si="43"/>
        <v>20-29 литров</v>
      </c>
    </row>
    <row r="141" spans="1:29" x14ac:dyDescent="0.3">
      <c r="A141" s="53">
        <v>0.2</v>
      </c>
      <c r="B141" s="59">
        <f t="shared" si="44"/>
        <v>0.24</v>
      </c>
      <c r="C141" s="108">
        <v>141</v>
      </c>
      <c r="D141" s="115" t="s">
        <v>27</v>
      </c>
      <c r="E141" s="87" t="s">
        <v>410</v>
      </c>
      <c r="G141" s="82" t="s">
        <v>18</v>
      </c>
      <c r="H141" s="89" t="s">
        <v>1</v>
      </c>
      <c r="I141" s="82" t="s">
        <v>21</v>
      </c>
      <c r="J141" s="82" t="s">
        <v>1</v>
      </c>
      <c r="K141" s="115" t="s">
        <v>411</v>
      </c>
      <c r="N141" s="171">
        <f t="shared" si="34"/>
        <v>1</v>
      </c>
      <c r="O141" s="74">
        <f t="shared" si="49"/>
        <v>1.38</v>
      </c>
      <c r="P141" s="160" t="str">
        <f t="shared" si="35"/>
        <v>1-1,9 литра</v>
      </c>
      <c r="Q141" s="101" t="str">
        <f t="shared" si="48"/>
        <v>1-2 л</v>
      </c>
      <c r="R141" s="153">
        <f t="shared" si="36"/>
        <v>103</v>
      </c>
      <c r="S141" s="153">
        <f t="shared" si="37"/>
        <v>103</v>
      </c>
      <c r="T141" s="153">
        <f t="shared" si="38"/>
        <v>130</v>
      </c>
      <c r="U141" s="16">
        <f t="shared" si="39"/>
        <v>0.11375200000000001</v>
      </c>
      <c r="V141" s="16" t="str">
        <f t="shared" si="40"/>
        <v/>
      </c>
      <c r="W141" s="16" t="str">
        <f t="shared" si="41"/>
        <v/>
      </c>
      <c r="X141" s="159" t="str">
        <f t="shared" si="45"/>
        <v>100-199 мм</v>
      </c>
      <c r="Y141" s="159" t="str">
        <f t="shared" si="46"/>
        <v>100-199 мм</v>
      </c>
      <c r="Z141" s="159" t="str">
        <f t="shared" si="47"/>
        <v>100-199 мм</v>
      </c>
      <c r="AA141" s="100" t="str">
        <f t="shared" si="42"/>
        <v>Четырехклапанные</v>
      </c>
      <c r="AB141" s="16">
        <v>1.73</v>
      </c>
      <c r="AC141" s="100" t="str">
        <f t="shared" si="43"/>
        <v>2-3 литра</v>
      </c>
    </row>
    <row r="142" spans="1:29" x14ac:dyDescent="0.3">
      <c r="A142" s="53">
        <v>0.38</v>
      </c>
      <c r="B142" s="59">
        <f t="shared" si="44"/>
        <v>0.45599999999999996</v>
      </c>
      <c r="C142" s="108">
        <v>142</v>
      </c>
      <c r="D142" s="115" t="s">
        <v>27</v>
      </c>
      <c r="E142" s="87" t="s">
        <v>412</v>
      </c>
      <c r="G142" s="82" t="s">
        <v>18</v>
      </c>
      <c r="H142" s="89" t="s">
        <v>1</v>
      </c>
      <c r="I142" s="82" t="s">
        <v>21</v>
      </c>
      <c r="J142" s="82" t="s">
        <v>1</v>
      </c>
      <c r="K142" s="115" t="s">
        <v>413</v>
      </c>
      <c r="N142" s="171">
        <f t="shared" si="34"/>
        <v>1</v>
      </c>
      <c r="O142" s="74">
        <f t="shared" si="49"/>
        <v>4.8</v>
      </c>
      <c r="P142" s="160" t="str">
        <f t="shared" si="35"/>
        <v>4-5,9 литра</v>
      </c>
      <c r="Q142" s="101" t="str">
        <f t="shared" si="48"/>
        <v>3-5 л</v>
      </c>
      <c r="R142" s="153">
        <f t="shared" si="36"/>
        <v>200</v>
      </c>
      <c r="S142" s="153">
        <f t="shared" si="37"/>
        <v>120</v>
      </c>
      <c r="T142" s="153">
        <f t="shared" si="38"/>
        <v>200</v>
      </c>
      <c r="U142" s="16">
        <f t="shared" si="39"/>
        <v>0.2296</v>
      </c>
      <c r="V142" s="16" t="str">
        <f t="shared" si="40"/>
        <v/>
      </c>
      <c r="W142" s="16" t="str">
        <f t="shared" si="41"/>
        <v/>
      </c>
      <c r="X142" s="159" t="str">
        <f t="shared" si="45"/>
        <v>200-299 мм</v>
      </c>
      <c r="Y142" s="159" t="str">
        <f t="shared" si="46"/>
        <v>200-299 мм</v>
      </c>
      <c r="Z142" s="159" t="str">
        <f t="shared" si="47"/>
        <v>100-199 мм</v>
      </c>
      <c r="AA142" s="100" t="str">
        <f t="shared" si="42"/>
        <v>Четырехклапанные</v>
      </c>
      <c r="AB142" s="16">
        <v>1.73</v>
      </c>
      <c r="AC142" s="100" t="str">
        <f t="shared" si="43"/>
        <v>4-5 литра</v>
      </c>
    </row>
    <row r="143" spans="1:29" x14ac:dyDescent="0.3">
      <c r="A143" s="53">
        <v>1.1399999999999999</v>
      </c>
      <c r="B143" s="59">
        <f t="shared" si="44"/>
        <v>1.3679999999999999</v>
      </c>
      <c r="C143" s="108">
        <v>143</v>
      </c>
      <c r="D143" s="115" t="s">
        <v>27</v>
      </c>
      <c r="E143" s="87" t="s">
        <v>414</v>
      </c>
      <c r="G143" s="82" t="s">
        <v>18</v>
      </c>
      <c r="H143" s="89" t="s">
        <v>1</v>
      </c>
      <c r="I143" s="82" t="s">
        <v>21</v>
      </c>
      <c r="J143" s="82" t="s">
        <v>1</v>
      </c>
      <c r="K143" s="115" t="s">
        <v>415</v>
      </c>
      <c r="N143" s="171">
        <f t="shared" si="34"/>
        <v>1</v>
      </c>
      <c r="O143" s="74">
        <f t="shared" si="49"/>
        <v>20.58</v>
      </c>
      <c r="P143" s="160" t="str">
        <f t="shared" si="35"/>
        <v>20-29 литров</v>
      </c>
      <c r="Q143" s="101" t="str">
        <f t="shared" si="48"/>
        <v>20-50 л</v>
      </c>
      <c r="R143" s="153">
        <f t="shared" si="36"/>
        <v>380</v>
      </c>
      <c r="S143" s="153">
        <f t="shared" si="37"/>
        <v>285</v>
      </c>
      <c r="T143" s="153">
        <f t="shared" si="38"/>
        <v>190</v>
      </c>
      <c r="U143" s="16">
        <f t="shared" si="39"/>
        <v>0.67137000000000002</v>
      </c>
      <c r="V143" s="16" t="str">
        <f t="shared" si="40"/>
        <v/>
      </c>
      <c r="W143" s="16" t="str">
        <f t="shared" si="41"/>
        <v/>
      </c>
      <c r="X143" s="159" t="str">
        <f t="shared" si="45"/>
        <v>300-399 мм</v>
      </c>
      <c r="Y143" s="159" t="str">
        <f t="shared" si="46"/>
        <v>200-299 мм</v>
      </c>
      <c r="Z143" s="159" t="str">
        <f t="shared" si="47"/>
        <v>100-199 мм</v>
      </c>
      <c r="AA143" s="100" t="str">
        <f t="shared" si="42"/>
        <v>Четырехклапанные</v>
      </c>
      <c r="AB143" s="16">
        <v>1.73</v>
      </c>
      <c r="AC143" s="100" t="str">
        <f t="shared" si="43"/>
        <v>20-29 литров</v>
      </c>
    </row>
    <row r="144" spans="1:29" x14ac:dyDescent="0.3">
      <c r="A144" s="53">
        <v>1.34</v>
      </c>
      <c r="B144" s="59">
        <f t="shared" si="44"/>
        <v>1.6080000000000001</v>
      </c>
      <c r="C144" s="108">
        <v>144</v>
      </c>
      <c r="D144" s="115" t="s">
        <v>27</v>
      </c>
      <c r="E144" s="87" t="s">
        <v>416</v>
      </c>
      <c r="G144" s="82" t="s">
        <v>18</v>
      </c>
      <c r="H144" s="89" t="s">
        <v>1</v>
      </c>
      <c r="I144" s="82" t="s">
        <v>21</v>
      </c>
      <c r="J144" s="82" t="s">
        <v>1</v>
      </c>
      <c r="K144" s="115" t="s">
        <v>417</v>
      </c>
      <c r="N144" s="171">
        <f t="shared" si="34"/>
        <v>1</v>
      </c>
      <c r="O144" s="74">
        <f t="shared" si="49"/>
        <v>19.309999999999999</v>
      </c>
      <c r="P144" s="160" t="str">
        <f t="shared" si="35"/>
        <v>15-19,9 литров</v>
      </c>
      <c r="Q144" s="101" t="str">
        <f t="shared" si="48"/>
        <v>10-20 л</v>
      </c>
      <c r="R144" s="153">
        <f t="shared" si="36"/>
        <v>540</v>
      </c>
      <c r="S144" s="153">
        <f t="shared" si="37"/>
        <v>325</v>
      </c>
      <c r="T144" s="153">
        <f t="shared" si="38"/>
        <v>110</v>
      </c>
      <c r="U144" s="16">
        <f t="shared" si="39"/>
        <v>0.79296999999999995</v>
      </c>
      <c r="V144" s="16" t="str">
        <f t="shared" si="40"/>
        <v/>
      </c>
      <c r="W144" s="16" t="str">
        <f t="shared" si="41"/>
        <v>Плоские</v>
      </c>
      <c r="X144" s="159" t="str">
        <f t="shared" si="45"/>
        <v>500-599 мм</v>
      </c>
      <c r="Y144" s="159" t="str">
        <f t="shared" si="46"/>
        <v>300-399 мм</v>
      </c>
      <c r="Z144" s="159" t="str">
        <f t="shared" si="47"/>
        <v>100-199 мм</v>
      </c>
      <c r="AA144" s="100" t="str">
        <f t="shared" si="42"/>
        <v>Четырехклапанные</v>
      </c>
      <c r="AB144" s="16">
        <v>1.73</v>
      </c>
      <c r="AC144" s="100" t="str">
        <f t="shared" si="43"/>
        <v>20-29 литров</v>
      </c>
    </row>
    <row r="145" spans="1:29" x14ac:dyDescent="0.3">
      <c r="A145" s="53">
        <v>1.1499999999999999</v>
      </c>
      <c r="B145" s="59">
        <f t="shared" si="44"/>
        <v>1.38</v>
      </c>
      <c r="C145" s="108">
        <v>145</v>
      </c>
      <c r="D145" s="115" t="s">
        <v>27</v>
      </c>
      <c r="E145" s="87" t="s">
        <v>418</v>
      </c>
      <c r="G145" s="82" t="s">
        <v>18</v>
      </c>
      <c r="H145" s="89" t="s">
        <v>1</v>
      </c>
      <c r="I145" s="82" t="s">
        <v>21</v>
      </c>
      <c r="J145" s="82" t="s">
        <v>1</v>
      </c>
      <c r="K145" s="115" t="s">
        <v>419</v>
      </c>
      <c r="N145" s="171">
        <f t="shared" si="34"/>
        <v>1</v>
      </c>
      <c r="O145" s="74">
        <f t="shared" si="49"/>
        <v>25.12</v>
      </c>
      <c r="P145" s="160" t="str">
        <f t="shared" si="35"/>
        <v>20-29 литров</v>
      </c>
      <c r="Q145" s="101" t="str">
        <f t="shared" si="48"/>
        <v>20-50 л</v>
      </c>
      <c r="R145" s="153">
        <f t="shared" si="36"/>
        <v>260</v>
      </c>
      <c r="S145" s="153">
        <f t="shared" si="37"/>
        <v>230</v>
      </c>
      <c r="T145" s="153">
        <f t="shared" si="38"/>
        <v>420</v>
      </c>
      <c r="U145" s="16">
        <f t="shared" si="39"/>
        <v>0.68432000000000004</v>
      </c>
      <c r="V145" s="16" t="str">
        <f t="shared" si="40"/>
        <v/>
      </c>
      <c r="W145" s="16" t="str">
        <f t="shared" si="41"/>
        <v/>
      </c>
      <c r="X145" s="159" t="str">
        <f t="shared" si="45"/>
        <v>400-499 мм</v>
      </c>
      <c r="Y145" s="159" t="str">
        <f t="shared" si="46"/>
        <v>200-299 мм</v>
      </c>
      <c r="Z145" s="159" t="str">
        <f t="shared" si="47"/>
        <v>200-299 мм</v>
      </c>
      <c r="AA145" s="100" t="str">
        <f t="shared" si="42"/>
        <v>Четырехклапанные</v>
      </c>
      <c r="AB145" s="16">
        <v>1.73</v>
      </c>
      <c r="AC145" s="100" t="str">
        <f t="shared" si="43"/>
        <v>20-29 литров</v>
      </c>
    </row>
    <row r="146" spans="1:29" x14ac:dyDescent="0.3">
      <c r="A146" s="53">
        <v>0.59</v>
      </c>
      <c r="B146" s="59">
        <f t="shared" si="44"/>
        <v>0.70799999999999996</v>
      </c>
      <c r="C146" s="108">
        <v>146</v>
      </c>
      <c r="D146" s="115" t="s">
        <v>27</v>
      </c>
      <c r="E146" s="87" t="s">
        <v>420</v>
      </c>
      <c r="G146" s="82" t="s">
        <v>18</v>
      </c>
      <c r="H146" s="89" t="s">
        <v>1</v>
      </c>
      <c r="I146" s="82" t="s">
        <v>21</v>
      </c>
      <c r="J146" s="82" t="s">
        <v>1</v>
      </c>
      <c r="K146" s="115" t="s">
        <v>421</v>
      </c>
      <c r="N146" s="171">
        <f t="shared" si="34"/>
        <v>1</v>
      </c>
      <c r="O146" s="74">
        <f t="shared" si="49"/>
        <v>9.15</v>
      </c>
      <c r="P146" s="160" t="str">
        <f t="shared" si="35"/>
        <v>8-9,9 литров</v>
      </c>
      <c r="Q146" s="101" t="str">
        <f t="shared" si="48"/>
        <v>5-10 л</v>
      </c>
      <c r="R146" s="153">
        <f t="shared" si="36"/>
        <v>200</v>
      </c>
      <c r="S146" s="153">
        <f t="shared" si="37"/>
        <v>150</v>
      </c>
      <c r="T146" s="153">
        <f t="shared" si="38"/>
        <v>305</v>
      </c>
      <c r="U146" s="16">
        <f t="shared" si="39"/>
        <v>0.35188000000000003</v>
      </c>
      <c r="V146" s="16" t="str">
        <f t="shared" si="40"/>
        <v/>
      </c>
      <c r="W146" s="16" t="str">
        <f t="shared" si="41"/>
        <v/>
      </c>
      <c r="X146" s="159" t="str">
        <f t="shared" si="45"/>
        <v>300-399 мм</v>
      </c>
      <c r="Y146" s="159" t="str">
        <f t="shared" si="46"/>
        <v>200-299 мм</v>
      </c>
      <c r="Z146" s="159" t="str">
        <f t="shared" si="47"/>
        <v>100-199 мм</v>
      </c>
      <c r="AA146" s="100" t="str">
        <f t="shared" si="42"/>
        <v>Четырехклапанные</v>
      </c>
      <c r="AB146" s="16">
        <v>1.73</v>
      </c>
      <c r="AC146" s="100" t="str">
        <f t="shared" si="43"/>
        <v>10-14 литров</v>
      </c>
    </row>
    <row r="147" spans="1:29" x14ac:dyDescent="0.3">
      <c r="A147" s="53">
        <v>0.6</v>
      </c>
      <c r="B147" s="59">
        <f t="shared" si="44"/>
        <v>0.72</v>
      </c>
      <c r="C147" s="108">
        <v>147</v>
      </c>
      <c r="D147" s="115" t="s">
        <v>27</v>
      </c>
      <c r="E147" s="87" t="s">
        <v>422</v>
      </c>
      <c r="G147" s="82" t="s">
        <v>18</v>
      </c>
      <c r="H147" s="89" t="s">
        <v>1</v>
      </c>
      <c r="I147" s="82" t="s">
        <v>21</v>
      </c>
      <c r="J147" s="82" t="s">
        <v>1</v>
      </c>
      <c r="K147" s="115" t="s">
        <v>423</v>
      </c>
      <c r="N147" s="171">
        <f t="shared" si="34"/>
        <v>1</v>
      </c>
      <c r="O147" s="74">
        <f t="shared" si="49"/>
        <v>9.48</v>
      </c>
      <c r="P147" s="160" t="str">
        <f t="shared" si="35"/>
        <v>8-9,9 литров</v>
      </c>
      <c r="Q147" s="101" t="str">
        <f t="shared" si="48"/>
        <v>5-10 л</v>
      </c>
      <c r="R147" s="153">
        <f t="shared" si="36"/>
        <v>380</v>
      </c>
      <c r="S147" s="153">
        <f t="shared" si="37"/>
        <v>130</v>
      </c>
      <c r="T147" s="153">
        <f t="shared" si="38"/>
        <v>192</v>
      </c>
      <c r="U147" s="16">
        <f t="shared" si="39"/>
        <v>0.35639999999999999</v>
      </c>
      <c r="V147" s="16" t="str">
        <f t="shared" si="40"/>
        <v/>
      </c>
      <c r="W147" s="16" t="str">
        <f t="shared" si="41"/>
        <v/>
      </c>
      <c r="X147" s="159" t="str">
        <f t="shared" si="45"/>
        <v>300-399 мм</v>
      </c>
      <c r="Y147" s="159" t="str">
        <f t="shared" si="46"/>
        <v>100-199 мм</v>
      </c>
      <c r="Z147" s="159" t="str">
        <f t="shared" si="47"/>
        <v>100-199 мм</v>
      </c>
      <c r="AA147" s="100" t="str">
        <f t="shared" si="42"/>
        <v>Четырехклапанные</v>
      </c>
      <c r="AB147" s="16">
        <v>1.73</v>
      </c>
      <c r="AC147" s="100" t="str">
        <f t="shared" si="43"/>
        <v>10-14 литров</v>
      </c>
    </row>
    <row r="148" spans="1:29" x14ac:dyDescent="0.3">
      <c r="A148" s="53">
        <v>1.02</v>
      </c>
      <c r="B148" s="59">
        <f t="shared" si="44"/>
        <v>1.224</v>
      </c>
      <c r="C148" s="108">
        <v>148</v>
      </c>
      <c r="D148" s="115" t="s">
        <v>27</v>
      </c>
      <c r="E148" s="87" t="s">
        <v>424</v>
      </c>
      <c r="G148" s="82" t="s">
        <v>18</v>
      </c>
      <c r="H148" s="89" t="s">
        <v>1</v>
      </c>
      <c r="I148" s="82" t="s">
        <v>21</v>
      </c>
      <c r="J148" s="82" t="s">
        <v>1</v>
      </c>
      <c r="K148" s="115" t="s">
        <v>425</v>
      </c>
      <c r="N148" s="171">
        <f t="shared" si="34"/>
        <v>1</v>
      </c>
      <c r="O148" s="74">
        <f t="shared" si="49"/>
        <v>18.98</v>
      </c>
      <c r="P148" s="160" t="str">
        <f t="shared" si="35"/>
        <v>15-19,9 литров</v>
      </c>
      <c r="Q148" s="101" t="str">
        <f t="shared" si="48"/>
        <v>10-20 л</v>
      </c>
      <c r="R148" s="153">
        <f t="shared" si="36"/>
        <v>535</v>
      </c>
      <c r="S148" s="153">
        <f t="shared" si="37"/>
        <v>215</v>
      </c>
      <c r="T148" s="153">
        <f t="shared" si="38"/>
        <v>165</v>
      </c>
      <c r="U148" s="16">
        <f t="shared" si="39"/>
        <v>0.60528000000000004</v>
      </c>
      <c r="V148" s="16" t="str">
        <f t="shared" si="40"/>
        <v>Длинные</v>
      </c>
      <c r="W148" s="16" t="str">
        <f t="shared" si="41"/>
        <v/>
      </c>
      <c r="X148" s="159" t="str">
        <f t="shared" si="45"/>
        <v>500-599 мм</v>
      </c>
      <c r="Y148" s="159" t="str">
        <f t="shared" si="46"/>
        <v>200-299 мм</v>
      </c>
      <c r="Z148" s="159" t="str">
        <f t="shared" si="47"/>
        <v>100-199 мм</v>
      </c>
      <c r="AA148" s="100" t="str">
        <f t="shared" si="42"/>
        <v>Четырехклапанные</v>
      </c>
      <c r="AB148" s="16">
        <v>1.73</v>
      </c>
      <c r="AC148" s="100" t="str">
        <f t="shared" si="43"/>
        <v>15-19 литров</v>
      </c>
    </row>
    <row r="149" spans="1:29" ht="20.6" x14ac:dyDescent="0.3">
      <c r="A149" s="53">
        <v>2.4500000000000002</v>
      </c>
      <c r="B149" s="59">
        <f t="shared" si="44"/>
        <v>2.94</v>
      </c>
      <c r="C149" s="108">
        <v>149</v>
      </c>
      <c r="D149" s="115" t="s">
        <v>947</v>
      </c>
      <c r="E149" s="87" t="s">
        <v>426</v>
      </c>
      <c r="F149" s="212" t="s">
        <v>953</v>
      </c>
      <c r="G149" s="82" t="s">
        <v>18</v>
      </c>
      <c r="H149" s="89" t="s">
        <v>1</v>
      </c>
      <c r="I149" s="82" t="s">
        <v>21</v>
      </c>
      <c r="J149" s="82" t="s">
        <v>1</v>
      </c>
      <c r="K149" s="115" t="s">
        <v>427</v>
      </c>
      <c r="N149" s="171">
        <f t="shared" si="34"/>
        <v>0</v>
      </c>
      <c r="O149" s="74">
        <f t="shared" si="49"/>
        <v>78.62</v>
      </c>
      <c r="P149" s="160" t="str">
        <f t="shared" si="35"/>
        <v>70-79 литров</v>
      </c>
      <c r="Q149" s="101" t="str">
        <f t="shared" si="48"/>
        <v>50-100 л</v>
      </c>
      <c r="R149" s="153">
        <f>IF(E149="","",--LEFT(E149,FIND("х",E149)-1))</f>
        <v>560</v>
      </c>
      <c r="S149" s="153">
        <f>IF(E149="","",--MID(E149,FIND("х",E149)+1,FIND("х",E149,FIND("х",E149)+1)-FIND("х",E149)-1))</f>
        <v>360</v>
      </c>
      <c r="T149" s="153">
        <f>IF(E149="","",--RIGHT(E149,LEN(E149)-FIND("х",E149,FIND("х",E149)+1)))</f>
        <v>390</v>
      </c>
      <c r="U149" s="16">
        <f t="shared" si="39"/>
        <v>1.4401999999999999</v>
      </c>
      <c r="V149" s="16" t="str">
        <f t="shared" si="40"/>
        <v/>
      </c>
      <c r="W149" s="16" t="str">
        <f t="shared" si="41"/>
        <v/>
      </c>
      <c r="X149" s="159" t="str">
        <f t="shared" si="45"/>
        <v>500-599 мм</v>
      </c>
      <c r="Y149" s="159" t="str">
        <f t="shared" si="46"/>
        <v>300-399 мм</v>
      </c>
      <c r="Z149" s="159" t="str">
        <f t="shared" si="47"/>
        <v>300-399 мм</v>
      </c>
      <c r="AA149" s="100" t="str">
        <f t="shared" si="42"/>
        <v>Четырехклапанные</v>
      </c>
      <c r="AB149" s="16">
        <v>1.73</v>
      </c>
      <c r="AC149" s="100" t="str">
        <f t="shared" si="43"/>
        <v>70-79 литров</v>
      </c>
    </row>
    <row r="150" spans="1:29" x14ac:dyDescent="0.3">
      <c r="A150" s="53">
        <v>0.82</v>
      </c>
      <c r="B150" s="59">
        <f t="shared" si="44"/>
        <v>0.98399999999999987</v>
      </c>
      <c r="C150" s="108">
        <v>150</v>
      </c>
      <c r="D150" s="115" t="s">
        <v>27</v>
      </c>
      <c r="E150" s="87" t="s">
        <v>428</v>
      </c>
      <c r="G150" s="82" t="s">
        <v>18</v>
      </c>
      <c r="H150" s="89" t="s">
        <v>1</v>
      </c>
      <c r="I150" s="82" t="s">
        <v>21</v>
      </c>
      <c r="J150" s="82" t="s">
        <v>1</v>
      </c>
      <c r="K150" s="115" t="s">
        <v>429</v>
      </c>
      <c r="N150" s="171">
        <f t="shared" si="34"/>
        <v>1</v>
      </c>
      <c r="O150" s="74">
        <f t="shared" si="49"/>
        <v>9.91</v>
      </c>
      <c r="P150" s="160" t="str">
        <f t="shared" si="35"/>
        <v>8-9,9 литров</v>
      </c>
      <c r="Q150" s="101" t="str">
        <f t="shared" si="48"/>
        <v>5-10 л</v>
      </c>
      <c r="R150" s="153">
        <f t="shared" si="36"/>
        <v>340</v>
      </c>
      <c r="S150" s="153">
        <f t="shared" si="37"/>
        <v>265</v>
      </c>
      <c r="T150" s="153">
        <f t="shared" si="38"/>
        <v>110</v>
      </c>
      <c r="U150" s="16">
        <f t="shared" si="39"/>
        <v>0.48641000000000001</v>
      </c>
      <c r="V150" s="16" t="str">
        <f t="shared" si="40"/>
        <v/>
      </c>
      <c r="W150" s="16" t="str">
        <f t="shared" si="41"/>
        <v>Плоские</v>
      </c>
      <c r="X150" s="159" t="str">
        <f t="shared" si="45"/>
        <v>300-399 мм</v>
      </c>
      <c r="Y150" s="159" t="str">
        <f t="shared" si="46"/>
        <v>200-299 мм</v>
      </c>
      <c r="Z150" s="159" t="str">
        <f t="shared" si="47"/>
        <v>100-199 мм</v>
      </c>
      <c r="AA150" s="100" t="str">
        <f t="shared" si="42"/>
        <v>Четырехклапанные</v>
      </c>
      <c r="AB150" s="16">
        <v>1.73</v>
      </c>
      <c r="AC150" s="100" t="str">
        <f t="shared" si="43"/>
        <v>10-14 литров</v>
      </c>
    </row>
    <row r="151" spans="1:29" x14ac:dyDescent="0.3">
      <c r="A151" s="53">
        <v>0.16</v>
      </c>
      <c r="B151" s="59">
        <f t="shared" si="44"/>
        <v>0.192</v>
      </c>
      <c r="C151" s="108">
        <v>151</v>
      </c>
      <c r="D151" s="115" t="s">
        <v>27</v>
      </c>
      <c r="E151" s="87" t="s">
        <v>430</v>
      </c>
      <c r="G151" s="82" t="s">
        <v>18</v>
      </c>
      <c r="H151" s="89" t="s">
        <v>1</v>
      </c>
      <c r="I151" s="82" t="s">
        <v>21</v>
      </c>
      <c r="J151" s="82" t="s">
        <v>1</v>
      </c>
      <c r="K151" s="115" t="s">
        <v>431</v>
      </c>
      <c r="N151" s="171">
        <f t="shared" si="34"/>
        <v>1</v>
      </c>
      <c r="O151" s="74">
        <f t="shared" si="49"/>
        <v>1.02</v>
      </c>
      <c r="P151" s="160" t="str">
        <f t="shared" si="35"/>
        <v>1-1,9 литра</v>
      </c>
      <c r="Q151" s="101" t="str">
        <f t="shared" si="48"/>
        <v>1-2 л</v>
      </c>
      <c r="R151" s="153">
        <f t="shared" si="36"/>
        <v>160</v>
      </c>
      <c r="S151" s="153">
        <f t="shared" si="37"/>
        <v>80</v>
      </c>
      <c r="T151" s="153">
        <f t="shared" si="38"/>
        <v>80</v>
      </c>
      <c r="U151" s="16">
        <f t="shared" si="39"/>
        <v>9.0719999999999995E-2</v>
      </c>
      <c r="V151" s="16" t="str">
        <f t="shared" si="40"/>
        <v>Длинные</v>
      </c>
      <c r="W151" s="16" t="str">
        <f t="shared" si="41"/>
        <v/>
      </c>
      <c r="X151" s="159" t="str">
        <f t="shared" si="45"/>
        <v>100-199 мм</v>
      </c>
      <c r="Y151" s="159" t="str">
        <f t="shared" si="46"/>
        <v>10-99 мм</v>
      </c>
      <c r="Z151" s="159" t="str">
        <f t="shared" si="47"/>
        <v>10-99 мм</v>
      </c>
      <c r="AA151" s="100" t="str">
        <f t="shared" si="42"/>
        <v>Четырехклапанные</v>
      </c>
      <c r="AB151" s="16">
        <v>1.73</v>
      </c>
      <c r="AC151" s="100" t="str">
        <f t="shared" si="43"/>
        <v>2-3 литра</v>
      </c>
    </row>
    <row r="152" spans="1:29" x14ac:dyDescent="0.3">
      <c r="A152" s="53">
        <v>1.75</v>
      </c>
      <c r="B152" s="59">
        <f t="shared" si="44"/>
        <v>2.1</v>
      </c>
      <c r="C152" s="108">
        <v>152</v>
      </c>
      <c r="D152" s="115" t="s">
        <v>27</v>
      </c>
      <c r="E152" s="87" t="s">
        <v>432</v>
      </c>
      <c r="G152" s="82" t="s">
        <v>18</v>
      </c>
      <c r="H152" s="89" t="s">
        <v>1</v>
      </c>
      <c r="I152" s="82" t="s">
        <v>21</v>
      </c>
      <c r="J152" s="82" t="s">
        <v>1</v>
      </c>
      <c r="K152" s="115" t="s">
        <v>433</v>
      </c>
      <c r="N152" s="171">
        <f t="shared" si="34"/>
        <v>1</v>
      </c>
      <c r="O152" s="74">
        <f t="shared" si="49"/>
        <v>39.700000000000003</v>
      </c>
      <c r="P152" s="160" t="str">
        <f t="shared" si="35"/>
        <v>30-49 литров</v>
      </c>
      <c r="Q152" s="101" t="str">
        <f t="shared" si="48"/>
        <v>20-50 л</v>
      </c>
      <c r="R152" s="153">
        <f t="shared" si="36"/>
        <v>370</v>
      </c>
      <c r="S152" s="153">
        <f t="shared" si="37"/>
        <v>370</v>
      </c>
      <c r="T152" s="153">
        <f t="shared" si="38"/>
        <v>290</v>
      </c>
      <c r="U152" s="16">
        <f t="shared" si="39"/>
        <v>1.0287200000000001</v>
      </c>
      <c r="V152" s="16" t="str">
        <f t="shared" si="40"/>
        <v/>
      </c>
      <c r="W152" s="16" t="str">
        <f t="shared" si="41"/>
        <v/>
      </c>
      <c r="X152" s="159" t="str">
        <f t="shared" si="45"/>
        <v>300-399 мм</v>
      </c>
      <c r="Y152" s="159" t="str">
        <f t="shared" si="46"/>
        <v>300-399 мм</v>
      </c>
      <c r="Z152" s="159" t="str">
        <f t="shared" si="47"/>
        <v>200-299 мм</v>
      </c>
      <c r="AA152" s="100" t="str">
        <f t="shared" si="42"/>
        <v>Четырехклапанные</v>
      </c>
      <c r="AB152" s="16">
        <v>1.73</v>
      </c>
      <c r="AC152" s="100" t="str">
        <f t="shared" si="43"/>
        <v>30-49 литров</v>
      </c>
    </row>
    <row r="153" spans="1:29" x14ac:dyDescent="0.3">
      <c r="A153" s="53">
        <v>0.68</v>
      </c>
      <c r="B153" s="59">
        <f t="shared" si="44"/>
        <v>0.81600000000000006</v>
      </c>
      <c r="C153" s="108">
        <v>153</v>
      </c>
      <c r="D153" s="115" t="s">
        <v>27</v>
      </c>
      <c r="E153" s="87" t="s">
        <v>434</v>
      </c>
      <c r="G153" s="82" t="s">
        <v>18</v>
      </c>
      <c r="H153" s="89" t="s">
        <v>1</v>
      </c>
      <c r="I153" s="82" t="s">
        <v>21</v>
      </c>
      <c r="J153" s="82" t="s">
        <v>1</v>
      </c>
      <c r="K153" s="115" t="s">
        <v>435</v>
      </c>
      <c r="N153" s="171">
        <f t="shared" si="34"/>
        <v>1</v>
      </c>
      <c r="O153" s="74">
        <f t="shared" si="49"/>
        <v>8.64</v>
      </c>
      <c r="P153" s="160" t="str">
        <f t="shared" si="35"/>
        <v>8-9,9 литров</v>
      </c>
      <c r="Q153" s="101" t="str">
        <f t="shared" si="48"/>
        <v>5-10 л</v>
      </c>
      <c r="R153" s="153">
        <f t="shared" si="36"/>
        <v>240</v>
      </c>
      <c r="S153" s="153">
        <f t="shared" si="37"/>
        <v>240</v>
      </c>
      <c r="T153" s="153">
        <f t="shared" si="38"/>
        <v>150</v>
      </c>
      <c r="U153" s="16">
        <f t="shared" si="39"/>
        <v>0.40595999999999999</v>
      </c>
      <c r="V153" s="16" t="str">
        <f t="shared" si="40"/>
        <v/>
      </c>
      <c r="W153" s="16" t="str">
        <f t="shared" si="41"/>
        <v/>
      </c>
      <c r="X153" s="159" t="str">
        <f t="shared" si="45"/>
        <v>200-299 мм</v>
      </c>
      <c r="Y153" s="159" t="str">
        <f t="shared" si="46"/>
        <v>200-299 мм</v>
      </c>
      <c r="Z153" s="159" t="str">
        <f t="shared" si="47"/>
        <v>100-199 мм</v>
      </c>
      <c r="AA153" s="100" t="str">
        <f t="shared" si="42"/>
        <v>Четырехклапанные</v>
      </c>
      <c r="AB153" s="16">
        <v>1.73</v>
      </c>
      <c r="AC153" s="100" t="str">
        <f t="shared" si="43"/>
        <v>8-9 литров</v>
      </c>
    </row>
    <row r="154" spans="1:29" x14ac:dyDescent="0.3">
      <c r="A154" s="53">
        <v>2.1800000000000002</v>
      </c>
      <c r="B154" s="59">
        <f t="shared" si="44"/>
        <v>2.6160000000000001</v>
      </c>
      <c r="C154" s="108">
        <v>154</v>
      </c>
      <c r="D154" s="115" t="s">
        <v>27</v>
      </c>
      <c r="E154" s="87" t="s">
        <v>436</v>
      </c>
      <c r="G154" s="82" t="s">
        <v>18</v>
      </c>
      <c r="H154" s="89" t="s">
        <v>1</v>
      </c>
      <c r="I154" s="82" t="s">
        <v>21</v>
      </c>
      <c r="J154" s="82" t="s">
        <v>1</v>
      </c>
      <c r="K154" s="115" t="s">
        <v>437</v>
      </c>
      <c r="N154" s="171">
        <f t="shared" si="34"/>
        <v>1</v>
      </c>
      <c r="O154" s="74">
        <f t="shared" si="49"/>
        <v>47.31</v>
      </c>
      <c r="P154" s="160" t="str">
        <f t="shared" si="35"/>
        <v>30-49 литров</v>
      </c>
      <c r="Q154" s="101" t="str">
        <f t="shared" si="48"/>
        <v>20-50 л</v>
      </c>
      <c r="R154" s="153">
        <f t="shared" si="36"/>
        <v>760</v>
      </c>
      <c r="S154" s="153">
        <f t="shared" si="37"/>
        <v>375</v>
      </c>
      <c r="T154" s="153">
        <f t="shared" si="38"/>
        <v>166</v>
      </c>
      <c r="U154" s="16">
        <f t="shared" si="39"/>
        <v>1.2791699999999999</v>
      </c>
      <c r="V154" s="16" t="str">
        <f t="shared" si="40"/>
        <v>Длинные</v>
      </c>
      <c r="W154" s="16" t="str">
        <f t="shared" si="41"/>
        <v>Плоские</v>
      </c>
      <c r="X154" s="159" t="str">
        <f t="shared" si="45"/>
        <v>700-999 мм</v>
      </c>
      <c r="Y154" s="159" t="str">
        <f t="shared" si="46"/>
        <v>300-399 мм</v>
      </c>
      <c r="Z154" s="159" t="str">
        <f t="shared" si="47"/>
        <v>100-199 мм</v>
      </c>
      <c r="AA154" s="100" t="str">
        <f t="shared" si="42"/>
        <v>Четырехклапанные</v>
      </c>
      <c r="AB154" s="16">
        <v>1.73</v>
      </c>
      <c r="AC154" s="100" t="str">
        <f t="shared" si="43"/>
        <v>30-49 литров</v>
      </c>
    </row>
    <row r="155" spans="1:29" x14ac:dyDescent="0.3">
      <c r="A155" s="53">
        <v>0.75</v>
      </c>
      <c r="B155" s="59">
        <f t="shared" si="44"/>
        <v>0.89999999999999991</v>
      </c>
      <c r="C155" s="108">
        <v>155</v>
      </c>
      <c r="D155" s="115" t="s">
        <v>27</v>
      </c>
      <c r="E155" s="87" t="s">
        <v>438</v>
      </c>
      <c r="G155" s="82" t="s">
        <v>18</v>
      </c>
      <c r="H155" s="89" t="s">
        <v>1</v>
      </c>
      <c r="I155" s="82" t="s">
        <v>21</v>
      </c>
      <c r="J155" s="82" t="s">
        <v>1</v>
      </c>
      <c r="K155" s="115" t="s">
        <v>439</v>
      </c>
      <c r="N155" s="171">
        <f t="shared" si="34"/>
        <v>1</v>
      </c>
      <c r="O155" s="74">
        <f t="shared" si="49"/>
        <v>10.34</v>
      </c>
      <c r="P155" s="160" t="str">
        <f t="shared" si="35"/>
        <v>10-14,9 литров</v>
      </c>
      <c r="Q155" s="101" t="str">
        <f t="shared" si="48"/>
        <v>10-20 л</v>
      </c>
      <c r="R155" s="153">
        <f t="shared" si="36"/>
        <v>470</v>
      </c>
      <c r="S155" s="153">
        <f t="shared" si="37"/>
        <v>200</v>
      </c>
      <c r="T155" s="153">
        <f t="shared" si="38"/>
        <v>110</v>
      </c>
      <c r="U155" s="16">
        <f t="shared" si="39"/>
        <v>0.44519999999999998</v>
      </c>
      <c r="V155" s="16" t="str">
        <f t="shared" si="40"/>
        <v>Длинные</v>
      </c>
      <c r="W155" s="16" t="str">
        <f t="shared" si="41"/>
        <v/>
      </c>
      <c r="X155" s="159" t="str">
        <f t="shared" si="45"/>
        <v>400-499 мм</v>
      </c>
      <c r="Y155" s="159" t="str">
        <f t="shared" si="46"/>
        <v>200-299 мм</v>
      </c>
      <c r="Z155" s="159" t="str">
        <f t="shared" si="47"/>
        <v>100-199 мм</v>
      </c>
      <c r="AA155" s="100" t="str">
        <f t="shared" si="42"/>
        <v>Четырехклапанные</v>
      </c>
      <c r="AB155" s="16">
        <v>1.73</v>
      </c>
      <c r="AC155" s="100" t="str">
        <f t="shared" si="43"/>
        <v>10-14 литров</v>
      </c>
    </row>
    <row r="156" spans="1:29" x14ac:dyDescent="0.3">
      <c r="A156" s="53">
        <v>1.05</v>
      </c>
      <c r="B156" s="59">
        <f t="shared" si="44"/>
        <v>1.26</v>
      </c>
      <c r="C156" s="108">
        <v>156</v>
      </c>
      <c r="D156" s="115" t="s">
        <v>27</v>
      </c>
      <c r="E156" s="87" t="s">
        <v>440</v>
      </c>
      <c r="G156" s="82" t="s">
        <v>18</v>
      </c>
      <c r="H156" s="89" t="s">
        <v>1</v>
      </c>
      <c r="I156" s="82" t="s">
        <v>21</v>
      </c>
      <c r="J156" s="82" t="s">
        <v>1</v>
      </c>
      <c r="K156" s="115" t="s">
        <v>441</v>
      </c>
      <c r="N156" s="171">
        <f t="shared" si="34"/>
        <v>1</v>
      </c>
      <c r="O156" s="74">
        <f t="shared" si="49"/>
        <v>19.68</v>
      </c>
      <c r="P156" s="160" t="str">
        <f t="shared" si="35"/>
        <v>15-19,9 литров</v>
      </c>
      <c r="Q156" s="101" t="str">
        <f t="shared" si="48"/>
        <v>10-20 л</v>
      </c>
      <c r="R156" s="153">
        <f t="shared" si="36"/>
        <v>270</v>
      </c>
      <c r="S156" s="153">
        <f t="shared" si="37"/>
        <v>270</v>
      </c>
      <c r="T156" s="153">
        <f t="shared" si="38"/>
        <v>270</v>
      </c>
      <c r="U156" s="16">
        <f t="shared" si="39"/>
        <v>0.62472000000000005</v>
      </c>
      <c r="V156" s="16" t="str">
        <f t="shared" si="40"/>
        <v/>
      </c>
      <c r="W156" s="16" t="str">
        <f t="shared" si="41"/>
        <v/>
      </c>
      <c r="X156" s="159" t="str">
        <f t="shared" si="45"/>
        <v>200-299 мм</v>
      </c>
      <c r="Y156" s="159" t="str">
        <f t="shared" si="46"/>
        <v>200-299 мм</v>
      </c>
      <c r="Z156" s="159" t="str">
        <f t="shared" si="47"/>
        <v>200-299 мм</v>
      </c>
      <c r="AA156" s="100" t="str">
        <f t="shared" si="42"/>
        <v>Четырехклапанные</v>
      </c>
      <c r="AB156" s="16">
        <v>1.73</v>
      </c>
      <c r="AC156" s="100" t="str">
        <f t="shared" si="43"/>
        <v>20-29 литров</v>
      </c>
    </row>
    <row r="157" spans="1:29" x14ac:dyDescent="0.3">
      <c r="A157" s="53">
        <v>0.27</v>
      </c>
      <c r="B157" s="59">
        <f t="shared" si="44"/>
        <v>0.32400000000000001</v>
      </c>
      <c r="C157" s="108">
        <v>157</v>
      </c>
      <c r="D157" s="115" t="s">
        <v>27</v>
      </c>
      <c r="E157" s="87" t="s">
        <v>442</v>
      </c>
      <c r="G157" s="82" t="s">
        <v>18</v>
      </c>
      <c r="H157" s="89" t="s">
        <v>1</v>
      </c>
      <c r="I157" s="82" t="s">
        <v>21</v>
      </c>
      <c r="J157" s="82" t="s">
        <v>1</v>
      </c>
      <c r="K157" s="115" t="s">
        <v>443</v>
      </c>
      <c r="N157" s="171">
        <f t="shared" si="34"/>
        <v>1</v>
      </c>
      <c r="O157" s="74">
        <f t="shared" si="49"/>
        <v>2.73</v>
      </c>
      <c r="P157" s="160" t="str">
        <f t="shared" si="35"/>
        <v>2-2,9 литра</v>
      </c>
      <c r="Q157" s="101" t="str">
        <f t="shared" si="48"/>
        <v>2-3 л</v>
      </c>
      <c r="R157" s="153">
        <f t="shared" si="36"/>
        <v>140</v>
      </c>
      <c r="S157" s="153">
        <f t="shared" si="37"/>
        <v>95</v>
      </c>
      <c r="T157" s="153">
        <f t="shared" si="38"/>
        <v>205</v>
      </c>
      <c r="U157" s="16">
        <f t="shared" si="39"/>
        <v>0.16324</v>
      </c>
      <c r="V157" s="16" t="str">
        <f t="shared" si="40"/>
        <v/>
      </c>
      <c r="W157" s="16" t="str">
        <f t="shared" si="41"/>
        <v/>
      </c>
      <c r="X157" s="159" t="str">
        <f t="shared" si="45"/>
        <v>200-299 мм</v>
      </c>
      <c r="Y157" s="159" t="str">
        <f t="shared" si="46"/>
        <v>100-199 мм</v>
      </c>
      <c r="Z157" s="159" t="str">
        <f t="shared" si="47"/>
        <v>10-99 мм</v>
      </c>
      <c r="AA157" s="100" t="str">
        <f t="shared" si="42"/>
        <v>Четырехклапанные</v>
      </c>
      <c r="AB157" s="16">
        <v>1.73</v>
      </c>
      <c r="AC157" s="100" t="str">
        <f t="shared" si="43"/>
        <v>2-3 литра</v>
      </c>
    </row>
    <row r="158" spans="1:29" x14ac:dyDescent="0.3">
      <c r="A158" s="53">
        <v>0.27</v>
      </c>
      <c r="B158" s="59">
        <f t="shared" si="44"/>
        <v>0.32400000000000001</v>
      </c>
      <c r="C158" s="108">
        <v>158</v>
      </c>
      <c r="D158" s="115" t="s">
        <v>27</v>
      </c>
      <c r="E158" s="87" t="s">
        <v>444</v>
      </c>
      <c r="G158" s="82" t="s">
        <v>18</v>
      </c>
      <c r="H158" s="89" t="s">
        <v>1</v>
      </c>
      <c r="I158" s="82" t="s">
        <v>21</v>
      </c>
      <c r="J158" s="82" t="s">
        <v>1</v>
      </c>
      <c r="K158" s="115" t="s">
        <v>445</v>
      </c>
      <c r="N158" s="171">
        <f t="shared" si="34"/>
        <v>1</v>
      </c>
      <c r="O158" s="74">
        <f t="shared" si="49"/>
        <v>2.81</v>
      </c>
      <c r="P158" s="160" t="str">
        <f t="shared" si="35"/>
        <v>2-2,9 литра</v>
      </c>
      <c r="Q158" s="101" t="str">
        <f t="shared" si="48"/>
        <v>2-3 л</v>
      </c>
      <c r="R158" s="153">
        <f t="shared" si="36"/>
        <v>210</v>
      </c>
      <c r="S158" s="153">
        <f t="shared" si="37"/>
        <v>103</v>
      </c>
      <c r="T158" s="153">
        <f t="shared" si="38"/>
        <v>130</v>
      </c>
      <c r="U158" s="16">
        <f t="shared" si="39"/>
        <v>0.165326</v>
      </c>
      <c r="V158" s="16" t="str">
        <f t="shared" si="40"/>
        <v/>
      </c>
      <c r="W158" s="16" t="str">
        <f t="shared" si="41"/>
        <v/>
      </c>
      <c r="X158" s="159" t="str">
        <f t="shared" si="45"/>
        <v>200-299 мм</v>
      </c>
      <c r="Y158" s="159" t="str">
        <f t="shared" si="46"/>
        <v>100-199 мм</v>
      </c>
      <c r="Z158" s="159" t="str">
        <f t="shared" si="47"/>
        <v>100-199 мм</v>
      </c>
      <c r="AA158" s="100" t="str">
        <f t="shared" si="42"/>
        <v>Четырехклапанные</v>
      </c>
      <c r="AB158" s="16">
        <v>1.73</v>
      </c>
      <c r="AC158" s="100" t="str">
        <f t="shared" si="43"/>
        <v>2-3 литра</v>
      </c>
    </row>
    <row r="159" spans="1:29" x14ac:dyDescent="0.3">
      <c r="A159" s="53">
        <v>0.88</v>
      </c>
      <c r="B159" s="59">
        <f t="shared" si="44"/>
        <v>1.056</v>
      </c>
      <c r="C159" s="108">
        <v>159</v>
      </c>
      <c r="D159" s="115" t="s">
        <v>27</v>
      </c>
      <c r="E159" s="87" t="s">
        <v>446</v>
      </c>
      <c r="G159" s="82" t="s">
        <v>18</v>
      </c>
      <c r="H159" s="89" t="s">
        <v>1</v>
      </c>
      <c r="I159" s="82" t="s">
        <v>21</v>
      </c>
      <c r="J159" s="82" t="s">
        <v>1</v>
      </c>
      <c r="K159" s="115" t="s">
        <v>447</v>
      </c>
      <c r="N159" s="171">
        <f t="shared" si="34"/>
        <v>1</v>
      </c>
      <c r="O159" s="74">
        <f t="shared" si="49"/>
        <v>15.3</v>
      </c>
      <c r="P159" s="160" t="str">
        <f t="shared" si="35"/>
        <v>15-19,9 литров</v>
      </c>
      <c r="Q159" s="101" t="str">
        <f t="shared" si="48"/>
        <v>10-20 л</v>
      </c>
      <c r="R159" s="153">
        <f t="shared" si="36"/>
        <v>350</v>
      </c>
      <c r="S159" s="153">
        <f t="shared" si="37"/>
        <v>230</v>
      </c>
      <c r="T159" s="153">
        <f t="shared" si="38"/>
        <v>190</v>
      </c>
      <c r="U159" s="16">
        <f t="shared" si="39"/>
        <v>0.52215999999999996</v>
      </c>
      <c r="V159" s="16" t="str">
        <f t="shared" si="40"/>
        <v/>
      </c>
      <c r="W159" s="16" t="str">
        <f t="shared" si="41"/>
        <v/>
      </c>
      <c r="X159" s="159" t="str">
        <f t="shared" si="45"/>
        <v>300-399 мм</v>
      </c>
      <c r="Y159" s="159" t="str">
        <f t="shared" si="46"/>
        <v>200-299 мм</v>
      </c>
      <c r="Z159" s="159" t="str">
        <f t="shared" si="47"/>
        <v>100-199 мм</v>
      </c>
      <c r="AA159" s="100" t="str">
        <f t="shared" si="42"/>
        <v>Четырехклапанные</v>
      </c>
      <c r="AB159" s="16">
        <v>1.73</v>
      </c>
      <c r="AC159" s="100" t="str">
        <f t="shared" si="43"/>
        <v>15-19 литров</v>
      </c>
    </row>
    <row r="160" spans="1:29" x14ac:dyDescent="0.3">
      <c r="A160" s="53">
        <v>2.16</v>
      </c>
      <c r="B160" s="59">
        <f t="shared" si="44"/>
        <v>2.5920000000000001</v>
      </c>
      <c r="C160" s="108">
        <v>160</v>
      </c>
      <c r="D160" s="115" t="s">
        <v>27</v>
      </c>
      <c r="E160" s="87" t="s">
        <v>448</v>
      </c>
      <c r="G160" s="82" t="s">
        <v>18</v>
      </c>
      <c r="H160" s="89" t="s">
        <v>1</v>
      </c>
      <c r="I160" s="82" t="s">
        <v>21</v>
      </c>
      <c r="J160" s="82" t="s">
        <v>1</v>
      </c>
      <c r="K160" s="115" t="s">
        <v>449</v>
      </c>
      <c r="N160" s="171">
        <f t="shared" si="34"/>
        <v>1</v>
      </c>
      <c r="O160" s="74">
        <f t="shared" si="49"/>
        <v>60.48</v>
      </c>
      <c r="P160" s="160" t="str">
        <f t="shared" si="35"/>
        <v>60-69 литров</v>
      </c>
      <c r="Q160" s="101" t="str">
        <f t="shared" si="48"/>
        <v>50-100 л</v>
      </c>
      <c r="R160" s="153">
        <f t="shared" si="36"/>
        <v>560</v>
      </c>
      <c r="S160" s="153">
        <f t="shared" si="37"/>
        <v>360</v>
      </c>
      <c r="T160" s="153">
        <f t="shared" si="38"/>
        <v>300</v>
      </c>
      <c r="U160" s="16">
        <f t="shared" si="39"/>
        <v>1.2692000000000001</v>
      </c>
      <c r="V160" s="16" t="str">
        <f t="shared" si="40"/>
        <v/>
      </c>
      <c r="W160" s="16" t="str">
        <f t="shared" si="41"/>
        <v/>
      </c>
      <c r="X160" s="159" t="str">
        <f t="shared" si="45"/>
        <v>500-599 мм</v>
      </c>
      <c r="Y160" s="159" t="str">
        <f t="shared" si="46"/>
        <v>300-399 мм</v>
      </c>
      <c r="Z160" s="159" t="str">
        <f t="shared" si="47"/>
        <v>300-399 мм</v>
      </c>
      <c r="AA160" s="100" t="str">
        <f t="shared" si="42"/>
        <v>Четырехклапанные</v>
      </c>
      <c r="AB160" s="16">
        <v>1.73</v>
      </c>
      <c r="AC160" s="100" t="str">
        <f t="shared" si="43"/>
        <v>60-69 литров</v>
      </c>
    </row>
    <row r="161" spans="1:29" x14ac:dyDescent="0.3">
      <c r="A161" s="53">
        <v>0.32</v>
      </c>
      <c r="B161" s="59">
        <f t="shared" si="44"/>
        <v>0.38400000000000001</v>
      </c>
      <c r="C161" s="108">
        <v>161</v>
      </c>
      <c r="D161" s="115" t="s">
        <v>27</v>
      </c>
      <c r="E161" s="87" t="s">
        <v>450</v>
      </c>
      <c r="G161" s="82" t="s">
        <v>18</v>
      </c>
      <c r="H161" s="89" t="s">
        <v>1</v>
      </c>
      <c r="I161" s="82" t="s">
        <v>21</v>
      </c>
      <c r="J161" s="82" t="s">
        <v>1</v>
      </c>
      <c r="K161" s="115" t="s">
        <v>451</v>
      </c>
      <c r="N161" s="171">
        <f t="shared" si="34"/>
        <v>1</v>
      </c>
      <c r="O161" s="74">
        <f t="shared" si="49"/>
        <v>3.6</v>
      </c>
      <c r="P161" s="160" t="str">
        <f t="shared" si="35"/>
        <v>3-3,9 литра</v>
      </c>
      <c r="Q161" s="101" t="str">
        <f t="shared" si="48"/>
        <v>3-5 л</v>
      </c>
      <c r="R161" s="153">
        <f t="shared" si="36"/>
        <v>200</v>
      </c>
      <c r="S161" s="153">
        <f t="shared" si="37"/>
        <v>120</v>
      </c>
      <c r="T161" s="153">
        <f t="shared" si="38"/>
        <v>150</v>
      </c>
      <c r="U161" s="16">
        <f t="shared" si="39"/>
        <v>0.1946</v>
      </c>
      <c r="V161" s="16" t="str">
        <f t="shared" si="40"/>
        <v/>
      </c>
      <c r="W161" s="16" t="str">
        <f t="shared" si="41"/>
        <v/>
      </c>
      <c r="X161" s="159" t="str">
        <f t="shared" si="45"/>
        <v>200-299 мм</v>
      </c>
      <c r="Y161" s="159" t="str">
        <f t="shared" si="46"/>
        <v>100-199 мм</v>
      </c>
      <c r="Z161" s="159" t="str">
        <f t="shared" si="47"/>
        <v>100-199 мм</v>
      </c>
      <c r="AA161" s="100" t="str">
        <f t="shared" si="42"/>
        <v>Четырехклапанные</v>
      </c>
      <c r="AB161" s="16">
        <v>1.73</v>
      </c>
      <c r="AC161" s="100" t="str">
        <f t="shared" si="43"/>
        <v>4-5 литра</v>
      </c>
    </row>
    <row r="162" spans="1:29" x14ac:dyDescent="0.3">
      <c r="A162" s="53">
        <v>0.64</v>
      </c>
      <c r="B162" s="59">
        <f t="shared" si="44"/>
        <v>0.76800000000000002</v>
      </c>
      <c r="C162" s="108">
        <v>162</v>
      </c>
      <c r="D162" s="115" t="s">
        <v>27</v>
      </c>
      <c r="E162" s="87" t="s">
        <v>452</v>
      </c>
      <c r="G162" s="82" t="s">
        <v>18</v>
      </c>
      <c r="H162" s="89" t="s">
        <v>1</v>
      </c>
      <c r="I162" s="82" t="s">
        <v>21</v>
      </c>
      <c r="J162" s="82" t="s">
        <v>1</v>
      </c>
      <c r="K162" s="115" t="s">
        <v>453</v>
      </c>
      <c r="N162" s="171">
        <f t="shared" si="34"/>
        <v>1</v>
      </c>
      <c r="O162" s="74">
        <f t="shared" si="49"/>
        <v>10.61</v>
      </c>
      <c r="P162" s="160" t="str">
        <f t="shared" si="35"/>
        <v>10-14,9 литров</v>
      </c>
      <c r="Q162" s="101" t="str">
        <f t="shared" si="48"/>
        <v>10-20 л</v>
      </c>
      <c r="R162" s="153">
        <f t="shared" si="36"/>
        <v>260</v>
      </c>
      <c r="S162" s="153">
        <f t="shared" si="37"/>
        <v>170</v>
      </c>
      <c r="T162" s="153">
        <f t="shared" si="38"/>
        <v>240</v>
      </c>
      <c r="U162" s="16">
        <f t="shared" si="39"/>
        <v>0.38456000000000001</v>
      </c>
      <c r="V162" s="16" t="str">
        <f t="shared" si="40"/>
        <v/>
      </c>
      <c r="W162" s="16" t="str">
        <f t="shared" si="41"/>
        <v/>
      </c>
      <c r="X162" s="159" t="str">
        <f t="shared" si="45"/>
        <v>200-299 мм</v>
      </c>
      <c r="Y162" s="159" t="str">
        <f t="shared" si="46"/>
        <v>200-299 мм</v>
      </c>
      <c r="Z162" s="159" t="str">
        <f t="shared" si="47"/>
        <v>100-199 мм</v>
      </c>
      <c r="AA162" s="100" t="str">
        <f t="shared" si="42"/>
        <v>Четырехклапанные</v>
      </c>
      <c r="AB162" s="16">
        <v>1.73</v>
      </c>
      <c r="AC162" s="100" t="str">
        <f t="shared" si="43"/>
        <v>10-14 литров</v>
      </c>
    </row>
    <row r="163" spans="1:29" x14ac:dyDescent="0.3">
      <c r="A163" s="53">
        <v>3.48</v>
      </c>
      <c r="B163" s="59">
        <f t="shared" si="44"/>
        <v>4.1760000000000002</v>
      </c>
      <c r="C163" s="108">
        <v>163</v>
      </c>
      <c r="D163" s="115" t="s">
        <v>27</v>
      </c>
      <c r="E163" s="87" t="s">
        <v>454</v>
      </c>
      <c r="G163" s="82" t="s">
        <v>18</v>
      </c>
      <c r="H163" s="89" t="s">
        <v>1</v>
      </c>
      <c r="I163" s="82" t="s">
        <v>21</v>
      </c>
      <c r="J163" s="82" t="s">
        <v>1</v>
      </c>
      <c r="K163" s="115" t="s">
        <v>455</v>
      </c>
      <c r="N163" s="171">
        <f t="shared" si="34"/>
        <v>1</v>
      </c>
      <c r="O163" s="74">
        <f t="shared" si="49"/>
        <v>111.36</v>
      </c>
      <c r="P163" s="160" t="str">
        <f t="shared" si="35"/>
        <v>100-200 литров</v>
      </c>
      <c r="Q163" s="101" t="str">
        <f t="shared" si="48"/>
        <v>100+ л</v>
      </c>
      <c r="R163" s="153">
        <f t="shared" si="36"/>
        <v>800</v>
      </c>
      <c r="S163" s="153">
        <f t="shared" si="37"/>
        <v>480</v>
      </c>
      <c r="T163" s="153">
        <f t="shared" si="38"/>
        <v>290</v>
      </c>
      <c r="U163" s="16">
        <f t="shared" si="39"/>
        <v>2.0383599999999999</v>
      </c>
      <c r="V163" s="16" t="str">
        <f t="shared" si="40"/>
        <v/>
      </c>
      <c r="W163" s="16" t="str">
        <f t="shared" si="41"/>
        <v/>
      </c>
      <c r="X163" s="159" t="str">
        <f t="shared" si="45"/>
        <v>700-999 мм</v>
      </c>
      <c r="Y163" s="159" t="str">
        <f t="shared" si="46"/>
        <v>400-499 мм</v>
      </c>
      <c r="Z163" s="159" t="str">
        <f t="shared" si="47"/>
        <v>200-299 мм</v>
      </c>
      <c r="AA163" s="100" t="str">
        <f t="shared" si="42"/>
        <v>Четырехклапанные</v>
      </c>
      <c r="AB163" s="16">
        <v>1.73</v>
      </c>
      <c r="AC163" s="100" t="str">
        <f t="shared" si="43"/>
        <v>100-200 литров</v>
      </c>
    </row>
    <row r="164" spans="1:29" x14ac:dyDescent="0.3">
      <c r="A164" s="53">
        <v>2.17</v>
      </c>
      <c r="B164" s="59">
        <f t="shared" si="44"/>
        <v>2.6039999999999996</v>
      </c>
      <c r="C164" s="108">
        <v>164</v>
      </c>
      <c r="D164" s="115" t="s">
        <v>27</v>
      </c>
      <c r="E164" s="87" t="s">
        <v>456</v>
      </c>
      <c r="G164" s="82" t="s">
        <v>18</v>
      </c>
      <c r="H164" s="89" t="s">
        <v>1</v>
      </c>
      <c r="I164" s="82" t="s">
        <v>21</v>
      </c>
      <c r="J164" s="82" t="s">
        <v>1</v>
      </c>
      <c r="K164" s="115" t="s">
        <v>457</v>
      </c>
      <c r="N164" s="171">
        <f t="shared" si="34"/>
        <v>1</v>
      </c>
      <c r="O164" s="74">
        <f t="shared" si="49"/>
        <v>59.32</v>
      </c>
      <c r="P164" s="160" t="str">
        <f t="shared" si="35"/>
        <v>50-59 литров</v>
      </c>
      <c r="Q164" s="101" t="str">
        <f t="shared" si="48"/>
        <v>50-100 л</v>
      </c>
      <c r="R164" s="153">
        <f t="shared" si="36"/>
        <v>390</v>
      </c>
      <c r="S164" s="153">
        <f t="shared" si="37"/>
        <v>390</v>
      </c>
      <c r="T164" s="153">
        <f t="shared" si="38"/>
        <v>390</v>
      </c>
      <c r="U164" s="16">
        <f t="shared" si="39"/>
        <v>1.2765599999999999</v>
      </c>
      <c r="V164" s="16" t="str">
        <f t="shared" si="40"/>
        <v/>
      </c>
      <c r="W164" s="16" t="str">
        <f t="shared" si="41"/>
        <v/>
      </c>
      <c r="X164" s="159" t="str">
        <f t="shared" si="45"/>
        <v>300-399 мм</v>
      </c>
      <c r="Y164" s="159" t="str">
        <f t="shared" si="46"/>
        <v>300-399 мм</v>
      </c>
      <c r="Z164" s="159" t="str">
        <f t="shared" si="47"/>
        <v>300-399 мм</v>
      </c>
      <c r="AA164" s="100" t="str">
        <f t="shared" si="42"/>
        <v>Четырехклапанные</v>
      </c>
      <c r="AB164" s="16">
        <v>1.73</v>
      </c>
      <c r="AC164" s="100" t="str">
        <f t="shared" si="43"/>
        <v>60-69 литров</v>
      </c>
    </row>
    <row r="165" spans="1:29" x14ac:dyDescent="0.3">
      <c r="A165" s="53">
        <v>0.78</v>
      </c>
      <c r="B165" s="59">
        <f t="shared" si="44"/>
        <v>0.93599999999999994</v>
      </c>
      <c r="C165" s="108">
        <v>165</v>
      </c>
      <c r="D165" s="115" t="s">
        <v>27</v>
      </c>
      <c r="E165" s="87" t="s">
        <v>458</v>
      </c>
      <c r="G165" s="82" t="s">
        <v>18</v>
      </c>
      <c r="H165" s="89" t="s">
        <v>1</v>
      </c>
      <c r="I165" s="82" t="s">
        <v>21</v>
      </c>
      <c r="J165" s="82" t="s">
        <v>1</v>
      </c>
      <c r="K165" s="115" t="s">
        <v>459</v>
      </c>
      <c r="N165" s="171">
        <f t="shared" si="34"/>
        <v>1</v>
      </c>
      <c r="O165" s="74">
        <f t="shared" si="49"/>
        <v>13.84</v>
      </c>
      <c r="P165" s="160" t="str">
        <f t="shared" si="35"/>
        <v>10-14,9 литров</v>
      </c>
      <c r="Q165" s="101" t="str">
        <f t="shared" si="48"/>
        <v>10-20 л</v>
      </c>
      <c r="R165" s="153">
        <f t="shared" si="36"/>
        <v>465</v>
      </c>
      <c r="S165" s="153">
        <f t="shared" si="37"/>
        <v>155</v>
      </c>
      <c r="T165" s="153">
        <f t="shared" si="38"/>
        <v>192</v>
      </c>
      <c r="U165" s="16">
        <f t="shared" si="39"/>
        <v>0.46150000000000002</v>
      </c>
      <c r="V165" s="16" t="str">
        <f t="shared" si="40"/>
        <v>Длинные</v>
      </c>
      <c r="W165" s="16" t="str">
        <f t="shared" si="41"/>
        <v/>
      </c>
      <c r="X165" s="159" t="str">
        <f t="shared" si="45"/>
        <v>400-499 мм</v>
      </c>
      <c r="Y165" s="159" t="str">
        <f t="shared" si="46"/>
        <v>100-199 мм</v>
      </c>
      <c r="Z165" s="159" t="str">
        <f t="shared" si="47"/>
        <v>100-199 мм</v>
      </c>
      <c r="AA165" s="100" t="str">
        <f t="shared" si="42"/>
        <v>Четырехклапанные</v>
      </c>
      <c r="AB165" s="16">
        <v>1.73</v>
      </c>
      <c r="AC165" s="100" t="str">
        <f t="shared" si="43"/>
        <v>10-14 литров</v>
      </c>
    </row>
    <row r="166" spans="1:29" x14ac:dyDescent="0.3">
      <c r="A166" s="53">
        <v>1.57</v>
      </c>
      <c r="B166" s="59">
        <f t="shared" si="44"/>
        <v>1.8839999999999999</v>
      </c>
      <c r="C166" s="108">
        <v>166</v>
      </c>
      <c r="D166" s="115" t="s">
        <v>27</v>
      </c>
      <c r="E166" s="87" t="s">
        <v>460</v>
      </c>
      <c r="G166" s="82" t="s">
        <v>18</v>
      </c>
      <c r="H166" s="89" t="s">
        <v>1</v>
      </c>
      <c r="I166" s="82" t="s">
        <v>21</v>
      </c>
      <c r="J166" s="82" t="s">
        <v>1</v>
      </c>
      <c r="K166" s="115" t="s">
        <v>461</v>
      </c>
      <c r="N166" s="171">
        <f t="shared" si="34"/>
        <v>1</v>
      </c>
      <c r="O166" s="74">
        <f t="shared" si="49"/>
        <v>27.03</v>
      </c>
      <c r="P166" s="160" t="str">
        <f t="shared" si="35"/>
        <v>20-29 литров</v>
      </c>
      <c r="Q166" s="101" t="str">
        <f t="shared" si="48"/>
        <v>20-50 л</v>
      </c>
      <c r="R166" s="153">
        <f t="shared" si="36"/>
        <v>630</v>
      </c>
      <c r="S166" s="153">
        <f t="shared" si="37"/>
        <v>330</v>
      </c>
      <c r="T166" s="153">
        <f t="shared" si="38"/>
        <v>130</v>
      </c>
      <c r="U166" s="16">
        <f t="shared" si="39"/>
        <v>0.92664000000000002</v>
      </c>
      <c r="V166" s="16" t="str">
        <f t="shared" si="40"/>
        <v/>
      </c>
      <c r="W166" s="16" t="str">
        <f t="shared" si="41"/>
        <v>Плоские</v>
      </c>
      <c r="X166" s="159" t="str">
        <f t="shared" si="45"/>
        <v>600-699 мм</v>
      </c>
      <c r="Y166" s="159" t="str">
        <f t="shared" si="46"/>
        <v>300-399 мм</v>
      </c>
      <c r="Z166" s="159" t="str">
        <f t="shared" si="47"/>
        <v>100-199 мм</v>
      </c>
      <c r="AA166" s="100" t="str">
        <f t="shared" si="42"/>
        <v>Четырехклапанные</v>
      </c>
      <c r="AB166" s="16">
        <v>1.73</v>
      </c>
      <c r="AC166" s="100" t="str">
        <f t="shared" si="43"/>
        <v>20-29 литров</v>
      </c>
    </row>
    <row r="167" spans="1:29" x14ac:dyDescent="0.3">
      <c r="A167" s="53">
        <v>0.81</v>
      </c>
      <c r="B167" s="59">
        <f t="shared" si="44"/>
        <v>0.97199999999999998</v>
      </c>
      <c r="C167" s="108">
        <v>167</v>
      </c>
      <c r="D167" s="115" t="s">
        <v>27</v>
      </c>
      <c r="E167" s="87" t="s">
        <v>462</v>
      </c>
      <c r="G167" s="82" t="s">
        <v>143</v>
      </c>
      <c r="H167" s="89" t="s">
        <v>1</v>
      </c>
      <c r="I167" s="82" t="s">
        <v>21</v>
      </c>
      <c r="J167" s="82" t="s">
        <v>1</v>
      </c>
      <c r="K167" s="115" t="s">
        <v>463</v>
      </c>
      <c r="N167" s="171">
        <f t="shared" si="34"/>
        <v>1</v>
      </c>
      <c r="O167" s="74">
        <f t="shared" si="49"/>
        <v>4.43</v>
      </c>
      <c r="P167" s="160" t="str">
        <f t="shared" si="35"/>
        <v>4-5,9 литра</v>
      </c>
      <c r="Q167" s="101" t="str">
        <f t="shared" si="48"/>
        <v>3-5 л</v>
      </c>
      <c r="R167" s="153">
        <f t="shared" si="36"/>
        <v>274</v>
      </c>
      <c r="S167" s="153">
        <f t="shared" si="37"/>
        <v>186</v>
      </c>
      <c r="T167" s="153">
        <f t="shared" si="38"/>
        <v>87</v>
      </c>
      <c r="U167" s="16">
        <f t="shared" si="39"/>
        <v>0.27538000000000001</v>
      </c>
      <c r="V167" s="16" t="str">
        <f t="shared" si="40"/>
        <v/>
      </c>
      <c r="W167" s="16" t="str">
        <f t="shared" si="41"/>
        <v>Плоские</v>
      </c>
      <c r="X167" s="159" t="str">
        <f t="shared" si="45"/>
        <v>200-299 мм</v>
      </c>
      <c r="Y167" s="159" t="str">
        <f t="shared" si="46"/>
        <v>100-199 мм</v>
      </c>
      <c r="Z167" s="159" t="str">
        <f t="shared" si="47"/>
        <v>10-99 мм</v>
      </c>
      <c r="AA167" s="100" t="str">
        <f t="shared" si="42"/>
        <v>Самосборные</v>
      </c>
      <c r="AB167" s="16">
        <v>1.73</v>
      </c>
      <c r="AC167" s="100" t="str">
        <f t="shared" si="43"/>
        <v>4-5 литра</v>
      </c>
    </row>
    <row r="168" spans="1:29" x14ac:dyDescent="0.3">
      <c r="A168" s="53">
        <v>1.58</v>
      </c>
      <c r="B168" s="59">
        <f t="shared" si="44"/>
        <v>1.8959999999999999</v>
      </c>
      <c r="C168" s="108">
        <v>168</v>
      </c>
      <c r="D168" s="115" t="s">
        <v>27</v>
      </c>
      <c r="E168" s="87" t="s">
        <v>464</v>
      </c>
      <c r="G168" s="82" t="s">
        <v>18</v>
      </c>
      <c r="H168" s="89" t="s">
        <v>1</v>
      </c>
      <c r="I168" s="82" t="s">
        <v>21</v>
      </c>
      <c r="J168" s="82" t="s">
        <v>1</v>
      </c>
      <c r="K168" s="115" t="s">
        <v>465</v>
      </c>
      <c r="N168" s="171">
        <f t="shared" si="34"/>
        <v>1</v>
      </c>
      <c r="O168" s="74">
        <f t="shared" si="49"/>
        <v>40.049999999999997</v>
      </c>
      <c r="P168" s="160" t="str">
        <f t="shared" si="35"/>
        <v>30-49 литров</v>
      </c>
      <c r="Q168" s="101" t="str">
        <f t="shared" si="48"/>
        <v>20-50 л</v>
      </c>
      <c r="R168" s="153">
        <f t="shared" si="36"/>
        <v>579</v>
      </c>
      <c r="S168" s="153">
        <f t="shared" si="37"/>
        <v>261</v>
      </c>
      <c r="T168" s="153">
        <f t="shared" si="38"/>
        <v>265</v>
      </c>
      <c r="U168" s="16">
        <f t="shared" si="39"/>
        <v>0.92915999999999999</v>
      </c>
      <c r="V168" s="16" t="str">
        <f t="shared" si="40"/>
        <v>Длинные</v>
      </c>
      <c r="W168" s="16" t="str">
        <f t="shared" si="41"/>
        <v/>
      </c>
      <c r="X168" s="159" t="str">
        <f t="shared" si="45"/>
        <v>500-599 мм</v>
      </c>
      <c r="Y168" s="159" t="str">
        <f t="shared" si="46"/>
        <v>200-299 мм</v>
      </c>
      <c r="Z168" s="159" t="str">
        <f t="shared" si="47"/>
        <v>200-299 мм</v>
      </c>
      <c r="AA168" s="100" t="str">
        <f t="shared" si="42"/>
        <v>Четырехклапанные</v>
      </c>
      <c r="AB168" s="16">
        <v>1.73</v>
      </c>
      <c r="AC168" s="100" t="str">
        <f t="shared" si="43"/>
        <v>30-49 литров</v>
      </c>
    </row>
    <row r="169" spans="1:29" x14ac:dyDescent="0.3">
      <c r="A169" s="53">
        <v>5.12</v>
      </c>
      <c r="B169" s="59">
        <f t="shared" si="44"/>
        <v>6.1440000000000001</v>
      </c>
      <c r="C169" s="108">
        <v>169</v>
      </c>
      <c r="D169" s="115" t="s">
        <v>27</v>
      </c>
      <c r="E169" s="87" t="s">
        <v>466</v>
      </c>
      <c r="G169" s="82" t="s">
        <v>18</v>
      </c>
      <c r="H169" s="89" t="s">
        <v>1</v>
      </c>
      <c r="I169" s="82" t="s">
        <v>21</v>
      </c>
      <c r="J169" s="82" t="s">
        <v>1</v>
      </c>
      <c r="K169" s="115" t="s">
        <v>467</v>
      </c>
      <c r="N169" s="171">
        <f t="shared" si="34"/>
        <v>1</v>
      </c>
      <c r="O169" s="74">
        <f t="shared" si="49"/>
        <v>235.49</v>
      </c>
      <c r="P169" s="160" t="str">
        <f t="shared" si="35"/>
        <v>200+ литров</v>
      </c>
      <c r="Q169" s="101" t="str">
        <f t="shared" si="48"/>
        <v>100+ л</v>
      </c>
      <c r="R169" s="153">
        <f t="shared" si="36"/>
        <v>745</v>
      </c>
      <c r="S169" s="153">
        <f t="shared" si="37"/>
        <v>545</v>
      </c>
      <c r="T169" s="153">
        <f t="shared" si="38"/>
        <v>580</v>
      </c>
      <c r="U169" s="16">
        <f t="shared" si="39"/>
        <v>2.99112</v>
      </c>
      <c r="V169" s="16" t="str">
        <f t="shared" si="40"/>
        <v/>
      </c>
      <c r="W169" s="16" t="str">
        <f t="shared" si="41"/>
        <v/>
      </c>
      <c r="X169" s="159" t="str">
        <f t="shared" si="45"/>
        <v>700-999 мм</v>
      </c>
      <c r="Y169" s="159" t="str">
        <f t="shared" si="46"/>
        <v>500-599 мм</v>
      </c>
      <c r="Z169" s="159" t="str">
        <f t="shared" si="47"/>
        <v>500-599 мм</v>
      </c>
      <c r="AA169" s="100" t="str">
        <f t="shared" si="42"/>
        <v>Четырехклапанные</v>
      </c>
      <c r="AB169" s="16">
        <v>1.73</v>
      </c>
      <c r="AC169" s="100" t="str">
        <f t="shared" si="43"/>
        <v>200+ литров</v>
      </c>
    </row>
    <row r="170" spans="1:29" x14ac:dyDescent="0.3">
      <c r="A170" s="53">
        <v>0.28000000000000003</v>
      </c>
      <c r="B170" s="59">
        <f t="shared" si="44"/>
        <v>0.33600000000000002</v>
      </c>
      <c r="C170" s="108">
        <v>170</v>
      </c>
      <c r="D170" s="115" t="s">
        <v>27</v>
      </c>
      <c r="E170" s="87" t="s">
        <v>468</v>
      </c>
      <c r="G170" s="82" t="s">
        <v>18</v>
      </c>
      <c r="H170" s="89" t="s">
        <v>1</v>
      </c>
      <c r="I170" s="82" t="s">
        <v>21</v>
      </c>
      <c r="J170" s="82" t="s">
        <v>1</v>
      </c>
      <c r="K170" s="115" t="s">
        <v>469</v>
      </c>
      <c r="N170" s="171">
        <f t="shared" si="34"/>
        <v>1</v>
      </c>
      <c r="O170" s="74">
        <f t="shared" si="49"/>
        <v>2.25</v>
      </c>
      <c r="P170" s="160" t="str">
        <f t="shared" si="35"/>
        <v>2-2,9 литра</v>
      </c>
      <c r="Q170" s="101" t="str">
        <f t="shared" si="48"/>
        <v>2-3 л</v>
      </c>
      <c r="R170" s="153">
        <f t="shared" si="36"/>
        <v>150</v>
      </c>
      <c r="S170" s="153">
        <f t="shared" si="37"/>
        <v>150</v>
      </c>
      <c r="T170" s="153">
        <f t="shared" si="38"/>
        <v>100</v>
      </c>
      <c r="U170" s="16">
        <f t="shared" si="39"/>
        <v>0.17027999999999999</v>
      </c>
      <c r="V170" s="16" t="str">
        <f t="shared" si="40"/>
        <v/>
      </c>
      <c r="W170" s="16" t="str">
        <f t="shared" si="41"/>
        <v/>
      </c>
      <c r="X170" s="159" t="str">
        <f t="shared" si="45"/>
        <v>100-199 мм</v>
      </c>
      <c r="Y170" s="159" t="str">
        <f t="shared" si="46"/>
        <v>100-199 мм</v>
      </c>
      <c r="Z170" s="159" t="str">
        <f t="shared" si="47"/>
        <v>100-199 мм</v>
      </c>
      <c r="AA170" s="100" t="str">
        <f t="shared" si="42"/>
        <v>Четырехклапанные</v>
      </c>
      <c r="AB170" s="16">
        <v>1.73</v>
      </c>
      <c r="AC170" s="100" t="str">
        <f t="shared" si="43"/>
        <v>2-3 литра</v>
      </c>
    </row>
    <row r="171" spans="1:29" x14ac:dyDescent="0.3">
      <c r="A171" s="53">
        <v>0.57999999999999996</v>
      </c>
      <c r="B171" s="59">
        <f t="shared" si="44"/>
        <v>0.69599999999999995</v>
      </c>
      <c r="C171" s="108">
        <v>171</v>
      </c>
      <c r="D171" s="115" t="s">
        <v>27</v>
      </c>
      <c r="E171" s="87" t="s">
        <v>470</v>
      </c>
      <c r="G171" s="82" t="s">
        <v>18</v>
      </c>
      <c r="H171" s="89" t="s">
        <v>1</v>
      </c>
      <c r="I171" s="82" t="s">
        <v>21</v>
      </c>
      <c r="J171" s="82" t="s">
        <v>1</v>
      </c>
      <c r="K171" s="115" t="s">
        <v>471</v>
      </c>
      <c r="N171" s="171">
        <f t="shared" si="34"/>
        <v>1</v>
      </c>
      <c r="O171" s="74">
        <f t="shared" si="49"/>
        <v>7.9</v>
      </c>
      <c r="P171" s="160" t="str">
        <f t="shared" si="35"/>
        <v>6-7,9 литра</v>
      </c>
      <c r="Q171" s="101" t="str">
        <f t="shared" si="48"/>
        <v>5-10 л</v>
      </c>
      <c r="R171" s="153">
        <f t="shared" si="36"/>
        <v>260</v>
      </c>
      <c r="S171" s="153">
        <f t="shared" si="37"/>
        <v>190</v>
      </c>
      <c r="T171" s="153">
        <f t="shared" si="38"/>
        <v>160</v>
      </c>
      <c r="U171" s="16">
        <f t="shared" si="39"/>
        <v>0.34367999999999999</v>
      </c>
      <c r="V171" s="16" t="str">
        <f t="shared" si="40"/>
        <v/>
      </c>
      <c r="W171" s="16" t="str">
        <f t="shared" si="41"/>
        <v/>
      </c>
      <c r="X171" s="159" t="str">
        <f t="shared" si="45"/>
        <v>200-299 мм</v>
      </c>
      <c r="Y171" s="159" t="str">
        <f t="shared" si="46"/>
        <v>100-199 мм</v>
      </c>
      <c r="Z171" s="159" t="str">
        <f t="shared" si="47"/>
        <v>100-199 мм</v>
      </c>
      <c r="AA171" s="100" t="str">
        <f t="shared" si="42"/>
        <v>Четырехклапанные</v>
      </c>
      <c r="AB171" s="16">
        <v>1.73</v>
      </c>
      <c r="AC171" s="100" t="str">
        <f t="shared" si="43"/>
        <v>8-9 литров</v>
      </c>
    </row>
    <row r="172" spans="1:29" x14ac:dyDescent="0.3">
      <c r="A172" s="53">
        <v>0.26</v>
      </c>
      <c r="B172" s="59">
        <f t="shared" si="44"/>
        <v>0.312</v>
      </c>
      <c r="C172" s="108">
        <v>172</v>
      </c>
      <c r="D172" s="115" t="s">
        <v>27</v>
      </c>
      <c r="E172" s="87" t="s">
        <v>472</v>
      </c>
      <c r="G172" s="82" t="s">
        <v>18</v>
      </c>
      <c r="H172" s="89" t="s">
        <v>1</v>
      </c>
      <c r="I172" s="82" t="s">
        <v>21</v>
      </c>
      <c r="J172" s="82" t="s">
        <v>1</v>
      </c>
      <c r="K172" s="115" t="s">
        <v>473</v>
      </c>
      <c r="N172" s="171">
        <f t="shared" si="34"/>
        <v>1</v>
      </c>
      <c r="O172" s="74">
        <f t="shared" si="49"/>
        <v>1.91</v>
      </c>
      <c r="P172" s="160" t="str">
        <f t="shared" si="35"/>
        <v>1-1,9 литра</v>
      </c>
      <c r="Q172" s="101" t="str">
        <f t="shared" si="48"/>
        <v>1-2 л</v>
      </c>
      <c r="R172" s="153">
        <f t="shared" si="36"/>
        <v>150</v>
      </c>
      <c r="S172" s="153">
        <f t="shared" si="37"/>
        <v>150</v>
      </c>
      <c r="T172" s="153">
        <f t="shared" si="38"/>
        <v>85</v>
      </c>
      <c r="U172" s="16">
        <f t="shared" si="39"/>
        <v>0.16037999999999999</v>
      </c>
      <c r="V172" s="16" t="str">
        <f t="shared" si="40"/>
        <v/>
      </c>
      <c r="W172" s="16" t="str">
        <f t="shared" si="41"/>
        <v/>
      </c>
      <c r="X172" s="159" t="str">
        <f t="shared" si="45"/>
        <v>100-199 мм</v>
      </c>
      <c r="Y172" s="159" t="str">
        <f t="shared" si="46"/>
        <v>100-199 мм</v>
      </c>
      <c r="Z172" s="159" t="str">
        <f t="shared" si="47"/>
        <v>10-99 мм</v>
      </c>
      <c r="AA172" s="100" t="str">
        <f t="shared" si="42"/>
        <v>Четырехклапанные</v>
      </c>
      <c r="AB172" s="16">
        <v>1.73</v>
      </c>
      <c r="AC172" s="100" t="str">
        <f t="shared" si="43"/>
        <v>2-3 литра</v>
      </c>
    </row>
    <row r="173" spans="1:29" x14ac:dyDescent="0.3">
      <c r="A173" s="53">
        <v>0.22</v>
      </c>
      <c r="B173" s="59">
        <f t="shared" si="44"/>
        <v>0.26400000000000001</v>
      </c>
      <c r="C173" s="108">
        <v>173</v>
      </c>
      <c r="D173" s="115" t="s">
        <v>27</v>
      </c>
      <c r="E173" s="87" t="s">
        <v>474</v>
      </c>
      <c r="G173" s="82" t="s">
        <v>18</v>
      </c>
      <c r="H173" s="89" t="s">
        <v>1</v>
      </c>
      <c r="I173" s="82" t="s">
        <v>21</v>
      </c>
      <c r="J173" s="82" t="s">
        <v>1</v>
      </c>
      <c r="K173" s="115" t="s">
        <v>475</v>
      </c>
      <c r="N173" s="171">
        <f t="shared" si="34"/>
        <v>1</v>
      </c>
      <c r="O173" s="74">
        <f t="shared" si="49"/>
        <v>1.73</v>
      </c>
      <c r="P173" s="160" t="str">
        <f t="shared" si="35"/>
        <v>1-1,9 литра</v>
      </c>
      <c r="Q173" s="101" t="str">
        <f t="shared" si="48"/>
        <v>1-2 л</v>
      </c>
      <c r="R173" s="153">
        <f t="shared" si="36"/>
        <v>120</v>
      </c>
      <c r="S173" s="153">
        <f t="shared" si="37"/>
        <v>120</v>
      </c>
      <c r="T173" s="153">
        <f t="shared" si="38"/>
        <v>120</v>
      </c>
      <c r="U173" s="16">
        <f t="shared" si="39"/>
        <v>0.13392000000000001</v>
      </c>
      <c r="V173" s="16" t="str">
        <f t="shared" si="40"/>
        <v/>
      </c>
      <c r="W173" s="16" t="str">
        <f t="shared" si="41"/>
        <v/>
      </c>
      <c r="X173" s="159" t="str">
        <f t="shared" si="45"/>
        <v>100-199 мм</v>
      </c>
      <c r="Y173" s="159" t="str">
        <f t="shared" si="46"/>
        <v>100-199 мм</v>
      </c>
      <c r="Z173" s="159" t="str">
        <f t="shared" si="47"/>
        <v>100-199 мм</v>
      </c>
      <c r="AA173" s="100" t="str">
        <f t="shared" si="42"/>
        <v>Четырехклапанные</v>
      </c>
      <c r="AB173" s="16">
        <v>1.73</v>
      </c>
      <c r="AC173" s="100" t="str">
        <f t="shared" si="43"/>
        <v>2-3 литра</v>
      </c>
    </row>
    <row r="174" spans="1:29" x14ac:dyDescent="0.3">
      <c r="A174" s="53">
        <v>0.42</v>
      </c>
      <c r="B174" s="59">
        <f t="shared" si="44"/>
        <v>0.504</v>
      </c>
      <c r="C174" s="108">
        <v>174</v>
      </c>
      <c r="D174" s="115" t="s">
        <v>27</v>
      </c>
      <c r="E174" s="87" t="s">
        <v>476</v>
      </c>
      <c r="G174" s="82" t="s">
        <v>18</v>
      </c>
      <c r="H174" s="89" t="s">
        <v>1</v>
      </c>
      <c r="I174" s="82" t="s">
        <v>21</v>
      </c>
      <c r="J174" s="82" t="s">
        <v>1</v>
      </c>
      <c r="K174" s="115" t="s">
        <v>477</v>
      </c>
      <c r="N174" s="171">
        <f t="shared" si="34"/>
        <v>1</v>
      </c>
      <c r="O174" s="74">
        <f t="shared" si="49"/>
        <v>4.05</v>
      </c>
      <c r="P174" s="160" t="str">
        <f t="shared" si="35"/>
        <v>4-5,9 литра</v>
      </c>
      <c r="Q174" s="101" t="str">
        <f t="shared" si="48"/>
        <v>3-5 л</v>
      </c>
      <c r="R174" s="153">
        <f t="shared" si="36"/>
        <v>180</v>
      </c>
      <c r="S174" s="153">
        <f t="shared" si="37"/>
        <v>180</v>
      </c>
      <c r="T174" s="153">
        <f t="shared" si="38"/>
        <v>125</v>
      </c>
      <c r="U174" s="16">
        <f t="shared" si="39"/>
        <v>0.24414</v>
      </c>
      <c r="V174" s="16" t="str">
        <f t="shared" si="40"/>
        <v/>
      </c>
      <c r="W174" s="16" t="str">
        <f t="shared" si="41"/>
        <v/>
      </c>
      <c r="X174" s="159" t="str">
        <f t="shared" si="45"/>
        <v>100-199 мм</v>
      </c>
      <c r="Y174" s="159" t="str">
        <f t="shared" si="46"/>
        <v>100-199 мм</v>
      </c>
      <c r="Z174" s="159" t="str">
        <f t="shared" si="47"/>
        <v>100-199 мм</v>
      </c>
      <c r="AA174" s="100" t="str">
        <f t="shared" si="42"/>
        <v>Четырехклапанные</v>
      </c>
      <c r="AB174" s="16">
        <v>1.73</v>
      </c>
      <c r="AC174" s="100" t="str">
        <f t="shared" si="43"/>
        <v>4-5 литра</v>
      </c>
    </row>
    <row r="175" spans="1:29" x14ac:dyDescent="0.3">
      <c r="A175" s="53">
        <v>0.8</v>
      </c>
      <c r="B175" s="59">
        <f t="shared" si="44"/>
        <v>0.96</v>
      </c>
      <c r="C175" s="108">
        <v>175</v>
      </c>
      <c r="D175" s="115" t="s">
        <v>27</v>
      </c>
      <c r="E175" s="87" t="s">
        <v>478</v>
      </c>
      <c r="G175" s="82" t="s">
        <v>18</v>
      </c>
      <c r="H175" s="89" t="s">
        <v>1</v>
      </c>
      <c r="I175" s="82" t="s">
        <v>21</v>
      </c>
      <c r="J175" s="82" t="s">
        <v>1</v>
      </c>
      <c r="K175" s="115" t="s">
        <v>479</v>
      </c>
      <c r="N175" s="171">
        <f t="shared" si="34"/>
        <v>1</v>
      </c>
      <c r="O175" s="74">
        <f t="shared" si="49"/>
        <v>14.82</v>
      </c>
      <c r="P175" s="160" t="str">
        <f t="shared" si="35"/>
        <v>10-14,9 литров</v>
      </c>
      <c r="Q175" s="101" t="str">
        <f t="shared" si="48"/>
        <v>10-20 л</v>
      </c>
      <c r="R175" s="153">
        <f t="shared" si="36"/>
        <v>260</v>
      </c>
      <c r="S175" s="153">
        <f t="shared" si="37"/>
        <v>190</v>
      </c>
      <c r="T175" s="153">
        <f t="shared" si="38"/>
        <v>300</v>
      </c>
      <c r="U175" s="16">
        <f t="shared" si="39"/>
        <v>0.47808</v>
      </c>
      <c r="V175" s="16" t="str">
        <f t="shared" si="40"/>
        <v/>
      </c>
      <c r="W175" s="16" t="str">
        <f t="shared" si="41"/>
        <v/>
      </c>
      <c r="X175" s="159" t="str">
        <f t="shared" si="45"/>
        <v>300-399 мм</v>
      </c>
      <c r="Y175" s="159" t="str">
        <f t="shared" si="46"/>
        <v>200-299 мм</v>
      </c>
      <c r="Z175" s="159" t="str">
        <f t="shared" si="47"/>
        <v>100-199 мм</v>
      </c>
      <c r="AA175" s="100" t="str">
        <f t="shared" si="42"/>
        <v>Четырехклапанные</v>
      </c>
      <c r="AB175" s="16">
        <v>1.73</v>
      </c>
      <c r="AC175" s="100" t="str">
        <f t="shared" si="43"/>
        <v>15-19 литров</v>
      </c>
    </row>
    <row r="176" spans="1:29" x14ac:dyDescent="0.3">
      <c r="A176" s="53">
        <v>0.3</v>
      </c>
      <c r="B176" s="59">
        <f t="shared" si="44"/>
        <v>0.36</v>
      </c>
      <c r="C176" s="108">
        <v>176</v>
      </c>
      <c r="D176" s="115" t="s">
        <v>27</v>
      </c>
      <c r="E176" s="87" t="s">
        <v>480</v>
      </c>
      <c r="G176" s="82" t="s">
        <v>18</v>
      </c>
      <c r="H176" s="89" t="s">
        <v>1</v>
      </c>
      <c r="I176" s="82" t="s">
        <v>21</v>
      </c>
      <c r="J176" s="82" t="s">
        <v>1</v>
      </c>
      <c r="K176" s="115" t="s">
        <v>481</v>
      </c>
      <c r="N176" s="171">
        <f t="shared" si="34"/>
        <v>1</v>
      </c>
      <c r="O176" s="74">
        <f t="shared" si="49"/>
        <v>3.15</v>
      </c>
      <c r="P176" s="160" t="str">
        <f t="shared" si="35"/>
        <v>3-3,9 литра</v>
      </c>
      <c r="Q176" s="101" t="str">
        <f t="shared" si="48"/>
        <v>3-5 л</v>
      </c>
      <c r="R176" s="153">
        <f t="shared" si="36"/>
        <v>280</v>
      </c>
      <c r="S176" s="153">
        <f t="shared" si="37"/>
        <v>90</v>
      </c>
      <c r="T176" s="153">
        <f t="shared" si="38"/>
        <v>125</v>
      </c>
      <c r="U176" s="16">
        <f t="shared" si="39"/>
        <v>0.1784</v>
      </c>
      <c r="V176" s="16" t="str">
        <f t="shared" si="40"/>
        <v>Длинные</v>
      </c>
      <c r="W176" s="16" t="str">
        <f t="shared" si="41"/>
        <v/>
      </c>
      <c r="X176" s="159" t="str">
        <f t="shared" si="45"/>
        <v>200-299 мм</v>
      </c>
      <c r="Y176" s="159" t="str">
        <f t="shared" si="46"/>
        <v>100-199 мм</v>
      </c>
      <c r="Z176" s="159" t="str">
        <f t="shared" si="47"/>
        <v>10-99 мм</v>
      </c>
      <c r="AA176" s="100" t="str">
        <f t="shared" si="42"/>
        <v>Четырехклапанные</v>
      </c>
      <c r="AB176" s="16">
        <v>1.73</v>
      </c>
      <c r="AC176" s="100" t="str">
        <f t="shared" si="43"/>
        <v>4-5 литра</v>
      </c>
    </row>
    <row r="177" spans="1:29" x14ac:dyDescent="0.3">
      <c r="A177" s="53">
        <v>0.75</v>
      </c>
      <c r="B177" s="59">
        <f t="shared" si="44"/>
        <v>0.89999999999999991</v>
      </c>
      <c r="C177" s="108">
        <v>177</v>
      </c>
      <c r="D177" s="115" t="s">
        <v>27</v>
      </c>
      <c r="E177" s="87" t="s">
        <v>482</v>
      </c>
      <c r="G177" s="82" t="s">
        <v>18</v>
      </c>
      <c r="H177" s="89" t="s">
        <v>1</v>
      </c>
      <c r="I177" s="82" t="s">
        <v>21</v>
      </c>
      <c r="J177" s="82" t="s">
        <v>1</v>
      </c>
      <c r="K177" s="115" t="s">
        <v>483</v>
      </c>
      <c r="N177" s="171">
        <f t="shared" si="34"/>
        <v>1</v>
      </c>
      <c r="O177" s="74">
        <f t="shared" si="49"/>
        <v>9.24</v>
      </c>
      <c r="P177" s="160" t="str">
        <f t="shared" si="35"/>
        <v>8-9,9 литров</v>
      </c>
      <c r="Q177" s="101" t="str">
        <f t="shared" si="48"/>
        <v>5-10 л</v>
      </c>
      <c r="R177" s="153">
        <f t="shared" si="36"/>
        <v>350</v>
      </c>
      <c r="S177" s="153">
        <f t="shared" si="37"/>
        <v>60</v>
      </c>
      <c r="T177" s="153">
        <f t="shared" si="38"/>
        <v>440</v>
      </c>
      <c r="U177" s="16">
        <f t="shared" si="39"/>
        <v>0.44703999999999999</v>
      </c>
      <c r="V177" s="16" t="str">
        <f t="shared" si="40"/>
        <v/>
      </c>
      <c r="W177" s="16" t="str">
        <f t="shared" si="41"/>
        <v>Плоские</v>
      </c>
      <c r="X177" s="159" t="str">
        <f t="shared" si="45"/>
        <v>400-499 мм</v>
      </c>
      <c r="Y177" s="159" t="str">
        <f t="shared" si="46"/>
        <v>300-399 мм</v>
      </c>
      <c r="Z177" s="159" t="str">
        <f t="shared" si="47"/>
        <v>10-99 мм</v>
      </c>
      <c r="AA177" s="100" t="str">
        <f t="shared" si="42"/>
        <v>Четырехклапанные</v>
      </c>
      <c r="AB177" s="16">
        <v>1.73</v>
      </c>
      <c r="AC177" s="100" t="str">
        <f t="shared" si="43"/>
        <v>10-14 литров</v>
      </c>
    </row>
    <row r="178" spans="1:29" x14ac:dyDescent="0.3">
      <c r="A178" s="53">
        <v>0.28000000000000003</v>
      </c>
      <c r="B178" s="59">
        <f t="shared" si="44"/>
        <v>0.33600000000000002</v>
      </c>
      <c r="C178" s="108">
        <v>178</v>
      </c>
      <c r="D178" s="115" t="s">
        <v>27</v>
      </c>
      <c r="E178" s="87" t="s">
        <v>484</v>
      </c>
      <c r="G178" s="82" t="s">
        <v>18</v>
      </c>
      <c r="H178" s="89" t="s">
        <v>1</v>
      </c>
      <c r="I178" s="82" t="s">
        <v>21</v>
      </c>
      <c r="J178" s="82" t="s">
        <v>1</v>
      </c>
      <c r="K178" s="115" t="s">
        <v>485</v>
      </c>
      <c r="N178" s="171">
        <f t="shared" si="34"/>
        <v>1</v>
      </c>
      <c r="O178" s="74">
        <f t="shared" si="49"/>
        <v>2.94</v>
      </c>
      <c r="P178" s="160" t="str">
        <f t="shared" si="35"/>
        <v>2-2,9 литра</v>
      </c>
      <c r="Q178" s="101" t="str">
        <f t="shared" si="48"/>
        <v>2-3 л</v>
      </c>
      <c r="R178" s="153">
        <f t="shared" si="36"/>
        <v>210</v>
      </c>
      <c r="S178" s="153">
        <f t="shared" si="37"/>
        <v>70</v>
      </c>
      <c r="T178" s="153">
        <f t="shared" si="38"/>
        <v>200</v>
      </c>
      <c r="U178" s="16">
        <f t="shared" si="39"/>
        <v>0.17236000000000001</v>
      </c>
      <c r="V178" s="16" t="str">
        <f t="shared" si="40"/>
        <v/>
      </c>
      <c r="W178" s="16" t="str">
        <f t="shared" si="41"/>
        <v>Плоские</v>
      </c>
      <c r="X178" s="159" t="str">
        <f t="shared" si="45"/>
        <v>200-299 мм</v>
      </c>
      <c r="Y178" s="159" t="str">
        <f t="shared" si="46"/>
        <v>200-299 мм</v>
      </c>
      <c r="Z178" s="159" t="str">
        <f t="shared" si="47"/>
        <v>10-99 мм</v>
      </c>
      <c r="AA178" s="100" t="str">
        <f t="shared" si="42"/>
        <v>Четырехклапанные</v>
      </c>
      <c r="AB178" s="16">
        <v>1.73</v>
      </c>
      <c r="AC178" s="100" t="str">
        <f t="shared" si="43"/>
        <v>2-3 литра</v>
      </c>
    </row>
    <row r="179" spans="1:29" x14ac:dyDescent="0.3">
      <c r="A179" s="53">
        <v>0.53</v>
      </c>
      <c r="B179" s="59">
        <f t="shared" si="44"/>
        <v>0.63600000000000001</v>
      </c>
      <c r="C179" s="108">
        <v>179</v>
      </c>
      <c r="D179" s="115" t="s">
        <v>27</v>
      </c>
      <c r="E179" s="87" t="s">
        <v>486</v>
      </c>
      <c r="G179" s="82" t="s">
        <v>18</v>
      </c>
      <c r="H179" s="89" t="s">
        <v>1</v>
      </c>
      <c r="I179" s="82" t="s">
        <v>21</v>
      </c>
      <c r="J179" s="82" t="s">
        <v>1</v>
      </c>
      <c r="K179" s="115" t="s">
        <v>487</v>
      </c>
      <c r="N179" s="171">
        <f t="shared" si="34"/>
        <v>1</v>
      </c>
      <c r="O179" s="74">
        <f t="shared" si="49"/>
        <v>5.55</v>
      </c>
      <c r="P179" s="160" t="str">
        <f t="shared" si="35"/>
        <v>4-5,9 литра</v>
      </c>
      <c r="Q179" s="101" t="str">
        <f t="shared" si="48"/>
        <v>5-10 л</v>
      </c>
      <c r="R179" s="153">
        <f t="shared" si="36"/>
        <v>215</v>
      </c>
      <c r="S179" s="153">
        <f t="shared" si="37"/>
        <v>215</v>
      </c>
      <c r="T179" s="153">
        <f t="shared" si="38"/>
        <v>120</v>
      </c>
      <c r="U179" s="16">
        <f t="shared" si="39"/>
        <v>0.31556000000000001</v>
      </c>
      <c r="V179" s="16" t="str">
        <f t="shared" si="40"/>
        <v/>
      </c>
      <c r="W179" s="16" t="str">
        <f t="shared" si="41"/>
        <v/>
      </c>
      <c r="X179" s="159" t="str">
        <f t="shared" si="45"/>
        <v>200-299 мм</v>
      </c>
      <c r="Y179" s="159" t="str">
        <f t="shared" si="46"/>
        <v>200-299 мм</v>
      </c>
      <c r="Z179" s="159" t="str">
        <f t="shared" si="47"/>
        <v>100-199 мм</v>
      </c>
      <c r="AA179" s="100" t="str">
        <f t="shared" si="42"/>
        <v>Четырехклапанные</v>
      </c>
      <c r="AB179" s="16">
        <v>1.73</v>
      </c>
      <c r="AC179" s="100" t="str">
        <f t="shared" si="43"/>
        <v>6-7 литра</v>
      </c>
    </row>
    <row r="180" spans="1:29" x14ac:dyDescent="0.3">
      <c r="A180" s="53">
        <v>0.43</v>
      </c>
      <c r="B180" s="59">
        <f t="shared" si="44"/>
        <v>0.51600000000000001</v>
      </c>
      <c r="C180" s="108">
        <v>180</v>
      </c>
      <c r="D180" s="115" t="s">
        <v>27</v>
      </c>
      <c r="E180" s="87" t="s">
        <v>488</v>
      </c>
      <c r="G180" s="82" t="s">
        <v>18</v>
      </c>
      <c r="H180" s="89" t="s">
        <v>1</v>
      </c>
      <c r="I180" s="82" t="s">
        <v>21</v>
      </c>
      <c r="J180" s="82" t="s">
        <v>1</v>
      </c>
      <c r="K180" s="115" t="s">
        <v>489</v>
      </c>
      <c r="N180" s="171">
        <f t="shared" si="34"/>
        <v>1</v>
      </c>
      <c r="O180" s="74">
        <f t="shared" si="49"/>
        <v>5.54</v>
      </c>
      <c r="P180" s="160" t="str">
        <f t="shared" si="35"/>
        <v>4-5,9 литра</v>
      </c>
      <c r="Q180" s="101" t="str">
        <f t="shared" si="48"/>
        <v>5-10 л</v>
      </c>
      <c r="R180" s="153">
        <f t="shared" si="36"/>
        <v>180</v>
      </c>
      <c r="S180" s="153">
        <f t="shared" si="37"/>
        <v>140</v>
      </c>
      <c r="T180" s="153">
        <f t="shared" si="38"/>
        <v>220</v>
      </c>
      <c r="U180" s="16">
        <f t="shared" si="39"/>
        <v>0.2576</v>
      </c>
      <c r="V180" s="16" t="str">
        <f t="shared" si="40"/>
        <v/>
      </c>
      <c r="W180" s="16" t="str">
        <f t="shared" si="41"/>
        <v/>
      </c>
      <c r="X180" s="159" t="str">
        <f t="shared" si="45"/>
        <v>200-299 мм</v>
      </c>
      <c r="Y180" s="159" t="str">
        <f t="shared" si="46"/>
        <v>100-199 мм</v>
      </c>
      <c r="Z180" s="159" t="str">
        <f t="shared" si="47"/>
        <v>100-199 мм</v>
      </c>
      <c r="AA180" s="100" t="str">
        <f t="shared" si="42"/>
        <v>Четырехклапанные</v>
      </c>
      <c r="AB180" s="16">
        <v>1.73</v>
      </c>
      <c r="AC180" s="100" t="str">
        <f t="shared" si="43"/>
        <v>6-7 литра</v>
      </c>
    </row>
    <row r="181" spans="1:29" x14ac:dyDescent="0.3">
      <c r="A181" s="53">
        <v>0.77</v>
      </c>
      <c r="B181" s="59">
        <f t="shared" si="44"/>
        <v>0.92399999999999993</v>
      </c>
      <c r="C181" s="108">
        <v>181</v>
      </c>
      <c r="D181" s="115" t="s">
        <v>27</v>
      </c>
      <c r="E181" s="87" t="s">
        <v>490</v>
      </c>
      <c r="G181" s="82" t="s">
        <v>18</v>
      </c>
      <c r="H181" s="89" t="s">
        <v>1</v>
      </c>
      <c r="I181" s="82" t="s">
        <v>21</v>
      </c>
      <c r="J181" s="82" t="s">
        <v>1</v>
      </c>
      <c r="K181" s="115" t="s">
        <v>491</v>
      </c>
      <c r="N181" s="171">
        <f t="shared" si="34"/>
        <v>1</v>
      </c>
      <c r="O181" s="74">
        <f t="shared" si="49"/>
        <v>11.41</v>
      </c>
      <c r="P181" s="160" t="str">
        <f t="shared" si="35"/>
        <v>10-14,9 литров</v>
      </c>
      <c r="Q181" s="101" t="str">
        <f t="shared" si="48"/>
        <v>10-20 л</v>
      </c>
      <c r="R181" s="153">
        <f t="shared" si="36"/>
        <v>125</v>
      </c>
      <c r="S181" s="153">
        <f t="shared" si="37"/>
        <v>125</v>
      </c>
      <c r="T181" s="153">
        <f t="shared" si="38"/>
        <v>730</v>
      </c>
      <c r="U181" s="16">
        <f t="shared" si="39"/>
        <v>0.48327999999999999</v>
      </c>
      <c r="V181" s="16" t="str">
        <f t="shared" si="40"/>
        <v>Длинные</v>
      </c>
      <c r="W181" s="16" t="str">
        <f t="shared" si="41"/>
        <v/>
      </c>
      <c r="X181" s="159" t="str">
        <f t="shared" si="45"/>
        <v>700-999 мм</v>
      </c>
      <c r="Y181" s="159" t="str">
        <f t="shared" si="46"/>
        <v>100-199 мм</v>
      </c>
      <c r="Z181" s="159" t="str">
        <f t="shared" si="47"/>
        <v>100-199 мм</v>
      </c>
      <c r="AA181" s="100" t="str">
        <f t="shared" si="42"/>
        <v>Четырехклапанные</v>
      </c>
      <c r="AB181" s="16">
        <v>1.73</v>
      </c>
      <c r="AC181" s="100" t="str">
        <f t="shared" si="43"/>
        <v>10-14 литров</v>
      </c>
    </row>
    <row r="182" spans="1:29" x14ac:dyDescent="0.3">
      <c r="A182" s="53">
        <v>0.57999999999999996</v>
      </c>
      <c r="B182" s="59">
        <f t="shared" si="44"/>
        <v>0.69599999999999995</v>
      </c>
      <c r="C182" s="108">
        <v>182</v>
      </c>
      <c r="D182" s="115" t="s">
        <v>27</v>
      </c>
      <c r="E182" s="87" t="s">
        <v>492</v>
      </c>
      <c r="G182" s="82" t="s">
        <v>18</v>
      </c>
      <c r="H182" s="89" t="s">
        <v>1</v>
      </c>
      <c r="I182" s="82" t="s">
        <v>21</v>
      </c>
      <c r="J182" s="82" t="s">
        <v>1</v>
      </c>
      <c r="K182" s="115" t="s">
        <v>493</v>
      </c>
      <c r="N182" s="171">
        <f t="shared" si="34"/>
        <v>1</v>
      </c>
      <c r="O182" s="74">
        <f t="shared" si="49"/>
        <v>8.08</v>
      </c>
      <c r="P182" s="160" t="str">
        <f t="shared" si="35"/>
        <v>8-9,9 литров</v>
      </c>
      <c r="Q182" s="101" t="str">
        <f t="shared" si="48"/>
        <v>5-10 л</v>
      </c>
      <c r="R182" s="153">
        <f t="shared" si="36"/>
        <v>250</v>
      </c>
      <c r="S182" s="153">
        <f t="shared" si="37"/>
        <v>190</v>
      </c>
      <c r="T182" s="153">
        <f t="shared" si="38"/>
        <v>170</v>
      </c>
      <c r="U182" s="16">
        <f t="shared" si="39"/>
        <v>0.34592000000000001</v>
      </c>
      <c r="V182" s="16" t="str">
        <f t="shared" si="40"/>
        <v/>
      </c>
      <c r="W182" s="16" t="str">
        <f t="shared" si="41"/>
        <v/>
      </c>
      <c r="X182" s="159" t="str">
        <f t="shared" si="45"/>
        <v>200-299 мм</v>
      </c>
      <c r="Y182" s="159" t="str">
        <f t="shared" si="46"/>
        <v>100-199 мм</v>
      </c>
      <c r="Z182" s="159" t="str">
        <f t="shared" si="47"/>
        <v>100-199 мм</v>
      </c>
      <c r="AA182" s="100" t="str">
        <f t="shared" si="42"/>
        <v>Четырехклапанные</v>
      </c>
      <c r="AB182" s="16">
        <v>1.73</v>
      </c>
      <c r="AC182" s="100" t="str">
        <f t="shared" si="43"/>
        <v>8-9 литров</v>
      </c>
    </row>
    <row r="183" spans="1:29" x14ac:dyDescent="0.3">
      <c r="A183" s="53">
        <v>0.09</v>
      </c>
      <c r="B183" s="59">
        <f t="shared" si="44"/>
        <v>0.108</v>
      </c>
      <c r="C183" s="108">
        <v>183</v>
      </c>
      <c r="D183" s="115" t="s">
        <v>27</v>
      </c>
      <c r="E183" s="87" t="s">
        <v>494</v>
      </c>
      <c r="G183" s="82" t="s">
        <v>18</v>
      </c>
      <c r="H183" s="89" t="s">
        <v>1</v>
      </c>
      <c r="I183" s="82" t="s">
        <v>21</v>
      </c>
      <c r="J183" s="82" t="s">
        <v>1</v>
      </c>
      <c r="K183" s="115" t="s">
        <v>495</v>
      </c>
      <c r="N183" s="171">
        <f t="shared" si="34"/>
        <v>1</v>
      </c>
      <c r="O183" s="74">
        <f t="shared" si="49"/>
        <v>0.47</v>
      </c>
      <c r="P183" s="160" t="str">
        <f t="shared" si="35"/>
        <v>0,1-0,9 литров</v>
      </c>
      <c r="Q183" s="101" t="str">
        <f t="shared" si="48"/>
        <v>&lt;1 л</v>
      </c>
      <c r="R183" s="153">
        <f t="shared" si="36"/>
        <v>72</v>
      </c>
      <c r="S183" s="153">
        <f t="shared" si="37"/>
        <v>72</v>
      </c>
      <c r="T183" s="153">
        <f t="shared" si="38"/>
        <v>90</v>
      </c>
      <c r="U183" s="16">
        <f t="shared" si="39"/>
        <v>5.9159999999999997E-2</v>
      </c>
      <c r="V183" s="16" t="str">
        <f t="shared" si="40"/>
        <v/>
      </c>
      <c r="W183" s="16" t="str">
        <f t="shared" si="41"/>
        <v/>
      </c>
      <c r="X183" s="159" t="str">
        <f t="shared" si="45"/>
        <v>10-99 мм</v>
      </c>
      <c r="Y183" s="159" t="str">
        <f t="shared" si="46"/>
        <v>10-99 мм</v>
      </c>
      <c r="Z183" s="159" t="str">
        <f t="shared" si="47"/>
        <v>10-99 мм</v>
      </c>
      <c r="AA183" s="100" t="str">
        <f t="shared" si="42"/>
        <v>Четырехклапанные</v>
      </c>
      <c r="AB183" s="16">
        <v>1.73</v>
      </c>
      <c r="AC183" s="100" t="str">
        <f t="shared" si="43"/>
        <v>0-1 литров</v>
      </c>
    </row>
    <row r="184" spans="1:29" x14ac:dyDescent="0.3">
      <c r="A184" s="53">
        <v>1.08</v>
      </c>
      <c r="B184" s="59">
        <f t="shared" si="44"/>
        <v>1.296</v>
      </c>
      <c r="C184" s="108">
        <v>184</v>
      </c>
      <c r="D184" s="115" t="s">
        <v>27</v>
      </c>
      <c r="E184" s="87" t="s">
        <v>496</v>
      </c>
      <c r="G184" s="82" t="s">
        <v>18</v>
      </c>
      <c r="H184" s="89" t="s">
        <v>1</v>
      </c>
      <c r="I184" s="82" t="s">
        <v>21</v>
      </c>
      <c r="J184" s="82" t="s">
        <v>1</v>
      </c>
      <c r="K184" s="115" t="s">
        <v>497</v>
      </c>
      <c r="N184" s="171">
        <f t="shared" si="34"/>
        <v>1</v>
      </c>
      <c r="O184" s="74">
        <f t="shared" si="49"/>
        <v>18</v>
      </c>
      <c r="P184" s="160" t="str">
        <f t="shared" si="35"/>
        <v>15-19,9 литров</v>
      </c>
      <c r="Q184" s="101" t="str">
        <f t="shared" si="48"/>
        <v>10-20 л</v>
      </c>
      <c r="R184" s="153">
        <f t="shared" si="36"/>
        <v>300</v>
      </c>
      <c r="S184" s="153">
        <f t="shared" si="37"/>
        <v>300</v>
      </c>
      <c r="T184" s="153">
        <f t="shared" si="38"/>
        <v>200</v>
      </c>
      <c r="U184" s="16">
        <f t="shared" si="39"/>
        <v>0.64007999999999998</v>
      </c>
      <c r="V184" s="16" t="str">
        <f t="shared" si="40"/>
        <v/>
      </c>
      <c r="W184" s="16" t="str">
        <f t="shared" si="41"/>
        <v/>
      </c>
      <c r="X184" s="159" t="str">
        <f t="shared" si="45"/>
        <v>300-399 мм</v>
      </c>
      <c r="Y184" s="159" t="str">
        <f t="shared" si="46"/>
        <v>300-399 мм</v>
      </c>
      <c r="Z184" s="159" t="str">
        <f t="shared" si="47"/>
        <v>200-299 мм</v>
      </c>
      <c r="AA184" s="100" t="str">
        <f t="shared" si="42"/>
        <v>Четырехклапанные</v>
      </c>
      <c r="AB184" s="16">
        <v>1.73</v>
      </c>
      <c r="AC184" s="100" t="str">
        <f t="shared" si="43"/>
        <v>15-19 литров</v>
      </c>
    </row>
    <row r="185" spans="1:29" x14ac:dyDescent="0.3">
      <c r="A185" s="53">
        <v>0.73</v>
      </c>
      <c r="B185" s="59">
        <f t="shared" si="44"/>
        <v>0.876</v>
      </c>
      <c r="C185" s="108">
        <v>185</v>
      </c>
      <c r="D185" s="115" t="s">
        <v>27</v>
      </c>
      <c r="E185" s="87" t="s">
        <v>498</v>
      </c>
      <c r="G185" s="82" t="s">
        <v>18</v>
      </c>
      <c r="H185" s="89" t="s">
        <v>1</v>
      </c>
      <c r="I185" s="82" t="s">
        <v>21</v>
      </c>
      <c r="J185" s="82" t="s">
        <v>1</v>
      </c>
      <c r="K185" s="115" t="s">
        <v>499</v>
      </c>
      <c r="N185" s="171">
        <f t="shared" si="34"/>
        <v>1</v>
      </c>
      <c r="O185" s="74">
        <f t="shared" si="49"/>
        <v>12</v>
      </c>
      <c r="P185" s="160" t="str">
        <f t="shared" si="35"/>
        <v>10-14,9 литров</v>
      </c>
      <c r="Q185" s="101" t="str">
        <f t="shared" si="48"/>
        <v>10-20 л</v>
      </c>
      <c r="R185" s="153">
        <f t="shared" si="36"/>
        <v>300</v>
      </c>
      <c r="S185" s="153">
        <f t="shared" si="37"/>
        <v>200</v>
      </c>
      <c r="T185" s="153">
        <f t="shared" si="38"/>
        <v>200</v>
      </c>
      <c r="U185" s="16">
        <f t="shared" si="39"/>
        <v>0.43247999999999998</v>
      </c>
      <c r="V185" s="16" t="str">
        <f t="shared" si="40"/>
        <v/>
      </c>
      <c r="W185" s="16" t="str">
        <f t="shared" si="41"/>
        <v/>
      </c>
      <c r="X185" s="159" t="str">
        <f t="shared" si="45"/>
        <v>300-399 мм</v>
      </c>
      <c r="Y185" s="159" t="str">
        <f t="shared" si="46"/>
        <v>200-299 мм</v>
      </c>
      <c r="Z185" s="159" t="str">
        <f t="shared" si="47"/>
        <v>200-299 мм</v>
      </c>
      <c r="AA185" s="100" t="str">
        <f t="shared" si="42"/>
        <v>Четырехклапанные</v>
      </c>
      <c r="AB185" s="16">
        <v>1.73</v>
      </c>
      <c r="AC185" s="100" t="str">
        <f t="shared" si="43"/>
        <v>10-14 литров</v>
      </c>
    </row>
    <row r="186" spans="1:29" x14ac:dyDescent="0.3">
      <c r="A186" s="53">
        <v>0.87</v>
      </c>
      <c r="B186" s="59">
        <f t="shared" si="44"/>
        <v>1.044</v>
      </c>
      <c r="C186" s="108">
        <v>186</v>
      </c>
      <c r="D186" s="115" t="s">
        <v>27</v>
      </c>
      <c r="E186" s="87" t="s">
        <v>500</v>
      </c>
      <c r="G186" s="82" t="s">
        <v>18</v>
      </c>
      <c r="H186" s="89" t="s">
        <v>1</v>
      </c>
      <c r="I186" s="82" t="s">
        <v>21</v>
      </c>
      <c r="J186" s="82" t="s">
        <v>1</v>
      </c>
      <c r="K186" s="115" t="s">
        <v>501</v>
      </c>
      <c r="N186" s="171">
        <f t="shared" si="34"/>
        <v>1</v>
      </c>
      <c r="O186" s="74">
        <f t="shared" si="49"/>
        <v>16</v>
      </c>
      <c r="P186" s="160" t="str">
        <f t="shared" si="35"/>
        <v>15-19,9 литров</v>
      </c>
      <c r="Q186" s="101" t="str">
        <f t="shared" si="48"/>
        <v>10-20 л</v>
      </c>
      <c r="R186" s="153">
        <f t="shared" si="36"/>
        <v>400</v>
      </c>
      <c r="S186" s="153">
        <f t="shared" si="37"/>
        <v>200</v>
      </c>
      <c r="T186" s="153">
        <f t="shared" si="38"/>
        <v>200</v>
      </c>
      <c r="U186" s="16">
        <f t="shared" si="39"/>
        <v>0.51407999999999998</v>
      </c>
      <c r="V186" s="16" t="str">
        <f t="shared" si="40"/>
        <v>Длинные</v>
      </c>
      <c r="W186" s="16" t="str">
        <f t="shared" si="41"/>
        <v/>
      </c>
      <c r="X186" s="159" t="str">
        <f t="shared" si="45"/>
        <v>400-499 мм</v>
      </c>
      <c r="Y186" s="159" t="str">
        <f t="shared" si="46"/>
        <v>200-299 мм</v>
      </c>
      <c r="Z186" s="159" t="str">
        <f t="shared" si="47"/>
        <v>200-299 мм</v>
      </c>
      <c r="AA186" s="100" t="str">
        <f t="shared" si="42"/>
        <v>Четырехклапанные</v>
      </c>
      <c r="AB186" s="16">
        <v>1.73</v>
      </c>
      <c r="AC186" s="100" t="str">
        <f t="shared" si="43"/>
        <v>15-19 литров</v>
      </c>
    </row>
    <row r="187" spans="1:29" x14ac:dyDescent="0.3">
      <c r="A187" s="53">
        <v>0.59</v>
      </c>
      <c r="B187" s="59">
        <f t="shared" si="44"/>
        <v>0.70799999999999996</v>
      </c>
      <c r="C187" s="108">
        <v>187</v>
      </c>
      <c r="D187" s="115" t="s">
        <v>27</v>
      </c>
      <c r="E187" s="87" t="s">
        <v>502</v>
      </c>
      <c r="G187" s="82" t="s">
        <v>18</v>
      </c>
      <c r="H187" s="89" t="s">
        <v>1</v>
      </c>
      <c r="I187" s="82" t="s">
        <v>21</v>
      </c>
      <c r="J187" s="82" t="s">
        <v>1</v>
      </c>
      <c r="K187" s="115" t="s">
        <v>503</v>
      </c>
      <c r="N187" s="171">
        <f t="shared" si="34"/>
        <v>1</v>
      </c>
      <c r="O187" s="74">
        <f t="shared" si="49"/>
        <v>8</v>
      </c>
      <c r="P187" s="160" t="str">
        <f t="shared" si="35"/>
        <v>8-9,9 литров</v>
      </c>
      <c r="Q187" s="101" t="str">
        <f t="shared" si="48"/>
        <v>5-10 л</v>
      </c>
      <c r="R187" s="153">
        <f t="shared" si="36"/>
        <v>200</v>
      </c>
      <c r="S187" s="153">
        <f t="shared" si="37"/>
        <v>200</v>
      </c>
      <c r="T187" s="153">
        <f t="shared" si="38"/>
        <v>200</v>
      </c>
      <c r="U187" s="16">
        <f t="shared" si="39"/>
        <v>0.35088000000000003</v>
      </c>
      <c r="V187" s="16" t="str">
        <f t="shared" si="40"/>
        <v/>
      </c>
      <c r="W187" s="16" t="str">
        <f t="shared" si="41"/>
        <v/>
      </c>
      <c r="X187" s="159" t="str">
        <f t="shared" si="45"/>
        <v>200-299 мм</v>
      </c>
      <c r="Y187" s="159" t="str">
        <f t="shared" si="46"/>
        <v>200-299 мм</v>
      </c>
      <c r="Z187" s="159" t="str">
        <f t="shared" si="47"/>
        <v>200-299 мм</v>
      </c>
      <c r="AA187" s="100" t="str">
        <f t="shared" si="42"/>
        <v>Четырехклапанные</v>
      </c>
      <c r="AB187" s="16">
        <v>1.73</v>
      </c>
      <c r="AC187" s="100" t="str">
        <f t="shared" si="43"/>
        <v>8-9 литров</v>
      </c>
    </row>
    <row r="188" spans="1:29" x14ac:dyDescent="0.3">
      <c r="A188" s="53">
        <v>1.71</v>
      </c>
      <c r="B188" s="59">
        <f t="shared" si="44"/>
        <v>2.052</v>
      </c>
      <c r="C188" s="108">
        <v>188</v>
      </c>
      <c r="D188" s="115" t="s">
        <v>27</v>
      </c>
      <c r="E188" s="87" t="s">
        <v>504</v>
      </c>
      <c r="G188" s="82" t="s">
        <v>18</v>
      </c>
      <c r="H188" s="89" t="s">
        <v>1</v>
      </c>
      <c r="I188" s="82" t="s">
        <v>21</v>
      </c>
      <c r="J188" s="82" t="s">
        <v>1</v>
      </c>
      <c r="K188" s="115" t="s">
        <v>505</v>
      </c>
      <c r="N188" s="171">
        <f t="shared" si="34"/>
        <v>1</v>
      </c>
      <c r="O188" s="74">
        <f t="shared" si="49"/>
        <v>45</v>
      </c>
      <c r="P188" s="160" t="str">
        <f t="shared" si="35"/>
        <v>30-49 литров</v>
      </c>
      <c r="Q188" s="101" t="str">
        <f t="shared" si="48"/>
        <v>20-50 л</v>
      </c>
      <c r="R188" s="153">
        <f t="shared" si="36"/>
        <v>500</v>
      </c>
      <c r="S188" s="153">
        <f t="shared" si="37"/>
        <v>300</v>
      </c>
      <c r="T188" s="153">
        <f t="shared" si="38"/>
        <v>300</v>
      </c>
      <c r="U188" s="16">
        <f t="shared" si="39"/>
        <v>1.00928</v>
      </c>
      <c r="V188" s="16" t="str">
        <f t="shared" si="40"/>
        <v/>
      </c>
      <c r="W188" s="16" t="str">
        <f t="shared" si="41"/>
        <v/>
      </c>
      <c r="X188" s="159" t="str">
        <f t="shared" si="45"/>
        <v>500-599 мм</v>
      </c>
      <c r="Y188" s="159" t="str">
        <f t="shared" si="46"/>
        <v>300-399 мм</v>
      </c>
      <c r="Z188" s="159" t="str">
        <f t="shared" si="47"/>
        <v>300-399 мм</v>
      </c>
      <c r="AA188" s="100" t="str">
        <f t="shared" si="42"/>
        <v>Четырехклапанные</v>
      </c>
      <c r="AB188" s="16">
        <v>1.73</v>
      </c>
      <c r="AC188" s="100" t="str">
        <f t="shared" si="43"/>
        <v>30-49 литров</v>
      </c>
    </row>
    <row r="189" spans="1:29" x14ac:dyDescent="0.3">
      <c r="A189" s="53">
        <v>1.26</v>
      </c>
      <c r="B189" s="59">
        <f t="shared" si="44"/>
        <v>1.512</v>
      </c>
      <c r="C189" s="108">
        <v>189</v>
      </c>
      <c r="D189" s="115" t="s">
        <v>27</v>
      </c>
      <c r="E189" s="87" t="s">
        <v>506</v>
      </c>
      <c r="G189" s="82" t="s">
        <v>18</v>
      </c>
      <c r="H189" s="89" t="s">
        <v>1</v>
      </c>
      <c r="I189" s="82" t="s">
        <v>21</v>
      </c>
      <c r="J189" s="82" t="s">
        <v>1</v>
      </c>
      <c r="K189" s="115" t="s">
        <v>507</v>
      </c>
      <c r="N189" s="171">
        <f t="shared" si="34"/>
        <v>1</v>
      </c>
      <c r="O189" s="74">
        <f t="shared" si="49"/>
        <v>24</v>
      </c>
      <c r="P189" s="160" t="str">
        <f t="shared" si="35"/>
        <v>20-29 литров</v>
      </c>
      <c r="Q189" s="101" t="str">
        <f t="shared" si="48"/>
        <v>20-50 л</v>
      </c>
      <c r="R189" s="153">
        <f t="shared" si="36"/>
        <v>400</v>
      </c>
      <c r="S189" s="153">
        <f t="shared" si="37"/>
        <v>300</v>
      </c>
      <c r="T189" s="153">
        <f t="shared" si="38"/>
        <v>200</v>
      </c>
      <c r="U189" s="16">
        <f t="shared" si="39"/>
        <v>0.74168000000000001</v>
      </c>
      <c r="V189" s="16" t="str">
        <f t="shared" si="40"/>
        <v/>
      </c>
      <c r="W189" s="16" t="str">
        <f t="shared" si="41"/>
        <v/>
      </c>
      <c r="X189" s="159" t="str">
        <f t="shared" si="45"/>
        <v>400-499 мм</v>
      </c>
      <c r="Y189" s="159" t="str">
        <f t="shared" si="46"/>
        <v>300-399 мм</v>
      </c>
      <c r="Z189" s="159" t="str">
        <f t="shared" si="47"/>
        <v>200-299 мм</v>
      </c>
      <c r="AA189" s="100" t="str">
        <f t="shared" si="42"/>
        <v>Четырехклапанные</v>
      </c>
      <c r="AB189" s="16">
        <v>1.73</v>
      </c>
      <c r="AC189" s="100" t="str">
        <f t="shared" si="43"/>
        <v>20-29 литров</v>
      </c>
    </row>
    <row r="190" spans="1:29" x14ac:dyDescent="0.3">
      <c r="A190" s="53">
        <v>0.31</v>
      </c>
      <c r="B190" s="59">
        <f t="shared" si="44"/>
        <v>0.372</v>
      </c>
      <c r="C190" s="108">
        <v>190</v>
      </c>
      <c r="D190" s="115" t="s">
        <v>27</v>
      </c>
      <c r="E190" s="87" t="s">
        <v>508</v>
      </c>
      <c r="G190" s="82" t="s">
        <v>18</v>
      </c>
      <c r="H190" s="89" t="s">
        <v>1</v>
      </c>
      <c r="I190" s="82" t="s">
        <v>21</v>
      </c>
      <c r="J190" s="82" t="s">
        <v>1</v>
      </c>
      <c r="K190" s="115" t="s">
        <v>509</v>
      </c>
      <c r="N190" s="171">
        <f t="shared" si="34"/>
        <v>1</v>
      </c>
      <c r="O190" s="74">
        <f t="shared" si="49"/>
        <v>3.13</v>
      </c>
      <c r="P190" s="160" t="str">
        <f t="shared" si="35"/>
        <v>3-3,9 литра</v>
      </c>
      <c r="Q190" s="101" t="str">
        <f t="shared" si="48"/>
        <v>3-5 л</v>
      </c>
      <c r="R190" s="153">
        <f t="shared" si="36"/>
        <v>125</v>
      </c>
      <c r="S190" s="153">
        <f t="shared" si="37"/>
        <v>125</v>
      </c>
      <c r="T190" s="153">
        <f t="shared" si="38"/>
        <v>200</v>
      </c>
      <c r="U190" s="16">
        <f t="shared" si="39"/>
        <v>0.18648000000000001</v>
      </c>
      <c r="V190" s="16" t="str">
        <f t="shared" si="40"/>
        <v/>
      </c>
      <c r="W190" s="16" t="str">
        <f t="shared" si="41"/>
        <v/>
      </c>
      <c r="X190" s="159" t="str">
        <f t="shared" si="45"/>
        <v>200-299 мм</v>
      </c>
      <c r="Y190" s="159" t="str">
        <f t="shared" si="46"/>
        <v>100-199 мм</v>
      </c>
      <c r="Z190" s="159" t="str">
        <f t="shared" si="47"/>
        <v>100-199 мм</v>
      </c>
      <c r="AA190" s="100" t="str">
        <f t="shared" si="42"/>
        <v>Четырехклапанные</v>
      </c>
      <c r="AB190" s="16">
        <v>1.73</v>
      </c>
      <c r="AC190" s="100" t="str">
        <f t="shared" si="43"/>
        <v>4-5 литра</v>
      </c>
    </row>
    <row r="191" spans="1:29" x14ac:dyDescent="0.3">
      <c r="A191" s="53">
        <v>0.39</v>
      </c>
      <c r="B191" s="59">
        <f t="shared" si="44"/>
        <v>0.46799999999999997</v>
      </c>
      <c r="C191" s="108">
        <v>191</v>
      </c>
      <c r="D191" s="115" t="s">
        <v>27</v>
      </c>
      <c r="E191" s="87" t="s">
        <v>510</v>
      </c>
      <c r="G191" s="82" t="s">
        <v>18</v>
      </c>
      <c r="H191" s="89" t="s">
        <v>1</v>
      </c>
      <c r="I191" s="82" t="s">
        <v>21</v>
      </c>
      <c r="J191" s="82" t="s">
        <v>1</v>
      </c>
      <c r="K191" s="115" t="s">
        <v>511</v>
      </c>
      <c r="N191" s="171">
        <f t="shared" si="34"/>
        <v>1</v>
      </c>
      <c r="O191" s="74">
        <f t="shared" si="49"/>
        <v>4.5</v>
      </c>
      <c r="P191" s="160" t="str">
        <f t="shared" si="35"/>
        <v>4-5,9 литра</v>
      </c>
      <c r="Q191" s="101" t="str">
        <f t="shared" si="48"/>
        <v>3-5 л</v>
      </c>
      <c r="R191" s="153">
        <f t="shared" si="36"/>
        <v>150</v>
      </c>
      <c r="S191" s="153">
        <f t="shared" si="37"/>
        <v>150</v>
      </c>
      <c r="T191" s="153">
        <f t="shared" si="38"/>
        <v>200</v>
      </c>
      <c r="U191" s="16">
        <f t="shared" si="39"/>
        <v>0.23627999999999999</v>
      </c>
      <c r="V191" s="16" t="str">
        <f t="shared" si="40"/>
        <v/>
      </c>
      <c r="W191" s="16" t="str">
        <f t="shared" si="41"/>
        <v/>
      </c>
      <c r="X191" s="159" t="str">
        <f t="shared" si="45"/>
        <v>200-299 мм</v>
      </c>
      <c r="Y191" s="159" t="str">
        <f t="shared" si="46"/>
        <v>100-199 мм</v>
      </c>
      <c r="Z191" s="159" t="str">
        <f t="shared" si="47"/>
        <v>100-199 мм</v>
      </c>
      <c r="AA191" s="100" t="str">
        <f t="shared" si="42"/>
        <v>Четырехклапанные</v>
      </c>
      <c r="AB191" s="16">
        <v>1.73</v>
      </c>
      <c r="AC191" s="100" t="str">
        <f t="shared" si="43"/>
        <v>4-5 литра</v>
      </c>
    </row>
    <row r="192" spans="1:29" x14ac:dyDescent="0.3">
      <c r="A192" s="53">
        <v>0.21</v>
      </c>
      <c r="B192" s="59">
        <f t="shared" si="44"/>
        <v>0.252</v>
      </c>
      <c r="C192" s="108">
        <v>192</v>
      </c>
      <c r="D192" s="115" t="s">
        <v>27</v>
      </c>
      <c r="E192" s="87" t="s">
        <v>512</v>
      </c>
      <c r="G192" s="82" t="s">
        <v>18</v>
      </c>
      <c r="H192" s="89" t="s">
        <v>1</v>
      </c>
      <c r="I192" s="82" t="s">
        <v>21</v>
      </c>
      <c r="J192" s="82" t="s">
        <v>1</v>
      </c>
      <c r="K192" s="115" t="s">
        <v>513</v>
      </c>
      <c r="N192" s="171">
        <f t="shared" si="34"/>
        <v>1</v>
      </c>
      <c r="O192" s="74">
        <f t="shared" si="49"/>
        <v>1.46</v>
      </c>
      <c r="P192" s="160" t="str">
        <f t="shared" si="35"/>
        <v>1-1,9 литра</v>
      </c>
      <c r="Q192" s="101" t="str">
        <f t="shared" si="48"/>
        <v>1-2 л</v>
      </c>
      <c r="R192" s="153">
        <f t="shared" si="36"/>
        <v>190</v>
      </c>
      <c r="S192" s="153">
        <f t="shared" si="37"/>
        <v>110</v>
      </c>
      <c r="T192" s="153">
        <f t="shared" si="38"/>
        <v>70</v>
      </c>
      <c r="U192" s="16">
        <f t="shared" si="39"/>
        <v>0.12408</v>
      </c>
      <c r="V192" s="16" t="str">
        <f t="shared" si="40"/>
        <v/>
      </c>
      <c r="W192" s="16" t="str">
        <f t="shared" si="41"/>
        <v/>
      </c>
      <c r="X192" s="159" t="str">
        <f t="shared" si="45"/>
        <v>100-199 мм</v>
      </c>
      <c r="Y192" s="159" t="str">
        <f t="shared" si="46"/>
        <v>100-199 мм</v>
      </c>
      <c r="Z192" s="159" t="str">
        <f t="shared" si="47"/>
        <v>10-99 мм</v>
      </c>
      <c r="AA192" s="100" t="str">
        <f t="shared" si="42"/>
        <v>Четырехклапанные</v>
      </c>
      <c r="AB192" s="16">
        <v>1.73</v>
      </c>
      <c r="AC192" s="100" t="str">
        <f t="shared" si="43"/>
        <v>2-3 литра</v>
      </c>
    </row>
    <row r="193" spans="1:29" x14ac:dyDescent="0.3">
      <c r="A193" s="53">
        <v>0.26</v>
      </c>
      <c r="B193" s="59">
        <f t="shared" si="44"/>
        <v>0.312</v>
      </c>
      <c r="C193" s="108">
        <v>193</v>
      </c>
      <c r="D193" s="115" t="s">
        <v>27</v>
      </c>
      <c r="E193" s="87" t="s">
        <v>514</v>
      </c>
      <c r="F193" s="212" t="s">
        <v>515</v>
      </c>
      <c r="G193" s="82" t="s">
        <v>143</v>
      </c>
      <c r="H193" s="89" t="s">
        <v>1</v>
      </c>
      <c r="I193" s="82" t="s">
        <v>21</v>
      </c>
      <c r="J193" s="82" t="s">
        <v>1</v>
      </c>
      <c r="K193" s="115" t="s">
        <v>516</v>
      </c>
      <c r="L193" s="103" t="s">
        <v>870</v>
      </c>
      <c r="N193" s="171">
        <f t="shared" si="34"/>
        <v>1</v>
      </c>
      <c r="O193" s="74">
        <f t="shared" si="49"/>
        <v>0.72</v>
      </c>
      <c r="P193" s="160" t="str">
        <f t="shared" si="35"/>
        <v>0,1-0,9 литров</v>
      </c>
      <c r="Q193" s="101" t="str">
        <f t="shared" si="48"/>
        <v>&lt;1 л</v>
      </c>
      <c r="R193" s="153">
        <f t="shared" si="36"/>
        <v>110</v>
      </c>
      <c r="S193" s="153">
        <f t="shared" si="37"/>
        <v>50</v>
      </c>
      <c r="T193" s="153">
        <f t="shared" si="38"/>
        <v>130</v>
      </c>
      <c r="U193" s="16">
        <f t="shared" si="39"/>
        <v>7.1440000000000003E-2</v>
      </c>
      <c r="V193" s="16" t="str">
        <f t="shared" si="40"/>
        <v/>
      </c>
      <c r="W193" s="16" t="str">
        <f t="shared" si="41"/>
        <v>Плоские</v>
      </c>
      <c r="X193" s="159" t="str">
        <f t="shared" si="45"/>
        <v>100-199 мм</v>
      </c>
      <c r="Y193" s="159" t="str">
        <f t="shared" si="46"/>
        <v>100-199 мм</v>
      </c>
      <c r="Z193" s="159" t="str">
        <f t="shared" si="47"/>
        <v>10-99 мм</v>
      </c>
      <c r="AA193" s="100" t="str">
        <f t="shared" si="42"/>
        <v>Самосборные</v>
      </c>
      <c r="AB193" s="16">
        <v>1.73</v>
      </c>
      <c r="AC193" s="100" t="str">
        <f t="shared" si="43"/>
        <v>0-1 литров</v>
      </c>
    </row>
    <row r="194" spans="1:29" x14ac:dyDescent="0.3">
      <c r="A194" s="53">
        <v>0.34</v>
      </c>
      <c r="B194" s="59">
        <f t="shared" si="44"/>
        <v>0.40800000000000003</v>
      </c>
      <c r="C194" s="108">
        <v>194</v>
      </c>
      <c r="D194" s="115" t="s">
        <v>27</v>
      </c>
      <c r="E194" s="87" t="s">
        <v>517</v>
      </c>
      <c r="G194" s="82" t="s">
        <v>18</v>
      </c>
      <c r="H194" s="89" t="s">
        <v>1</v>
      </c>
      <c r="I194" s="82" t="s">
        <v>21</v>
      </c>
      <c r="J194" s="82" t="s">
        <v>1</v>
      </c>
      <c r="K194" s="115" t="s">
        <v>518</v>
      </c>
      <c r="N194" s="171">
        <f t="shared" ref="N194:N237" si="50">IF(D194="","",IF(LEFT(D194,1)="0",0,1))</f>
        <v>1</v>
      </c>
      <c r="O194" s="74">
        <f t="shared" si="49"/>
        <v>3.38</v>
      </c>
      <c r="P194" s="160" t="str">
        <f t="shared" ref="P194:P257" si="51">IF(O194="","",
IF(O194&lt;1,"0,1-0,9 литров",
IF(O194&lt;2,"1-1,9 литра",
IF(O194&lt;3,"2-2,9 литра",
IF(O194&lt;4,"3-3,9 литра",
IF(O194&lt;6,"4-5,9 литра",IF(O194&lt;8,"6-7,9 литра",IF(O194&lt;10,"8-9,9 литров",IF(O194&lt;15,"10-14,9 литров",IF(O194&lt;20,"15-19,9 литров",IF(O194&lt;30,"20-29 литров",IF(O194&lt;50,"30-49 литров",IF(O194&lt;60,"50-59 литров",IF(O194&lt;70,"60-69 литров",IF(O194&lt;80,"70-79 литров",IF(O194&lt;90,"80-89 литров",IF(O194&lt;100,"90-99 литров",IF(O194&lt;200,"100-200 литров","200+ литров"))))))))))))))))))</f>
        <v>3-3,9 литра</v>
      </c>
      <c r="Q194" s="101" t="str">
        <f t="shared" si="48"/>
        <v>3-5 л</v>
      </c>
      <c r="R194" s="153">
        <f t="shared" ref="R194:R257" si="52">IF(E194="","",--LEFT(E194,FIND("х",E194)-1))</f>
        <v>150</v>
      </c>
      <c r="S194" s="153">
        <f t="shared" ref="S194:S257" si="53">IF(E194="","",--MID(E194,FIND("х",E194)+1,FIND("х",E194,FIND("х",E194)+1)-FIND("х",E194)-1))</f>
        <v>150</v>
      </c>
      <c r="T194" s="153">
        <f t="shared" ref="T194:T257" si="54">IF(E194="","",--RIGHT(E194,LEN(E194)-FIND("х",E194,FIND("х",E194)+1)))</f>
        <v>150</v>
      </c>
      <c r="U194" s="16">
        <f t="shared" ref="U194:U257" si="55">(2*(R194+S194)+60)*(S194+T194+8)/1000000</f>
        <v>0.20327999999999999</v>
      </c>
      <c r="V194" s="16" t="str">
        <f t="shared" ref="V194:V257" si="56">IF(OR(AND(R194&gt;=2*S194,R194&gt;=2*T194),AND(S194&gt;=2*R194,S194&gt;=2*T194),AND(T194&gt;=2*R194,T194&gt;=2*S194)),"Длинные","")</f>
        <v/>
      </c>
      <c r="W194" s="16" t="str">
        <f t="shared" ref="W194:W257" si="57">IF(OR(AND(R194&lt;=S194/2,R194&lt;=T194/2),AND(S194&lt;=R194/2,S194&lt;=T194/2),AND(T194&lt;=R194/2,T194&lt;=S194/2)),"Плоские","")</f>
        <v/>
      </c>
      <c r="X194" s="159" t="str">
        <f t="shared" si="45"/>
        <v>100-199 мм</v>
      </c>
      <c r="Y194" s="159" t="str">
        <f t="shared" si="46"/>
        <v>100-199 мм</v>
      </c>
      <c r="Z194" s="159" t="str">
        <f t="shared" si="47"/>
        <v>100-199 мм</v>
      </c>
      <c r="AA194" s="100" t="str">
        <f t="shared" ref="AA194:AA257" si="58">IF(G194="","",IF(G194="Л","Лист гофрокартона",IF(G194="КД","Крышка-дно",IF(G194="С","Самосборные",IF(G194="Ч","Четырехклапанные",IF(G194="А","Архивные","Неизвестно"))))))</f>
        <v>Четырехклапанные</v>
      </c>
      <c r="AB194" s="16">
        <v>1.73</v>
      </c>
      <c r="AC194" s="100" t="str">
        <f t="shared" ref="AC194:AC257" si="59">IF(O194="","",IF(O194&lt;=1,"0-1 литров",IF(O194&lt;=3,"2-3 литра",IF(O194&lt;=5,"4-5 литра",IF(O194&lt;=7,"6-7 литра",IF(O194&lt;=9,"8-9 литров",IF(O194&lt;=14,"10-14 литров",IF(O194&lt;=19,"15-19 литров",IF(O194&lt;=29,"20-29 литров",IF(O194&lt;=49,"30-49 литров",IF(O194&lt;=59,"50-59 литров",IF(O194&lt;=70,"60-69 литров",IF(O194&lt;=79,"70-79 литров",IF(O194&lt;=89,"80-89 литров",IF(O194&lt;=99,"90-99 литров",IF(O194&lt;=200,"100-200 литров","200+ литров"))))))))))))))))</f>
        <v>4-5 литра</v>
      </c>
    </row>
    <row r="195" spans="1:29" x14ac:dyDescent="0.3">
      <c r="A195" s="53">
        <v>0.77</v>
      </c>
      <c r="B195" s="59">
        <f t="shared" ref="B195:B258" si="60">A195*1.2</f>
        <v>0.92399999999999993</v>
      </c>
      <c r="C195" s="108">
        <v>195</v>
      </c>
      <c r="D195" s="115" t="s">
        <v>27</v>
      </c>
      <c r="E195" s="87" t="s">
        <v>519</v>
      </c>
      <c r="G195" s="82" t="s">
        <v>18</v>
      </c>
      <c r="H195" s="89" t="s">
        <v>1</v>
      </c>
      <c r="I195" s="82" t="s">
        <v>21</v>
      </c>
      <c r="J195" s="82" t="s">
        <v>1</v>
      </c>
      <c r="K195" s="115" t="s">
        <v>520</v>
      </c>
      <c r="N195" s="171">
        <f t="shared" si="50"/>
        <v>1</v>
      </c>
      <c r="O195" s="74">
        <f t="shared" si="49"/>
        <v>5.68</v>
      </c>
      <c r="P195" s="160" t="str">
        <f t="shared" si="51"/>
        <v>4-5,9 литра</v>
      </c>
      <c r="Q195" s="101" t="str">
        <f t="shared" si="48"/>
        <v>5-10 л</v>
      </c>
      <c r="R195" s="153">
        <f t="shared" si="52"/>
        <v>1135</v>
      </c>
      <c r="S195" s="153">
        <f t="shared" si="53"/>
        <v>100</v>
      </c>
      <c r="T195" s="153">
        <f t="shared" si="54"/>
        <v>50</v>
      </c>
      <c r="U195" s="16">
        <f t="shared" si="55"/>
        <v>0.39973999999999998</v>
      </c>
      <c r="V195" s="16" t="str">
        <f t="shared" si="56"/>
        <v>Длинные</v>
      </c>
      <c r="W195" s="16" t="str">
        <f t="shared" si="57"/>
        <v>Плоские</v>
      </c>
      <c r="X195" s="159" t="str">
        <f t="shared" ref="X195:X258" si="61">IF(LARGE($R195:$T195,1)="","",IF(LARGE($R195:$T195,1)&lt;=99,"10-99 мм",IF(LARGE($R195:$T195,1)&lt;=199,"100-199 мм",IF(LARGE($R195:$T195,1)&lt;=299,"200-299 мм",IF(LARGE($R195:$T195,1)&lt;=399,"300-399 мм",IF(LARGE($R195:$T195,1)&lt;=499,"400-499 мм",IF(LARGE($R195:$T195,1)&lt;=599,"500-599 мм",IF(LARGE($R195:$T195,1)&lt;=699,"600-699 мм",IF(LARGE($R195:$T195,1)&lt;=999,"700-999 мм","1000+ мм")))))))))</f>
        <v>1000+ мм</v>
      </c>
      <c r="Y195" s="159" t="str">
        <f t="shared" ref="Y195:Y258" si="62">IF(LARGE($R195:$T195,2)="","",IF(LARGE($R195:$T195,2)&lt;=99,"10-99 мм",IF(LARGE($R195:$T195,2)&lt;=199,"100-199 мм",IF(LARGE($R195:$T195,2)&lt;=299,"200-299 мм",IF(LARGE($R195:$T195,2)&lt;=399,"300-399 мм",IF(LARGE($R195:$T195,2)&lt;=499,"400-499 мм",IF(LARGE($R195:$T195,2)&lt;=599,"500-599 мм",IF(LARGE($R195:$T195,2)&lt;=699,"600-699 мм",IF(LARGE($R195:$T195,2)&lt;=999,"700-999 мм","1000+ мм")))))))))</f>
        <v>100-199 мм</v>
      </c>
      <c r="Z195" s="159" t="str">
        <f t="shared" ref="Z195:Z258" si="63">IF(SMALL($R195:$T195,1)="","",IF(SMALL($R195:$T195,1)&lt;=99,"10-99 мм",IF(SMALL($R195:$T195,1)&lt;=199,"100-199 мм",IF(SMALL($R195:$T195,1)&lt;=299,"200-299 мм",IF(SMALL($R195:$T195,1)&lt;=399,"300-399 мм",IF(SMALL($R195:$T195,1)&lt;=499,"400-499 мм",IF(SMALL($R195:$T195,1)&lt;=599,"500-599 мм",IF(SMALL($R195:$T195,1)&lt;=699,"600-699 мм",IF(SMALL($R195:$T195,1)&lt;=999,"700-999 мм","1000+ мм")))))))))</f>
        <v>10-99 мм</v>
      </c>
      <c r="AA195" s="100" t="str">
        <f t="shared" si="58"/>
        <v>Четырехклапанные</v>
      </c>
      <c r="AB195" s="16">
        <v>1.73</v>
      </c>
      <c r="AC195" s="100" t="str">
        <f t="shared" si="59"/>
        <v>6-7 литра</v>
      </c>
    </row>
    <row r="196" spans="1:29" x14ac:dyDescent="0.3">
      <c r="A196" s="53">
        <v>0.23</v>
      </c>
      <c r="B196" s="59">
        <f t="shared" si="60"/>
        <v>0.27600000000000002</v>
      </c>
      <c r="C196" s="108">
        <v>196</v>
      </c>
      <c r="D196" s="115" t="s">
        <v>27</v>
      </c>
      <c r="E196" s="87" t="s">
        <v>521</v>
      </c>
      <c r="G196" s="82" t="s">
        <v>143</v>
      </c>
      <c r="H196" s="89" t="s">
        <v>1</v>
      </c>
      <c r="I196" s="82" t="s">
        <v>21</v>
      </c>
      <c r="J196" s="82" t="s">
        <v>1</v>
      </c>
      <c r="K196" s="115" t="s">
        <v>522</v>
      </c>
      <c r="N196" s="171">
        <f t="shared" si="50"/>
        <v>1</v>
      </c>
      <c r="O196" s="74">
        <f t="shared" si="49"/>
        <v>0.83</v>
      </c>
      <c r="P196" s="160" t="str">
        <f t="shared" si="51"/>
        <v>0,1-0,9 литров</v>
      </c>
      <c r="Q196" s="101" t="str">
        <f t="shared" si="48"/>
        <v>&lt;1 л</v>
      </c>
      <c r="R196" s="153">
        <f t="shared" si="52"/>
        <v>125</v>
      </c>
      <c r="S196" s="153">
        <f t="shared" si="53"/>
        <v>110</v>
      </c>
      <c r="T196" s="153">
        <f t="shared" si="54"/>
        <v>60</v>
      </c>
      <c r="U196" s="16">
        <f t="shared" si="55"/>
        <v>9.4339999999999993E-2</v>
      </c>
      <c r="V196" s="16" t="str">
        <f t="shared" si="56"/>
        <v/>
      </c>
      <c r="W196" s="16" t="str">
        <f t="shared" si="57"/>
        <v/>
      </c>
      <c r="X196" s="159" t="str">
        <f t="shared" si="61"/>
        <v>100-199 мм</v>
      </c>
      <c r="Y196" s="159" t="str">
        <f t="shared" si="62"/>
        <v>100-199 мм</v>
      </c>
      <c r="Z196" s="159" t="str">
        <f t="shared" si="63"/>
        <v>10-99 мм</v>
      </c>
      <c r="AA196" s="100" t="str">
        <f t="shared" si="58"/>
        <v>Самосборные</v>
      </c>
      <c r="AB196" s="16">
        <v>1.73</v>
      </c>
      <c r="AC196" s="100" t="str">
        <f t="shared" si="59"/>
        <v>0-1 литров</v>
      </c>
    </row>
    <row r="197" spans="1:29" x14ac:dyDescent="0.3">
      <c r="A197" s="53">
        <v>0.19</v>
      </c>
      <c r="B197" s="59">
        <f t="shared" si="60"/>
        <v>0.22799999999999998</v>
      </c>
      <c r="C197" s="108">
        <v>197</v>
      </c>
      <c r="D197" s="115" t="s">
        <v>27</v>
      </c>
      <c r="E197" s="87" t="s">
        <v>523</v>
      </c>
      <c r="G197" s="82" t="s">
        <v>143</v>
      </c>
      <c r="H197" s="89" t="s">
        <v>1</v>
      </c>
      <c r="I197" s="82" t="s">
        <v>144</v>
      </c>
      <c r="J197" s="82" t="s">
        <v>1</v>
      </c>
      <c r="K197" s="115" t="s">
        <v>524</v>
      </c>
      <c r="N197" s="171">
        <f t="shared" si="50"/>
        <v>1</v>
      </c>
      <c r="O197" s="74">
        <f t="shared" si="49"/>
        <v>0.28999999999999998</v>
      </c>
      <c r="P197" s="160" t="str">
        <f t="shared" si="51"/>
        <v>0,1-0,9 литров</v>
      </c>
      <c r="Q197" s="101" t="str">
        <f t="shared" si="48"/>
        <v>&lt;1 л</v>
      </c>
      <c r="R197" s="153">
        <f t="shared" si="52"/>
        <v>120</v>
      </c>
      <c r="S197" s="153">
        <f t="shared" si="53"/>
        <v>80</v>
      </c>
      <c r="T197" s="153">
        <f t="shared" si="54"/>
        <v>30</v>
      </c>
      <c r="U197" s="16">
        <f t="shared" si="55"/>
        <v>5.4280000000000002E-2</v>
      </c>
      <c r="V197" s="16" t="str">
        <f t="shared" si="56"/>
        <v/>
      </c>
      <c r="W197" s="16" t="str">
        <f t="shared" si="57"/>
        <v>Плоские</v>
      </c>
      <c r="X197" s="159" t="str">
        <f t="shared" si="61"/>
        <v>100-199 мм</v>
      </c>
      <c r="Y197" s="159" t="str">
        <f t="shared" si="62"/>
        <v>10-99 мм</v>
      </c>
      <c r="Z197" s="159" t="str">
        <f t="shared" si="63"/>
        <v>10-99 мм</v>
      </c>
      <c r="AA197" s="100" t="str">
        <f t="shared" si="58"/>
        <v>Самосборные</v>
      </c>
      <c r="AB197" s="16">
        <v>1.73</v>
      </c>
      <c r="AC197" s="100" t="str">
        <f t="shared" si="59"/>
        <v>0-1 литров</v>
      </c>
    </row>
    <row r="198" spans="1:29" x14ac:dyDescent="0.3">
      <c r="A198" s="53">
        <v>0.09</v>
      </c>
      <c r="B198" s="59">
        <f t="shared" si="60"/>
        <v>0.108</v>
      </c>
      <c r="C198" s="108">
        <v>198</v>
      </c>
      <c r="D198" s="115" t="s">
        <v>27</v>
      </c>
      <c r="E198" s="87" t="s">
        <v>525</v>
      </c>
      <c r="G198" s="82" t="s">
        <v>18</v>
      </c>
      <c r="H198" s="89" t="s">
        <v>1</v>
      </c>
      <c r="I198" s="82" t="s">
        <v>21</v>
      </c>
      <c r="J198" s="82" t="s">
        <v>1</v>
      </c>
      <c r="K198" s="115" t="s">
        <v>526</v>
      </c>
      <c r="N198" s="171">
        <f t="shared" si="50"/>
        <v>1</v>
      </c>
      <c r="O198" s="74">
        <f t="shared" si="49"/>
        <v>0.36</v>
      </c>
      <c r="P198" s="160" t="str">
        <f t="shared" si="51"/>
        <v>0,1-0,9 литров</v>
      </c>
      <c r="Q198" s="101" t="str">
        <f t="shared" si="48"/>
        <v>&lt;1 л</v>
      </c>
      <c r="R198" s="153">
        <f t="shared" si="52"/>
        <v>130</v>
      </c>
      <c r="S198" s="153">
        <f t="shared" si="53"/>
        <v>70</v>
      </c>
      <c r="T198" s="153">
        <f t="shared" si="54"/>
        <v>40</v>
      </c>
      <c r="U198" s="16">
        <f t="shared" si="55"/>
        <v>5.4280000000000002E-2</v>
      </c>
      <c r="V198" s="16" t="str">
        <f t="shared" si="56"/>
        <v/>
      </c>
      <c r="W198" s="16" t="str">
        <f t="shared" si="57"/>
        <v/>
      </c>
      <c r="X198" s="159" t="str">
        <f t="shared" si="61"/>
        <v>100-199 мм</v>
      </c>
      <c r="Y198" s="159" t="str">
        <f t="shared" si="62"/>
        <v>10-99 мм</v>
      </c>
      <c r="Z198" s="159" t="str">
        <f t="shared" si="63"/>
        <v>10-99 мм</v>
      </c>
      <c r="AA198" s="100" t="str">
        <f t="shared" si="58"/>
        <v>Четырехклапанные</v>
      </c>
      <c r="AB198" s="16">
        <v>1.73</v>
      </c>
      <c r="AC198" s="100" t="str">
        <f t="shared" si="59"/>
        <v>0-1 литров</v>
      </c>
    </row>
    <row r="199" spans="1:29" x14ac:dyDescent="0.3">
      <c r="A199" s="53">
        <v>0.56000000000000005</v>
      </c>
      <c r="B199" s="59">
        <f t="shared" si="60"/>
        <v>0.67200000000000004</v>
      </c>
      <c r="C199" s="108">
        <v>199</v>
      </c>
      <c r="D199" s="115" t="s">
        <v>27</v>
      </c>
      <c r="E199" s="87" t="s">
        <v>527</v>
      </c>
      <c r="G199" s="82" t="s">
        <v>18</v>
      </c>
      <c r="H199" s="89" t="s">
        <v>1</v>
      </c>
      <c r="I199" s="82" t="s">
        <v>21</v>
      </c>
      <c r="J199" s="82" t="s">
        <v>1</v>
      </c>
      <c r="K199" s="115" t="s">
        <v>528</v>
      </c>
      <c r="N199" s="171">
        <f t="shared" si="50"/>
        <v>1</v>
      </c>
      <c r="O199" s="74">
        <f t="shared" si="49"/>
        <v>4.6100000000000003</v>
      </c>
      <c r="P199" s="160" t="str">
        <f t="shared" si="51"/>
        <v>4-5,9 литра</v>
      </c>
      <c r="Q199" s="101" t="str">
        <f t="shared" si="48"/>
        <v>3-5 л</v>
      </c>
      <c r="R199" s="153">
        <f t="shared" si="52"/>
        <v>240</v>
      </c>
      <c r="S199" s="153">
        <f t="shared" si="53"/>
        <v>240</v>
      </c>
      <c r="T199" s="153">
        <f t="shared" si="54"/>
        <v>80</v>
      </c>
      <c r="U199" s="16">
        <f t="shared" si="55"/>
        <v>0.33456000000000002</v>
      </c>
      <c r="V199" s="16" t="str">
        <f t="shared" si="56"/>
        <v/>
      </c>
      <c r="W199" s="16" t="str">
        <f t="shared" si="57"/>
        <v>Плоские</v>
      </c>
      <c r="X199" s="159" t="str">
        <f t="shared" si="61"/>
        <v>200-299 мм</v>
      </c>
      <c r="Y199" s="159" t="str">
        <f t="shared" si="62"/>
        <v>200-299 мм</v>
      </c>
      <c r="Z199" s="159" t="str">
        <f t="shared" si="63"/>
        <v>10-99 мм</v>
      </c>
      <c r="AA199" s="100" t="str">
        <f t="shared" si="58"/>
        <v>Четырехклапанные</v>
      </c>
      <c r="AB199" s="16">
        <v>1.73</v>
      </c>
      <c r="AC199" s="100" t="str">
        <f t="shared" si="59"/>
        <v>4-5 литра</v>
      </c>
    </row>
    <row r="200" spans="1:29" x14ac:dyDescent="0.3">
      <c r="A200" s="53">
        <v>0.21</v>
      </c>
      <c r="B200" s="59">
        <f t="shared" si="60"/>
        <v>0.252</v>
      </c>
      <c r="C200" s="108">
        <v>200</v>
      </c>
      <c r="D200" s="115" t="s">
        <v>27</v>
      </c>
      <c r="E200" s="87" t="s">
        <v>529</v>
      </c>
      <c r="G200" s="82" t="s">
        <v>143</v>
      </c>
      <c r="H200" s="89" t="s">
        <v>147</v>
      </c>
      <c r="I200" s="82" t="s">
        <v>144</v>
      </c>
      <c r="J200" s="82" t="s">
        <v>27</v>
      </c>
      <c r="K200" s="115" t="s">
        <v>530</v>
      </c>
      <c r="N200" s="171">
        <f t="shared" si="50"/>
        <v>1</v>
      </c>
      <c r="O200" s="74">
        <f t="shared" si="49"/>
        <v>0.46</v>
      </c>
      <c r="P200" s="160" t="str">
        <f t="shared" si="51"/>
        <v>0,1-0,9 литров</v>
      </c>
      <c r="Q200" s="101" t="str">
        <f t="shared" ref="Q200:Q263" si="64">IF(O200="","",IF(O200&lt;1,"&lt;1 л",IF(O200&lt;2,"1-2 л",IF(O200&lt;3,"2-3 л",IF(O200&lt;5,"3-5 л",IF(O200&lt;10,"5-10 л",IF(O200&lt;20,"10-20 л",IF(O200&lt;50,"20-50 л",IF(O200&lt;100,"50-100 л","100+ л")))))))))</f>
        <v>&lt;1 л</v>
      </c>
      <c r="R200" s="153">
        <f t="shared" si="52"/>
        <v>185</v>
      </c>
      <c r="S200" s="153">
        <f t="shared" si="53"/>
        <v>125</v>
      </c>
      <c r="T200" s="153">
        <f t="shared" si="54"/>
        <v>20</v>
      </c>
      <c r="U200" s="16">
        <f t="shared" si="55"/>
        <v>0.10403999999999999</v>
      </c>
      <c r="V200" s="16" t="str">
        <f t="shared" si="56"/>
        <v/>
      </c>
      <c r="W200" s="16" t="str">
        <f t="shared" si="57"/>
        <v>Плоские</v>
      </c>
      <c r="X200" s="159" t="str">
        <f t="shared" si="61"/>
        <v>100-199 мм</v>
      </c>
      <c r="Y200" s="159" t="str">
        <f t="shared" si="62"/>
        <v>100-199 мм</v>
      </c>
      <c r="Z200" s="159" t="str">
        <f t="shared" si="63"/>
        <v>10-99 мм</v>
      </c>
      <c r="AA200" s="100" t="str">
        <f t="shared" si="58"/>
        <v>Самосборные</v>
      </c>
      <c r="AB200" s="16">
        <v>1.73</v>
      </c>
      <c r="AC200" s="100" t="str">
        <f t="shared" si="59"/>
        <v>0-1 литров</v>
      </c>
    </row>
    <row r="201" spans="1:29" x14ac:dyDescent="0.3">
      <c r="A201" s="53">
        <v>1.36</v>
      </c>
      <c r="B201" s="59">
        <f t="shared" si="60"/>
        <v>1.6320000000000001</v>
      </c>
      <c r="C201" s="108">
        <v>201</v>
      </c>
      <c r="D201" s="115" t="s">
        <v>27</v>
      </c>
      <c r="E201" s="88" t="s">
        <v>948</v>
      </c>
      <c r="G201" s="82" t="s">
        <v>18</v>
      </c>
      <c r="H201" s="89" t="s">
        <v>19</v>
      </c>
      <c r="I201" s="82" t="s">
        <v>21</v>
      </c>
      <c r="J201" s="82" t="s">
        <v>27</v>
      </c>
      <c r="K201" s="115" t="s">
        <v>532</v>
      </c>
      <c r="N201" s="171">
        <f>IF(D201="","",IF(LEFT(D201,1)="0",0,1))</f>
        <v>1</v>
      </c>
      <c r="O201" s="74">
        <f t="shared" si="49"/>
        <v>17.55</v>
      </c>
      <c r="P201" s="160" t="str">
        <f t="shared" si="51"/>
        <v>15-19,9 литров</v>
      </c>
      <c r="Q201" s="101" t="str">
        <f t="shared" si="64"/>
        <v>10-20 л</v>
      </c>
      <c r="R201" s="153">
        <f t="shared" si="52"/>
        <v>540</v>
      </c>
      <c r="S201" s="153">
        <f t="shared" si="53"/>
        <v>325</v>
      </c>
      <c r="T201" s="153">
        <f t="shared" si="54"/>
        <v>100</v>
      </c>
      <c r="U201" s="16">
        <f t="shared" si="55"/>
        <v>0.77507000000000004</v>
      </c>
      <c r="V201" s="16" t="str">
        <f t="shared" si="56"/>
        <v/>
      </c>
      <c r="W201" s="16" t="str">
        <f t="shared" si="57"/>
        <v>Плоские</v>
      </c>
      <c r="X201" s="159" t="str">
        <f t="shared" si="61"/>
        <v>500-599 мм</v>
      </c>
      <c r="Y201" s="159" t="str">
        <f t="shared" si="62"/>
        <v>300-399 мм</v>
      </c>
      <c r="Z201" s="159" t="str">
        <f t="shared" si="63"/>
        <v>100-199 мм</v>
      </c>
      <c r="AA201" s="100" t="str">
        <f t="shared" si="58"/>
        <v>Четырехклапанные</v>
      </c>
      <c r="AB201" s="16">
        <v>1.73</v>
      </c>
      <c r="AC201" s="100" t="str">
        <f t="shared" si="59"/>
        <v>15-19 литров</v>
      </c>
    </row>
    <row r="202" spans="1:29" x14ac:dyDescent="0.3">
      <c r="A202" s="53">
        <v>0.54</v>
      </c>
      <c r="B202" s="59">
        <f t="shared" si="60"/>
        <v>0.64800000000000002</v>
      </c>
      <c r="C202" s="108">
        <v>202</v>
      </c>
      <c r="D202" s="115" t="s">
        <v>27</v>
      </c>
      <c r="E202" s="87" t="s">
        <v>533</v>
      </c>
      <c r="G202" s="82" t="s">
        <v>143</v>
      </c>
      <c r="H202" s="89" t="s">
        <v>147</v>
      </c>
      <c r="I202" s="82" t="s">
        <v>21</v>
      </c>
      <c r="J202" s="82" t="s">
        <v>296</v>
      </c>
      <c r="K202" s="115" t="s">
        <v>534</v>
      </c>
      <c r="N202" s="171">
        <f t="shared" si="50"/>
        <v>1</v>
      </c>
      <c r="O202" s="74">
        <f t="shared" si="49"/>
        <v>2.94</v>
      </c>
      <c r="P202" s="160" t="str">
        <f t="shared" si="51"/>
        <v>2-2,9 литра</v>
      </c>
      <c r="Q202" s="101" t="str">
        <f t="shared" si="64"/>
        <v>2-3 л</v>
      </c>
      <c r="R202" s="153">
        <f t="shared" si="52"/>
        <v>314</v>
      </c>
      <c r="S202" s="153">
        <f t="shared" si="53"/>
        <v>164</v>
      </c>
      <c r="T202" s="153">
        <f t="shared" si="54"/>
        <v>57</v>
      </c>
      <c r="U202" s="16">
        <f t="shared" si="55"/>
        <v>0.23266400000000001</v>
      </c>
      <c r="V202" s="16" t="str">
        <f t="shared" si="56"/>
        <v/>
      </c>
      <c r="W202" s="16" t="str">
        <f t="shared" si="57"/>
        <v>Плоские</v>
      </c>
      <c r="X202" s="159" t="str">
        <f t="shared" si="61"/>
        <v>300-399 мм</v>
      </c>
      <c r="Y202" s="159" t="str">
        <f t="shared" si="62"/>
        <v>100-199 мм</v>
      </c>
      <c r="Z202" s="159" t="str">
        <f t="shared" si="63"/>
        <v>10-99 мм</v>
      </c>
      <c r="AA202" s="100" t="str">
        <f t="shared" si="58"/>
        <v>Самосборные</v>
      </c>
      <c r="AB202" s="16">
        <v>1.73</v>
      </c>
      <c r="AC202" s="100" t="str">
        <f t="shared" si="59"/>
        <v>2-3 литра</v>
      </c>
    </row>
    <row r="203" spans="1:29" x14ac:dyDescent="0.3">
      <c r="A203" s="53">
        <v>0.36</v>
      </c>
      <c r="B203" s="59">
        <f t="shared" si="60"/>
        <v>0.432</v>
      </c>
      <c r="C203" s="108">
        <v>203</v>
      </c>
      <c r="D203" s="115" t="s">
        <v>27</v>
      </c>
      <c r="E203" s="87" t="s">
        <v>535</v>
      </c>
      <c r="G203" s="82" t="s">
        <v>143</v>
      </c>
      <c r="H203" s="89" t="s">
        <v>20</v>
      </c>
      <c r="I203" s="82" t="s">
        <v>144</v>
      </c>
      <c r="J203" s="82" t="s">
        <v>296</v>
      </c>
      <c r="K203" s="115" t="s">
        <v>536</v>
      </c>
      <c r="N203" s="171">
        <f t="shared" si="50"/>
        <v>1</v>
      </c>
      <c r="O203" s="74">
        <f t="shared" ref="O203:O266" si="65">ROUND(R203*S203*T203/1000000,2)</f>
        <v>3.25</v>
      </c>
      <c r="P203" s="160" t="str">
        <f t="shared" si="51"/>
        <v>3-3,9 литра</v>
      </c>
      <c r="Q203" s="101" t="str">
        <f t="shared" si="64"/>
        <v>3-5 л</v>
      </c>
      <c r="R203" s="153">
        <f t="shared" si="52"/>
        <v>187</v>
      </c>
      <c r="S203" s="153">
        <f t="shared" si="53"/>
        <v>124</v>
      </c>
      <c r="T203" s="153">
        <f t="shared" si="54"/>
        <v>140</v>
      </c>
      <c r="U203" s="16">
        <f t="shared" si="55"/>
        <v>0.185504</v>
      </c>
      <c r="V203" s="16" t="str">
        <f t="shared" si="56"/>
        <v/>
      </c>
      <c r="W203" s="16" t="str">
        <f t="shared" si="57"/>
        <v/>
      </c>
      <c r="X203" s="159" t="str">
        <f t="shared" si="61"/>
        <v>100-199 мм</v>
      </c>
      <c r="Y203" s="159" t="str">
        <f t="shared" si="62"/>
        <v>100-199 мм</v>
      </c>
      <c r="Z203" s="159" t="str">
        <f t="shared" si="63"/>
        <v>100-199 мм</v>
      </c>
      <c r="AA203" s="100" t="str">
        <f t="shared" si="58"/>
        <v>Самосборные</v>
      </c>
      <c r="AB203" s="16">
        <v>1.73</v>
      </c>
      <c r="AC203" s="100" t="str">
        <f t="shared" si="59"/>
        <v>4-5 литра</v>
      </c>
    </row>
    <row r="204" spans="1:29" x14ac:dyDescent="0.3">
      <c r="A204" s="53">
        <v>0.67</v>
      </c>
      <c r="B204" s="59">
        <f t="shared" si="60"/>
        <v>0.80400000000000005</v>
      </c>
      <c r="C204" s="108">
        <v>204</v>
      </c>
      <c r="D204" s="115" t="s">
        <v>27</v>
      </c>
      <c r="E204" s="87" t="s">
        <v>537</v>
      </c>
      <c r="G204" s="82" t="s">
        <v>143</v>
      </c>
      <c r="H204" s="89" t="s">
        <v>147</v>
      </c>
      <c r="I204" s="82" t="s">
        <v>21</v>
      </c>
      <c r="J204" s="82" t="s">
        <v>27</v>
      </c>
      <c r="K204" s="115" t="s">
        <v>538</v>
      </c>
      <c r="N204" s="171">
        <f t="shared" si="50"/>
        <v>1</v>
      </c>
      <c r="O204" s="74">
        <f t="shared" si="65"/>
        <v>4.2300000000000004</v>
      </c>
      <c r="P204" s="160" t="str">
        <f t="shared" si="51"/>
        <v>4-5,9 литра</v>
      </c>
      <c r="Q204" s="101" t="str">
        <f t="shared" si="64"/>
        <v>3-5 л</v>
      </c>
      <c r="R204" s="153">
        <f t="shared" si="52"/>
        <v>354</v>
      </c>
      <c r="S204" s="153">
        <f t="shared" si="53"/>
        <v>184</v>
      </c>
      <c r="T204" s="153">
        <f t="shared" si="54"/>
        <v>65</v>
      </c>
      <c r="U204" s="16">
        <f t="shared" si="55"/>
        <v>0.29195199999999999</v>
      </c>
      <c r="V204" s="16" t="str">
        <f t="shared" si="56"/>
        <v/>
      </c>
      <c r="W204" s="16" t="str">
        <f t="shared" si="57"/>
        <v>Плоские</v>
      </c>
      <c r="X204" s="159" t="str">
        <f t="shared" si="61"/>
        <v>300-399 мм</v>
      </c>
      <c r="Y204" s="159" t="str">
        <f t="shared" si="62"/>
        <v>100-199 мм</v>
      </c>
      <c r="Z204" s="159" t="str">
        <f t="shared" si="63"/>
        <v>10-99 мм</v>
      </c>
      <c r="AA204" s="100" t="str">
        <f t="shared" si="58"/>
        <v>Самосборные</v>
      </c>
      <c r="AB204" s="16">
        <v>1.73</v>
      </c>
      <c r="AC204" s="100" t="str">
        <f t="shared" si="59"/>
        <v>4-5 литра</v>
      </c>
    </row>
    <row r="205" spans="1:29" x14ac:dyDescent="0.3">
      <c r="A205" s="53">
        <v>1.18</v>
      </c>
      <c r="B205" s="59">
        <f t="shared" si="60"/>
        <v>1.4159999999999999</v>
      </c>
      <c r="C205" s="108">
        <v>205</v>
      </c>
      <c r="D205" s="115" t="s">
        <v>27</v>
      </c>
      <c r="E205" s="87" t="s">
        <v>539</v>
      </c>
      <c r="G205" s="82" t="s">
        <v>143</v>
      </c>
      <c r="H205" s="89" t="s">
        <v>147</v>
      </c>
      <c r="I205" s="82" t="s">
        <v>21</v>
      </c>
      <c r="J205" s="82" t="s">
        <v>296</v>
      </c>
      <c r="K205" s="115" t="s">
        <v>540</v>
      </c>
      <c r="N205" s="171">
        <f t="shared" si="50"/>
        <v>1</v>
      </c>
      <c r="O205" s="74">
        <f t="shared" si="65"/>
        <v>10.08</v>
      </c>
      <c r="P205" s="160" t="str">
        <f t="shared" si="51"/>
        <v>10-14,9 литров</v>
      </c>
      <c r="Q205" s="101" t="str">
        <f t="shared" si="64"/>
        <v>10-20 л</v>
      </c>
      <c r="R205" s="153">
        <f t="shared" si="52"/>
        <v>480</v>
      </c>
      <c r="S205" s="153">
        <f t="shared" si="53"/>
        <v>300</v>
      </c>
      <c r="T205" s="153">
        <f t="shared" si="54"/>
        <v>70</v>
      </c>
      <c r="U205" s="16">
        <f t="shared" si="55"/>
        <v>0.61236000000000002</v>
      </c>
      <c r="V205" s="16" t="str">
        <f t="shared" si="56"/>
        <v/>
      </c>
      <c r="W205" s="16" t="str">
        <f t="shared" si="57"/>
        <v>Плоские</v>
      </c>
      <c r="X205" s="159" t="str">
        <f t="shared" si="61"/>
        <v>400-499 мм</v>
      </c>
      <c r="Y205" s="159" t="str">
        <f t="shared" si="62"/>
        <v>300-399 мм</v>
      </c>
      <c r="Z205" s="159" t="str">
        <f t="shared" si="63"/>
        <v>10-99 мм</v>
      </c>
      <c r="AA205" s="100" t="str">
        <f t="shared" si="58"/>
        <v>Самосборные</v>
      </c>
      <c r="AB205" s="16">
        <v>1.73</v>
      </c>
      <c r="AC205" s="100" t="str">
        <f t="shared" si="59"/>
        <v>10-14 литров</v>
      </c>
    </row>
    <row r="206" spans="1:29" x14ac:dyDescent="0.3">
      <c r="A206" s="53">
        <v>1.31</v>
      </c>
      <c r="B206" s="59">
        <f t="shared" si="60"/>
        <v>1.5720000000000001</v>
      </c>
      <c r="C206" s="108">
        <v>206</v>
      </c>
      <c r="D206" s="115" t="s">
        <v>27</v>
      </c>
      <c r="E206" s="87" t="s">
        <v>541</v>
      </c>
      <c r="G206" s="82" t="s">
        <v>18</v>
      </c>
      <c r="H206" s="89" t="s">
        <v>19</v>
      </c>
      <c r="I206" s="82" t="s">
        <v>21</v>
      </c>
      <c r="J206" s="82" t="s">
        <v>27</v>
      </c>
      <c r="K206" s="115" t="s">
        <v>542</v>
      </c>
      <c r="N206" s="171">
        <f t="shared" si="50"/>
        <v>1</v>
      </c>
      <c r="O206" s="74">
        <f t="shared" si="65"/>
        <v>15.89</v>
      </c>
      <c r="P206" s="160" t="str">
        <f t="shared" si="51"/>
        <v>15-19,9 литров</v>
      </c>
      <c r="Q206" s="101" t="str">
        <f t="shared" si="64"/>
        <v>10-20 л</v>
      </c>
      <c r="R206" s="153">
        <f t="shared" si="52"/>
        <v>342</v>
      </c>
      <c r="S206" s="153">
        <f t="shared" si="53"/>
        <v>242</v>
      </c>
      <c r="T206" s="153">
        <f t="shared" si="54"/>
        <v>192</v>
      </c>
      <c r="U206" s="16">
        <f t="shared" si="55"/>
        <v>0.54277600000000004</v>
      </c>
      <c r="V206" s="16" t="str">
        <f t="shared" si="56"/>
        <v/>
      </c>
      <c r="W206" s="16" t="str">
        <f t="shared" si="57"/>
        <v/>
      </c>
      <c r="X206" s="160" t="str">
        <f t="shared" si="61"/>
        <v>300-399 мм</v>
      </c>
      <c r="Y206" s="160" t="str">
        <f t="shared" si="62"/>
        <v>200-299 мм</v>
      </c>
      <c r="Z206" s="160" t="str">
        <f t="shared" si="63"/>
        <v>100-199 мм</v>
      </c>
      <c r="AA206" s="100" t="str">
        <f t="shared" si="58"/>
        <v>Четырехклапанные</v>
      </c>
      <c r="AB206" s="16">
        <v>1.73</v>
      </c>
      <c r="AC206" s="100" t="str">
        <f t="shared" si="59"/>
        <v>15-19 литров</v>
      </c>
    </row>
    <row r="207" spans="1:29" x14ac:dyDescent="0.3">
      <c r="A207" s="53">
        <v>1.49</v>
      </c>
      <c r="B207" s="59">
        <f t="shared" si="60"/>
        <v>1.788</v>
      </c>
      <c r="C207" s="108">
        <v>207</v>
      </c>
      <c r="D207" s="115" t="s">
        <v>27</v>
      </c>
      <c r="E207" s="87" t="s">
        <v>543</v>
      </c>
      <c r="G207" s="82" t="s">
        <v>18</v>
      </c>
      <c r="H207" s="89" t="s">
        <v>1</v>
      </c>
      <c r="I207" s="82" t="s">
        <v>21</v>
      </c>
      <c r="J207" s="82" t="s">
        <v>27</v>
      </c>
      <c r="K207" s="115" t="s">
        <v>544</v>
      </c>
      <c r="N207" s="171">
        <f t="shared" si="50"/>
        <v>1</v>
      </c>
      <c r="O207" s="74">
        <f t="shared" si="65"/>
        <v>26.8</v>
      </c>
      <c r="P207" s="160" t="str">
        <f t="shared" si="51"/>
        <v>20-29 литров</v>
      </c>
      <c r="Q207" s="101" t="str">
        <f t="shared" si="64"/>
        <v>20-50 л</v>
      </c>
      <c r="R207" s="153">
        <f t="shared" si="52"/>
        <v>429</v>
      </c>
      <c r="S207" s="153">
        <f t="shared" si="53"/>
        <v>357</v>
      </c>
      <c r="T207" s="153">
        <f t="shared" si="54"/>
        <v>175</v>
      </c>
      <c r="U207" s="16">
        <f t="shared" si="55"/>
        <v>0.88127999999999995</v>
      </c>
      <c r="V207" s="16" t="str">
        <f t="shared" si="56"/>
        <v/>
      </c>
      <c r="W207" s="16" t="str">
        <f t="shared" si="57"/>
        <v>Плоские</v>
      </c>
      <c r="X207" s="159" t="str">
        <f t="shared" si="61"/>
        <v>400-499 мм</v>
      </c>
      <c r="Y207" s="159" t="str">
        <f t="shared" si="62"/>
        <v>300-399 мм</v>
      </c>
      <c r="Z207" s="159" t="str">
        <f t="shared" si="63"/>
        <v>100-199 мм</v>
      </c>
      <c r="AA207" s="100" t="str">
        <f t="shared" si="58"/>
        <v>Четырехклапанные</v>
      </c>
      <c r="AB207" s="16">
        <v>1.73</v>
      </c>
      <c r="AC207" s="100" t="str">
        <f t="shared" si="59"/>
        <v>20-29 литров</v>
      </c>
    </row>
    <row r="208" spans="1:29" x14ac:dyDescent="0.3">
      <c r="A208" s="53">
        <v>1.64</v>
      </c>
      <c r="B208" s="59">
        <f t="shared" si="60"/>
        <v>1.9679999999999997</v>
      </c>
      <c r="C208" s="108">
        <v>208</v>
      </c>
      <c r="D208" s="115" t="s">
        <v>27</v>
      </c>
      <c r="E208" s="87" t="s">
        <v>545</v>
      </c>
      <c r="G208" s="82" t="s">
        <v>18</v>
      </c>
      <c r="H208" s="89" t="s">
        <v>1</v>
      </c>
      <c r="I208" s="82" t="s">
        <v>21</v>
      </c>
      <c r="J208" s="82" t="s">
        <v>27</v>
      </c>
      <c r="K208" s="115" t="s">
        <v>546</v>
      </c>
      <c r="N208" s="171">
        <f t="shared" si="50"/>
        <v>1</v>
      </c>
      <c r="O208" s="74">
        <f t="shared" si="65"/>
        <v>31.85</v>
      </c>
      <c r="P208" s="160" t="str">
        <f t="shared" si="51"/>
        <v>30-49 литров</v>
      </c>
      <c r="Q208" s="101" t="str">
        <f t="shared" si="64"/>
        <v>20-50 л</v>
      </c>
      <c r="R208" s="153">
        <f t="shared" si="52"/>
        <v>385</v>
      </c>
      <c r="S208" s="153">
        <f t="shared" si="53"/>
        <v>383</v>
      </c>
      <c r="T208" s="153">
        <f t="shared" si="54"/>
        <v>216</v>
      </c>
      <c r="U208" s="16">
        <f t="shared" si="55"/>
        <v>0.96877199999999997</v>
      </c>
      <c r="V208" s="16" t="str">
        <f t="shared" si="56"/>
        <v/>
      </c>
      <c r="W208" s="16" t="str">
        <f t="shared" si="57"/>
        <v/>
      </c>
      <c r="X208" s="159" t="str">
        <f t="shared" si="61"/>
        <v>300-399 мм</v>
      </c>
      <c r="Y208" s="159" t="str">
        <f t="shared" si="62"/>
        <v>300-399 мм</v>
      </c>
      <c r="Z208" s="159" t="str">
        <f t="shared" si="63"/>
        <v>200-299 мм</v>
      </c>
      <c r="AA208" s="100" t="str">
        <f t="shared" si="58"/>
        <v>Четырехклапанные</v>
      </c>
      <c r="AB208" s="16">
        <v>1.73</v>
      </c>
      <c r="AC208" s="100" t="str">
        <f t="shared" si="59"/>
        <v>30-49 литров</v>
      </c>
    </row>
    <row r="209" spans="1:29" x14ac:dyDescent="0.3">
      <c r="A209" s="53">
        <v>0.28000000000000003</v>
      </c>
      <c r="B209" s="59">
        <f t="shared" si="60"/>
        <v>0.33600000000000002</v>
      </c>
      <c r="C209" s="108">
        <v>209</v>
      </c>
      <c r="D209" s="115" t="s">
        <v>27</v>
      </c>
      <c r="E209" s="87" t="s">
        <v>547</v>
      </c>
      <c r="G209" s="82" t="s">
        <v>548</v>
      </c>
      <c r="H209" s="89" t="s">
        <v>549</v>
      </c>
      <c r="I209" s="82" t="s">
        <v>144</v>
      </c>
      <c r="J209" s="82" t="s">
        <v>27</v>
      </c>
      <c r="K209" s="115" t="s">
        <v>550</v>
      </c>
      <c r="N209" s="171">
        <f t="shared" si="50"/>
        <v>1</v>
      </c>
      <c r="O209" s="74">
        <f t="shared" si="65"/>
        <v>0.92</v>
      </c>
      <c r="P209" s="160" t="str">
        <f t="shared" si="51"/>
        <v>0,1-0,9 литров</v>
      </c>
      <c r="Q209" s="101" t="str">
        <f t="shared" si="64"/>
        <v>&lt;1 л</v>
      </c>
      <c r="R209" s="153">
        <f t="shared" si="52"/>
        <v>115</v>
      </c>
      <c r="S209" s="153">
        <f t="shared" si="53"/>
        <v>100</v>
      </c>
      <c r="T209" s="153">
        <f t="shared" si="54"/>
        <v>80</v>
      </c>
      <c r="U209" s="16">
        <f t="shared" si="55"/>
        <v>9.2119999999999994E-2</v>
      </c>
      <c r="V209" s="16" t="str">
        <f t="shared" si="56"/>
        <v/>
      </c>
      <c r="W209" s="16" t="str">
        <f t="shared" si="57"/>
        <v/>
      </c>
      <c r="X209" s="159" t="str">
        <f t="shared" si="61"/>
        <v>100-199 мм</v>
      </c>
      <c r="Y209" s="159" t="str">
        <f t="shared" si="62"/>
        <v>100-199 мм</v>
      </c>
      <c r="Z209" s="159" t="str">
        <f t="shared" si="63"/>
        <v>10-99 мм</v>
      </c>
      <c r="AA209" s="100" t="str">
        <f t="shared" si="58"/>
        <v>Крышка-дно</v>
      </c>
      <c r="AB209" s="16">
        <v>1.73</v>
      </c>
      <c r="AC209" s="100" t="str">
        <f t="shared" si="59"/>
        <v>0-1 литров</v>
      </c>
    </row>
    <row r="210" spans="1:29" x14ac:dyDescent="0.3">
      <c r="A210" s="53">
        <v>0.81</v>
      </c>
      <c r="B210" s="59">
        <f t="shared" si="60"/>
        <v>0.97199999999999998</v>
      </c>
      <c r="C210" s="108">
        <v>210</v>
      </c>
      <c r="D210" s="115" t="s">
        <v>27</v>
      </c>
      <c r="E210" s="87" t="s">
        <v>551</v>
      </c>
      <c r="G210" s="82" t="s">
        <v>548</v>
      </c>
      <c r="H210" s="89" t="s">
        <v>549</v>
      </c>
      <c r="I210" s="82" t="s">
        <v>144</v>
      </c>
      <c r="J210" s="82" t="s">
        <v>27</v>
      </c>
      <c r="K210" s="115" t="s">
        <v>552</v>
      </c>
      <c r="N210" s="171">
        <f t="shared" si="50"/>
        <v>1</v>
      </c>
      <c r="O210" s="74">
        <f t="shared" si="65"/>
        <v>6.19</v>
      </c>
      <c r="P210" s="160" t="str">
        <f t="shared" si="51"/>
        <v>6-7,9 литра</v>
      </c>
      <c r="Q210" s="101" t="str">
        <f t="shared" si="64"/>
        <v>5-10 л</v>
      </c>
      <c r="R210" s="153">
        <f t="shared" si="52"/>
        <v>235</v>
      </c>
      <c r="S210" s="153">
        <f t="shared" si="53"/>
        <v>225</v>
      </c>
      <c r="T210" s="153">
        <f t="shared" si="54"/>
        <v>117</v>
      </c>
      <c r="U210" s="16">
        <f t="shared" si="55"/>
        <v>0.34300000000000003</v>
      </c>
      <c r="V210" s="16" t="str">
        <f t="shared" si="56"/>
        <v/>
      </c>
      <c r="W210" s="16" t="str">
        <f t="shared" si="57"/>
        <v/>
      </c>
      <c r="X210" s="159" t="str">
        <f t="shared" si="61"/>
        <v>200-299 мм</v>
      </c>
      <c r="Y210" s="159" t="str">
        <f t="shared" si="62"/>
        <v>200-299 мм</v>
      </c>
      <c r="Z210" s="159" t="str">
        <f t="shared" si="63"/>
        <v>100-199 мм</v>
      </c>
      <c r="AA210" s="100" t="str">
        <f t="shared" si="58"/>
        <v>Крышка-дно</v>
      </c>
      <c r="AB210" s="16">
        <v>1.73</v>
      </c>
      <c r="AC210" s="100" t="str">
        <f t="shared" si="59"/>
        <v>6-7 литра</v>
      </c>
    </row>
    <row r="211" spans="1:29" x14ac:dyDescent="0.3">
      <c r="A211" s="53">
        <v>0.38</v>
      </c>
      <c r="B211" s="59">
        <f t="shared" si="60"/>
        <v>0.45599999999999996</v>
      </c>
      <c r="C211" s="108">
        <v>211</v>
      </c>
      <c r="D211" s="115" t="s">
        <v>27</v>
      </c>
      <c r="E211" s="87" t="s">
        <v>553</v>
      </c>
      <c r="G211" s="82" t="s">
        <v>143</v>
      </c>
      <c r="H211" s="89" t="s">
        <v>147</v>
      </c>
      <c r="I211" s="82" t="s">
        <v>144</v>
      </c>
      <c r="J211" s="82" t="s">
        <v>27</v>
      </c>
      <c r="K211" s="115" t="s">
        <v>554</v>
      </c>
      <c r="N211" s="171">
        <f t="shared" si="50"/>
        <v>1</v>
      </c>
      <c r="O211" s="74">
        <f t="shared" si="65"/>
        <v>1.53</v>
      </c>
      <c r="P211" s="160" t="str">
        <f t="shared" si="51"/>
        <v>1-1,9 литра</v>
      </c>
      <c r="Q211" s="101" t="str">
        <f t="shared" si="64"/>
        <v>1-2 л</v>
      </c>
      <c r="R211" s="153">
        <f t="shared" si="52"/>
        <v>185</v>
      </c>
      <c r="S211" s="153">
        <f t="shared" si="53"/>
        <v>145</v>
      </c>
      <c r="T211" s="153">
        <f t="shared" si="54"/>
        <v>57</v>
      </c>
      <c r="U211" s="16">
        <f t="shared" si="55"/>
        <v>0.1512</v>
      </c>
      <c r="V211" s="16" t="str">
        <f t="shared" si="56"/>
        <v/>
      </c>
      <c r="W211" s="16" t="str">
        <f t="shared" si="57"/>
        <v>Плоские</v>
      </c>
      <c r="X211" s="159" t="str">
        <f t="shared" si="61"/>
        <v>100-199 мм</v>
      </c>
      <c r="Y211" s="159" t="str">
        <f t="shared" si="62"/>
        <v>100-199 мм</v>
      </c>
      <c r="Z211" s="159" t="str">
        <f t="shared" si="63"/>
        <v>10-99 мм</v>
      </c>
      <c r="AA211" s="100" t="str">
        <f t="shared" si="58"/>
        <v>Самосборные</v>
      </c>
      <c r="AB211" s="16">
        <v>1.73</v>
      </c>
      <c r="AC211" s="100" t="str">
        <f t="shared" si="59"/>
        <v>2-3 литра</v>
      </c>
    </row>
    <row r="212" spans="1:29" x14ac:dyDescent="0.3">
      <c r="A212" s="53">
        <v>0.55000000000000004</v>
      </c>
      <c r="B212" s="59">
        <f t="shared" si="60"/>
        <v>0.66</v>
      </c>
      <c r="C212" s="108">
        <v>212</v>
      </c>
      <c r="D212" s="115" t="s">
        <v>27</v>
      </c>
      <c r="E212" s="87" t="s">
        <v>555</v>
      </c>
      <c r="G212" s="82" t="s">
        <v>143</v>
      </c>
      <c r="H212" s="89" t="s">
        <v>147</v>
      </c>
      <c r="I212" s="82" t="s">
        <v>144</v>
      </c>
      <c r="J212" s="82" t="s">
        <v>27</v>
      </c>
      <c r="K212" s="115" t="s">
        <v>556</v>
      </c>
      <c r="N212" s="171">
        <f t="shared" si="50"/>
        <v>1</v>
      </c>
      <c r="O212" s="74">
        <f t="shared" si="65"/>
        <v>2.93</v>
      </c>
      <c r="P212" s="160" t="str">
        <f t="shared" si="51"/>
        <v>2-2,9 литра</v>
      </c>
      <c r="Q212" s="101" t="str">
        <f t="shared" si="64"/>
        <v>2-3 л</v>
      </c>
      <c r="R212" s="153">
        <f t="shared" si="52"/>
        <v>280</v>
      </c>
      <c r="S212" s="153">
        <f t="shared" si="53"/>
        <v>190</v>
      </c>
      <c r="T212" s="153">
        <f t="shared" si="54"/>
        <v>55</v>
      </c>
      <c r="U212" s="16">
        <f t="shared" si="55"/>
        <v>0.253</v>
      </c>
      <c r="V212" s="16" t="str">
        <f t="shared" si="56"/>
        <v/>
      </c>
      <c r="W212" s="16" t="str">
        <f t="shared" si="57"/>
        <v>Плоские</v>
      </c>
      <c r="X212" s="159" t="str">
        <f t="shared" si="61"/>
        <v>200-299 мм</v>
      </c>
      <c r="Y212" s="159" t="str">
        <f t="shared" si="62"/>
        <v>100-199 мм</v>
      </c>
      <c r="Z212" s="159" t="str">
        <f t="shared" si="63"/>
        <v>10-99 мм</v>
      </c>
      <c r="AA212" s="100" t="str">
        <f t="shared" si="58"/>
        <v>Самосборные</v>
      </c>
      <c r="AB212" s="16">
        <v>1.73</v>
      </c>
      <c r="AC212" s="100" t="str">
        <f t="shared" si="59"/>
        <v>2-3 литра</v>
      </c>
    </row>
    <row r="213" spans="1:29" x14ac:dyDescent="0.3">
      <c r="A213" s="53">
        <v>0.88</v>
      </c>
      <c r="B213" s="59">
        <f t="shared" si="60"/>
        <v>1.056</v>
      </c>
      <c r="C213" s="108">
        <v>213</v>
      </c>
      <c r="D213" s="115" t="s">
        <v>27</v>
      </c>
      <c r="E213" s="87" t="s">
        <v>557</v>
      </c>
      <c r="G213" s="82" t="s">
        <v>143</v>
      </c>
      <c r="H213" s="89" t="s">
        <v>147</v>
      </c>
      <c r="I213" s="82" t="s">
        <v>558</v>
      </c>
      <c r="J213" s="82" t="s">
        <v>27</v>
      </c>
      <c r="K213" s="115" t="s">
        <v>559</v>
      </c>
      <c r="N213" s="171">
        <f t="shared" si="50"/>
        <v>1</v>
      </c>
      <c r="O213" s="74">
        <f t="shared" si="65"/>
        <v>5.87</v>
      </c>
      <c r="P213" s="160" t="str">
        <f t="shared" si="51"/>
        <v>4-5,9 литра</v>
      </c>
      <c r="Q213" s="101" t="str">
        <f t="shared" si="64"/>
        <v>5-10 л</v>
      </c>
      <c r="R213" s="153">
        <f t="shared" si="52"/>
        <v>290</v>
      </c>
      <c r="S213" s="153">
        <f t="shared" si="53"/>
        <v>225</v>
      </c>
      <c r="T213" s="153">
        <f t="shared" si="54"/>
        <v>90</v>
      </c>
      <c r="U213" s="16">
        <f t="shared" si="55"/>
        <v>0.35206999999999999</v>
      </c>
      <c r="V213" s="16" t="str">
        <f t="shared" si="56"/>
        <v/>
      </c>
      <c r="W213" s="16" t="str">
        <f t="shared" si="57"/>
        <v>Плоские</v>
      </c>
      <c r="X213" s="159" t="str">
        <f t="shared" si="61"/>
        <v>200-299 мм</v>
      </c>
      <c r="Y213" s="159" t="str">
        <f t="shared" si="62"/>
        <v>200-299 мм</v>
      </c>
      <c r="Z213" s="159" t="str">
        <f t="shared" si="63"/>
        <v>10-99 мм</v>
      </c>
      <c r="AA213" s="100" t="str">
        <f t="shared" si="58"/>
        <v>Самосборные</v>
      </c>
      <c r="AB213" s="16">
        <v>1.73</v>
      </c>
      <c r="AC213" s="100" t="str">
        <f t="shared" si="59"/>
        <v>6-7 литра</v>
      </c>
    </row>
    <row r="214" spans="1:29" x14ac:dyDescent="0.3">
      <c r="A214" s="53">
        <v>0.19</v>
      </c>
      <c r="B214" s="59">
        <f t="shared" si="60"/>
        <v>0.22799999999999998</v>
      </c>
      <c r="C214" s="108">
        <v>214</v>
      </c>
      <c r="D214" s="115" t="s">
        <v>27</v>
      </c>
      <c r="E214" s="87" t="s">
        <v>560</v>
      </c>
      <c r="G214" s="82" t="s">
        <v>143</v>
      </c>
      <c r="H214" s="89" t="s">
        <v>147</v>
      </c>
      <c r="I214" s="82" t="s">
        <v>144</v>
      </c>
      <c r="J214" s="82" t="s">
        <v>27</v>
      </c>
      <c r="K214" s="115" t="s">
        <v>561</v>
      </c>
      <c r="N214" s="171">
        <f t="shared" si="50"/>
        <v>1</v>
      </c>
      <c r="O214" s="74">
        <f t="shared" si="65"/>
        <v>0.49</v>
      </c>
      <c r="P214" s="160" t="str">
        <f t="shared" si="51"/>
        <v>0,1-0,9 литров</v>
      </c>
      <c r="Q214" s="101" t="str">
        <f t="shared" si="64"/>
        <v>&lt;1 л</v>
      </c>
      <c r="R214" s="153">
        <f t="shared" si="52"/>
        <v>110</v>
      </c>
      <c r="S214" s="153">
        <f t="shared" si="53"/>
        <v>98</v>
      </c>
      <c r="T214" s="153">
        <f t="shared" si="54"/>
        <v>45</v>
      </c>
      <c r="U214" s="16">
        <f t="shared" si="55"/>
        <v>7.1875999999999995E-2</v>
      </c>
      <c r="V214" s="16" t="str">
        <f t="shared" si="56"/>
        <v/>
      </c>
      <c r="W214" s="16" t="str">
        <f t="shared" si="57"/>
        <v>Плоские</v>
      </c>
      <c r="X214" s="159" t="str">
        <f t="shared" si="61"/>
        <v>100-199 мм</v>
      </c>
      <c r="Y214" s="159" t="str">
        <f t="shared" si="62"/>
        <v>10-99 мм</v>
      </c>
      <c r="Z214" s="159" t="str">
        <f t="shared" si="63"/>
        <v>10-99 мм</v>
      </c>
      <c r="AA214" s="100" t="str">
        <f t="shared" si="58"/>
        <v>Самосборные</v>
      </c>
      <c r="AB214" s="16">
        <v>1.73</v>
      </c>
      <c r="AC214" s="100" t="str">
        <f t="shared" si="59"/>
        <v>0-1 литров</v>
      </c>
    </row>
    <row r="215" spans="1:29" ht="20.6" x14ac:dyDescent="0.3">
      <c r="A215" s="53">
        <v>0.38</v>
      </c>
      <c r="B215" s="59">
        <f t="shared" si="60"/>
        <v>0.45599999999999996</v>
      </c>
      <c r="C215" s="108">
        <v>215</v>
      </c>
      <c r="D215" s="76" t="s">
        <v>563</v>
      </c>
      <c r="E215" s="87" t="s">
        <v>113</v>
      </c>
      <c r="F215" s="212" t="s">
        <v>562</v>
      </c>
      <c r="G215" s="82" t="s">
        <v>143</v>
      </c>
      <c r="H215" s="89" t="s">
        <v>20</v>
      </c>
      <c r="I215" s="82" t="s">
        <v>21</v>
      </c>
      <c r="J215" s="82" t="s">
        <v>296</v>
      </c>
      <c r="K215" s="115" t="s">
        <v>137</v>
      </c>
      <c r="N215" s="171">
        <f t="shared" si="50"/>
        <v>0</v>
      </c>
      <c r="O215" s="74">
        <f t="shared" si="65"/>
        <v>2.48</v>
      </c>
      <c r="P215" s="160" t="str">
        <f t="shared" si="51"/>
        <v>2-2,9 литра</v>
      </c>
      <c r="Q215" s="101" t="str">
        <f t="shared" si="64"/>
        <v>2-3 л</v>
      </c>
      <c r="R215" s="153">
        <f t="shared" si="52"/>
        <v>95</v>
      </c>
      <c r="S215" s="153">
        <f t="shared" si="53"/>
        <v>95</v>
      </c>
      <c r="T215" s="153">
        <f t="shared" si="54"/>
        <v>275</v>
      </c>
      <c r="U215" s="16">
        <f t="shared" si="55"/>
        <v>0.16632</v>
      </c>
      <c r="V215" s="16" t="str">
        <f t="shared" si="56"/>
        <v>Длинные</v>
      </c>
      <c r="W215" s="16" t="str">
        <f t="shared" si="57"/>
        <v/>
      </c>
      <c r="X215" s="159" t="str">
        <f t="shared" si="61"/>
        <v>200-299 мм</v>
      </c>
      <c r="Y215" s="159" t="str">
        <f t="shared" si="62"/>
        <v>10-99 мм</v>
      </c>
      <c r="Z215" s="159" t="str">
        <f t="shared" si="63"/>
        <v>10-99 мм</v>
      </c>
      <c r="AA215" s="100" t="str">
        <f t="shared" si="58"/>
        <v>Самосборные</v>
      </c>
      <c r="AB215" s="16">
        <v>1.73</v>
      </c>
      <c r="AC215" s="100" t="str">
        <f t="shared" si="59"/>
        <v>2-3 литра</v>
      </c>
    </row>
    <row r="216" spans="1:29" x14ac:dyDescent="0.3">
      <c r="A216" s="53">
        <v>0.48</v>
      </c>
      <c r="B216" s="59">
        <f t="shared" si="60"/>
        <v>0.57599999999999996</v>
      </c>
      <c r="C216" s="108">
        <v>216</v>
      </c>
      <c r="D216" s="115" t="s">
        <v>27</v>
      </c>
      <c r="E216" s="87" t="s">
        <v>567</v>
      </c>
      <c r="G216" s="82" t="s">
        <v>143</v>
      </c>
      <c r="H216" s="89" t="s">
        <v>147</v>
      </c>
      <c r="I216" s="82" t="s">
        <v>144</v>
      </c>
      <c r="J216" s="82" t="s">
        <v>296</v>
      </c>
      <c r="K216" s="115" t="s">
        <v>568</v>
      </c>
      <c r="N216" s="171">
        <f t="shared" si="50"/>
        <v>1</v>
      </c>
      <c r="O216" s="74">
        <f t="shared" si="65"/>
        <v>2.64</v>
      </c>
      <c r="P216" s="160" t="str">
        <f t="shared" si="51"/>
        <v>2-2,9 литра</v>
      </c>
      <c r="Q216" s="101" t="str">
        <f t="shared" si="64"/>
        <v>2-3 л</v>
      </c>
      <c r="R216" s="153">
        <f t="shared" si="52"/>
        <v>300</v>
      </c>
      <c r="S216" s="153">
        <f t="shared" si="53"/>
        <v>220</v>
      </c>
      <c r="T216" s="153">
        <f t="shared" si="54"/>
        <v>40</v>
      </c>
      <c r="U216" s="16">
        <f t="shared" si="55"/>
        <v>0.29480000000000001</v>
      </c>
      <c r="V216" s="16" t="str">
        <f t="shared" si="56"/>
        <v/>
      </c>
      <c r="W216" s="16" t="str">
        <f t="shared" si="57"/>
        <v>Плоские</v>
      </c>
      <c r="X216" s="159" t="str">
        <f t="shared" si="61"/>
        <v>300-399 мм</v>
      </c>
      <c r="Y216" s="159" t="str">
        <f t="shared" si="62"/>
        <v>200-299 мм</v>
      </c>
      <c r="Z216" s="159" t="str">
        <f t="shared" si="63"/>
        <v>10-99 мм</v>
      </c>
      <c r="AA216" s="100" t="str">
        <f t="shared" si="58"/>
        <v>Самосборные</v>
      </c>
      <c r="AB216" s="16">
        <v>1.73</v>
      </c>
      <c r="AC216" s="100" t="str">
        <f t="shared" si="59"/>
        <v>2-3 литра</v>
      </c>
    </row>
    <row r="217" spans="1:29" x14ac:dyDescent="0.3">
      <c r="A217" s="53">
        <v>1.42</v>
      </c>
      <c r="B217" s="59">
        <f t="shared" si="60"/>
        <v>1.704</v>
      </c>
      <c r="C217" s="108">
        <v>217</v>
      </c>
      <c r="D217" s="75" t="s">
        <v>957</v>
      </c>
      <c r="E217" s="87" t="s">
        <v>569</v>
      </c>
      <c r="F217" s="212" t="s">
        <v>569</v>
      </c>
      <c r="G217" s="82" t="s">
        <v>143</v>
      </c>
      <c r="H217" s="89" t="s">
        <v>147</v>
      </c>
      <c r="I217" s="82" t="s">
        <v>21</v>
      </c>
      <c r="J217" s="82" t="s">
        <v>564</v>
      </c>
      <c r="K217" s="115" t="s">
        <v>570</v>
      </c>
      <c r="N217" s="171">
        <f t="shared" si="50"/>
        <v>0</v>
      </c>
      <c r="O217" s="74">
        <f t="shared" si="65"/>
        <v>11.47</v>
      </c>
      <c r="P217" s="160" t="str">
        <f t="shared" si="51"/>
        <v>10-14,9 литров</v>
      </c>
      <c r="Q217" s="101" t="str">
        <f t="shared" si="64"/>
        <v>10-20 л</v>
      </c>
      <c r="R217" s="153">
        <f t="shared" si="52"/>
        <v>516</v>
      </c>
      <c r="S217" s="153">
        <f t="shared" si="53"/>
        <v>463</v>
      </c>
      <c r="T217" s="153">
        <f t="shared" si="54"/>
        <v>48</v>
      </c>
      <c r="U217" s="16">
        <f t="shared" si="55"/>
        <v>1.047342</v>
      </c>
      <c r="V217" s="16" t="str">
        <f t="shared" si="56"/>
        <v/>
      </c>
      <c r="W217" s="16" t="str">
        <f t="shared" si="57"/>
        <v>Плоские</v>
      </c>
      <c r="X217" s="159" t="str">
        <f t="shared" si="61"/>
        <v>500-599 мм</v>
      </c>
      <c r="Y217" s="159" t="str">
        <f t="shared" si="62"/>
        <v>400-499 мм</v>
      </c>
      <c r="Z217" s="159" t="str">
        <f t="shared" si="63"/>
        <v>10-99 мм</v>
      </c>
      <c r="AA217" s="100" t="str">
        <f t="shared" si="58"/>
        <v>Самосборные</v>
      </c>
      <c r="AB217" s="16">
        <v>1.73</v>
      </c>
      <c r="AC217" s="100" t="str">
        <f t="shared" si="59"/>
        <v>10-14 литров</v>
      </c>
    </row>
    <row r="218" spans="1:29" x14ac:dyDescent="0.3">
      <c r="A218" s="53">
        <v>0.28000000000000003</v>
      </c>
      <c r="B218" s="59">
        <f t="shared" si="60"/>
        <v>0.33600000000000002</v>
      </c>
      <c r="C218" s="108">
        <v>218</v>
      </c>
      <c r="D218" s="115" t="s">
        <v>27</v>
      </c>
      <c r="E218" s="87" t="s">
        <v>571</v>
      </c>
      <c r="G218" s="82" t="s">
        <v>18</v>
      </c>
      <c r="H218" s="89" t="s">
        <v>19</v>
      </c>
      <c r="I218" s="82" t="s">
        <v>21</v>
      </c>
      <c r="J218" s="82" t="s">
        <v>27</v>
      </c>
      <c r="K218" s="115" t="s">
        <v>572</v>
      </c>
      <c r="N218" s="171">
        <f t="shared" si="50"/>
        <v>1</v>
      </c>
      <c r="O218" s="74">
        <f t="shared" si="65"/>
        <v>2.59</v>
      </c>
      <c r="P218" s="160" t="str">
        <f t="shared" si="51"/>
        <v>2-2,9 литра</v>
      </c>
      <c r="Q218" s="101" t="str">
        <f t="shared" si="64"/>
        <v>2-3 л</v>
      </c>
      <c r="R218" s="153">
        <f t="shared" si="52"/>
        <v>120</v>
      </c>
      <c r="S218" s="153">
        <f t="shared" si="53"/>
        <v>120</v>
      </c>
      <c r="T218" s="153">
        <f t="shared" si="54"/>
        <v>180</v>
      </c>
      <c r="U218" s="16">
        <f t="shared" si="55"/>
        <v>0.16632</v>
      </c>
      <c r="V218" s="16" t="str">
        <f t="shared" si="56"/>
        <v/>
      </c>
      <c r="W218" s="16" t="str">
        <f t="shared" si="57"/>
        <v/>
      </c>
      <c r="X218" s="159" t="str">
        <f t="shared" si="61"/>
        <v>100-199 мм</v>
      </c>
      <c r="Y218" s="159" t="str">
        <f t="shared" si="62"/>
        <v>100-199 мм</v>
      </c>
      <c r="Z218" s="159" t="str">
        <f t="shared" si="63"/>
        <v>100-199 мм</v>
      </c>
      <c r="AA218" s="100" t="str">
        <f t="shared" si="58"/>
        <v>Четырехклапанные</v>
      </c>
      <c r="AB218" s="16">
        <v>1.73</v>
      </c>
      <c r="AC218" s="100" t="str">
        <f t="shared" si="59"/>
        <v>2-3 литра</v>
      </c>
    </row>
    <row r="219" spans="1:29" x14ac:dyDescent="0.3">
      <c r="A219" s="53">
        <v>2.6</v>
      </c>
      <c r="B219" s="59">
        <f t="shared" si="60"/>
        <v>3.12</v>
      </c>
      <c r="C219" s="108">
        <v>219</v>
      </c>
      <c r="D219" s="115" t="s">
        <v>27</v>
      </c>
      <c r="E219" s="87" t="s">
        <v>573</v>
      </c>
      <c r="G219" s="82" t="s">
        <v>18</v>
      </c>
      <c r="H219" s="89" t="s">
        <v>19</v>
      </c>
      <c r="I219" s="82" t="s">
        <v>21</v>
      </c>
      <c r="J219" s="82" t="s">
        <v>27</v>
      </c>
      <c r="K219" s="115" t="s">
        <v>574</v>
      </c>
      <c r="N219" s="171">
        <f t="shared" si="50"/>
        <v>1</v>
      </c>
      <c r="O219" s="74">
        <f t="shared" si="65"/>
        <v>60.59</v>
      </c>
      <c r="P219" s="160" t="str">
        <f t="shared" si="51"/>
        <v>60-69 литров</v>
      </c>
      <c r="Q219" s="101" t="str">
        <f t="shared" si="64"/>
        <v>50-100 л</v>
      </c>
      <c r="R219" s="153">
        <f t="shared" si="52"/>
        <v>730</v>
      </c>
      <c r="S219" s="153">
        <f t="shared" si="53"/>
        <v>415</v>
      </c>
      <c r="T219" s="153">
        <f t="shared" si="54"/>
        <v>200</v>
      </c>
      <c r="U219" s="16">
        <f t="shared" si="55"/>
        <v>1.4640500000000001</v>
      </c>
      <c r="V219" s="16" t="str">
        <f t="shared" si="56"/>
        <v/>
      </c>
      <c r="W219" s="16" t="str">
        <f t="shared" si="57"/>
        <v>Плоские</v>
      </c>
      <c r="X219" s="159" t="str">
        <f t="shared" si="61"/>
        <v>700-999 мм</v>
      </c>
      <c r="Y219" s="159" t="str">
        <f t="shared" si="62"/>
        <v>400-499 мм</v>
      </c>
      <c r="Z219" s="159" t="str">
        <f t="shared" si="63"/>
        <v>200-299 мм</v>
      </c>
      <c r="AA219" s="100" t="str">
        <f t="shared" si="58"/>
        <v>Четырехклапанные</v>
      </c>
      <c r="AB219" s="16">
        <v>1.73</v>
      </c>
      <c r="AC219" s="100" t="str">
        <f t="shared" si="59"/>
        <v>60-69 литров</v>
      </c>
    </row>
    <row r="220" spans="1:29" x14ac:dyDescent="0.3">
      <c r="A220" s="53">
        <v>0.16</v>
      </c>
      <c r="B220" s="59">
        <f t="shared" si="60"/>
        <v>0.192</v>
      </c>
      <c r="C220" s="108">
        <v>220</v>
      </c>
      <c r="D220" s="115" t="s">
        <v>27</v>
      </c>
      <c r="E220" s="87" t="s">
        <v>575</v>
      </c>
      <c r="G220" s="82" t="s">
        <v>143</v>
      </c>
      <c r="H220" s="89" t="s">
        <v>20</v>
      </c>
      <c r="I220" s="82" t="s">
        <v>144</v>
      </c>
      <c r="J220" s="82" t="s">
        <v>296</v>
      </c>
      <c r="K220" s="115" t="s">
        <v>576</v>
      </c>
      <c r="L220" s="103" t="s">
        <v>870</v>
      </c>
      <c r="M220" s="17" t="s">
        <v>0</v>
      </c>
      <c r="N220" s="171">
        <f t="shared" si="50"/>
        <v>1</v>
      </c>
      <c r="O220" s="74">
        <f t="shared" si="65"/>
        <v>0.53</v>
      </c>
      <c r="P220" s="160" t="str">
        <f t="shared" si="51"/>
        <v>0,1-0,9 литров</v>
      </c>
      <c r="Q220" s="101" t="str">
        <f t="shared" si="64"/>
        <v>&lt;1 л</v>
      </c>
      <c r="R220" s="153">
        <f t="shared" si="52"/>
        <v>50</v>
      </c>
      <c r="S220" s="153">
        <f t="shared" si="53"/>
        <v>50</v>
      </c>
      <c r="T220" s="153">
        <f t="shared" si="54"/>
        <v>210</v>
      </c>
      <c r="U220" s="16">
        <f t="shared" si="55"/>
        <v>6.9680000000000006E-2</v>
      </c>
      <c r="V220" s="16" t="str">
        <f t="shared" si="56"/>
        <v>Длинные</v>
      </c>
      <c r="W220" s="16" t="str">
        <f t="shared" si="57"/>
        <v/>
      </c>
      <c r="X220" s="159" t="str">
        <f t="shared" si="61"/>
        <v>200-299 мм</v>
      </c>
      <c r="Y220" s="159" t="str">
        <f t="shared" si="62"/>
        <v>10-99 мм</v>
      </c>
      <c r="Z220" s="159" t="str">
        <f t="shared" si="63"/>
        <v>10-99 мм</v>
      </c>
      <c r="AA220" s="100" t="str">
        <f t="shared" si="58"/>
        <v>Самосборные</v>
      </c>
      <c r="AB220" s="16">
        <v>1.73</v>
      </c>
      <c r="AC220" s="100" t="str">
        <f t="shared" si="59"/>
        <v>0-1 литров</v>
      </c>
    </row>
    <row r="221" spans="1:29" x14ac:dyDescent="0.3">
      <c r="A221" s="53">
        <v>0.24</v>
      </c>
      <c r="B221" s="59">
        <f t="shared" si="60"/>
        <v>0.28799999999999998</v>
      </c>
      <c r="C221" s="108">
        <v>221</v>
      </c>
      <c r="D221" s="115" t="s">
        <v>27</v>
      </c>
      <c r="E221" s="87" t="s">
        <v>577</v>
      </c>
      <c r="G221" s="82" t="s">
        <v>18</v>
      </c>
      <c r="H221" s="89" t="s">
        <v>19</v>
      </c>
      <c r="I221" s="82" t="s">
        <v>21</v>
      </c>
      <c r="J221" s="82" t="s">
        <v>296</v>
      </c>
      <c r="K221" s="115" t="s">
        <v>578</v>
      </c>
      <c r="N221" s="171">
        <f t="shared" si="50"/>
        <v>1</v>
      </c>
      <c r="O221" s="74">
        <f t="shared" si="65"/>
        <v>1.98</v>
      </c>
      <c r="P221" s="160" t="str">
        <f t="shared" si="51"/>
        <v>1-1,9 литра</v>
      </c>
      <c r="Q221" s="101" t="str">
        <f t="shared" si="64"/>
        <v>1-2 л</v>
      </c>
      <c r="R221" s="153">
        <f t="shared" si="52"/>
        <v>125</v>
      </c>
      <c r="S221" s="153">
        <f t="shared" si="53"/>
        <v>125</v>
      </c>
      <c r="T221" s="153">
        <f t="shared" si="54"/>
        <v>127</v>
      </c>
      <c r="U221" s="16">
        <f t="shared" si="55"/>
        <v>0.14560000000000001</v>
      </c>
      <c r="V221" s="16" t="str">
        <f t="shared" si="56"/>
        <v/>
      </c>
      <c r="W221" s="16" t="str">
        <f t="shared" si="57"/>
        <v/>
      </c>
      <c r="X221" s="159" t="str">
        <f t="shared" si="61"/>
        <v>100-199 мм</v>
      </c>
      <c r="Y221" s="159" t="str">
        <f t="shared" si="62"/>
        <v>100-199 мм</v>
      </c>
      <c r="Z221" s="159" t="str">
        <f t="shared" si="63"/>
        <v>100-199 мм</v>
      </c>
      <c r="AA221" s="100" t="str">
        <f t="shared" si="58"/>
        <v>Четырехклапанные</v>
      </c>
      <c r="AB221" s="16">
        <v>1.73</v>
      </c>
      <c r="AC221" s="100" t="str">
        <f t="shared" si="59"/>
        <v>2-3 литра</v>
      </c>
    </row>
    <row r="222" spans="1:29" x14ac:dyDescent="0.3">
      <c r="A222" s="53">
        <v>0.83</v>
      </c>
      <c r="B222" s="59">
        <f t="shared" si="60"/>
        <v>0.99599999999999989</v>
      </c>
      <c r="C222" s="108">
        <v>222</v>
      </c>
      <c r="D222" s="75" t="s">
        <v>581</v>
      </c>
      <c r="E222" s="87" t="s">
        <v>579</v>
      </c>
      <c r="G222" s="82" t="s">
        <v>143</v>
      </c>
      <c r="H222" s="89" t="s">
        <v>156</v>
      </c>
      <c r="I222" s="82" t="s">
        <v>21</v>
      </c>
      <c r="J222" s="82" t="s">
        <v>296</v>
      </c>
      <c r="K222" s="115" t="s">
        <v>580</v>
      </c>
      <c r="N222" s="171">
        <f t="shared" si="50"/>
        <v>1</v>
      </c>
      <c r="O222" s="74">
        <f t="shared" si="65"/>
        <v>3.58</v>
      </c>
      <c r="P222" s="160" t="str">
        <f t="shared" si="51"/>
        <v>3-3,9 литра</v>
      </c>
      <c r="Q222" s="101" t="str">
        <f t="shared" si="64"/>
        <v>3-5 л</v>
      </c>
      <c r="R222" s="153">
        <f t="shared" si="52"/>
        <v>550</v>
      </c>
      <c r="S222" s="153">
        <f t="shared" si="53"/>
        <v>260</v>
      </c>
      <c r="T222" s="153">
        <f t="shared" si="54"/>
        <v>25</v>
      </c>
      <c r="U222" s="16">
        <f t="shared" si="55"/>
        <v>0.49224000000000001</v>
      </c>
      <c r="V222" s="16" t="str">
        <f t="shared" si="56"/>
        <v>Длинные</v>
      </c>
      <c r="W222" s="16" t="str">
        <f t="shared" si="57"/>
        <v>Плоские</v>
      </c>
      <c r="X222" s="159" t="str">
        <f t="shared" si="61"/>
        <v>500-599 мм</v>
      </c>
      <c r="Y222" s="159" t="str">
        <f t="shared" si="62"/>
        <v>200-299 мм</v>
      </c>
      <c r="Z222" s="159" t="str">
        <f t="shared" si="63"/>
        <v>10-99 мм</v>
      </c>
      <c r="AA222" s="100" t="str">
        <f t="shared" si="58"/>
        <v>Самосборные</v>
      </c>
      <c r="AB222" s="16">
        <v>1.73</v>
      </c>
      <c r="AC222" s="100" t="str">
        <f t="shared" si="59"/>
        <v>4-5 литра</v>
      </c>
    </row>
    <row r="223" spans="1:29" x14ac:dyDescent="0.3">
      <c r="A223" s="53">
        <v>0.45</v>
      </c>
      <c r="B223" s="59">
        <f t="shared" si="60"/>
        <v>0.54</v>
      </c>
      <c r="C223" s="108">
        <v>223</v>
      </c>
      <c r="D223" s="115" t="s">
        <v>27</v>
      </c>
      <c r="E223" s="87" t="s">
        <v>582</v>
      </c>
      <c r="G223" s="82" t="s">
        <v>143</v>
      </c>
      <c r="H223" s="89" t="s">
        <v>583</v>
      </c>
      <c r="I223" s="82" t="s">
        <v>144</v>
      </c>
      <c r="J223" s="82" t="s">
        <v>296</v>
      </c>
      <c r="K223" s="115" t="s">
        <v>584</v>
      </c>
      <c r="N223" s="171">
        <f t="shared" si="50"/>
        <v>1</v>
      </c>
      <c r="O223" s="74">
        <f t="shared" si="65"/>
        <v>0.68</v>
      </c>
      <c r="P223" s="160" t="str">
        <f t="shared" si="51"/>
        <v>0,1-0,9 литров</v>
      </c>
      <c r="Q223" s="101" t="str">
        <f t="shared" si="64"/>
        <v>&lt;1 л</v>
      </c>
      <c r="R223" s="153">
        <f t="shared" si="52"/>
        <v>310</v>
      </c>
      <c r="S223" s="153">
        <f t="shared" si="53"/>
        <v>220</v>
      </c>
      <c r="T223" s="153">
        <f t="shared" si="54"/>
        <v>10</v>
      </c>
      <c r="U223" s="16">
        <f t="shared" si="55"/>
        <v>0.26656000000000002</v>
      </c>
      <c r="V223" s="16" t="str">
        <f t="shared" si="56"/>
        <v/>
      </c>
      <c r="W223" s="16" t="str">
        <f t="shared" si="57"/>
        <v>Плоские</v>
      </c>
      <c r="X223" s="159" t="str">
        <f t="shared" si="61"/>
        <v>300-399 мм</v>
      </c>
      <c r="Y223" s="159" t="str">
        <f t="shared" si="62"/>
        <v>200-299 мм</v>
      </c>
      <c r="Z223" s="159" t="str">
        <f t="shared" si="63"/>
        <v>10-99 мм</v>
      </c>
      <c r="AA223" s="100" t="str">
        <f t="shared" si="58"/>
        <v>Самосборные</v>
      </c>
      <c r="AB223" s="16">
        <v>1.73</v>
      </c>
      <c r="AC223" s="100" t="str">
        <f t="shared" si="59"/>
        <v>0-1 литров</v>
      </c>
    </row>
    <row r="224" spans="1:29" x14ac:dyDescent="0.3">
      <c r="A224" s="53">
        <v>10.67</v>
      </c>
      <c r="B224" s="59">
        <f t="shared" si="60"/>
        <v>12.804</v>
      </c>
      <c r="C224" s="108">
        <v>224</v>
      </c>
      <c r="D224" s="115" t="s">
        <v>27</v>
      </c>
      <c r="E224" s="87" t="s">
        <v>585</v>
      </c>
      <c r="G224" s="82" t="s">
        <v>143</v>
      </c>
      <c r="H224" s="89" t="s">
        <v>320</v>
      </c>
      <c r="I224" s="82" t="s">
        <v>239</v>
      </c>
      <c r="J224" s="82" t="s">
        <v>296</v>
      </c>
      <c r="K224" s="115" t="s">
        <v>586</v>
      </c>
      <c r="N224" s="171">
        <f t="shared" si="50"/>
        <v>1</v>
      </c>
      <c r="O224" s="74">
        <f t="shared" si="65"/>
        <v>190.74</v>
      </c>
      <c r="P224" s="160" t="str">
        <f t="shared" si="51"/>
        <v>100-200 литров</v>
      </c>
      <c r="Q224" s="101" t="str">
        <f t="shared" si="64"/>
        <v>100+ л</v>
      </c>
      <c r="R224" s="153">
        <f t="shared" si="52"/>
        <v>1650</v>
      </c>
      <c r="S224" s="153">
        <f t="shared" si="53"/>
        <v>340</v>
      </c>
      <c r="T224" s="153">
        <f t="shared" si="54"/>
        <v>340</v>
      </c>
      <c r="U224" s="16">
        <f t="shared" si="55"/>
        <v>2.7795200000000002</v>
      </c>
      <c r="V224" s="16" t="str">
        <f t="shared" si="56"/>
        <v>Длинные</v>
      </c>
      <c r="W224" s="16" t="str">
        <f t="shared" si="57"/>
        <v/>
      </c>
      <c r="X224" s="159" t="str">
        <f t="shared" si="61"/>
        <v>1000+ мм</v>
      </c>
      <c r="Y224" s="159" t="str">
        <f t="shared" si="62"/>
        <v>300-399 мм</v>
      </c>
      <c r="Z224" s="159" t="str">
        <f t="shared" si="63"/>
        <v>300-399 мм</v>
      </c>
      <c r="AA224" s="100" t="str">
        <f t="shared" si="58"/>
        <v>Самосборные</v>
      </c>
      <c r="AB224" s="16">
        <v>1.73</v>
      </c>
      <c r="AC224" s="100" t="str">
        <f t="shared" si="59"/>
        <v>100-200 литров</v>
      </c>
    </row>
    <row r="225" spans="1:29" x14ac:dyDescent="0.3">
      <c r="A225" s="53">
        <v>0.21</v>
      </c>
      <c r="B225" s="59">
        <f t="shared" si="60"/>
        <v>0.252</v>
      </c>
      <c r="C225" s="108">
        <v>225</v>
      </c>
      <c r="D225" s="75" t="s">
        <v>590</v>
      </c>
      <c r="E225" s="87" t="s">
        <v>588</v>
      </c>
      <c r="G225" s="82" t="s">
        <v>143</v>
      </c>
      <c r="H225" s="89" t="s">
        <v>147</v>
      </c>
      <c r="I225" s="82" t="s">
        <v>21</v>
      </c>
      <c r="J225" s="82" t="s">
        <v>587</v>
      </c>
      <c r="K225" s="115" t="s">
        <v>589</v>
      </c>
      <c r="L225" s="103" t="s">
        <v>870</v>
      </c>
      <c r="M225" s="17" t="s">
        <v>0</v>
      </c>
      <c r="N225" s="171">
        <f t="shared" si="50"/>
        <v>1</v>
      </c>
      <c r="O225" s="74">
        <f t="shared" si="65"/>
        <v>0.35</v>
      </c>
      <c r="P225" s="160" t="str">
        <f t="shared" si="51"/>
        <v>0,1-0,9 литров</v>
      </c>
      <c r="Q225" s="101" t="str">
        <f t="shared" si="64"/>
        <v>&lt;1 л</v>
      </c>
      <c r="R225" s="153">
        <f t="shared" si="52"/>
        <v>100</v>
      </c>
      <c r="S225" s="153">
        <f t="shared" si="53"/>
        <v>70</v>
      </c>
      <c r="T225" s="153">
        <f t="shared" si="54"/>
        <v>50</v>
      </c>
      <c r="U225" s="16">
        <f t="shared" si="55"/>
        <v>5.1200000000000002E-2</v>
      </c>
      <c r="V225" s="16" t="str">
        <f t="shared" si="56"/>
        <v/>
      </c>
      <c r="W225" s="16" t="str">
        <f t="shared" si="57"/>
        <v/>
      </c>
      <c r="X225" s="159" t="str">
        <f t="shared" si="61"/>
        <v>100-199 мм</v>
      </c>
      <c r="Y225" s="159" t="str">
        <f t="shared" si="62"/>
        <v>10-99 мм</v>
      </c>
      <c r="Z225" s="159" t="str">
        <f t="shared" si="63"/>
        <v>10-99 мм</v>
      </c>
      <c r="AA225" s="100" t="str">
        <f t="shared" si="58"/>
        <v>Самосборные</v>
      </c>
      <c r="AB225" s="16">
        <v>1.73</v>
      </c>
      <c r="AC225" s="100" t="str">
        <f t="shared" si="59"/>
        <v>0-1 литров</v>
      </c>
    </row>
    <row r="226" spans="1:29" s="61" customFormat="1" x14ac:dyDescent="0.3">
      <c r="A226" s="64">
        <v>0.2</v>
      </c>
      <c r="B226" s="65">
        <f t="shared" si="60"/>
        <v>0.24</v>
      </c>
      <c r="C226" s="109">
        <v>226</v>
      </c>
      <c r="D226" s="116" t="s">
        <v>27</v>
      </c>
      <c r="E226" s="88" t="s">
        <v>591</v>
      </c>
      <c r="F226" s="213"/>
      <c r="G226" s="83" t="s">
        <v>143</v>
      </c>
      <c r="H226" s="89" t="s">
        <v>222</v>
      </c>
      <c r="I226" s="83" t="s">
        <v>21</v>
      </c>
      <c r="J226" s="83" t="s">
        <v>296</v>
      </c>
      <c r="K226" s="116" t="s">
        <v>592</v>
      </c>
      <c r="L226" s="103"/>
      <c r="M226" s="51"/>
      <c r="N226" s="171">
        <f t="shared" si="50"/>
        <v>1</v>
      </c>
      <c r="O226" s="80">
        <f t="shared" si="65"/>
        <v>0.43</v>
      </c>
      <c r="P226" s="160" t="str">
        <f t="shared" si="51"/>
        <v>0,1-0,9 литров</v>
      </c>
      <c r="Q226" s="101" t="str">
        <f t="shared" si="64"/>
        <v>&lt;1 л</v>
      </c>
      <c r="R226" s="162">
        <f t="shared" si="52"/>
        <v>100</v>
      </c>
      <c r="S226" s="162">
        <f t="shared" si="53"/>
        <v>85</v>
      </c>
      <c r="T226" s="162">
        <f t="shared" si="54"/>
        <v>50</v>
      </c>
      <c r="U226" s="66">
        <f t="shared" si="55"/>
        <v>6.1490000000000003E-2</v>
      </c>
      <c r="V226" s="66" t="str">
        <f t="shared" si="56"/>
        <v/>
      </c>
      <c r="W226" s="66" t="str">
        <f t="shared" si="57"/>
        <v/>
      </c>
      <c r="X226" s="160" t="str">
        <f t="shared" si="61"/>
        <v>100-199 мм</v>
      </c>
      <c r="Y226" s="160" t="str">
        <f t="shared" si="62"/>
        <v>10-99 мм</v>
      </c>
      <c r="Z226" s="160" t="str">
        <f t="shared" si="63"/>
        <v>10-99 мм</v>
      </c>
      <c r="AA226" s="100" t="str">
        <f t="shared" si="58"/>
        <v>Самосборные</v>
      </c>
      <c r="AB226" s="66">
        <v>1.73</v>
      </c>
      <c r="AC226" s="100" t="str">
        <f t="shared" si="59"/>
        <v>0-1 литров</v>
      </c>
    </row>
    <row r="227" spans="1:29" s="61" customFormat="1" x14ac:dyDescent="0.3">
      <c r="A227" s="64">
        <v>0.13</v>
      </c>
      <c r="B227" s="65">
        <f t="shared" si="60"/>
        <v>0.156</v>
      </c>
      <c r="C227" s="109">
        <v>227</v>
      </c>
      <c r="D227" s="77" t="s">
        <v>590</v>
      </c>
      <c r="E227" s="88" t="s">
        <v>593</v>
      </c>
      <c r="F227" s="213"/>
      <c r="G227" s="83" t="s">
        <v>143</v>
      </c>
      <c r="H227" s="89" t="s">
        <v>147</v>
      </c>
      <c r="I227" s="83" t="s">
        <v>144</v>
      </c>
      <c r="J227" s="83" t="s">
        <v>587</v>
      </c>
      <c r="K227" s="116" t="s">
        <v>594</v>
      </c>
      <c r="L227" s="103" t="s">
        <v>870</v>
      </c>
      <c r="M227" s="51" t="s">
        <v>0</v>
      </c>
      <c r="N227" s="171">
        <f t="shared" si="50"/>
        <v>1</v>
      </c>
      <c r="O227" s="80">
        <f t="shared" si="65"/>
        <v>0.2</v>
      </c>
      <c r="P227" s="160" t="str">
        <f t="shared" si="51"/>
        <v>0,1-0,9 литров</v>
      </c>
      <c r="Q227" s="101" t="str">
        <f t="shared" si="64"/>
        <v>&lt;1 л</v>
      </c>
      <c r="R227" s="162">
        <f t="shared" si="52"/>
        <v>110</v>
      </c>
      <c r="S227" s="162">
        <f t="shared" si="53"/>
        <v>60</v>
      </c>
      <c r="T227" s="162">
        <f t="shared" si="54"/>
        <v>30</v>
      </c>
      <c r="U227" s="66">
        <f t="shared" si="55"/>
        <v>3.9199999999999999E-2</v>
      </c>
      <c r="V227" s="66" t="str">
        <f t="shared" si="56"/>
        <v/>
      </c>
      <c r="W227" s="66" t="str">
        <f t="shared" si="57"/>
        <v>Плоские</v>
      </c>
      <c r="X227" s="160" t="str">
        <f t="shared" si="61"/>
        <v>100-199 мм</v>
      </c>
      <c r="Y227" s="160" t="str">
        <f t="shared" si="62"/>
        <v>10-99 мм</v>
      </c>
      <c r="Z227" s="160" t="str">
        <f t="shared" si="63"/>
        <v>10-99 мм</v>
      </c>
      <c r="AA227" s="100" t="str">
        <f t="shared" si="58"/>
        <v>Самосборные</v>
      </c>
      <c r="AB227" s="66">
        <v>1.73</v>
      </c>
      <c r="AC227" s="100" t="str">
        <f t="shared" si="59"/>
        <v>0-1 литров</v>
      </c>
    </row>
    <row r="228" spans="1:29" s="61" customFormat="1" x14ac:dyDescent="0.3">
      <c r="A228" s="64">
        <v>0.15</v>
      </c>
      <c r="B228" s="65">
        <f t="shared" si="60"/>
        <v>0.18</v>
      </c>
      <c r="C228" s="109">
        <v>228</v>
      </c>
      <c r="D228" s="77" t="s">
        <v>868</v>
      </c>
      <c r="E228" s="88" t="s">
        <v>595</v>
      </c>
      <c r="F228" s="213"/>
      <c r="G228" s="83" t="s">
        <v>143</v>
      </c>
      <c r="H228" s="89" t="s">
        <v>147</v>
      </c>
      <c r="I228" s="83" t="s">
        <v>144</v>
      </c>
      <c r="J228" s="83" t="s">
        <v>587</v>
      </c>
      <c r="K228" s="116" t="s">
        <v>596</v>
      </c>
      <c r="L228" s="103" t="s">
        <v>870</v>
      </c>
      <c r="M228" s="51" t="s">
        <v>0</v>
      </c>
      <c r="N228" s="171">
        <f t="shared" si="50"/>
        <v>0</v>
      </c>
      <c r="O228" s="80">
        <f t="shared" si="65"/>
        <v>0.27</v>
      </c>
      <c r="P228" s="160" t="str">
        <f t="shared" si="51"/>
        <v>0,1-0,9 литров</v>
      </c>
      <c r="Q228" s="101" t="str">
        <f t="shared" si="64"/>
        <v>&lt;1 л</v>
      </c>
      <c r="R228" s="162">
        <f t="shared" si="52"/>
        <v>120</v>
      </c>
      <c r="S228" s="162">
        <f t="shared" si="53"/>
        <v>90</v>
      </c>
      <c r="T228" s="162">
        <f t="shared" si="54"/>
        <v>25</v>
      </c>
      <c r="U228" s="66">
        <f t="shared" si="55"/>
        <v>5.9040000000000002E-2</v>
      </c>
      <c r="V228" s="66" t="str">
        <f t="shared" si="56"/>
        <v/>
      </c>
      <c r="W228" s="66" t="str">
        <f t="shared" si="57"/>
        <v>Плоские</v>
      </c>
      <c r="X228" s="160" t="str">
        <f t="shared" si="61"/>
        <v>100-199 мм</v>
      </c>
      <c r="Y228" s="160" t="str">
        <f t="shared" si="62"/>
        <v>10-99 мм</v>
      </c>
      <c r="Z228" s="160" t="str">
        <f t="shared" si="63"/>
        <v>10-99 мм</v>
      </c>
      <c r="AA228" s="100" t="str">
        <f t="shared" si="58"/>
        <v>Самосборные</v>
      </c>
      <c r="AB228" s="66">
        <v>1.73</v>
      </c>
      <c r="AC228" s="100" t="str">
        <f t="shared" si="59"/>
        <v>0-1 литров</v>
      </c>
    </row>
    <row r="229" spans="1:29" s="61" customFormat="1" x14ac:dyDescent="0.3">
      <c r="A229" s="64">
        <v>0.55000000000000004</v>
      </c>
      <c r="B229" s="65">
        <f t="shared" si="60"/>
        <v>0.66</v>
      </c>
      <c r="C229" s="109">
        <v>229</v>
      </c>
      <c r="D229" s="77" t="s">
        <v>868</v>
      </c>
      <c r="E229" s="88" t="s">
        <v>598</v>
      </c>
      <c r="F229" s="213"/>
      <c r="G229" s="83" t="s">
        <v>143</v>
      </c>
      <c r="H229" s="89" t="s">
        <v>175</v>
      </c>
      <c r="I229" s="83" t="s">
        <v>21</v>
      </c>
      <c r="J229" s="83" t="s">
        <v>587</v>
      </c>
      <c r="K229" s="116" t="s">
        <v>599</v>
      </c>
      <c r="L229" s="103" t="s">
        <v>870</v>
      </c>
      <c r="M229" s="51" t="s">
        <v>0</v>
      </c>
      <c r="N229" s="171">
        <f t="shared" si="50"/>
        <v>0</v>
      </c>
      <c r="O229" s="80">
        <f t="shared" si="65"/>
        <v>2.81</v>
      </c>
      <c r="P229" s="160" t="str">
        <f t="shared" si="51"/>
        <v>2-2,9 литра</v>
      </c>
      <c r="Q229" s="101" t="str">
        <f t="shared" si="64"/>
        <v>2-3 л</v>
      </c>
      <c r="R229" s="162">
        <f t="shared" si="52"/>
        <v>180</v>
      </c>
      <c r="S229" s="162">
        <f t="shared" si="53"/>
        <v>125</v>
      </c>
      <c r="T229" s="162">
        <f t="shared" si="54"/>
        <v>125</v>
      </c>
      <c r="U229" s="66">
        <f t="shared" si="55"/>
        <v>0.17286000000000001</v>
      </c>
      <c r="V229" s="66" t="str">
        <f t="shared" si="56"/>
        <v/>
      </c>
      <c r="W229" s="66" t="str">
        <f t="shared" si="57"/>
        <v/>
      </c>
      <c r="X229" s="160" t="str">
        <f t="shared" si="61"/>
        <v>100-199 мм</v>
      </c>
      <c r="Y229" s="160" t="str">
        <f t="shared" si="62"/>
        <v>100-199 мм</v>
      </c>
      <c r="Z229" s="160" t="str">
        <f t="shared" si="63"/>
        <v>100-199 мм</v>
      </c>
      <c r="AA229" s="100" t="str">
        <f t="shared" si="58"/>
        <v>Самосборные</v>
      </c>
      <c r="AB229" s="66">
        <v>1.73</v>
      </c>
      <c r="AC229" s="100" t="str">
        <f t="shared" si="59"/>
        <v>2-3 литра</v>
      </c>
    </row>
    <row r="230" spans="1:29" s="61" customFormat="1" x14ac:dyDescent="0.3">
      <c r="A230" s="64">
        <v>0.28000000000000003</v>
      </c>
      <c r="B230" s="65">
        <f t="shared" si="60"/>
        <v>0.33600000000000002</v>
      </c>
      <c r="C230" s="109">
        <v>230</v>
      </c>
      <c r="D230" s="116" t="s">
        <v>27</v>
      </c>
      <c r="E230" s="88" t="s">
        <v>601</v>
      </c>
      <c r="F230" s="213"/>
      <c r="G230" s="83" t="s">
        <v>143</v>
      </c>
      <c r="H230" s="89" t="s">
        <v>147</v>
      </c>
      <c r="I230" s="83" t="s">
        <v>21</v>
      </c>
      <c r="J230" s="83" t="s">
        <v>296</v>
      </c>
      <c r="K230" s="116" t="s">
        <v>602</v>
      </c>
      <c r="L230" s="103"/>
      <c r="M230" s="51"/>
      <c r="N230" s="171">
        <f t="shared" si="50"/>
        <v>1</v>
      </c>
      <c r="O230" s="80">
        <f t="shared" si="65"/>
        <v>0.86</v>
      </c>
      <c r="P230" s="160" t="str">
        <f t="shared" si="51"/>
        <v>0,1-0,9 литров</v>
      </c>
      <c r="Q230" s="101" t="str">
        <f t="shared" si="64"/>
        <v>&lt;1 л</v>
      </c>
      <c r="R230" s="162">
        <f t="shared" si="52"/>
        <v>190</v>
      </c>
      <c r="S230" s="162">
        <f t="shared" si="53"/>
        <v>130</v>
      </c>
      <c r="T230" s="162">
        <f t="shared" si="54"/>
        <v>35</v>
      </c>
      <c r="U230" s="66">
        <f t="shared" si="55"/>
        <v>0.1211</v>
      </c>
      <c r="V230" s="66" t="str">
        <f t="shared" si="56"/>
        <v/>
      </c>
      <c r="W230" s="66" t="str">
        <f t="shared" si="57"/>
        <v>Плоские</v>
      </c>
      <c r="X230" s="160" t="str">
        <f t="shared" si="61"/>
        <v>100-199 мм</v>
      </c>
      <c r="Y230" s="160" t="str">
        <f t="shared" si="62"/>
        <v>100-199 мм</v>
      </c>
      <c r="Z230" s="160" t="str">
        <f t="shared" si="63"/>
        <v>10-99 мм</v>
      </c>
      <c r="AA230" s="100" t="str">
        <f t="shared" si="58"/>
        <v>Самосборные</v>
      </c>
      <c r="AB230" s="66">
        <v>1.73</v>
      </c>
      <c r="AC230" s="100" t="str">
        <f t="shared" si="59"/>
        <v>0-1 литров</v>
      </c>
    </row>
    <row r="231" spans="1:29" s="61" customFormat="1" x14ac:dyDescent="0.3">
      <c r="A231" s="64">
        <v>0.48</v>
      </c>
      <c r="B231" s="65">
        <f t="shared" si="60"/>
        <v>0.57599999999999996</v>
      </c>
      <c r="C231" s="109">
        <v>231</v>
      </c>
      <c r="D231" s="116" t="s">
        <v>27</v>
      </c>
      <c r="E231" s="88" t="s">
        <v>603</v>
      </c>
      <c r="F231" s="213"/>
      <c r="G231" s="83" t="s">
        <v>143</v>
      </c>
      <c r="H231" s="89" t="s">
        <v>147</v>
      </c>
      <c r="I231" s="83" t="s">
        <v>21</v>
      </c>
      <c r="J231" s="83" t="s">
        <v>296</v>
      </c>
      <c r="K231" s="116" t="s">
        <v>604</v>
      </c>
      <c r="L231" s="103"/>
      <c r="M231" s="51"/>
      <c r="N231" s="171">
        <f t="shared" si="50"/>
        <v>1</v>
      </c>
      <c r="O231" s="80">
        <f t="shared" si="65"/>
        <v>1.95</v>
      </c>
      <c r="P231" s="160" t="str">
        <f t="shared" si="51"/>
        <v>1-1,9 литра</v>
      </c>
      <c r="Q231" s="101" t="str">
        <f t="shared" si="64"/>
        <v>1-2 л</v>
      </c>
      <c r="R231" s="162">
        <f t="shared" si="52"/>
        <v>200</v>
      </c>
      <c r="S231" s="162">
        <f t="shared" si="53"/>
        <v>150</v>
      </c>
      <c r="T231" s="162">
        <f t="shared" si="54"/>
        <v>65</v>
      </c>
      <c r="U231" s="66">
        <f t="shared" si="55"/>
        <v>0.16947999999999999</v>
      </c>
      <c r="V231" s="66" t="str">
        <f t="shared" si="56"/>
        <v/>
      </c>
      <c r="W231" s="66" t="str">
        <f t="shared" si="57"/>
        <v>Плоские</v>
      </c>
      <c r="X231" s="160" t="str">
        <f t="shared" si="61"/>
        <v>200-299 мм</v>
      </c>
      <c r="Y231" s="160" t="str">
        <f t="shared" si="62"/>
        <v>100-199 мм</v>
      </c>
      <c r="Z231" s="160" t="str">
        <f t="shared" si="63"/>
        <v>10-99 мм</v>
      </c>
      <c r="AA231" s="100" t="str">
        <f t="shared" si="58"/>
        <v>Самосборные</v>
      </c>
      <c r="AB231" s="66">
        <v>1.73</v>
      </c>
      <c r="AC231" s="100" t="str">
        <f t="shared" si="59"/>
        <v>2-3 литра</v>
      </c>
    </row>
    <row r="232" spans="1:29" s="61" customFormat="1" x14ac:dyDescent="0.3">
      <c r="A232" s="64">
        <v>0.99</v>
      </c>
      <c r="B232" s="65">
        <f t="shared" si="60"/>
        <v>1.1879999999999999</v>
      </c>
      <c r="C232" s="109">
        <v>232</v>
      </c>
      <c r="D232" s="77" t="s">
        <v>590</v>
      </c>
      <c r="E232" s="88" t="s">
        <v>605</v>
      </c>
      <c r="F232" s="213"/>
      <c r="G232" s="83" t="s">
        <v>143</v>
      </c>
      <c r="H232" s="89" t="s">
        <v>147</v>
      </c>
      <c r="I232" s="83" t="s">
        <v>21</v>
      </c>
      <c r="J232" s="83" t="s">
        <v>587</v>
      </c>
      <c r="K232" s="116" t="s">
        <v>606</v>
      </c>
      <c r="L232" s="103" t="s">
        <v>870</v>
      </c>
      <c r="M232" s="51" t="s">
        <v>0</v>
      </c>
      <c r="N232" s="171">
        <f t="shared" si="50"/>
        <v>1</v>
      </c>
      <c r="O232" s="80">
        <f t="shared" si="65"/>
        <v>4.2</v>
      </c>
      <c r="P232" s="160" t="str">
        <f t="shared" si="51"/>
        <v>4-5,9 литра</v>
      </c>
      <c r="Q232" s="101" t="str">
        <f t="shared" si="64"/>
        <v>3-5 л</v>
      </c>
      <c r="R232" s="162">
        <f t="shared" si="52"/>
        <v>210</v>
      </c>
      <c r="S232" s="162">
        <f t="shared" si="53"/>
        <v>160</v>
      </c>
      <c r="T232" s="162">
        <f t="shared" si="54"/>
        <v>125</v>
      </c>
      <c r="U232" s="66">
        <f t="shared" si="55"/>
        <v>0.2344</v>
      </c>
      <c r="V232" s="66" t="str">
        <f t="shared" si="56"/>
        <v/>
      </c>
      <c r="W232" s="66" t="str">
        <f t="shared" si="57"/>
        <v/>
      </c>
      <c r="X232" s="160" t="str">
        <f t="shared" si="61"/>
        <v>200-299 мм</v>
      </c>
      <c r="Y232" s="160" t="str">
        <f t="shared" si="62"/>
        <v>100-199 мм</v>
      </c>
      <c r="Z232" s="160" t="str">
        <f t="shared" si="63"/>
        <v>100-199 мм</v>
      </c>
      <c r="AA232" s="100" t="str">
        <f t="shared" si="58"/>
        <v>Самосборные</v>
      </c>
      <c r="AB232" s="66">
        <v>1.73</v>
      </c>
      <c r="AC232" s="100" t="str">
        <f t="shared" si="59"/>
        <v>4-5 литра</v>
      </c>
    </row>
    <row r="233" spans="1:29" s="61" customFormat="1" x14ac:dyDescent="0.3">
      <c r="A233" s="64">
        <v>1.02</v>
      </c>
      <c r="B233" s="65">
        <f t="shared" si="60"/>
        <v>1.224</v>
      </c>
      <c r="C233" s="109">
        <v>233</v>
      </c>
      <c r="D233" s="77" t="s">
        <v>590</v>
      </c>
      <c r="E233" s="88" t="s">
        <v>607</v>
      </c>
      <c r="F233" s="213"/>
      <c r="G233" s="83" t="s">
        <v>143</v>
      </c>
      <c r="H233" s="89" t="s">
        <v>175</v>
      </c>
      <c r="I233" s="83" t="s">
        <v>21</v>
      </c>
      <c r="J233" s="83" t="s">
        <v>587</v>
      </c>
      <c r="K233" s="116" t="s">
        <v>608</v>
      </c>
      <c r="L233" s="103" t="s">
        <v>870</v>
      </c>
      <c r="M233" s="51" t="s">
        <v>0</v>
      </c>
      <c r="N233" s="171">
        <f t="shared" si="50"/>
        <v>1</v>
      </c>
      <c r="O233" s="80">
        <f t="shared" si="65"/>
        <v>6.97</v>
      </c>
      <c r="P233" s="160" t="str">
        <f t="shared" si="51"/>
        <v>6-7,9 литра</v>
      </c>
      <c r="Q233" s="101" t="str">
        <f t="shared" si="64"/>
        <v>5-10 л</v>
      </c>
      <c r="R233" s="162">
        <f t="shared" si="52"/>
        <v>214</v>
      </c>
      <c r="S233" s="162">
        <f t="shared" si="53"/>
        <v>186</v>
      </c>
      <c r="T233" s="162">
        <f t="shared" si="54"/>
        <v>175</v>
      </c>
      <c r="U233" s="66">
        <f t="shared" si="55"/>
        <v>0.31734000000000001</v>
      </c>
      <c r="V233" s="66" t="str">
        <f t="shared" si="56"/>
        <v/>
      </c>
      <c r="W233" s="66" t="str">
        <f t="shared" si="57"/>
        <v/>
      </c>
      <c r="X233" s="160" t="str">
        <f t="shared" si="61"/>
        <v>200-299 мм</v>
      </c>
      <c r="Y233" s="160" t="str">
        <f t="shared" si="62"/>
        <v>100-199 мм</v>
      </c>
      <c r="Z233" s="160" t="str">
        <f t="shared" si="63"/>
        <v>100-199 мм</v>
      </c>
      <c r="AA233" s="100" t="str">
        <f t="shared" si="58"/>
        <v>Самосборные</v>
      </c>
      <c r="AB233" s="66">
        <v>1.73</v>
      </c>
      <c r="AC233" s="100" t="str">
        <f t="shared" si="59"/>
        <v>6-7 литра</v>
      </c>
    </row>
    <row r="234" spans="1:29" s="61" customFormat="1" x14ac:dyDescent="0.3">
      <c r="A234" s="64">
        <v>0.52</v>
      </c>
      <c r="B234" s="65">
        <f t="shared" si="60"/>
        <v>0.624</v>
      </c>
      <c r="C234" s="109">
        <v>234</v>
      </c>
      <c r="D234" s="77" t="s">
        <v>868</v>
      </c>
      <c r="E234" s="113"/>
      <c r="F234" s="213" t="s">
        <v>609</v>
      </c>
      <c r="G234" s="83" t="s">
        <v>143</v>
      </c>
      <c r="H234" s="89" t="s">
        <v>175</v>
      </c>
      <c r="I234" s="83" t="s">
        <v>21</v>
      </c>
      <c r="J234" s="83" t="s">
        <v>587</v>
      </c>
      <c r="K234" s="116" t="s">
        <v>610</v>
      </c>
      <c r="L234" s="103" t="s">
        <v>870</v>
      </c>
      <c r="M234" s="51" t="s">
        <v>0</v>
      </c>
      <c r="N234" s="171">
        <f t="shared" si="50"/>
        <v>0</v>
      </c>
      <c r="O234" s="80" t="e">
        <f t="shared" si="65"/>
        <v>#VALUE!</v>
      </c>
      <c r="P234" s="160" t="e">
        <f t="shared" si="51"/>
        <v>#VALUE!</v>
      </c>
      <c r="Q234" s="101" t="e">
        <f t="shared" si="64"/>
        <v>#VALUE!</v>
      </c>
      <c r="R234" s="162" t="str">
        <f t="shared" si="52"/>
        <v/>
      </c>
      <c r="S234" s="162" t="str">
        <f t="shared" si="53"/>
        <v/>
      </c>
      <c r="T234" s="162" t="str">
        <f t="shared" si="54"/>
        <v/>
      </c>
      <c r="U234" s="66" t="e">
        <f t="shared" si="55"/>
        <v>#VALUE!</v>
      </c>
      <c r="V234" s="66" t="e">
        <f t="shared" si="56"/>
        <v>#VALUE!</v>
      </c>
      <c r="W234" s="66" t="e">
        <f t="shared" si="57"/>
        <v>#VALUE!</v>
      </c>
      <c r="X234" s="160" t="e">
        <f t="shared" si="61"/>
        <v>#NUM!</v>
      </c>
      <c r="Y234" s="160" t="e">
        <f t="shared" si="62"/>
        <v>#NUM!</v>
      </c>
      <c r="Z234" s="160" t="e">
        <f t="shared" si="63"/>
        <v>#NUM!</v>
      </c>
      <c r="AA234" s="100" t="str">
        <f t="shared" si="58"/>
        <v>Самосборные</v>
      </c>
      <c r="AB234" s="66">
        <v>1.73</v>
      </c>
      <c r="AC234" s="100" t="e">
        <f t="shared" si="59"/>
        <v>#VALUE!</v>
      </c>
    </row>
    <row r="235" spans="1:29" s="61" customFormat="1" ht="13.75" x14ac:dyDescent="0.3">
      <c r="A235" s="64">
        <v>0.23</v>
      </c>
      <c r="B235" s="65">
        <f t="shared" si="60"/>
        <v>0.27600000000000002</v>
      </c>
      <c r="C235" s="109">
        <v>235</v>
      </c>
      <c r="D235" s="116" t="s">
        <v>27</v>
      </c>
      <c r="E235" s="88" t="s">
        <v>611</v>
      </c>
      <c r="F235" s="213" t="s">
        <v>612</v>
      </c>
      <c r="G235" s="83" t="s">
        <v>143</v>
      </c>
      <c r="H235" s="89" t="s">
        <v>147</v>
      </c>
      <c r="I235" s="83" t="s">
        <v>21</v>
      </c>
      <c r="J235" s="83" t="s">
        <v>296</v>
      </c>
      <c r="K235" s="116" t="s">
        <v>613</v>
      </c>
      <c r="L235" s="103"/>
      <c r="M235" s="51"/>
      <c r="N235" s="171">
        <f t="shared" si="50"/>
        <v>1</v>
      </c>
      <c r="O235" s="80">
        <f t="shared" si="65"/>
        <v>0.75</v>
      </c>
      <c r="P235" s="160" t="str">
        <f t="shared" si="51"/>
        <v>0,1-0,9 литров</v>
      </c>
      <c r="Q235" s="101" t="str">
        <f t="shared" si="64"/>
        <v>&lt;1 л</v>
      </c>
      <c r="R235" s="162">
        <f t="shared" si="52"/>
        <v>230</v>
      </c>
      <c r="S235" s="162">
        <f t="shared" si="53"/>
        <v>65</v>
      </c>
      <c r="T235" s="162">
        <f t="shared" si="54"/>
        <v>50</v>
      </c>
      <c r="U235" s="66">
        <f t="shared" si="55"/>
        <v>7.9949999999999993E-2</v>
      </c>
      <c r="V235" s="66" t="str">
        <f t="shared" si="56"/>
        <v>Длинные</v>
      </c>
      <c r="W235" s="66" t="str">
        <f t="shared" si="57"/>
        <v/>
      </c>
      <c r="X235" s="160" t="str">
        <f t="shared" si="61"/>
        <v>200-299 мм</v>
      </c>
      <c r="Y235" s="160" t="str">
        <f t="shared" si="62"/>
        <v>10-99 мм</v>
      </c>
      <c r="Z235" s="160" t="str">
        <f t="shared" si="63"/>
        <v>10-99 мм</v>
      </c>
      <c r="AA235" s="100" t="str">
        <f t="shared" si="58"/>
        <v>Самосборные</v>
      </c>
      <c r="AB235" s="66">
        <v>1.73</v>
      </c>
      <c r="AC235" s="100" t="str">
        <f t="shared" si="59"/>
        <v>0-1 литров</v>
      </c>
    </row>
    <row r="236" spans="1:29" s="61" customFormat="1" x14ac:dyDescent="0.3">
      <c r="A236" s="64">
        <v>0.87</v>
      </c>
      <c r="B236" s="65">
        <f t="shared" si="60"/>
        <v>1.044</v>
      </c>
      <c r="C236" s="109">
        <v>236</v>
      </c>
      <c r="D236" s="77" t="s">
        <v>590</v>
      </c>
      <c r="E236" s="88" t="s">
        <v>614</v>
      </c>
      <c r="F236" s="213"/>
      <c r="G236" s="83" t="s">
        <v>143</v>
      </c>
      <c r="H236" s="89" t="s">
        <v>175</v>
      </c>
      <c r="I236" s="83" t="s">
        <v>21</v>
      </c>
      <c r="J236" s="83" t="s">
        <v>587</v>
      </c>
      <c r="K236" s="116" t="s">
        <v>615</v>
      </c>
      <c r="L236" s="103" t="s">
        <v>870</v>
      </c>
      <c r="M236" s="51" t="s">
        <v>0</v>
      </c>
      <c r="N236" s="171">
        <f t="shared" si="50"/>
        <v>1</v>
      </c>
      <c r="O236" s="80">
        <f t="shared" si="65"/>
        <v>4.2699999999999996</v>
      </c>
      <c r="P236" s="160" t="str">
        <f t="shared" si="51"/>
        <v>4-5,9 литра</v>
      </c>
      <c r="Q236" s="101" t="str">
        <f t="shared" si="64"/>
        <v>3-5 л</v>
      </c>
      <c r="R236" s="162">
        <f t="shared" si="52"/>
        <v>245</v>
      </c>
      <c r="S236" s="162">
        <f t="shared" si="53"/>
        <v>210</v>
      </c>
      <c r="T236" s="162">
        <f t="shared" si="54"/>
        <v>83</v>
      </c>
      <c r="U236" s="66">
        <f t="shared" si="55"/>
        <v>0.29197000000000001</v>
      </c>
      <c r="V236" s="66" t="str">
        <f t="shared" si="56"/>
        <v/>
      </c>
      <c r="W236" s="66" t="str">
        <f t="shared" si="57"/>
        <v>Плоские</v>
      </c>
      <c r="X236" s="160" t="str">
        <f t="shared" si="61"/>
        <v>200-299 мм</v>
      </c>
      <c r="Y236" s="160" t="str">
        <f t="shared" si="62"/>
        <v>200-299 мм</v>
      </c>
      <c r="Z236" s="160" t="str">
        <f t="shared" si="63"/>
        <v>10-99 мм</v>
      </c>
      <c r="AA236" s="100" t="str">
        <f t="shared" si="58"/>
        <v>Самосборные</v>
      </c>
      <c r="AB236" s="66">
        <v>1.73</v>
      </c>
      <c r="AC236" s="100" t="str">
        <f t="shared" si="59"/>
        <v>4-5 литра</v>
      </c>
    </row>
    <row r="237" spans="1:29" s="61" customFormat="1" x14ac:dyDescent="0.3">
      <c r="A237" s="64">
        <v>0.55000000000000004</v>
      </c>
      <c r="B237" s="65">
        <f t="shared" si="60"/>
        <v>0.66</v>
      </c>
      <c r="C237" s="109">
        <v>237</v>
      </c>
      <c r="D237" s="77" t="s">
        <v>590</v>
      </c>
      <c r="E237" s="88" t="s">
        <v>616</v>
      </c>
      <c r="F237" s="213"/>
      <c r="G237" s="83" t="s">
        <v>143</v>
      </c>
      <c r="H237" s="89" t="s">
        <v>175</v>
      </c>
      <c r="I237" s="83" t="s">
        <v>21</v>
      </c>
      <c r="J237" s="83" t="s">
        <v>587</v>
      </c>
      <c r="K237" s="116" t="s">
        <v>617</v>
      </c>
      <c r="L237" s="103" t="s">
        <v>870</v>
      </c>
      <c r="M237" s="51" t="s">
        <v>0</v>
      </c>
      <c r="N237" s="171">
        <f t="shared" si="50"/>
        <v>1</v>
      </c>
      <c r="O237" s="80">
        <f t="shared" si="65"/>
        <v>3.26</v>
      </c>
      <c r="P237" s="160" t="str">
        <f t="shared" si="51"/>
        <v>3-3,9 литра</v>
      </c>
      <c r="Q237" s="101" t="str">
        <f t="shared" si="64"/>
        <v>3-5 л</v>
      </c>
      <c r="R237" s="162">
        <f t="shared" si="52"/>
        <v>251</v>
      </c>
      <c r="S237" s="162">
        <f t="shared" si="53"/>
        <v>111</v>
      </c>
      <c r="T237" s="162">
        <f t="shared" si="54"/>
        <v>117</v>
      </c>
      <c r="U237" s="66">
        <f t="shared" si="55"/>
        <v>0.18502399999999999</v>
      </c>
      <c r="V237" s="66" t="str">
        <f t="shared" si="56"/>
        <v>Длинные</v>
      </c>
      <c r="W237" s="66" t="str">
        <f t="shared" si="57"/>
        <v/>
      </c>
      <c r="X237" s="160" t="str">
        <f t="shared" si="61"/>
        <v>200-299 мм</v>
      </c>
      <c r="Y237" s="160" t="str">
        <f t="shared" si="62"/>
        <v>100-199 мм</v>
      </c>
      <c r="Z237" s="160" t="str">
        <f t="shared" si="63"/>
        <v>100-199 мм</v>
      </c>
      <c r="AA237" s="100" t="str">
        <f t="shared" si="58"/>
        <v>Самосборные</v>
      </c>
      <c r="AB237" s="66">
        <v>1.73</v>
      </c>
      <c r="AC237" s="100" t="str">
        <f t="shared" si="59"/>
        <v>4-5 литра</v>
      </c>
    </row>
    <row r="238" spans="1:29" s="61" customFormat="1" x14ac:dyDescent="0.3">
      <c r="A238" s="64">
        <v>0.42</v>
      </c>
      <c r="B238" s="65">
        <f t="shared" si="60"/>
        <v>0.504</v>
      </c>
      <c r="C238" s="109">
        <v>238</v>
      </c>
      <c r="D238" s="77" t="s">
        <v>868</v>
      </c>
      <c r="E238" s="113"/>
      <c r="F238" s="213" t="s">
        <v>619</v>
      </c>
      <c r="G238" s="83" t="s">
        <v>143</v>
      </c>
      <c r="H238" s="89" t="s">
        <v>147</v>
      </c>
      <c r="I238" s="83" t="s">
        <v>144</v>
      </c>
      <c r="J238" s="83" t="s">
        <v>587</v>
      </c>
      <c r="K238" s="116" t="s">
        <v>620</v>
      </c>
      <c r="L238" s="103" t="s">
        <v>870</v>
      </c>
      <c r="M238" s="51" t="s">
        <v>0</v>
      </c>
      <c r="N238" s="171">
        <f t="shared" ref="N238:N255" si="66">IF(D238="","",IF(LEFT(D238,1)="0",0,1))</f>
        <v>0</v>
      </c>
      <c r="O238" s="80" t="e">
        <f t="shared" si="65"/>
        <v>#VALUE!</v>
      </c>
      <c r="P238" s="160" t="e">
        <f t="shared" si="51"/>
        <v>#VALUE!</v>
      </c>
      <c r="Q238" s="101" t="e">
        <f t="shared" si="64"/>
        <v>#VALUE!</v>
      </c>
      <c r="R238" s="162" t="str">
        <f t="shared" si="52"/>
        <v/>
      </c>
      <c r="S238" s="162" t="str">
        <f t="shared" si="53"/>
        <v/>
      </c>
      <c r="T238" s="162" t="str">
        <f t="shared" si="54"/>
        <v/>
      </c>
      <c r="U238" s="66" t="e">
        <f t="shared" si="55"/>
        <v>#VALUE!</v>
      </c>
      <c r="V238" s="66" t="e">
        <f t="shared" si="56"/>
        <v>#VALUE!</v>
      </c>
      <c r="W238" s="66" t="e">
        <f t="shared" si="57"/>
        <v>#VALUE!</v>
      </c>
      <c r="X238" s="160" t="e">
        <f t="shared" si="61"/>
        <v>#NUM!</v>
      </c>
      <c r="Y238" s="160" t="e">
        <f t="shared" si="62"/>
        <v>#NUM!</v>
      </c>
      <c r="Z238" s="160" t="e">
        <f t="shared" si="63"/>
        <v>#NUM!</v>
      </c>
      <c r="AA238" s="100" t="str">
        <f t="shared" si="58"/>
        <v>Самосборные</v>
      </c>
      <c r="AB238" s="66">
        <v>1.73</v>
      </c>
      <c r="AC238" s="100" t="e">
        <f t="shared" si="59"/>
        <v>#VALUE!</v>
      </c>
    </row>
    <row r="239" spans="1:29" s="61" customFormat="1" x14ac:dyDescent="0.3">
      <c r="A239" s="64">
        <v>0.61</v>
      </c>
      <c r="B239" s="65">
        <f t="shared" si="60"/>
        <v>0.73199999999999998</v>
      </c>
      <c r="C239" s="109">
        <v>239</v>
      </c>
      <c r="D239" s="77" t="s">
        <v>590</v>
      </c>
      <c r="E239" s="88" t="s">
        <v>621</v>
      </c>
      <c r="F239" s="213"/>
      <c r="G239" s="83" t="s">
        <v>143</v>
      </c>
      <c r="H239" s="89" t="s">
        <v>175</v>
      </c>
      <c r="I239" s="83" t="s">
        <v>21</v>
      </c>
      <c r="J239" s="83" t="s">
        <v>587</v>
      </c>
      <c r="K239" s="116" t="s">
        <v>622</v>
      </c>
      <c r="L239" s="103" t="s">
        <v>870</v>
      </c>
      <c r="M239" s="51" t="s">
        <v>0</v>
      </c>
      <c r="N239" s="171">
        <f t="shared" si="66"/>
        <v>1</v>
      </c>
      <c r="O239" s="80">
        <f t="shared" si="65"/>
        <v>3.83</v>
      </c>
      <c r="P239" s="160" t="str">
        <f t="shared" si="51"/>
        <v>3-3,9 литра</v>
      </c>
      <c r="Q239" s="101" t="str">
        <f t="shared" si="64"/>
        <v>3-5 л</v>
      </c>
      <c r="R239" s="162">
        <f t="shared" si="52"/>
        <v>290</v>
      </c>
      <c r="S239" s="162">
        <f t="shared" si="53"/>
        <v>120</v>
      </c>
      <c r="T239" s="162">
        <f t="shared" si="54"/>
        <v>110</v>
      </c>
      <c r="U239" s="66">
        <f t="shared" si="55"/>
        <v>0.20943999999999999</v>
      </c>
      <c r="V239" s="66" t="str">
        <f t="shared" si="56"/>
        <v>Длинные</v>
      </c>
      <c r="W239" s="66" t="str">
        <f t="shared" si="57"/>
        <v/>
      </c>
      <c r="X239" s="160" t="str">
        <f t="shared" si="61"/>
        <v>200-299 мм</v>
      </c>
      <c r="Y239" s="160" t="str">
        <f t="shared" si="62"/>
        <v>100-199 мм</v>
      </c>
      <c r="Z239" s="160" t="str">
        <f t="shared" si="63"/>
        <v>100-199 мм</v>
      </c>
      <c r="AA239" s="100" t="str">
        <f t="shared" si="58"/>
        <v>Самосборные</v>
      </c>
      <c r="AB239" s="66">
        <v>1.73</v>
      </c>
      <c r="AC239" s="100" t="str">
        <f t="shared" si="59"/>
        <v>4-5 литра</v>
      </c>
    </row>
    <row r="240" spans="1:29" s="61" customFormat="1" x14ac:dyDescent="0.3">
      <c r="A240" s="64">
        <v>0.5</v>
      </c>
      <c r="B240" s="65">
        <f t="shared" si="60"/>
        <v>0.6</v>
      </c>
      <c r="C240" s="109">
        <v>240</v>
      </c>
      <c r="D240" s="77" t="s">
        <v>868</v>
      </c>
      <c r="E240" s="88" t="s">
        <v>623</v>
      </c>
      <c r="F240" s="213"/>
      <c r="G240" s="83" t="s">
        <v>143</v>
      </c>
      <c r="H240" s="89" t="s">
        <v>156</v>
      </c>
      <c r="I240" s="83" t="s">
        <v>21</v>
      </c>
      <c r="J240" s="83" t="s">
        <v>587</v>
      </c>
      <c r="K240" s="116" t="s">
        <v>624</v>
      </c>
      <c r="L240" s="103"/>
      <c r="M240" s="51" t="s">
        <v>0</v>
      </c>
      <c r="N240" s="171">
        <f t="shared" si="66"/>
        <v>0</v>
      </c>
      <c r="O240" s="80">
        <f t="shared" si="65"/>
        <v>2.94</v>
      </c>
      <c r="P240" s="160" t="str">
        <f t="shared" si="51"/>
        <v>2-2,9 литра</v>
      </c>
      <c r="Q240" s="101" t="str">
        <f t="shared" si="64"/>
        <v>2-3 л</v>
      </c>
      <c r="R240" s="162">
        <f t="shared" si="52"/>
        <v>320</v>
      </c>
      <c r="S240" s="162">
        <f t="shared" si="53"/>
        <v>230</v>
      </c>
      <c r="T240" s="162">
        <f t="shared" si="54"/>
        <v>40</v>
      </c>
      <c r="U240" s="66">
        <f t="shared" si="55"/>
        <v>0.32247999999999999</v>
      </c>
      <c r="V240" s="66" t="str">
        <f t="shared" si="56"/>
        <v/>
      </c>
      <c r="W240" s="66" t="str">
        <f t="shared" si="57"/>
        <v>Плоские</v>
      </c>
      <c r="X240" s="160" t="str">
        <f t="shared" si="61"/>
        <v>300-399 мм</v>
      </c>
      <c r="Y240" s="160" t="str">
        <f t="shared" si="62"/>
        <v>200-299 мм</v>
      </c>
      <c r="Z240" s="160" t="str">
        <f t="shared" si="63"/>
        <v>10-99 мм</v>
      </c>
      <c r="AA240" s="100" t="str">
        <f t="shared" si="58"/>
        <v>Самосборные</v>
      </c>
      <c r="AB240" s="66">
        <v>1.73</v>
      </c>
      <c r="AC240" s="100" t="str">
        <f t="shared" si="59"/>
        <v>2-3 литра</v>
      </c>
    </row>
    <row r="241" spans="1:29" s="61" customFormat="1" x14ac:dyDescent="0.3">
      <c r="A241" s="64">
        <v>0.31</v>
      </c>
      <c r="B241" s="65">
        <f t="shared" si="60"/>
        <v>0.372</v>
      </c>
      <c r="C241" s="109">
        <v>241</v>
      </c>
      <c r="D241" s="116" t="s">
        <v>27</v>
      </c>
      <c r="E241" s="88" t="s">
        <v>625</v>
      </c>
      <c r="F241" s="213"/>
      <c r="G241" s="83" t="s">
        <v>143</v>
      </c>
      <c r="H241" s="89" t="s">
        <v>147</v>
      </c>
      <c r="I241" s="83" t="s">
        <v>144</v>
      </c>
      <c r="J241" s="83" t="s">
        <v>296</v>
      </c>
      <c r="K241" s="116" t="s">
        <v>626</v>
      </c>
      <c r="L241" s="103"/>
      <c r="M241" s="51"/>
      <c r="N241" s="171">
        <f t="shared" si="66"/>
        <v>1</v>
      </c>
      <c r="O241" s="80">
        <f t="shared" si="65"/>
        <v>0.55000000000000004</v>
      </c>
      <c r="P241" s="160" t="str">
        <f t="shared" si="51"/>
        <v>0,1-0,9 литров</v>
      </c>
      <c r="Q241" s="101" t="str">
        <f t="shared" si="64"/>
        <v>&lt;1 л</v>
      </c>
      <c r="R241" s="162">
        <f t="shared" si="52"/>
        <v>100</v>
      </c>
      <c r="S241" s="162">
        <f t="shared" si="53"/>
        <v>100</v>
      </c>
      <c r="T241" s="162">
        <f t="shared" si="54"/>
        <v>55</v>
      </c>
      <c r="U241" s="66">
        <f t="shared" si="55"/>
        <v>7.4980000000000005E-2</v>
      </c>
      <c r="V241" s="66" t="str">
        <f t="shared" si="56"/>
        <v/>
      </c>
      <c r="W241" s="66" t="str">
        <f t="shared" si="57"/>
        <v/>
      </c>
      <c r="X241" s="160" t="str">
        <f t="shared" si="61"/>
        <v>100-199 мм</v>
      </c>
      <c r="Y241" s="160" t="str">
        <f t="shared" si="62"/>
        <v>100-199 мм</v>
      </c>
      <c r="Z241" s="160" t="str">
        <f t="shared" si="63"/>
        <v>10-99 мм</v>
      </c>
      <c r="AA241" s="100" t="str">
        <f t="shared" si="58"/>
        <v>Самосборные</v>
      </c>
      <c r="AB241" s="66">
        <v>1.73</v>
      </c>
      <c r="AC241" s="100" t="str">
        <f t="shared" si="59"/>
        <v>0-1 литров</v>
      </c>
    </row>
    <row r="242" spans="1:29" s="61" customFormat="1" x14ac:dyDescent="0.3">
      <c r="A242" s="64">
        <v>1.62</v>
      </c>
      <c r="B242" s="65">
        <f t="shared" si="60"/>
        <v>1.944</v>
      </c>
      <c r="C242" s="109">
        <v>242</v>
      </c>
      <c r="D242" s="77" t="s">
        <v>629</v>
      </c>
      <c r="E242" s="88" t="s">
        <v>780</v>
      </c>
      <c r="F242" s="213" t="s">
        <v>781</v>
      </c>
      <c r="G242" s="83" t="s">
        <v>18</v>
      </c>
      <c r="H242" s="89" t="s">
        <v>19</v>
      </c>
      <c r="I242" s="83" t="s">
        <v>21</v>
      </c>
      <c r="J242" s="83" t="s">
        <v>627</v>
      </c>
      <c r="K242" s="116" t="s">
        <v>628</v>
      </c>
      <c r="L242" s="103" t="s">
        <v>870</v>
      </c>
      <c r="M242" s="51" t="s">
        <v>0</v>
      </c>
      <c r="N242" s="171">
        <f t="shared" si="66"/>
        <v>1</v>
      </c>
      <c r="O242" s="80">
        <f t="shared" si="65"/>
        <v>96</v>
      </c>
      <c r="P242" s="160" t="str">
        <f t="shared" si="51"/>
        <v>90-99 литров</v>
      </c>
      <c r="Q242" s="101" t="str">
        <f t="shared" si="64"/>
        <v>50-100 л</v>
      </c>
      <c r="R242" s="162">
        <f t="shared" si="52"/>
        <v>600</v>
      </c>
      <c r="S242" s="162">
        <f t="shared" si="53"/>
        <v>400</v>
      </c>
      <c r="T242" s="162">
        <f t="shared" si="54"/>
        <v>400</v>
      </c>
      <c r="U242" s="66">
        <f t="shared" si="55"/>
        <v>1.66448</v>
      </c>
      <c r="V242" s="66" t="str">
        <f t="shared" si="56"/>
        <v/>
      </c>
      <c r="W242" s="66" t="str">
        <f t="shared" si="57"/>
        <v/>
      </c>
      <c r="X242" s="160" t="str">
        <f t="shared" si="61"/>
        <v>600-699 мм</v>
      </c>
      <c r="Y242" s="160" t="str">
        <f t="shared" si="62"/>
        <v>400-499 мм</v>
      </c>
      <c r="Z242" s="160" t="str">
        <f t="shared" si="63"/>
        <v>400-499 мм</v>
      </c>
      <c r="AA242" s="100" t="str">
        <f t="shared" si="58"/>
        <v>Четырехклапанные</v>
      </c>
      <c r="AB242" s="66">
        <v>1.73</v>
      </c>
      <c r="AC242" s="100" t="str">
        <f t="shared" si="59"/>
        <v>90-99 литров</v>
      </c>
    </row>
    <row r="243" spans="1:29" s="61" customFormat="1" x14ac:dyDescent="0.3">
      <c r="A243" s="64">
        <v>1.86</v>
      </c>
      <c r="B243" s="65">
        <f t="shared" si="60"/>
        <v>2.2320000000000002</v>
      </c>
      <c r="C243" s="109">
        <v>243</v>
      </c>
      <c r="D243" s="77" t="s">
        <v>629</v>
      </c>
      <c r="E243" s="88" t="s">
        <v>780</v>
      </c>
      <c r="F243" s="213" t="s">
        <v>782</v>
      </c>
      <c r="G243" s="83" t="s">
        <v>18</v>
      </c>
      <c r="H243" s="89" t="s">
        <v>19</v>
      </c>
      <c r="I243" s="83" t="s">
        <v>143</v>
      </c>
      <c r="J243" s="83" t="s">
        <v>627</v>
      </c>
      <c r="K243" s="116" t="s">
        <v>630</v>
      </c>
      <c r="L243" s="103" t="s">
        <v>870</v>
      </c>
      <c r="M243" s="51" t="s">
        <v>0</v>
      </c>
      <c r="N243" s="171">
        <f t="shared" si="66"/>
        <v>1</v>
      </c>
      <c r="O243" s="80">
        <f t="shared" si="65"/>
        <v>96</v>
      </c>
      <c r="P243" s="160" t="str">
        <f t="shared" si="51"/>
        <v>90-99 литров</v>
      </c>
      <c r="Q243" s="101" t="str">
        <f t="shared" si="64"/>
        <v>50-100 л</v>
      </c>
      <c r="R243" s="162">
        <f t="shared" si="52"/>
        <v>600</v>
      </c>
      <c r="S243" s="162">
        <f t="shared" si="53"/>
        <v>400</v>
      </c>
      <c r="T243" s="162">
        <f t="shared" si="54"/>
        <v>400</v>
      </c>
      <c r="U243" s="66">
        <f t="shared" si="55"/>
        <v>1.66448</v>
      </c>
      <c r="V243" s="66" t="str">
        <f t="shared" si="56"/>
        <v/>
      </c>
      <c r="W243" s="66" t="str">
        <f t="shared" si="57"/>
        <v/>
      </c>
      <c r="X243" s="160" t="str">
        <f t="shared" si="61"/>
        <v>600-699 мм</v>
      </c>
      <c r="Y243" s="160" t="str">
        <f t="shared" si="62"/>
        <v>400-499 мм</v>
      </c>
      <c r="Z243" s="160" t="str">
        <f t="shared" si="63"/>
        <v>400-499 мм</v>
      </c>
      <c r="AA243" s="100" t="str">
        <f t="shared" si="58"/>
        <v>Четырехклапанные</v>
      </c>
      <c r="AB243" s="66">
        <v>1.73</v>
      </c>
      <c r="AC243" s="100" t="str">
        <f t="shared" si="59"/>
        <v>90-99 литров</v>
      </c>
    </row>
    <row r="244" spans="1:29" s="61" customFormat="1" x14ac:dyDescent="0.3">
      <c r="A244" s="64">
        <v>2.83</v>
      </c>
      <c r="B244" s="65">
        <f t="shared" si="60"/>
        <v>3.3959999999999999</v>
      </c>
      <c r="C244" s="109">
        <v>244</v>
      </c>
      <c r="D244" s="77" t="s">
        <v>632</v>
      </c>
      <c r="E244" s="88" t="s">
        <v>780</v>
      </c>
      <c r="F244" s="213" t="s">
        <v>783</v>
      </c>
      <c r="G244" s="83" t="s">
        <v>18</v>
      </c>
      <c r="H244" s="89" t="s">
        <v>19</v>
      </c>
      <c r="I244" s="83" t="s">
        <v>239</v>
      </c>
      <c r="J244" s="83" t="s">
        <v>627</v>
      </c>
      <c r="K244" s="116" t="s">
        <v>631</v>
      </c>
      <c r="L244" s="103" t="s">
        <v>870</v>
      </c>
      <c r="M244" s="51" t="s">
        <v>0</v>
      </c>
      <c r="N244" s="171">
        <f t="shared" si="66"/>
        <v>1</v>
      </c>
      <c r="O244" s="80">
        <f t="shared" si="65"/>
        <v>96</v>
      </c>
      <c r="P244" s="160" t="str">
        <f t="shared" si="51"/>
        <v>90-99 литров</v>
      </c>
      <c r="Q244" s="101" t="str">
        <f t="shared" si="64"/>
        <v>50-100 л</v>
      </c>
      <c r="R244" s="162">
        <f t="shared" si="52"/>
        <v>600</v>
      </c>
      <c r="S244" s="162">
        <f t="shared" si="53"/>
        <v>400</v>
      </c>
      <c r="T244" s="162">
        <f t="shared" si="54"/>
        <v>400</v>
      </c>
      <c r="U244" s="66">
        <f t="shared" si="55"/>
        <v>1.66448</v>
      </c>
      <c r="V244" s="66" t="str">
        <f t="shared" si="56"/>
        <v/>
      </c>
      <c r="W244" s="66" t="str">
        <f t="shared" si="57"/>
        <v/>
      </c>
      <c r="X244" s="160" t="str">
        <f t="shared" si="61"/>
        <v>600-699 мм</v>
      </c>
      <c r="Y244" s="160" t="str">
        <f t="shared" si="62"/>
        <v>400-499 мм</v>
      </c>
      <c r="Z244" s="160" t="str">
        <f t="shared" si="63"/>
        <v>400-499 мм</v>
      </c>
      <c r="AA244" s="100" t="str">
        <f t="shared" si="58"/>
        <v>Четырехклапанные</v>
      </c>
      <c r="AB244" s="66">
        <v>1.73</v>
      </c>
      <c r="AC244" s="100" t="str">
        <f t="shared" si="59"/>
        <v>90-99 литров</v>
      </c>
    </row>
    <row r="245" spans="1:29" s="61" customFormat="1" x14ac:dyDescent="0.3">
      <c r="A245" s="64">
        <v>1.28</v>
      </c>
      <c r="B245" s="65">
        <f t="shared" si="60"/>
        <v>1.536</v>
      </c>
      <c r="C245" s="109">
        <v>245</v>
      </c>
      <c r="D245" s="77" t="s">
        <v>635</v>
      </c>
      <c r="E245" s="88" t="s">
        <v>633</v>
      </c>
      <c r="F245" s="213"/>
      <c r="G245" s="83" t="s">
        <v>18</v>
      </c>
      <c r="H245" s="89" t="s">
        <v>19</v>
      </c>
      <c r="I245" s="83" t="s">
        <v>21</v>
      </c>
      <c r="J245" s="83" t="s">
        <v>627</v>
      </c>
      <c r="K245" s="116" t="s">
        <v>634</v>
      </c>
      <c r="L245" s="103"/>
      <c r="M245" s="51"/>
      <c r="N245" s="171">
        <f t="shared" si="66"/>
        <v>1</v>
      </c>
      <c r="O245" s="80">
        <f t="shared" si="65"/>
        <v>52.8</v>
      </c>
      <c r="P245" s="160" t="str">
        <f t="shared" si="51"/>
        <v>50-59 литров</v>
      </c>
      <c r="Q245" s="101" t="str">
        <f t="shared" si="64"/>
        <v>50-100 л</v>
      </c>
      <c r="R245" s="162">
        <f t="shared" si="52"/>
        <v>600</v>
      </c>
      <c r="S245" s="162">
        <f t="shared" si="53"/>
        <v>400</v>
      </c>
      <c r="T245" s="162">
        <f t="shared" si="54"/>
        <v>220</v>
      </c>
      <c r="U245" s="66">
        <f t="shared" si="55"/>
        <v>1.2936799999999999</v>
      </c>
      <c r="V245" s="66" t="str">
        <f t="shared" si="56"/>
        <v/>
      </c>
      <c r="W245" s="66" t="str">
        <f t="shared" si="57"/>
        <v/>
      </c>
      <c r="X245" s="160" t="str">
        <f t="shared" si="61"/>
        <v>600-699 мм</v>
      </c>
      <c r="Y245" s="160" t="str">
        <f t="shared" si="62"/>
        <v>400-499 мм</v>
      </c>
      <c r="Z245" s="160" t="str">
        <f t="shared" si="63"/>
        <v>200-299 мм</v>
      </c>
      <c r="AA245" s="100" t="str">
        <f t="shared" si="58"/>
        <v>Четырехклапанные</v>
      </c>
      <c r="AB245" s="66">
        <v>1.73</v>
      </c>
      <c r="AC245" s="100" t="str">
        <f t="shared" si="59"/>
        <v>50-59 литров</v>
      </c>
    </row>
    <row r="246" spans="1:29" s="61" customFormat="1" x14ac:dyDescent="0.3">
      <c r="A246" s="64">
        <v>0.8</v>
      </c>
      <c r="B246" s="65">
        <f t="shared" si="60"/>
        <v>0.96</v>
      </c>
      <c r="C246" s="109">
        <v>246</v>
      </c>
      <c r="D246" s="116" t="s">
        <v>27</v>
      </c>
      <c r="E246" s="88" t="s">
        <v>636</v>
      </c>
      <c r="F246" s="213"/>
      <c r="G246" s="83" t="s">
        <v>548</v>
      </c>
      <c r="H246" s="89" t="s">
        <v>549</v>
      </c>
      <c r="I246" s="83" t="s">
        <v>144</v>
      </c>
      <c r="J246" s="83" t="s">
        <v>27</v>
      </c>
      <c r="K246" s="116" t="s">
        <v>637</v>
      </c>
      <c r="L246" s="103"/>
      <c r="M246" s="51"/>
      <c r="N246" s="171">
        <f t="shared" si="66"/>
        <v>1</v>
      </c>
      <c r="O246" s="80">
        <f t="shared" si="65"/>
        <v>4.5</v>
      </c>
      <c r="P246" s="160" t="str">
        <f t="shared" si="51"/>
        <v>4-5,9 литра</v>
      </c>
      <c r="Q246" s="101" t="str">
        <f t="shared" si="64"/>
        <v>3-5 л</v>
      </c>
      <c r="R246" s="162">
        <f t="shared" si="52"/>
        <v>300</v>
      </c>
      <c r="S246" s="162">
        <f t="shared" si="53"/>
        <v>300</v>
      </c>
      <c r="T246" s="162">
        <f t="shared" si="54"/>
        <v>50</v>
      </c>
      <c r="U246" s="66">
        <f t="shared" si="55"/>
        <v>0.45107999999999998</v>
      </c>
      <c r="V246" s="66" t="str">
        <f t="shared" si="56"/>
        <v/>
      </c>
      <c r="W246" s="66" t="str">
        <f t="shared" si="57"/>
        <v>Плоские</v>
      </c>
      <c r="X246" s="160" t="str">
        <f t="shared" si="61"/>
        <v>300-399 мм</v>
      </c>
      <c r="Y246" s="160" t="str">
        <f t="shared" si="62"/>
        <v>300-399 мм</v>
      </c>
      <c r="Z246" s="160" t="str">
        <f t="shared" si="63"/>
        <v>10-99 мм</v>
      </c>
      <c r="AA246" s="100" t="str">
        <f t="shared" si="58"/>
        <v>Крышка-дно</v>
      </c>
      <c r="AB246" s="66">
        <v>1.73</v>
      </c>
      <c r="AC246" s="100" t="str">
        <f t="shared" si="59"/>
        <v>4-5 литра</v>
      </c>
    </row>
    <row r="247" spans="1:29" s="61" customFormat="1" x14ac:dyDescent="0.3">
      <c r="A247" s="64">
        <v>1.1599999999999999</v>
      </c>
      <c r="B247" s="65">
        <f t="shared" si="60"/>
        <v>1.3919999999999999</v>
      </c>
      <c r="C247" s="109">
        <v>247</v>
      </c>
      <c r="D247" s="116" t="s">
        <v>27</v>
      </c>
      <c r="E247" s="88" t="s">
        <v>638</v>
      </c>
      <c r="F247" s="213"/>
      <c r="G247" s="83" t="s">
        <v>548</v>
      </c>
      <c r="H247" s="89" t="s">
        <v>549</v>
      </c>
      <c r="I247" s="83" t="s">
        <v>144</v>
      </c>
      <c r="J247" s="83" t="s">
        <v>27</v>
      </c>
      <c r="K247" s="116" t="s">
        <v>639</v>
      </c>
      <c r="L247" s="103"/>
      <c r="M247" s="51"/>
      <c r="N247" s="171">
        <f t="shared" si="66"/>
        <v>1</v>
      </c>
      <c r="O247" s="80">
        <f t="shared" si="65"/>
        <v>7.2</v>
      </c>
      <c r="P247" s="160" t="str">
        <f t="shared" si="51"/>
        <v>6-7,9 литра</v>
      </c>
      <c r="Q247" s="101" t="str">
        <f t="shared" si="64"/>
        <v>5-10 л</v>
      </c>
      <c r="R247" s="162">
        <f t="shared" si="52"/>
        <v>300</v>
      </c>
      <c r="S247" s="162">
        <f t="shared" si="53"/>
        <v>300</v>
      </c>
      <c r="T247" s="162">
        <f t="shared" si="54"/>
        <v>80</v>
      </c>
      <c r="U247" s="66">
        <f t="shared" si="55"/>
        <v>0.48887999999999998</v>
      </c>
      <c r="V247" s="66" t="str">
        <f t="shared" si="56"/>
        <v/>
      </c>
      <c r="W247" s="66" t="str">
        <f t="shared" si="57"/>
        <v>Плоские</v>
      </c>
      <c r="X247" s="160" t="str">
        <f t="shared" si="61"/>
        <v>300-399 мм</v>
      </c>
      <c r="Y247" s="160" t="str">
        <f t="shared" si="62"/>
        <v>300-399 мм</v>
      </c>
      <c r="Z247" s="160" t="str">
        <f t="shared" si="63"/>
        <v>10-99 мм</v>
      </c>
      <c r="AA247" s="100" t="str">
        <f t="shared" si="58"/>
        <v>Крышка-дно</v>
      </c>
      <c r="AB247" s="66">
        <v>1.73</v>
      </c>
      <c r="AC247" s="100" t="str">
        <f t="shared" si="59"/>
        <v>8-9 литров</v>
      </c>
    </row>
    <row r="248" spans="1:29" s="61" customFormat="1" x14ac:dyDescent="0.3">
      <c r="A248" s="64">
        <v>0.9</v>
      </c>
      <c r="B248" s="65">
        <f t="shared" si="60"/>
        <v>1.08</v>
      </c>
      <c r="C248" s="109">
        <v>248</v>
      </c>
      <c r="D248" s="116" t="s">
        <v>27</v>
      </c>
      <c r="E248" s="88" t="s">
        <v>640</v>
      </c>
      <c r="F248" s="213"/>
      <c r="G248" s="83" t="s">
        <v>548</v>
      </c>
      <c r="H248" s="89" t="s">
        <v>549</v>
      </c>
      <c r="I248" s="83" t="s">
        <v>144</v>
      </c>
      <c r="J248" s="83" t="s">
        <v>27</v>
      </c>
      <c r="K248" s="116" t="s">
        <v>641</v>
      </c>
      <c r="L248" s="103"/>
      <c r="M248" s="51"/>
      <c r="N248" s="171">
        <f t="shared" si="66"/>
        <v>1</v>
      </c>
      <c r="O248" s="80">
        <f t="shared" si="65"/>
        <v>5</v>
      </c>
      <c r="P248" s="160" t="str">
        <f t="shared" si="51"/>
        <v>4-5,9 литра</v>
      </c>
      <c r="Q248" s="101" t="str">
        <f t="shared" si="64"/>
        <v>5-10 л</v>
      </c>
      <c r="R248" s="162">
        <f t="shared" si="52"/>
        <v>250</v>
      </c>
      <c r="S248" s="162">
        <f t="shared" si="53"/>
        <v>250</v>
      </c>
      <c r="T248" s="162">
        <f t="shared" si="54"/>
        <v>80</v>
      </c>
      <c r="U248" s="66">
        <f t="shared" si="55"/>
        <v>0.35827999999999999</v>
      </c>
      <c r="V248" s="66" t="str">
        <f t="shared" si="56"/>
        <v/>
      </c>
      <c r="W248" s="66" t="str">
        <f t="shared" si="57"/>
        <v>Плоские</v>
      </c>
      <c r="X248" s="160" t="str">
        <f t="shared" si="61"/>
        <v>200-299 мм</v>
      </c>
      <c r="Y248" s="160" t="str">
        <f t="shared" si="62"/>
        <v>200-299 мм</v>
      </c>
      <c r="Z248" s="160" t="str">
        <f t="shared" si="63"/>
        <v>10-99 мм</v>
      </c>
      <c r="AA248" s="100" t="str">
        <f t="shared" si="58"/>
        <v>Крышка-дно</v>
      </c>
      <c r="AB248" s="66">
        <v>1.73</v>
      </c>
      <c r="AC248" s="100" t="str">
        <f t="shared" si="59"/>
        <v>4-5 литра</v>
      </c>
    </row>
    <row r="249" spans="1:29" s="61" customFormat="1" x14ac:dyDescent="0.3">
      <c r="A249" s="64">
        <v>0.99</v>
      </c>
      <c r="B249" s="65">
        <f t="shared" si="60"/>
        <v>1.1879999999999999</v>
      </c>
      <c r="C249" s="109">
        <v>249</v>
      </c>
      <c r="D249" s="77" t="s">
        <v>581</v>
      </c>
      <c r="E249" s="88" t="s">
        <v>642</v>
      </c>
      <c r="F249" s="213"/>
      <c r="G249" s="83" t="s">
        <v>18</v>
      </c>
      <c r="H249" s="89" t="s">
        <v>19</v>
      </c>
      <c r="I249" s="83" t="s">
        <v>21</v>
      </c>
      <c r="J249" s="83" t="s">
        <v>627</v>
      </c>
      <c r="K249" s="116" t="s">
        <v>643</v>
      </c>
      <c r="L249" s="103"/>
      <c r="M249" s="51" t="s">
        <v>858</v>
      </c>
      <c r="N249" s="171">
        <f t="shared" si="66"/>
        <v>1</v>
      </c>
      <c r="O249" s="80">
        <f t="shared" si="65"/>
        <v>30</v>
      </c>
      <c r="P249" s="160" t="str">
        <f t="shared" si="51"/>
        <v>30-49 литров</v>
      </c>
      <c r="Q249" s="101" t="str">
        <f t="shared" si="64"/>
        <v>20-50 л</v>
      </c>
      <c r="R249" s="162">
        <f t="shared" si="52"/>
        <v>400</v>
      </c>
      <c r="S249" s="162">
        <f t="shared" si="53"/>
        <v>300</v>
      </c>
      <c r="T249" s="162">
        <f t="shared" si="54"/>
        <v>250</v>
      </c>
      <c r="U249" s="66">
        <f t="shared" si="55"/>
        <v>0.81467999999999996</v>
      </c>
      <c r="V249" s="66" t="str">
        <f t="shared" si="56"/>
        <v/>
      </c>
      <c r="W249" s="66" t="str">
        <f t="shared" si="57"/>
        <v/>
      </c>
      <c r="X249" s="160" t="str">
        <f t="shared" si="61"/>
        <v>400-499 мм</v>
      </c>
      <c r="Y249" s="160" t="str">
        <f t="shared" si="62"/>
        <v>300-399 мм</v>
      </c>
      <c r="Z249" s="160" t="str">
        <f t="shared" si="63"/>
        <v>200-299 мм</v>
      </c>
      <c r="AA249" s="100" t="str">
        <f t="shared" si="58"/>
        <v>Четырехклапанные</v>
      </c>
      <c r="AB249" s="66">
        <v>1.73</v>
      </c>
      <c r="AC249" s="100" t="str">
        <f t="shared" si="59"/>
        <v>30-49 литров</v>
      </c>
    </row>
    <row r="250" spans="1:29" s="61" customFormat="1" x14ac:dyDescent="0.3">
      <c r="A250" s="64">
        <v>0.13</v>
      </c>
      <c r="B250" s="65">
        <f t="shared" si="60"/>
        <v>0.156</v>
      </c>
      <c r="C250" s="109">
        <v>250</v>
      </c>
      <c r="D250" s="77" t="s">
        <v>590</v>
      </c>
      <c r="E250" s="88" t="s">
        <v>924</v>
      </c>
      <c r="F250" s="213"/>
      <c r="G250" s="83" t="s">
        <v>143</v>
      </c>
      <c r="H250" s="89" t="s">
        <v>147</v>
      </c>
      <c r="I250" s="83" t="s">
        <v>144</v>
      </c>
      <c r="J250" s="83" t="s">
        <v>587</v>
      </c>
      <c r="K250" s="116" t="s">
        <v>925</v>
      </c>
      <c r="L250" s="103" t="s">
        <v>870</v>
      </c>
      <c r="M250" s="51"/>
      <c r="N250" s="171">
        <f t="shared" si="66"/>
        <v>1</v>
      </c>
      <c r="O250" s="80">
        <f t="shared" si="65"/>
        <v>0.2</v>
      </c>
      <c r="P250" s="160" t="str">
        <f t="shared" si="51"/>
        <v>0,1-0,9 литров</v>
      </c>
      <c r="Q250" s="101" t="str">
        <f t="shared" si="64"/>
        <v>&lt;1 л</v>
      </c>
      <c r="R250" s="162">
        <f t="shared" si="52"/>
        <v>100</v>
      </c>
      <c r="S250" s="162">
        <f t="shared" si="53"/>
        <v>100</v>
      </c>
      <c r="T250" s="162">
        <f t="shared" si="54"/>
        <v>20</v>
      </c>
      <c r="U250" s="66">
        <f t="shared" si="55"/>
        <v>5.8880000000000002E-2</v>
      </c>
      <c r="V250" s="66" t="str">
        <f t="shared" si="56"/>
        <v/>
      </c>
      <c r="W250" s="66" t="str">
        <f t="shared" si="57"/>
        <v>Плоские</v>
      </c>
      <c r="X250" s="160" t="str">
        <f t="shared" si="61"/>
        <v>100-199 мм</v>
      </c>
      <c r="Y250" s="160" t="str">
        <f t="shared" si="62"/>
        <v>100-199 мм</v>
      </c>
      <c r="Z250" s="160" t="str">
        <f t="shared" si="63"/>
        <v>10-99 мм</v>
      </c>
      <c r="AA250" s="100" t="str">
        <f t="shared" si="58"/>
        <v>Самосборные</v>
      </c>
      <c r="AB250" s="66">
        <v>1.73</v>
      </c>
      <c r="AC250" s="100" t="str">
        <f t="shared" si="59"/>
        <v>0-1 литров</v>
      </c>
    </row>
    <row r="251" spans="1:29" s="61" customFormat="1" x14ac:dyDescent="0.3">
      <c r="A251" s="64">
        <v>0.56000000000000005</v>
      </c>
      <c r="B251" s="65">
        <f t="shared" si="60"/>
        <v>0.67200000000000004</v>
      </c>
      <c r="C251" s="109">
        <v>251</v>
      </c>
      <c r="D251" s="116" t="s">
        <v>27</v>
      </c>
      <c r="E251" s="88" t="s">
        <v>647</v>
      </c>
      <c r="F251" s="213"/>
      <c r="G251" s="83" t="s">
        <v>143</v>
      </c>
      <c r="H251" s="89" t="s">
        <v>147</v>
      </c>
      <c r="I251" s="83" t="s">
        <v>144</v>
      </c>
      <c r="J251" s="83" t="s">
        <v>296</v>
      </c>
      <c r="K251" s="116" t="s">
        <v>648</v>
      </c>
      <c r="L251" s="103"/>
      <c r="M251" s="51"/>
      <c r="N251" s="171">
        <f t="shared" si="66"/>
        <v>1</v>
      </c>
      <c r="O251" s="80">
        <f t="shared" si="65"/>
        <v>3.1</v>
      </c>
      <c r="P251" s="160" t="str">
        <f t="shared" si="51"/>
        <v>3-3,9 литра</v>
      </c>
      <c r="Q251" s="101" t="str">
        <f t="shared" si="64"/>
        <v>3-5 л</v>
      </c>
      <c r="R251" s="162">
        <f t="shared" si="52"/>
        <v>395</v>
      </c>
      <c r="S251" s="162">
        <f t="shared" si="53"/>
        <v>102</v>
      </c>
      <c r="T251" s="162">
        <f t="shared" si="54"/>
        <v>77</v>
      </c>
      <c r="U251" s="66">
        <f t="shared" si="55"/>
        <v>0.197098</v>
      </c>
      <c r="V251" s="66" t="str">
        <f t="shared" si="56"/>
        <v>Длинные</v>
      </c>
      <c r="W251" s="66" t="str">
        <f t="shared" si="57"/>
        <v/>
      </c>
      <c r="X251" s="160" t="str">
        <f t="shared" si="61"/>
        <v>300-399 мм</v>
      </c>
      <c r="Y251" s="160" t="str">
        <f t="shared" si="62"/>
        <v>100-199 мм</v>
      </c>
      <c r="Z251" s="160" t="str">
        <f t="shared" si="63"/>
        <v>10-99 мм</v>
      </c>
      <c r="AA251" s="100" t="str">
        <f t="shared" si="58"/>
        <v>Самосборные</v>
      </c>
      <c r="AB251" s="66">
        <v>1.73</v>
      </c>
      <c r="AC251" s="100" t="str">
        <f t="shared" si="59"/>
        <v>4-5 литра</v>
      </c>
    </row>
    <row r="252" spans="1:29" s="61" customFormat="1" x14ac:dyDescent="0.3">
      <c r="A252" s="64">
        <v>0.53</v>
      </c>
      <c r="B252" s="65">
        <f t="shared" si="60"/>
        <v>0.63600000000000001</v>
      </c>
      <c r="C252" s="109">
        <v>252</v>
      </c>
      <c r="D252" s="116" t="s">
        <v>27</v>
      </c>
      <c r="E252" s="88" t="s">
        <v>649</v>
      </c>
      <c r="F252" s="213"/>
      <c r="G252" s="83" t="s">
        <v>143</v>
      </c>
      <c r="H252" s="89" t="s">
        <v>147</v>
      </c>
      <c r="I252" s="83" t="s">
        <v>144</v>
      </c>
      <c r="J252" s="83" t="s">
        <v>296</v>
      </c>
      <c r="K252" s="116" t="s">
        <v>650</v>
      </c>
      <c r="L252" s="103"/>
      <c r="M252" s="51"/>
      <c r="N252" s="171">
        <f t="shared" si="66"/>
        <v>1</v>
      </c>
      <c r="O252" s="80">
        <f t="shared" si="65"/>
        <v>4.8899999999999997</v>
      </c>
      <c r="P252" s="160" t="str">
        <f t="shared" si="51"/>
        <v>4-5,9 литра</v>
      </c>
      <c r="Q252" s="101" t="str">
        <f t="shared" si="64"/>
        <v>3-5 л</v>
      </c>
      <c r="R252" s="162">
        <f t="shared" si="52"/>
        <v>420</v>
      </c>
      <c r="S252" s="162">
        <f t="shared" si="53"/>
        <v>142</v>
      </c>
      <c r="T252" s="162">
        <f t="shared" si="54"/>
        <v>82</v>
      </c>
      <c r="U252" s="66">
        <f t="shared" si="55"/>
        <v>0.27468799999999999</v>
      </c>
      <c r="V252" s="66" t="str">
        <f t="shared" si="56"/>
        <v>Длинные</v>
      </c>
      <c r="W252" s="66" t="str">
        <f t="shared" si="57"/>
        <v/>
      </c>
      <c r="X252" s="160" t="str">
        <f t="shared" si="61"/>
        <v>400-499 мм</v>
      </c>
      <c r="Y252" s="160" t="str">
        <f t="shared" si="62"/>
        <v>100-199 мм</v>
      </c>
      <c r="Z252" s="160" t="str">
        <f t="shared" si="63"/>
        <v>10-99 мм</v>
      </c>
      <c r="AA252" s="100" t="str">
        <f t="shared" si="58"/>
        <v>Самосборные</v>
      </c>
      <c r="AB252" s="66">
        <v>1.73</v>
      </c>
      <c r="AC252" s="100" t="str">
        <f t="shared" si="59"/>
        <v>4-5 литра</v>
      </c>
    </row>
    <row r="253" spans="1:29" s="61" customFormat="1" x14ac:dyDescent="0.3">
      <c r="A253" s="64">
        <v>0.24</v>
      </c>
      <c r="B253" s="65">
        <f t="shared" si="60"/>
        <v>0.28799999999999998</v>
      </c>
      <c r="C253" s="109">
        <v>253</v>
      </c>
      <c r="D253" s="116" t="s">
        <v>27</v>
      </c>
      <c r="E253" s="88" t="s">
        <v>651</v>
      </c>
      <c r="F253" s="213"/>
      <c r="G253" s="83" t="s">
        <v>143</v>
      </c>
      <c r="H253" s="89" t="s">
        <v>20</v>
      </c>
      <c r="I253" s="83" t="s">
        <v>144</v>
      </c>
      <c r="J253" s="83" t="s">
        <v>296</v>
      </c>
      <c r="K253" s="116" t="s">
        <v>652</v>
      </c>
      <c r="L253" s="103"/>
      <c r="M253" s="51"/>
      <c r="N253" s="171">
        <f t="shared" si="66"/>
        <v>1</v>
      </c>
      <c r="O253" s="80">
        <f t="shared" si="65"/>
        <v>1.33</v>
      </c>
      <c r="P253" s="160" t="str">
        <f t="shared" si="51"/>
        <v>1-1,9 литра</v>
      </c>
      <c r="Q253" s="101" t="str">
        <f t="shared" si="64"/>
        <v>1-2 л</v>
      </c>
      <c r="R253" s="162">
        <f t="shared" si="52"/>
        <v>110</v>
      </c>
      <c r="S253" s="162">
        <f t="shared" si="53"/>
        <v>93</v>
      </c>
      <c r="T253" s="162">
        <f t="shared" si="54"/>
        <v>130</v>
      </c>
      <c r="U253" s="66">
        <f t="shared" si="55"/>
        <v>0.10764600000000001</v>
      </c>
      <c r="V253" s="66" t="str">
        <f t="shared" si="56"/>
        <v/>
      </c>
      <c r="W253" s="66" t="str">
        <f t="shared" si="57"/>
        <v/>
      </c>
      <c r="X253" s="160" t="str">
        <f t="shared" si="61"/>
        <v>100-199 мм</v>
      </c>
      <c r="Y253" s="160" t="str">
        <f t="shared" si="62"/>
        <v>100-199 мм</v>
      </c>
      <c r="Z253" s="160" t="str">
        <f t="shared" si="63"/>
        <v>10-99 мм</v>
      </c>
      <c r="AA253" s="100" t="str">
        <f t="shared" si="58"/>
        <v>Самосборные</v>
      </c>
      <c r="AB253" s="66">
        <v>1.73</v>
      </c>
      <c r="AC253" s="100" t="str">
        <f t="shared" si="59"/>
        <v>2-3 литра</v>
      </c>
    </row>
    <row r="254" spans="1:29" s="61" customFormat="1" x14ac:dyDescent="0.3">
      <c r="A254" s="64">
        <v>0.22</v>
      </c>
      <c r="B254" s="65">
        <f t="shared" si="60"/>
        <v>0.26400000000000001</v>
      </c>
      <c r="C254" s="109">
        <v>254</v>
      </c>
      <c r="D254" s="116" t="s">
        <v>27</v>
      </c>
      <c r="E254" s="88" t="s">
        <v>653</v>
      </c>
      <c r="F254" s="213"/>
      <c r="G254" s="83" t="s">
        <v>143</v>
      </c>
      <c r="H254" s="89" t="s">
        <v>147</v>
      </c>
      <c r="I254" s="83" t="s">
        <v>144</v>
      </c>
      <c r="J254" s="83" t="s">
        <v>296</v>
      </c>
      <c r="K254" s="116" t="s">
        <v>654</v>
      </c>
      <c r="L254" s="103"/>
      <c r="M254" s="51"/>
      <c r="N254" s="171">
        <f t="shared" si="66"/>
        <v>1</v>
      </c>
      <c r="O254" s="80">
        <f t="shared" si="65"/>
        <v>0.48</v>
      </c>
      <c r="P254" s="160" t="str">
        <f t="shared" si="51"/>
        <v>0,1-0,9 литров</v>
      </c>
      <c r="Q254" s="101" t="str">
        <f t="shared" si="64"/>
        <v>&lt;1 л</v>
      </c>
      <c r="R254" s="162">
        <f t="shared" si="52"/>
        <v>110</v>
      </c>
      <c r="S254" s="162">
        <f t="shared" si="53"/>
        <v>110</v>
      </c>
      <c r="T254" s="162">
        <f t="shared" si="54"/>
        <v>40</v>
      </c>
      <c r="U254" s="66">
        <f t="shared" si="55"/>
        <v>7.9000000000000001E-2</v>
      </c>
      <c r="V254" s="66" t="str">
        <f t="shared" si="56"/>
        <v/>
      </c>
      <c r="W254" s="66" t="str">
        <f t="shared" si="57"/>
        <v>Плоские</v>
      </c>
      <c r="X254" s="160" t="str">
        <f t="shared" si="61"/>
        <v>100-199 мм</v>
      </c>
      <c r="Y254" s="160" t="str">
        <f t="shared" si="62"/>
        <v>100-199 мм</v>
      </c>
      <c r="Z254" s="160" t="str">
        <f t="shared" si="63"/>
        <v>10-99 мм</v>
      </c>
      <c r="AA254" s="100" t="str">
        <f t="shared" si="58"/>
        <v>Самосборные</v>
      </c>
      <c r="AB254" s="66">
        <v>1.73</v>
      </c>
      <c r="AC254" s="100" t="str">
        <f t="shared" si="59"/>
        <v>0-1 литров</v>
      </c>
    </row>
    <row r="255" spans="1:29" s="61" customFormat="1" x14ac:dyDescent="0.3">
      <c r="A255" s="64">
        <v>0.32</v>
      </c>
      <c r="B255" s="65">
        <f t="shared" si="60"/>
        <v>0.38400000000000001</v>
      </c>
      <c r="C255" s="109">
        <v>255</v>
      </c>
      <c r="D255" s="116" t="s">
        <v>27</v>
      </c>
      <c r="E255" s="88" t="s">
        <v>655</v>
      </c>
      <c r="F255" s="213"/>
      <c r="G255" s="83" t="s">
        <v>143</v>
      </c>
      <c r="H255" s="89" t="s">
        <v>147</v>
      </c>
      <c r="I255" s="83" t="s">
        <v>21</v>
      </c>
      <c r="J255" s="83" t="s">
        <v>296</v>
      </c>
      <c r="K255" s="116" t="s">
        <v>656</v>
      </c>
      <c r="L255" s="103"/>
      <c r="M255" s="51"/>
      <c r="N255" s="171">
        <f t="shared" si="66"/>
        <v>1</v>
      </c>
      <c r="O255" s="80">
        <f t="shared" si="65"/>
        <v>1.53</v>
      </c>
      <c r="P255" s="160" t="str">
        <f t="shared" si="51"/>
        <v>1-1,9 литра</v>
      </c>
      <c r="Q255" s="101" t="str">
        <f t="shared" si="64"/>
        <v>1-2 л</v>
      </c>
      <c r="R255" s="162">
        <f t="shared" si="52"/>
        <v>250</v>
      </c>
      <c r="S255" s="162">
        <f t="shared" si="53"/>
        <v>175</v>
      </c>
      <c r="T255" s="162">
        <f t="shared" si="54"/>
        <v>35</v>
      </c>
      <c r="U255" s="66">
        <f t="shared" si="55"/>
        <v>0.19838</v>
      </c>
      <c r="V255" s="66" t="str">
        <f t="shared" si="56"/>
        <v/>
      </c>
      <c r="W255" s="66" t="str">
        <f t="shared" si="57"/>
        <v>Плоские</v>
      </c>
      <c r="X255" s="160" t="str">
        <f t="shared" si="61"/>
        <v>200-299 мм</v>
      </c>
      <c r="Y255" s="160" t="str">
        <f t="shared" si="62"/>
        <v>100-199 мм</v>
      </c>
      <c r="Z255" s="160" t="str">
        <f t="shared" si="63"/>
        <v>10-99 мм</v>
      </c>
      <c r="AA255" s="100" t="str">
        <f t="shared" si="58"/>
        <v>Самосборные</v>
      </c>
      <c r="AB255" s="66">
        <v>1.73</v>
      </c>
      <c r="AC255" s="100" t="str">
        <f t="shared" si="59"/>
        <v>2-3 литра</v>
      </c>
    </row>
    <row r="256" spans="1:29" s="61" customFormat="1" ht="20.6" x14ac:dyDescent="0.3">
      <c r="A256" s="64">
        <v>0.77</v>
      </c>
      <c r="B256" s="65">
        <f t="shared" si="60"/>
        <v>0.92399999999999993</v>
      </c>
      <c r="C256" s="109">
        <v>256</v>
      </c>
      <c r="D256" s="78" t="s">
        <v>563</v>
      </c>
      <c r="E256" s="88" t="s">
        <v>657</v>
      </c>
      <c r="F256" s="213" t="s">
        <v>658</v>
      </c>
      <c r="G256" s="83" t="s">
        <v>143</v>
      </c>
      <c r="H256" s="89" t="s">
        <v>147</v>
      </c>
      <c r="I256" s="83" t="s">
        <v>21</v>
      </c>
      <c r="J256" s="83" t="s">
        <v>296</v>
      </c>
      <c r="K256" s="116" t="s">
        <v>137</v>
      </c>
      <c r="L256" s="103"/>
      <c r="M256" s="51"/>
      <c r="N256" s="171">
        <f t="shared" ref="N256:N313" si="67">IF(D256="","",IF(LEFT(D256,1)="0",0,1))</f>
        <v>0</v>
      </c>
      <c r="O256" s="80">
        <f>ROUND(R256*S256*T256/1000000,2)</f>
        <v>5.72</v>
      </c>
      <c r="P256" s="160" t="str">
        <f t="shared" si="51"/>
        <v>4-5,9 литра</v>
      </c>
      <c r="Q256" s="101" t="str">
        <f t="shared" si="64"/>
        <v>5-10 л</v>
      </c>
      <c r="R256" s="162">
        <f t="shared" si="52"/>
        <v>520</v>
      </c>
      <c r="S256" s="162">
        <f t="shared" si="53"/>
        <v>220</v>
      </c>
      <c r="T256" s="162">
        <f t="shared" si="54"/>
        <v>50</v>
      </c>
      <c r="U256" s="66">
        <f t="shared" si="55"/>
        <v>0.42812</v>
      </c>
      <c r="V256" s="66" t="str">
        <f t="shared" si="56"/>
        <v>Длинные</v>
      </c>
      <c r="W256" s="66" t="str">
        <f t="shared" si="57"/>
        <v>Плоские</v>
      </c>
      <c r="X256" s="160" t="str">
        <f t="shared" si="61"/>
        <v>500-599 мм</v>
      </c>
      <c r="Y256" s="160" t="str">
        <f t="shared" si="62"/>
        <v>200-299 мм</v>
      </c>
      <c r="Z256" s="160" t="str">
        <f t="shared" si="63"/>
        <v>10-99 мм</v>
      </c>
      <c r="AA256" s="100" t="str">
        <f t="shared" si="58"/>
        <v>Самосборные</v>
      </c>
      <c r="AB256" s="66">
        <v>1.73</v>
      </c>
      <c r="AC256" s="100" t="str">
        <f t="shared" si="59"/>
        <v>6-7 литра</v>
      </c>
    </row>
    <row r="257" spans="1:29" s="61" customFormat="1" ht="20.6" x14ac:dyDescent="0.3">
      <c r="A257" s="64">
        <v>0.74</v>
      </c>
      <c r="B257" s="65">
        <f t="shared" si="60"/>
        <v>0.88800000000000001</v>
      </c>
      <c r="C257" s="109">
        <v>257</v>
      </c>
      <c r="D257" s="78" t="s">
        <v>563</v>
      </c>
      <c r="E257" s="88" t="s">
        <v>659</v>
      </c>
      <c r="F257" s="213" t="s">
        <v>658</v>
      </c>
      <c r="G257" s="83" t="s">
        <v>143</v>
      </c>
      <c r="H257" s="89" t="s">
        <v>147</v>
      </c>
      <c r="I257" s="83" t="s">
        <v>21</v>
      </c>
      <c r="J257" s="83" t="s">
        <v>296</v>
      </c>
      <c r="K257" s="116" t="s">
        <v>137</v>
      </c>
      <c r="L257" s="103"/>
      <c r="M257" s="51"/>
      <c r="N257" s="171">
        <f t="shared" si="67"/>
        <v>0</v>
      </c>
      <c r="O257" s="80">
        <f t="shared" si="65"/>
        <v>4</v>
      </c>
      <c r="P257" s="160" t="str">
        <f t="shared" si="51"/>
        <v>4-5,9 литра</v>
      </c>
      <c r="Q257" s="101" t="str">
        <f t="shared" si="64"/>
        <v>3-5 л</v>
      </c>
      <c r="R257" s="162">
        <f t="shared" si="52"/>
        <v>500</v>
      </c>
      <c r="S257" s="162">
        <f t="shared" si="53"/>
        <v>200</v>
      </c>
      <c r="T257" s="162">
        <f t="shared" si="54"/>
        <v>40</v>
      </c>
      <c r="U257" s="66">
        <f t="shared" si="55"/>
        <v>0.36208000000000001</v>
      </c>
      <c r="V257" s="66" t="str">
        <f t="shared" si="56"/>
        <v>Длинные</v>
      </c>
      <c r="W257" s="66" t="str">
        <f t="shared" si="57"/>
        <v>Плоские</v>
      </c>
      <c r="X257" s="160" t="str">
        <f t="shared" si="61"/>
        <v>500-599 мм</v>
      </c>
      <c r="Y257" s="160" t="str">
        <f t="shared" si="62"/>
        <v>200-299 мм</v>
      </c>
      <c r="Z257" s="160" t="str">
        <f t="shared" si="63"/>
        <v>10-99 мм</v>
      </c>
      <c r="AA257" s="100" t="str">
        <f t="shared" si="58"/>
        <v>Самосборные</v>
      </c>
      <c r="AB257" s="66">
        <v>1.73</v>
      </c>
      <c r="AC257" s="100" t="str">
        <f t="shared" si="59"/>
        <v>4-5 литра</v>
      </c>
    </row>
    <row r="258" spans="1:29" s="61" customFormat="1" x14ac:dyDescent="0.3">
      <c r="A258" s="64">
        <v>5.42</v>
      </c>
      <c r="B258" s="65">
        <f t="shared" si="60"/>
        <v>6.5039999999999996</v>
      </c>
      <c r="C258" s="109">
        <v>258</v>
      </c>
      <c r="D258" s="77" t="s">
        <v>662</v>
      </c>
      <c r="E258" s="88" t="s">
        <v>660</v>
      </c>
      <c r="F258" s="213"/>
      <c r="G258" s="83" t="s">
        <v>18</v>
      </c>
      <c r="H258" s="89" t="s">
        <v>19</v>
      </c>
      <c r="I258" s="83" t="s">
        <v>21</v>
      </c>
      <c r="J258" s="83" t="s">
        <v>627</v>
      </c>
      <c r="K258" s="116" t="s">
        <v>661</v>
      </c>
      <c r="L258" s="103"/>
      <c r="M258" s="51"/>
      <c r="N258" s="171">
        <f t="shared" si="67"/>
        <v>1</v>
      </c>
      <c r="O258" s="80">
        <f t="shared" si="65"/>
        <v>240</v>
      </c>
      <c r="P258" s="160" t="str">
        <f t="shared" ref="P258:P321" si="68">IF(O258="","",
IF(O258&lt;1,"0,1-0,9 литров",
IF(O258&lt;2,"1-1,9 литра",
IF(O258&lt;3,"2-2,9 литра",
IF(O258&lt;4,"3-3,9 литра",
IF(O258&lt;6,"4-5,9 литра",IF(O258&lt;8,"6-7,9 литра",IF(O258&lt;10,"8-9,9 литров",IF(O258&lt;15,"10-14,9 литров",IF(O258&lt;20,"15-19,9 литров",IF(O258&lt;30,"20-29 литров",IF(O258&lt;50,"30-49 литров",IF(O258&lt;60,"50-59 литров",IF(O258&lt;70,"60-69 литров",IF(O258&lt;80,"70-79 литров",IF(O258&lt;90,"80-89 литров",IF(O258&lt;100,"90-99 литров",IF(O258&lt;200,"100-200 литров","200+ литров"))))))))))))))))))</f>
        <v>200+ литров</v>
      </c>
      <c r="Q258" s="101" t="str">
        <f t="shared" si="64"/>
        <v>100+ л</v>
      </c>
      <c r="R258" s="162">
        <f t="shared" ref="R258:R326" si="69">IF(E258="","",--LEFT(E258,FIND("х",E258)-1))</f>
        <v>800</v>
      </c>
      <c r="S258" s="162">
        <f t="shared" ref="S258:S326" si="70">IF(E258="","",--MID(E258,FIND("х",E258)+1,FIND("х",E258,FIND("х",E258)+1)-FIND("х",E258)-1))</f>
        <v>600</v>
      </c>
      <c r="T258" s="162">
        <f t="shared" ref="T258:T326" si="71">IF(E258="","",--RIGHT(E258,LEN(E258)-FIND("х",E258,FIND("х",E258)+1)))</f>
        <v>500</v>
      </c>
      <c r="U258" s="66">
        <f t="shared" ref="U258:U321" si="72">(2*(R258+S258)+60)*(S258+T258+8)/1000000</f>
        <v>3.1688800000000001</v>
      </c>
      <c r="V258" s="66" t="str">
        <f t="shared" ref="V258:V326" si="73">IF(OR(AND(R258&gt;=2*S258,R258&gt;=2*T258),AND(S258&gt;=2*R258,S258&gt;=2*T258),AND(T258&gt;=2*R258,T258&gt;=2*S258)),"Длинные","")</f>
        <v/>
      </c>
      <c r="W258" s="66" t="str">
        <f t="shared" ref="W258:W326" si="74">IF(OR(AND(R258&lt;=S258/2,R258&lt;=T258/2),AND(S258&lt;=R258/2,S258&lt;=T258/2),AND(T258&lt;=R258/2,T258&lt;=S258/2)),"Плоские","")</f>
        <v/>
      </c>
      <c r="X258" s="160" t="str">
        <f t="shared" si="61"/>
        <v>700-999 мм</v>
      </c>
      <c r="Y258" s="160" t="str">
        <f t="shared" si="62"/>
        <v>600-699 мм</v>
      </c>
      <c r="Z258" s="160" t="str">
        <f t="shared" si="63"/>
        <v>500-599 мм</v>
      </c>
      <c r="AA258" s="100" t="str">
        <f t="shared" ref="AA258:AA330" si="75">IF(G258="","",IF(G258="Л","Лист гофрокартона",IF(G258="КД","Крышка-дно",IF(G258="С","Самосборные",IF(G258="Ч","Четырехклапанные",IF(G258="А","Архивные","Неизвестно"))))))</f>
        <v>Четырехклапанные</v>
      </c>
      <c r="AB258" s="66">
        <v>1.73</v>
      </c>
      <c r="AC258" s="100" t="str">
        <f t="shared" ref="AC258:AC327" si="76">IF(O258="","",IF(O258&lt;=1,"0-1 литров",IF(O258&lt;=3,"2-3 литра",IF(O258&lt;=5,"4-5 литра",IF(O258&lt;=7,"6-7 литра",IF(O258&lt;=9,"8-9 литров",IF(O258&lt;=14,"10-14 литров",IF(O258&lt;=19,"15-19 литров",IF(O258&lt;=29,"20-29 литров",IF(O258&lt;=49,"30-49 литров",IF(O258&lt;=59,"50-59 литров",IF(O258&lt;=70,"60-69 литров",IF(O258&lt;=79,"70-79 литров",IF(O258&lt;=89,"80-89 литров",IF(O258&lt;=99,"90-99 литров",IF(O258&lt;=200,"100-200 литров","200+ литров"))))))))))))))))</f>
        <v>200+ литров</v>
      </c>
    </row>
    <row r="259" spans="1:29" s="61" customFormat="1" x14ac:dyDescent="0.3">
      <c r="A259" s="64">
        <v>1.4</v>
      </c>
      <c r="B259" s="65">
        <f t="shared" ref="B259:B322" si="77">A259*1.2</f>
        <v>1.68</v>
      </c>
      <c r="C259" s="109">
        <v>259</v>
      </c>
      <c r="D259" s="77" t="s">
        <v>635</v>
      </c>
      <c r="E259" s="88" t="s">
        <v>663</v>
      </c>
      <c r="F259" s="213"/>
      <c r="G259" s="83" t="s">
        <v>18</v>
      </c>
      <c r="H259" s="89" t="s">
        <v>19</v>
      </c>
      <c r="I259" s="83" t="s">
        <v>21</v>
      </c>
      <c r="J259" s="83" t="s">
        <v>627</v>
      </c>
      <c r="K259" s="116" t="s">
        <v>664</v>
      </c>
      <c r="L259" s="103"/>
      <c r="M259" s="51"/>
      <c r="N259" s="171">
        <f t="shared" si="67"/>
        <v>1</v>
      </c>
      <c r="O259" s="80">
        <f t="shared" si="65"/>
        <v>48</v>
      </c>
      <c r="P259" s="160" t="str">
        <f t="shared" si="68"/>
        <v>30-49 литров</v>
      </c>
      <c r="Q259" s="101" t="str">
        <f t="shared" si="64"/>
        <v>20-50 л</v>
      </c>
      <c r="R259" s="162">
        <f t="shared" si="69"/>
        <v>400</v>
      </c>
      <c r="S259" s="162">
        <f t="shared" si="70"/>
        <v>300</v>
      </c>
      <c r="T259" s="162">
        <f t="shared" si="71"/>
        <v>400</v>
      </c>
      <c r="U259" s="66">
        <f t="shared" si="72"/>
        <v>1.0336799999999999</v>
      </c>
      <c r="V259" s="66" t="str">
        <f t="shared" si="73"/>
        <v/>
      </c>
      <c r="W259" s="66" t="str">
        <f t="shared" si="74"/>
        <v/>
      </c>
      <c r="X259" s="160" t="str">
        <f t="shared" ref="X259:X322" si="78">IF(LARGE($R259:$T259,1)="","",IF(LARGE($R259:$T259,1)&lt;=99,"10-99 мм",IF(LARGE($R259:$T259,1)&lt;=199,"100-199 мм",IF(LARGE($R259:$T259,1)&lt;=299,"200-299 мм",IF(LARGE($R259:$T259,1)&lt;=399,"300-399 мм",IF(LARGE($R259:$T259,1)&lt;=499,"400-499 мм",IF(LARGE($R259:$T259,1)&lt;=599,"500-599 мм",IF(LARGE($R259:$T259,1)&lt;=699,"600-699 мм",IF(LARGE($R259:$T259,1)&lt;=999,"700-999 мм","1000+ мм")))))))))</f>
        <v>400-499 мм</v>
      </c>
      <c r="Y259" s="160" t="str">
        <f t="shared" ref="Y259:Y322" si="79">IF(LARGE($R259:$T259,2)="","",IF(LARGE($R259:$T259,2)&lt;=99,"10-99 мм",IF(LARGE($R259:$T259,2)&lt;=199,"100-199 мм",IF(LARGE($R259:$T259,2)&lt;=299,"200-299 мм",IF(LARGE($R259:$T259,2)&lt;=399,"300-399 мм",IF(LARGE($R259:$T259,2)&lt;=499,"400-499 мм",IF(LARGE($R259:$T259,2)&lt;=599,"500-599 мм",IF(LARGE($R259:$T259,2)&lt;=699,"600-699 мм",IF(LARGE($R259:$T259,2)&lt;=999,"700-999 мм","1000+ мм")))))))))</f>
        <v>400-499 мм</v>
      </c>
      <c r="Z259" s="160" t="str">
        <f t="shared" ref="Z259:Z322" si="80">IF(SMALL($R259:$T259,1)="","",IF(SMALL($R259:$T259,1)&lt;=99,"10-99 мм",IF(SMALL($R259:$T259,1)&lt;=199,"100-199 мм",IF(SMALL($R259:$T259,1)&lt;=299,"200-299 мм",IF(SMALL($R259:$T259,1)&lt;=399,"300-399 мм",IF(SMALL($R259:$T259,1)&lt;=499,"400-499 мм",IF(SMALL($R259:$T259,1)&lt;=599,"500-599 мм",IF(SMALL($R259:$T259,1)&lt;=699,"600-699 мм",IF(SMALL($R259:$T259,1)&lt;=999,"700-999 мм","1000+ мм")))))))))</f>
        <v>300-399 мм</v>
      </c>
      <c r="AA259" s="100" t="str">
        <f t="shared" si="75"/>
        <v>Четырехклапанные</v>
      </c>
      <c r="AB259" s="66">
        <v>1.73</v>
      </c>
      <c r="AC259" s="100" t="str">
        <f t="shared" si="76"/>
        <v>30-49 литров</v>
      </c>
    </row>
    <row r="260" spans="1:29" s="61" customFormat="1" x14ac:dyDescent="0.3">
      <c r="A260" s="64">
        <v>0.91</v>
      </c>
      <c r="B260" s="65">
        <f t="shared" si="77"/>
        <v>1.0920000000000001</v>
      </c>
      <c r="C260" s="109">
        <v>260</v>
      </c>
      <c r="D260" s="77" t="s">
        <v>662</v>
      </c>
      <c r="E260" s="88" t="s">
        <v>665</v>
      </c>
      <c r="F260" s="213"/>
      <c r="G260" s="83" t="s">
        <v>18</v>
      </c>
      <c r="H260" s="89" t="s">
        <v>19</v>
      </c>
      <c r="I260" s="83" t="s">
        <v>21</v>
      </c>
      <c r="J260" s="83" t="s">
        <v>627</v>
      </c>
      <c r="K260" s="116" t="s">
        <v>666</v>
      </c>
      <c r="L260" s="103"/>
      <c r="M260" s="51"/>
      <c r="N260" s="171">
        <f t="shared" si="67"/>
        <v>1</v>
      </c>
      <c r="O260" s="80">
        <f t="shared" si="65"/>
        <v>18</v>
      </c>
      <c r="P260" s="160" t="str">
        <f t="shared" si="68"/>
        <v>15-19,9 литров</v>
      </c>
      <c r="Q260" s="101" t="str">
        <f t="shared" si="64"/>
        <v>10-20 л</v>
      </c>
      <c r="R260" s="162">
        <f t="shared" si="69"/>
        <v>300</v>
      </c>
      <c r="S260" s="162">
        <f t="shared" si="70"/>
        <v>200</v>
      </c>
      <c r="T260" s="162">
        <f t="shared" si="71"/>
        <v>300</v>
      </c>
      <c r="U260" s="66">
        <f t="shared" si="72"/>
        <v>0.53847999999999996</v>
      </c>
      <c r="V260" s="66" t="str">
        <f t="shared" si="73"/>
        <v/>
      </c>
      <c r="W260" s="66" t="str">
        <f t="shared" si="74"/>
        <v/>
      </c>
      <c r="X260" s="160" t="str">
        <f t="shared" si="78"/>
        <v>300-399 мм</v>
      </c>
      <c r="Y260" s="160" t="str">
        <f t="shared" si="79"/>
        <v>300-399 мм</v>
      </c>
      <c r="Z260" s="160" t="str">
        <f t="shared" si="80"/>
        <v>200-299 мм</v>
      </c>
      <c r="AA260" s="100" t="str">
        <f t="shared" si="75"/>
        <v>Четырехклапанные</v>
      </c>
      <c r="AB260" s="66">
        <v>1.73</v>
      </c>
      <c r="AC260" s="100" t="str">
        <f t="shared" si="76"/>
        <v>15-19 литров</v>
      </c>
    </row>
    <row r="261" spans="1:29" s="61" customFormat="1" x14ac:dyDescent="0.3">
      <c r="A261" s="64">
        <v>0.69</v>
      </c>
      <c r="B261" s="65">
        <f t="shared" si="77"/>
        <v>0.82799999999999996</v>
      </c>
      <c r="C261" s="109">
        <v>261</v>
      </c>
      <c r="D261" s="77" t="s">
        <v>581</v>
      </c>
      <c r="E261" s="88" t="s">
        <v>667</v>
      </c>
      <c r="F261" s="213"/>
      <c r="G261" s="83" t="s">
        <v>18</v>
      </c>
      <c r="H261" s="89" t="s">
        <v>19</v>
      </c>
      <c r="I261" s="83" t="s">
        <v>21</v>
      </c>
      <c r="J261" s="83" t="s">
        <v>627</v>
      </c>
      <c r="K261" s="116" t="s">
        <v>668</v>
      </c>
      <c r="L261" s="103"/>
      <c r="M261" s="51"/>
      <c r="N261" s="171">
        <f t="shared" si="67"/>
        <v>1</v>
      </c>
      <c r="O261" s="80">
        <f t="shared" si="65"/>
        <v>10.47</v>
      </c>
      <c r="P261" s="160" t="str">
        <f t="shared" si="68"/>
        <v>10-14,9 литров</v>
      </c>
      <c r="Q261" s="101" t="str">
        <f t="shared" si="64"/>
        <v>10-20 л</v>
      </c>
      <c r="R261" s="162">
        <f t="shared" si="69"/>
        <v>290</v>
      </c>
      <c r="S261" s="162">
        <f t="shared" si="70"/>
        <v>190</v>
      </c>
      <c r="T261" s="162">
        <f t="shared" si="71"/>
        <v>190</v>
      </c>
      <c r="U261" s="66">
        <f t="shared" si="72"/>
        <v>0.39576</v>
      </c>
      <c r="V261" s="66" t="str">
        <f t="shared" si="73"/>
        <v/>
      </c>
      <c r="W261" s="66" t="str">
        <f t="shared" si="74"/>
        <v/>
      </c>
      <c r="X261" s="160" t="str">
        <f t="shared" si="78"/>
        <v>200-299 мм</v>
      </c>
      <c r="Y261" s="160" t="str">
        <f t="shared" si="79"/>
        <v>100-199 мм</v>
      </c>
      <c r="Z261" s="160" t="str">
        <f t="shared" si="80"/>
        <v>100-199 мм</v>
      </c>
      <c r="AA261" s="100" t="str">
        <f t="shared" si="75"/>
        <v>Четырехклапанные</v>
      </c>
      <c r="AB261" s="66">
        <v>1.73</v>
      </c>
      <c r="AC261" s="100" t="str">
        <f t="shared" si="76"/>
        <v>10-14 литров</v>
      </c>
    </row>
    <row r="262" spans="1:29" s="61" customFormat="1" x14ac:dyDescent="0.3">
      <c r="A262" s="64">
        <v>1.55</v>
      </c>
      <c r="B262" s="65">
        <f t="shared" si="77"/>
        <v>1.8599999999999999</v>
      </c>
      <c r="C262" s="109">
        <v>262</v>
      </c>
      <c r="D262" s="77" t="s">
        <v>671</v>
      </c>
      <c r="E262" s="88" t="s">
        <v>669</v>
      </c>
      <c r="F262" s="213"/>
      <c r="G262" s="83" t="s">
        <v>564</v>
      </c>
      <c r="H262" s="89" t="s">
        <v>670</v>
      </c>
      <c r="I262" s="83" t="s">
        <v>21</v>
      </c>
      <c r="J262" s="83" t="s">
        <v>671</v>
      </c>
      <c r="K262" s="116" t="s">
        <v>672</v>
      </c>
      <c r="L262" s="103"/>
      <c r="M262" s="51"/>
      <c r="N262" s="171">
        <f t="shared" si="67"/>
        <v>1</v>
      </c>
      <c r="O262" s="80">
        <f t="shared" si="65"/>
        <v>17.95</v>
      </c>
      <c r="P262" s="160" t="str">
        <f t="shared" si="68"/>
        <v>15-19,9 литров</v>
      </c>
      <c r="Q262" s="101" t="str">
        <f t="shared" si="64"/>
        <v>10-20 л</v>
      </c>
      <c r="R262" s="162">
        <f t="shared" si="69"/>
        <v>325</v>
      </c>
      <c r="S262" s="162">
        <f t="shared" si="70"/>
        <v>235</v>
      </c>
      <c r="T262" s="162">
        <f t="shared" si="71"/>
        <v>235</v>
      </c>
      <c r="U262" s="66">
        <f t="shared" si="72"/>
        <v>0.56403999999999999</v>
      </c>
      <c r="V262" s="66" t="str">
        <f t="shared" si="73"/>
        <v/>
      </c>
      <c r="W262" s="66" t="str">
        <f t="shared" si="74"/>
        <v/>
      </c>
      <c r="X262" s="160" t="str">
        <f t="shared" si="78"/>
        <v>300-399 мм</v>
      </c>
      <c r="Y262" s="160" t="str">
        <f t="shared" si="79"/>
        <v>200-299 мм</v>
      </c>
      <c r="Z262" s="160" t="str">
        <f t="shared" si="80"/>
        <v>200-299 мм</v>
      </c>
      <c r="AA262" s="100" t="str">
        <f t="shared" si="75"/>
        <v>Архивные</v>
      </c>
      <c r="AB262" s="66">
        <v>1.73</v>
      </c>
      <c r="AC262" s="100" t="str">
        <f t="shared" si="76"/>
        <v>15-19 литров</v>
      </c>
    </row>
    <row r="263" spans="1:29" s="61" customFormat="1" x14ac:dyDescent="0.3">
      <c r="A263" s="64">
        <v>2.25</v>
      </c>
      <c r="B263" s="65">
        <f t="shared" si="77"/>
        <v>2.6999999999999997</v>
      </c>
      <c r="C263" s="109">
        <v>263</v>
      </c>
      <c r="D263" s="77" t="s">
        <v>671</v>
      </c>
      <c r="E263" s="88" t="s">
        <v>673</v>
      </c>
      <c r="F263" s="213"/>
      <c r="G263" s="83" t="s">
        <v>564</v>
      </c>
      <c r="H263" s="89" t="s">
        <v>670</v>
      </c>
      <c r="I263" s="83" t="s">
        <v>21</v>
      </c>
      <c r="J263" s="83" t="s">
        <v>671</v>
      </c>
      <c r="K263" s="116" t="s">
        <v>674</v>
      </c>
      <c r="L263" s="103"/>
      <c r="M263" s="51"/>
      <c r="N263" s="171">
        <f t="shared" si="67"/>
        <v>1</v>
      </c>
      <c r="O263" s="80">
        <f t="shared" si="65"/>
        <v>37.229999999999997</v>
      </c>
      <c r="P263" s="160" t="str">
        <f t="shared" si="68"/>
        <v>30-49 литров</v>
      </c>
      <c r="Q263" s="101" t="str">
        <f t="shared" si="64"/>
        <v>20-50 л</v>
      </c>
      <c r="R263" s="162">
        <f t="shared" si="69"/>
        <v>395</v>
      </c>
      <c r="S263" s="162">
        <f t="shared" si="70"/>
        <v>325</v>
      </c>
      <c r="T263" s="162">
        <f t="shared" si="71"/>
        <v>290</v>
      </c>
      <c r="U263" s="66">
        <f t="shared" si="72"/>
        <v>0.9345</v>
      </c>
      <c r="V263" s="66" t="str">
        <f t="shared" si="73"/>
        <v/>
      </c>
      <c r="W263" s="66" t="str">
        <f t="shared" si="74"/>
        <v/>
      </c>
      <c r="X263" s="160" t="str">
        <f t="shared" si="78"/>
        <v>300-399 мм</v>
      </c>
      <c r="Y263" s="160" t="str">
        <f t="shared" si="79"/>
        <v>300-399 мм</v>
      </c>
      <c r="Z263" s="160" t="str">
        <f t="shared" si="80"/>
        <v>200-299 мм</v>
      </c>
      <c r="AA263" s="100" t="str">
        <f t="shared" si="75"/>
        <v>Архивные</v>
      </c>
      <c r="AB263" s="66">
        <v>1.73</v>
      </c>
      <c r="AC263" s="100" t="str">
        <f t="shared" si="76"/>
        <v>30-49 литров</v>
      </c>
    </row>
    <row r="264" spans="1:29" s="61" customFormat="1" x14ac:dyDescent="0.3">
      <c r="A264" s="64">
        <v>2.44</v>
      </c>
      <c r="B264" s="65">
        <f t="shared" si="77"/>
        <v>2.9279999999999999</v>
      </c>
      <c r="C264" s="109">
        <v>264</v>
      </c>
      <c r="D264" s="77" t="s">
        <v>671</v>
      </c>
      <c r="E264" s="88" t="s">
        <v>675</v>
      </c>
      <c r="F264" s="213"/>
      <c r="G264" s="83" t="s">
        <v>564</v>
      </c>
      <c r="H264" s="89" t="s">
        <v>670</v>
      </c>
      <c r="I264" s="83" t="s">
        <v>21</v>
      </c>
      <c r="J264" s="83" t="s">
        <v>671</v>
      </c>
      <c r="K264" s="116" t="s">
        <v>676</v>
      </c>
      <c r="L264" s="103"/>
      <c r="M264" s="51"/>
      <c r="N264" s="171">
        <f t="shared" si="67"/>
        <v>1</v>
      </c>
      <c r="O264" s="80">
        <f t="shared" si="65"/>
        <v>46.98</v>
      </c>
      <c r="P264" s="160" t="str">
        <f t="shared" si="68"/>
        <v>30-49 литров</v>
      </c>
      <c r="Q264" s="101" t="str">
        <f t="shared" ref="Q264:Q326" si="81">IF(O264="","",IF(O264&lt;1,"&lt;1 л",IF(O264&lt;2,"1-2 л",IF(O264&lt;3,"2-3 л",IF(O264&lt;5,"3-5 л",IF(O264&lt;10,"5-10 л",IF(O264&lt;20,"10-20 л",IF(O264&lt;50,"20-50 л",IF(O264&lt;100,"50-100 л","100+ л")))))))))</f>
        <v>20-50 л</v>
      </c>
      <c r="R264" s="162">
        <f t="shared" si="69"/>
        <v>490</v>
      </c>
      <c r="S264" s="162">
        <f t="shared" si="70"/>
        <v>325</v>
      </c>
      <c r="T264" s="162">
        <f t="shared" si="71"/>
        <v>295</v>
      </c>
      <c r="U264" s="66">
        <f t="shared" si="72"/>
        <v>1.06132</v>
      </c>
      <c r="V264" s="66" t="str">
        <f t="shared" si="73"/>
        <v/>
      </c>
      <c r="W264" s="66" t="str">
        <f t="shared" si="74"/>
        <v/>
      </c>
      <c r="X264" s="160" t="str">
        <f t="shared" si="78"/>
        <v>400-499 мм</v>
      </c>
      <c r="Y264" s="160" t="str">
        <f t="shared" si="79"/>
        <v>300-399 мм</v>
      </c>
      <c r="Z264" s="160" t="str">
        <f t="shared" si="80"/>
        <v>200-299 мм</v>
      </c>
      <c r="AA264" s="100" t="str">
        <f t="shared" si="75"/>
        <v>Архивные</v>
      </c>
      <c r="AB264" s="66">
        <v>1.73</v>
      </c>
      <c r="AC264" s="100" t="str">
        <f t="shared" si="76"/>
        <v>30-49 литров</v>
      </c>
    </row>
    <row r="265" spans="1:29" s="61" customFormat="1" x14ac:dyDescent="0.3">
      <c r="A265" s="64">
        <v>0.32</v>
      </c>
      <c r="B265" s="65">
        <f t="shared" si="77"/>
        <v>0.38400000000000001</v>
      </c>
      <c r="C265" s="109">
        <v>265</v>
      </c>
      <c r="D265" s="116" t="s">
        <v>27</v>
      </c>
      <c r="E265" s="88" t="s">
        <v>677</v>
      </c>
      <c r="F265" s="213"/>
      <c r="G265" s="83" t="s">
        <v>18</v>
      </c>
      <c r="H265" s="89" t="s">
        <v>19</v>
      </c>
      <c r="I265" s="83" t="s">
        <v>21</v>
      </c>
      <c r="J265" s="83" t="s">
        <v>27</v>
      </c>
      <c r="K265" s="116" t="s">
        <v>678</v>
      </c>
      <c r="L265" s="103"/>
      <c r="M265" s="51"/>
      <c r="N265" s="171">
        <f t="shared" si="67"/>
        <v>1</v>
      </c>
      <c r="O265" s="80">
        <f t="shared" si="65"/>
        <v>3.38</v>
      </c>
      <c r="P265" s="160" t="str">
        <f t="shared" si="68"/>
        <v>3-3,9 литра</v>
      </c>
      <c r="Q265" s="101" t="str">
        <f t="shared" si="81"/>
        <v>3-5 л</v>
      </c>
      <c r="R265" s="162">
        <f t="shared" si="69"/>
        <v>300</v>
      </c>
      <c r="S265" s="162">
        <f t="shared" si="70"/>
        <v>90</v>
      </c>
      <c r="T265" s="162">
        <f t="shared" si="71"/>
        <v>125</v>
      </c>
      <c r="U265" s="66">
        <f t="shared" si="72"/>
        <v>0.18731999999999999</v>
      </c>
      <c r="V265" s="66" t="str">
        <f t="shared" si="73"/>
        <v>Длинные</v>
      </c>
      <c r="W265" s="66" t="str">
        <f t="shared" si="74"/>
        <v/>
      </c>
      <c r="X265" s="160" t="str">
        <f t="shared" si="78"/>
        <v>300-399 мм</v>
      </c>
      <c r="Y265" s="160" t="str">
        <f t="shared" si="79"/>
        <v>100-199 мм</v>
      </c>
      <c r="Z265" s="160" t="str">
        <f t="shared" si="80"/>
        <v>10-99 мм</v>
      </c>
      <c r="AA265" s="100" t="str">
        <f t="shared" si="75"/>
        <v>Четырехклапанные</v>
      </c>
      <c r="AB265" s="66">
        <v>1.73</v>
      </c>
      <c r="AC265" s="100" t="str">
        <f t="shared" si="76"/>
        <v>4-5 литра</v>
      </c>
    </row>
    <row r="266" spans="1:29" s="61" customFormat="1" x14ac:dyDescent="0.3">
      <c r="A266" s="64">
        <v>0.14000000000000001</v>
      </c>
      <c r="B266" s="65">
        <f t="shared" si="77"/>
        <v>0.16800000000000001</v>
      </c>
      <c r="C266" s="109">
        <v>266</v>
      </c>
      <c r="D266" s="116" t="s">
        <v>27</v>
      </c>
      <c r="E266" s="88" t="s">
        <v>679</v>
      </c>
      <c r="F266" s="213"/>
      <c r="G266" s="83" t="s">
        <v>143</v>
      </c>
      <c r="H266" s="89" t="s">
        <v>175</v>
      </c>
      <c r="I266" s="83" t="s">
        <v>144</v>
      </c>
      <c r="J266" s="83" t="s">
        <v>27</v>
      </c>
      <c r="K266" s="116" t="s">
        <v>680</v>
      </c>
      <c r="L266" s="103"/>
      <c r="M266" s="51"/>
      <c r="N266" s="171">
        <f t="shared" si="67"/>
        <v>1</v>
      </c>
      <c r="O266" s="80">
        <f t="shared" si="65"/>
        <v>0.49</v>
      </c>
      <c r="P266" s="160" t="str">
        <f t="shared" si="68"/>
        <v>0,1-0,9 литров</v>
      </c>
      <c r="Q266" s="101" t="str">
        <f t="shared" si="81"/>
        <v>&lt;1 л</v>
      </c>
      <c r="R266" s="162">
        <f t="shared" si="69"/>
        <v>115</v>
      </c>
      <c r="S266" s="162">
        <f t="shared" si="70"/>
        <v>65</v>
      </c>
      <c r="T266" s="162">
        <f t="shared" si="71"/>
        <v>65</v>
      </c>
      <c r="U266" s="66">
        <f t="shared" si="72"/>
        <v>5.7959999999999998E-2</v>
      </c>
      <c r="V266" s="66" t="str">
        <f t="shared" si="73"/>
        <v/>
      </c>
      <c r="W266" s="66" t="str">
        <f t="shared" si="74"/>
        <v/>
      </c>
      <c r="X266" s="160" t="str">
        <f t="shared" si="78"/>
        <v>100-199 мм</v>
      </c>
      <c r="Y266" s="160" t="str">
        <f t="shared" si="79"/>
        <v>10-99 мм</v>
      </c>
      <c r="Z266" s="160" t="str">
        <f t="shared" si="80"/>
        <v>10-99 мм</v>
      </c>
      <c r="AA266" s="100" t="str">
        <f t="shared" si="75"/>
        <v>Самосборные</v>
      </c>
      <c r="AB266" s="66">
        <v>1.73</v>
      </c>
      <c r="AC266" s="100" t="str">
        <f t="shared" si="76"/>
        <v>0-1 литров</v>
      </c>
    </row>
    <row r="267" spans="1:29" s="61" customFormat="1" x14ac:dyDescent="0.3">
      <c r="A267" s="64">
        <v>0.9</v>
      </c>
      <c r="B267" s="65">
        <f t="shared" si="77"/>
        <v>1.08</v>
      </c>
      <c r="C267" s="109">
        <v>267</v>
      </c>
      <c r="D267" s="77" t="s">
        <v>629</v>
      </c>
      <c r="E267" s="88" t="s">
        <v>681</v>
      </c>
      <c r="F267" s="213"/>
      <c r="G267" s="83" t="s">
        <v>18</v>
      </c>
      <c r="H267" s="89" t="s">
        <v>19</v>
      </c>
      <c r="I267" s="83" t="s">
        <v>21</v>
      </c>
      <c r="J267" s="83" t="s">
        <v>627</v>
      </c>
      <c r="K267" s="116" t="s">
        <v>682</v>
      </c>
      <c r="L267" s="103"/>
      <c r="M267" s="51"/>
      <c r="N267" s="171">
        <f t="shared" si="67"/>
        <v>1</v>
      </c>
      <c r="O267" s="80">
        <f t="shared" ref="O267:O326" si="82">ROUND(R267*S267*T267/1000000,2)</f>
        <v>36</v>
      </c>
      <c r="P267" s="160" t="str">
        <f t="shared" si="68"/>
        <v>30-49 литров</v>
      </c>
      <c r="Q267" s="101" t="str">
        <f t="shared" si="81"/>
        <v>20-50 л</v>
      </c>
      <c r="R267" s="162">
        <f t="shared" si="69"/>
        <v>400</v>
      </c>
      <c r="S267" s="162">
        <f t="shared" si="70"/>
        <v>300</v>
      </c>
      <c r="T267" s="162">
        <f t="shared" si="71"/>
        <v>300</v>
      </c>
      <c r="U267" s="66">
        <f t="shared" si="72"/>
        <v>0.88768000000000002</v>
      </c>
      <c r="V267" s="66" t="str">
        <f t="shared" si="73"/>
        <v/>
      </c>
      <c r="W267" s="66" t="str">
        <f t="shared" si="74"/>
        <v/>
      </c>
      <c r="X267" s="160" t="str">
        <f t="shared" si="78"/>
        <v>400-499 мм</v>
      </c>
      <c r="Y267" s="160" t="str">
        <f t="shared" si="79"/>
        <v>300-399 мм</v>
      </c>
      <c r="Z267" s="160" t="str">
        <f t="shared" si="80"/>
        <v>300-399 мм</v>
      </c>
      <c r="AA267" s="100" t="str">
        <f t="shared" si="75"/>
        <v>Четырехклапанные</v>
      </c>
      <c r="AB267" s="66">
        <v>1.73</v>
      </c>
      <c r="AC267" s="100" t="str">
        <f t="shared" si="76"/>
        <v>30-49 литров</v>
      </c>
    </row>
    <row r="268" spans="1:29" s="61" customFormat="1" x14ac:dyDescent="0.3">
      <c r="A268" s="64">
        <v>0.53</v>
      </c>
      <c r="B268" s="65">
        <f t="shared" si="77"/>
        <v>0.63600000000000001</v>
      </c>
      <c r="C268" s="109">
        <v>268</v>
      </c>
      <c r="D268" s="77" t="s">
        <v>685</v>
      </c>
      <c r="E268" s="88" t="s">
        <v>683</v>
      </c>
      <c r="F268" s="213"/>
      <c r="G268" s="83" t="s">
        <v>18</v>
      </c>
      <c r="H268" s="89" t="s">
        <v>19</v>
      </c>
      <c r="I268" s="83" t="s">
        <v>21</v>
      </c>
      <c r="J268" s="83" t="s">
        <v>627</v>
      </c>
      <c r="K268" s="116" t="s">
        <v>684</v>
      </c>
      <c r="L268" s="103"/>
      <c r="M268" s="51"/>
      <c r="N268" s="171">
        <f t="shared" si="67"/>
        <v>1</v>
      </c>
      <c r="O268" s="80">
        <f t="shared" si="82"/>
        <v>3.23</v>
      </c>
      <c r="P268" s="160" t="str">
        <f t="shared" si="68"/>
        <v>3-3,9 литра</v>
      </c>
      <c r="Q268" s="101" t="str">
        <f t="shared" si="81"/>
        <v>3-5 л</v>
      </c>
      <c r="R268" s="162">
        <f t="shared" si="69"/>
        <v>210</v>
      </c>
      <c r="S268" s="162">
        <f t="shared" si="70"/>
        <v>140</v>
      </c>
      <c r="T268" s="162">
        <f t="shared" si="71"/>
        <v>110</v>
      </c>
      <c r="U268" s="66">
        <f t="shared" si="72"/>
        <v>0.19608</v>
      </c>
      <c r="V268" s="66" t="str">
        <f t="shared" si="73"/>
        <v/>
      </c>
      <c r="W268" s="66" t="str">
        <f t="shared" si="74"/>
        <v/>
      </c>
      <c r="X268" s="160" t="str">
        <f t="shared" si="78"/>
        <v>200-299 мм</v>
      </c>
      <c r="Y268" s="160" t="str">
        <f t="shared" si="79"/>
        <v>100-199 мм</v>
      </c>
      <c r="Z268" s="160" t="str">
        <f t="shared" si="80"/>
        <v>100-199 мм</v>
      </c>
      <c r="AA268" s="100" t="str">
        <f t="shared" si="75"/>
        <v>Четырехклапанные</v>
      </c>
      <c r="AB268" s="66">
        <v>1.73</v>
      </c>
      <c r="AC268" s="100" t="str">
        <f t="shared" si="76"/>
        <v>4-5 литра</v>
      </c>
    </row>
    <row r="269" spans="1:29" s="61" customFormat="1" x14ac:dyDescent="0.3">
      <c r="A269" s="64">
        <v>0.16</v>
      </c>
      <c r="B269" s="65">
        <f t="shared" si="77"/>
        <v>0.192</v>
      </c>
      <c r="C269" s="109">
        <v>269</v>
      </c>
      <c r="D269" s="116" t="s">
        <v>27</v>
      </c>
      <c r="E269" s="88" t="s">
        <v>686</v>
      </c>
      <c r="F269" s="213"/>
      <c r="G269" s="83" t="s">
        <v>143</v>
      </c>
      <c r="H269" s="89" t="s">
        <v>147</v>
      </c>
      <c r="I269" s="83" t="s">
        <v>144</v>
      </c>
      <c r="J269" s="83" t="s">
        <v>296</v>
      </c>
      <c r="K269" s="116" t="s">
        <v>687</v>
      </c>
      <c r="L269" s="103"/>
      <c r="M269" s="51"/>
      <c r="N269" s="171">
        <f t="shared" si="67"/>
        <v>1</v>
      </c>
      <c r="O269" s="80">
        <f t="shared" si="82"/>
        <v>0.48</v>
      </c>
      <c r="P269" s="160" t="str">
        <f t="shared" si="68"/>
        <v>0,1-0,9 литров</v>
      </c>
      <c r="Q269" s="101" t="str">
        <f t="shared" si="81"/>
        <v>&lt;1 л</v>
      </c>
      <c r="R269" s="162">
        <f t="shared" si="69"/>
        <v>195</v>
      </c>
      <c r="S269" s="162">
        <f t="shared" si="70"/>
        <v>70</v>
      </c>
      <c r="T269" s="162">
        <f t="shared" si="71"/>
        <v>35</v>
      </c>
      <c r="U269" s="66">
        <f t="shared" si="72"/>
        <v>6.6669999999999993E-2</v>
      </c>
      <c r="V269" s="66" t="str">
        <f t="shared" si="73"/>
        <v>Длинные</v>
      </c>
      <c r="W269" s="66" t="str">
        <f t="shared" si="74"/>
        <v>Плоские</v>
      </c>
      <c r="X269" s="160" t="str">
        <f t="shared" si="78"/>
        <v>100-199 мм</v>
      </c>
      <c r="Y269" s="160" t="str">
        <f t="shared" si="79"/>
        <v>10-99 мм</v>
      </c>
      <c r="Z269" s="160" t="str">
        <f t="shared" si="80"/>
        <v>10-99 мм</v>
      </c>
      <c r="AA269" s="100" t="str">
        <f t="shared" si="75"/>
        <v>Самосборные</v>
      </c>
      <c r="AB269" s="66">
        <v>1.73</v>
      </c>
      <c r="AC269" s="100" t="str">
        <f t="shared" si="76"/>
        <v>0-1 литров</v>
      </c>
    </row>
    <row r="270" spans="1:29" s="61" customFormat="1" ht="54.9" x14ac:dyDescent="0.3">
      <c r="A270" s="64">
        <v>0.27</v>
      </c>
      <c r="B270" s="65">
        <f t="shared" si="77"/>
        <v>0.32400000000000001</v>
      </c>
      <c r="C270" s="109">
        <v>270</v>
      </c>
      <c r="D270" s="116" t="s">
        <v>27</v>
      </c>
      <c r="E270" s="88" t="s">
        <v>689</v>
      </c>
      <c r="F270" s="213" t="s">
        <v>690</v>
      </c>
      <c r="G270" s="83" t="s">
        <v>143</v>
      </c>
      <c r="H270" s="89" t="s">
        <v>147</v>
      </c>
      <c r="I270" s="83" t="s">
        <v>144</v>
      </c>
      <c r="J270" s="83" t="s">
        <v>296</v>
      </c>
      <c r="K270" s="116" t="s">
        <v>691</v>
      </c>
      <c r="L270" s="103"/>
      <c r="M270" s="51"/>
      <c r="N270" s="171">
        <f t="shared" si="67"/>
        <v>1</v>
      </c>
      <c r="O270" s="80">
        <f t="shared" si="82"/>
        <v>0.88</v>
      </c>
      <c r="P270" s="160" t="str">
        <f t="shared" si="68"/>
        <v>0,1-0,9 литров</v>
      </c>
      <c r="Q270" s="101" t="str">
        <f t="shared" si="81"/>
        <v>&lt;1 л</v>
      </c>
      <c r="R270" s="162">
        <f t="shared" si="69"/>
        <v>160</v>
      </c>
      <c r="S270" s="162">
        <f t="shared" si="70"/>
        <v>100</v>
      </c>
      <c r="T270" s="162">
        <f t="shared" si="71"/>
        <v>55</v>
      </c>
      <c r="U270" s="66">
        <f t="shared" si="72"/>
        <v>9.4539999999999999E-2</v>
      </c>
      <c r="V270" s="66" t="str">
        <f t="shared" si="73"/>
        <v/>
      </c>
      <c r="W270" s="66" t="str">
        <f t="shared" si="74"/>
        <v/>
      </c>
      <c r="X270" s="160" t="str">
        <f t="shared" si="78"/>
        <v>100-199 мм</v>
      </c>
      <c r="Y270" s="160" t="str">
        <f t="shared" si="79"/>
        <v>100-199 мм</v>
      </c>
      <c r="Z270" s="160" t="str">
        <f t="shared" si="80"/>
        <v>10-99 мм</v>
      </c>
      <c r="AA270" s="100" t="str">
        <f t="shared" si="75"/>
        <v>Самосборные</v>
      </c>
      <c r="AB270" s="66">
        <v>1.73</v>
      </c>
      <c r="AC270" s="100" t="str">
        <f t="shared" si="76"/>
        <v>0-1 литров</v>
      </c>
    </row>
    <row r="271" spans="1:29" s="61" customFormat="1" x14ac:dyDescent="0.3">
      <c r="A271" s="64">
        <v>0.08</v>
      </c>
      <c r="B271" s="65">
        <f t="shared" si="77"/>
        <v>9.6000000000000002E-2</v>
      </c>
      <c r="C271" s="109">
        <v>271</v>
      </c>
      <c r="D271" s="116" t="s">
        <v>27</v>
      </c>
      <c r="E271" s="88" t="s">
        <v>692</v>
      </c>
      <c r="F271" s="213"/>
      <c r="G271" s="83" t="s">
        <v>143</v>
      </c>
      <c r="H271" s="89" t="s">
        <v>147</v>
      </c>
      <c r="I271" s="83" t="s">
        <v>144</v>
      </c>
      <c r="J271" s="83" t="s">
        <v>296</v>
      </c>
      <c r="K271" s="116" t="s">
        <v>693</v>
      </c>
      <c r="L271" s="103"/>
      <c r="M271" s="51"/>
      <c r="N271" s="171">
        <f t="shared" si="67"/>
        <v>1</v>
      </c>
      <c r="O271" s="80">
        <f t="shared" si="82"/>
        <v>0.14000000000000001</v>
      </c>
      <c r="P271" s="160" t="str">
        <f t="shared" si="68"/>
        <v>0,1-0,9 литров</v>
      </c>
      <c r="Q271" s="101" t="str">
        <f t="shared" si="81"/>
        <v>&lt;1 л</v>
      </c>
      <c r="R271" s="162">
        <f t="shared" si="69"/>
        <v>140</v>
      </c>
      <c r="S271" s="162">
        <f t="shared" si="70"/>
        <v>43</v>
      </c>
      <c r="T271" s="162">
        <f t="shared" si="71"/>
        <v>23</v>
      </c>
      <c r="U271" s="66">
        <f t="shared" si="72"/>
        <v>3.1524000000000003E-2</v>
      </c>
      <c r="V271" s="66" t="str">
        <f t="shared" si="73"/>
        <v>Длинные</v>
      </c>
      <c r="W271" s="66" t="str">
        <f t="shared" si="74"/>
        <v/>
      </c>
      <c r="X271" s="160" t="str">
        <f t="shared" si="78"/>
        <v>100-199 мм</v>
      </c>
      <c r="Y271" s="160" t="str">
        <f t="shared" si="79"/>
        <v>10-99 мм</v>
      </c>
      <c r="Z271" s="160" t="str">
        <f t="shared" si="80"/>
        <v>10-99 мм</v>
      </c>
      <c r="AA271" s="100" t="str">
        <f t="shared" si="75"/>
        <v>Самосборные</v>
      </c>
      <c r="AB271" s="66">
        <v>1.73</v>
      </c>
      <c r="AC271" s="100" t="str">
        <f t="shared" si="76"/>
        <v>0-1 литров</v>
      </c>
    </row>
    <row r="272" spans="1:29" s="61" customFormat="1" x14ac:dyDescent="0.3">
      <c r="A272" s="64">
        <v>0.13</v>
      </c>
      <c r="B272" s="65">
        <f t="shared" si="77"/>
        <v>0.156</v>
      </c>
      <c r="C272" s="109">
        <v>272</v>
      </c>
      <c r="D272" s="116" t="s">
        <v>27</v>
      </c>
      <c r="E272" s="88" t="s">
        <v>694</v>
      </c>
      <c r="F272" s="213"/>
      <c r="G272" s="83" t="s">
        <v>143</v>
      </c>
      <c r="H272" s="89" t="s">
        <v>147</v>
      </c>
      <c r="I272" s="83" t="s">
        <v>144</v>
      </c>
      <c r="J272" s="83" t="s">
        <v>296</v>
      </c>
      <c r="K272" s="116" t="s">
        <v>695</v>
      </c>
      <c r="L272" s="103"/>
      <c r="M272" s="51"/>
      <c r="N272" s="171">
        <f t="shared" si="67"/>
        <v>1</v>
      </c>
      <c r="O272" s="80">
        <f t="shared" si="82"/>
        <v>0.28999999999999998</v>
      </c>
      <c r="P272" s="160" t="str">
        <f t="shared" si="68"/>
        <v>0,1-0,9 литров</v>
      </c>
      <c r="Q272" s="101" t="str">
        <f t="shared" si="81"/>
        <v>&lt;1 л</v>
      </c>
      <c r="R272" s="162">
        <f t="shared" si="69"/>
        <v>160</v>
      </c>
      <c r="S272" s="162">
        <f t="shared" si="70"/>
        <v>60</v>
      </c>
      <c r="T272" s="162">
        <f t="shared" si="71"/>
        <v>30</v>
      </c>
      <c r="U272" s="66">
        <f t="shared" si="72"/>
        <v>4.9000000000000002E-2</v>
      </c>
      <c r="V272" s="66" t="str">
        <f t="shared" si="73"/>
        <v>Длинные</v>
      </c>
      <c r="W272" s="66" t="str">
        <f t="shared" si="74"/>
        <v>Плоские</v>
      </c>
      <c r="X272" s="160" t="str">
        <f t="shared" si="78"/>
        <v>100-199 мм</v>
      </c>
      <c r="Y272" s="160" t="str">
        <f t="shared" si="79"/>
        <v>10-99 мм</v>
      </c>
      <c r="Z272" s="160" t="str">
        <f t="shared" si="80"/>
        <v>10-99 мм</v>
      </c>
      <c r="AA272" s="100" t="str">
        <f t="shared" si="75"/>
        <v>Самосборные</v>
      </c>
      <c r="AB272" s="66">
        <v>1.73</v>
      </c>
      <c r="AC272" s="100" t="str">
        <f t="shared" si="76"/>
        <v>0-1 литров</v>
      </c>
    </row>
    <row r="273" spans="1:29" s="61" customFormat="1" x14ac:dyDescent="0.3">
      <c r="A273" s="64">
        <v>0.92</v>
      </c>
      <c r="B273" s="65">
        <f t="shared" si="77"/>
        <v>1.1040000000000001</v>
      </c>
      <c r="C273" s="109">
        <v>273</v>
      </c>
      <c r="D273" s="77" t="s">
        <v>685</v>
      </c>
      <c r="E273" s="88" t="s">
        <v>696</v>
      </c>
      <c r="F273" s="213"/>
      <c r="G273" s="83" t="s">
        <v>18</v>
      </c>
      <c r="H273" s="89" t="s">
        <v>19</v>
      </c>
      <c r="I273" s="83" t="s">
        <v>21</v>
      </c>
      <c r="J273" s="83" t="s">
        <v>627</v>
      </c>
      <c r="K273" s="116" t="s">
        <v>697</v>
      </c>
      <c r="L273" s="103"/>
      <c r="M273" s="51"/>
      <c r="N273" s="171">
        <f t="shared" si="67"/>
        <v>1</v>
      </c>
      <c r="O273" s="80">
        <f t="shared" si="82"/>
        <v>14.5</v>
      </c>
      <c r="P273" s="160" t="str">
        <f t="shared" si="68"/>
        <v>10-14,9 литров</v>
      </c>
      <c r="Q273" s="101" t="str">
        <f t="shared" si="81"/>
        <v>10-20 л</v>
      </c>
      <c r="R273" s="162">
        <f t="shared" si="69"/>
        <v>290</v>
      </c>
      <c r="S273" s="162">
        <f t="shared" si="70"/>
        <v>200</v>
      </c>
      <c r="T273" s="162">
        <f t="shared" si="71"/>
        <v>250</v>
      </c>
      <c r="U273" s="66">
        <f t="shared" si="72"/>
        <v>0.47632000000000002</v>
      </c>
      <c r="V273" s="66" t="str">
        <f t="shared" si="73"/>
        <v/>
      </c>
      <c r="W273" s="66" t="str">
        <f t="shared" si="74"/>
        <v/>
      </c>
      <c r="X273" s="160" t="str">
        <f t="shared" si="78"/>
        <v>200-299 мм</v>
      </c>
      <c r="Y273" s="160" t="str">
        <f t="shared" si="79"/>
        <v>200-299 мм</v>
      </c>
      <c r="Z273" s="160" t="str">
        <f t="shared" si="80"/>
        <v>200-299 мм</v>
      </c>
      <c r="AA273" s="100" t="str">
        <f t="shared" si="75"/>
        <v>Четырехклапанные</v>
      </c>
      <c r="AB273" s="66">
        <v>1.73</v>
      </c>
      <c r="AC273" s="100" t="str">
        <f t="shared" si="76"/>
        <v>15-19 литров</v>
      </c>
    </row>
    <row r="274" spans="1:29" s="61" customFormat="1" x14ac:dyDescent="0.3">
      <c r="A274" s="64">
        <v>0.91</v>
      </c>
      <c r="B274" s="65">
        <f t="shared" si="77"/>
        <v>1.0920000000000001</v>
      </c>
      <c r="C274" s="109">
        <v>274</v>
      </c>
      <c r="D274" s="77" t="s">
        <v>685</v>
      </c>
      <c r="E274" s="88" t="s">
        <v>698</v>
      </c>
      <c r="F274" s="213"/>
      <c r="G274" s="83" t="s">
        <v>18</v>
      </c>
      <c r="H274" s="89" t="s">
        <v>19</v>
      </c>
      <c r="I274" s="83" t="s">
        <v>21</v>
      </c>
      <c r="J274" s="83" t="s">
        <v>627</v>
      </c>
      <c r="K274" s="116" t="s">
        <v>699</v>
      </c>
      <c r="L274" s="103" t="s">
        <v>870</v>
      </c>
      <c r="M274" s="51"/>
      <c r="N274" s="171">
        <f t="shared" si="67"/>
        <v>1</v>
      </c>
      <c r="O274" s="80">
        <f t="shared" si="82"/>
        <v>11.66</v>
      </c>
      <c r="P274" s="160" t="str">
        <f t="shared" si="68"/>
        <v>10-14,9 литров</v>
      </c>
      <c r="Q274" s="101" t="str">
        <f t="shared" si="81"/>
        <v>10-20 л</v>
      </c>
      <c r="R274" s="162">
        <f t="shared" si="69"/>
        <v>270</v>
      </c>
      <c r="S274" s="162">
        <f t="shared" si="70"/>
        <v>160</v>
      </c>
      <c r="T274" s="162">
        <f t="shared" si="71"/>
        <v>270</v>
      </c>
      <c r="U274" s="66">
        <f t="shared" si="72"/>
        <v>0.40295999999999998</v>
      </c>
      <c r="V274" s="66" t="str">
        <f t="shared" si="73"/>
        <v/>
      </c>
      <c r="W274" s="66" t="str">
        <f t="shared" si="74"/>
        <v/>
      </c>
      <c r="X274" s="160" t="str">
        <f t="shared" si="78"/>
        <v>200-299 мм</v>
      </c>
      <c r="Y274" s="160" t="str">
        <f t="shared" si="79"/>
        <v>200-299 мм</v>
      </c>
      <c r="Z274" s="160" t="str">
        <f t="shared" si="80"/>
        <v>100-199 мм</v>
      </c>
      <c r="AA274" s="100" t="str">
        <f t="shared" si="75"/>
        <v>Четырехклапанные</v>
      </c>
      <c r="AB274" s="66">
        <v>1.73</v>
      </c>
      <c r="AC274" s="100" t="str">
        <f t="shared" si="76"/>
        <v>10-14 литров</v>
      </c>
    </row>
    <row r="275" spans="1:29" s="61" customFormat="1" x14ac:dyDescent="0.3">
      <c r="A275" s="64">
        <v>0.95</v>
      </c>
      <c r="B275" s="65">
        <f t="shared" si="77"/>
        <v>1.1399999999999999</v>
      </c>
      <c r="C275" s="109">
        <v>275</v>
      </c>
      <c r="D275" s="77" t="s">
        <v>702</v>
      </c>
      <c r="E275" s="88" t="s">
        <v>700</v>
      </c>
      <c r="F275" s="213"/>
      <c r="G275" s="83" t="s">
        <v>18</v>
      </c>
      <c r="H275" s="89" t="s">
        <v>19</v>
      </c>
      <c r="I275" s="83" t="s">
        <v>21</v>
      </c>
      <c r="J275" s="83" t="s">
        <v>627</v>
      </c>
      <c r="K275" s="116" t="s">
        <v>701</v>
      </c>
      <c r="L275" s="103"/>
      <c r="M275" s="51"/>
      <c r="N275" s="171">
        <f t="shared" si="67"/>
        <v>1</v>
      </c>
      <c r="O275" s="80">
        <f t="shared" si="82"/>
        <v>12.83</v>
      </c>
      <c r="P275" s="160" t="str">
        <f t="shared" si="68"/>
        <v>10-14,9 литров</v>
      </c>
      <c r="Q275" s="101" t="str">
        <f t="shared" si="81"/>
        <v>10-20 л</v>
      </c>
      <c r="R275" s="162">
        <f t="shared" si="69"/>
        <v>220</v>
      </c>
      <c r="S275" s="162">
        <f t="shared" si="70"/>
        <v>110</v>
      </c>
      <c r="T275" s="162">
        <f t="shared" si="71"/>
        <v>530</v>
      </c>
      <c r="U275" s="66">
        <f t="shared" si="72"/>
        <v>0.46655999999999997</v>
      </c>
      <c r="V275" s="66" t="str">
        <f t="shared" si="73"/>
        <v>Длинные</v>
      </c>
      <c r="W275" s="66" t="str">
        <f t="shared" si="74"/>
        <v>Плоские</v>
      </c>
      <c r="X275" s="160" t="str">
        <f t="shared" si="78"/>
        <v>500-599 мм</v>
      </c>
      <c r="Y275" s="160" t="str">
        <f t="shared" si="79"/>
        <v>200-299 мм</v>
      </c>
      <c r="Z275" s="160" t="str">
        <f t="shared" si="80"/>
        <v>100-199 мм</v>
      </c>
      <c r="AA275" s="100" t="str">
        <f t="shared" si="75"/>
        <v>Четырехклапанные</v>
      </c>
      <c r="AB275" s="66">
        <v>1.73</v>
      </c>
      <c r="AC275" s="100" t="str">
        <f t="shared" si="76"/>
        <v>10-14 литров</v>
      </c>
    </row>
    <row r="276" spans="1:29" s="61" customFormat="1" x14ac:dyDescent="0.3">
      <c r="A276" s="64">
        <v>0.54</v>
      </c>
      <c r="B276" s="65">
        <f t="shared" si="77"/>
        <v>0.64800000000000002</v>
      </c>
      <c r="C276" s="109">
        <v>276</v>
      </c>
      <c r="D276" s="77" t="s">
        <v>685</v>
      </c>
      <c r="E276" s="88" t="s">
        <v>703</v>
      </c>
      <c r="F276" s="213"/>
      <c r="G276" s="83" t="s">
        <v>18</v>
      </c>
      <c r="H276" s="89" t="s">
        <v>19</v>
      </c>
      <c r="I276" s="83" t="s">
        <v>21</v>
      </c>
      <c r="J276" s="83" t="s">
        <v>627</v>
      </c>
      <c r="K276" s="116" t="s">
        <v>704</v>
      </c>
      <c r="L276" s="103"/>
      <c r="M276" s="51"/>
      <c r="N276" s="171">
        <f t="shared" si="67"/>
        <v>1</v>
      </c>
      <c r="O276" s="80">
        <f t="shared" si="82"/>
        <v>2.57</v>
      </c>
      <c r="P276" s="160" t="str">
        <f t="shared" si="68"/>
        <v>2-2,9 литра</v>
      </c>
      <c r="Q276" s="101" t="str">
        <f t="shared" si="81"/>
        <v>2-3 л</v>
      </c>
      <c r="R276" s="162">
        <f t="shared" si="69"/>
        <v>220</v>
      </c>
      <c r="S276" s="162">
        <f t="shared" si="70"/>
        <v>130</v>
      </c>
      <c r="T276" s="162">
        <f t="shared" si="71"/>
        <v>90</v>
      </c>
      <c r="U276" s="66">
        <f t="shared" si="72"/>
        <v>0.17327999999999999</v>
      </c>
      <c r="V276" s="66" t="str">
        <f t="shared" si="73"/>
        <v/>
      </c>
      <c r="W276" s="66" t="str">
        <f t="shared" si="74"/>
        <v/>
      </c>
      <c r="X276" s="160" t="str">
        <f t="shared" si="78"/>
        <v>200-299 мм</v>
      </c>
      <c r="Y276" s="160" t="str">
        <f t="shared" si="79"/>
        <v>100-199 мм</v>
      </c>
      <c r="Z276" s="160" t="str">
        <f t="shared" si="80"/>
        <v>10-99 мм</v>
      </c>
      <c r="AA276" s="100" t="str">
        <f t="shared" si="75"/>
        <v>Четырехклапанные</v>
      </c>
      <c r="AB276" s="66">
        <v>1.73</v>
      </c>
      <c r="AC276" s="100" t="str">
        <f t="shared" si="76"/>
        <v>2-3 литра</v>
      </c>
    </row>
    <row r="277" spans="1:29" s="61" customFormat="1" x14ac:dyDescent="0.3">
      <c r="A277" s="64">
        <v>0.23</v>
      </c>
      <c r="B277" s="65">
        <f t="shared" si="77"/>
        <v>0.27600000000000002</v>
      </c>
      <c r="C277" s="109">
        <v>277</v>
      </c>
      <c r="D277" s="116" t="s">
        <v>27</v>
      </c>
      <c r="E277" s="88" t="s">
        <v>705</v>
      </c>
      <c r="F277" s="213"/>
      <c r="G277" s="83" t="s">
        <v>143</v>
      </c>
      <c r="H277" s="89" t="s">
        <v>175</v>
      </c>
      <c r="I277" s="83" t="s">
        <v>144</v>
      </c>
      <c r="J277" s="83" t="s">
        <v>296</v>
      </c>
      <c r="K277" s="116" t="s">
        <v>706</v>
      </c>
      <c r="L277" s="103"/>
      <c r="M277" s="51"/>
      <c r="N277" s="171">
        <f t="shared" si="67"/>
        <v>1</v>
      </c>
      <c r="O277" s="80">
        <f t="shared" si="82"/>
        <v>0.94</v>
      </c>
      <c r="P277" s="160" t="str">
        <f t="shared" si="68"/>
        <v>0,1-0,9 литров</v>
      </c>
      <c r="Q277" s="101" t="str">
        <f t="shared" si="81"/>
        <v>&lt;1 л</v>
      </c>
      <c r="R277" s="162">
        <f t="shared" si="69"/>
        <v>155</v>
      </c>
      <c r="S277" s="162">
        <f t="shared" si="70"/>
        <v>83</v>
      </c>
      <c r="T277" s="162">
        <f t="shared" si="71"/>
        <v>73</v>
      </c>
      <c r="U277" s="66">
        <f t="shared" si="72"/>
        <v>8.7903999999999996E-2</v>
      </c>
      <c r="V277" s="66" t="str">
        <f t="shared" si="73"/>
        <v/>
      </c>
      <c r="W277" s="66" t="str">
        <f t="shared" si="74"/>
        <v/>
      </c>
      <c r="X277" s="160" t="str">
        <f t="shared" si="78"/>
        <v>100-199 мм</v>
      </c>
      <c r="Y277" s="160" t="str">
        <f t="shared" si="79"/>
        <v>10-99 мм</v>
      </c>
      <c r="Z277" s="160" t="str">
        <f t="shared" si="80"/>
        <v>10-99 мм</v>
      </c>
      <c r="AA277" s="100" t="str">
        <f t="shared" si="75"/>
        <v>Самосборные</v>
      </c>
      <c r="AB277" s="66">
        <v>1.73</v>
      </c>
      <c r="AC277" s="100" t="str">
        <f t="shared" si="76"/>
        <v>0-1 литров</v>
      </c>
    </row>
    <row r="278" spans="1:29" s="61" customFormat="1" x14ac:dyDescent="0.3">
      <c r="A278" s="64">
        <v>0.18</v>
      </c>
      <c r="B278" s="65">
        <f t="shared" si="77"/>
        <v>0.216</v>
      </c>
      <c r="C278" s="109">
        <v>278</v>
      </c>
      <c r="D278" s="116" t="s">
        <v>27</v>
      </c>
      <c r="E278" s="88" t="s">
        <v>707</v>
      </c>
      <c r="F278" s="213"/>
      <c r="G278" s="83" t="s">
        <v>143</v>
      </c>
      <c r="H278" s="89" t="s">
        <v>147</v>
      </c>
      <c r="I278" s="83" t="s">
        <v>558</v>
      </c>
      <c r="J278" s="83" t="s">
        <v>296</v>
      </c>
      <c r="K278" s="116" t="s">
        <v>708</v>
      </c>
      <c r="L278" s="103"/>
      <c r="M278" s="51"/>
      <c r="N278" s="171">
        <f t="shared" si="67"/>
        <v>1</v>
      </c>
      <c r="O278" s="80">
        <f t="shared" si="82"/>
        <v>0.4</v>
      </c>
      <c r="P278" s="160" t="str">
        <f t="shared" si="68"/>
        <v>0,1-0,9 литров</v>
      </c>
      <c r="Q278" s="101" t="str">
        <f t="shared" si="81"/>
        <v>&lt;1 л</v>
      </c>
      <c r="R278" s="162">
        <f t="shared" si="69"/>
        <v>100</v>
      </c>
      <c r="S278" s="162">
        <f t="shared" si="70"/>
        <v>100</v>
      </c>
      <c r="T278" s="162">
        <f t="shared" si="71"/>
        <v>40</v>
      </c>
      <c r="U278" s="66">
        <f t="shared" si="72"/>
        <v>6.8080000000000002E-2</v>
      </c>
      <c r="V278" s="66" t="str">
        <f t="shared" si="73"/>
        <v/>
      </c>
      <c r="W278" s="66" t="str">
        <f t="shared" si="74"/>
        <v>Плоские</v>
      </c>
      <c r="X278" s="160" t="str">
        <f t="shared" si="78"/>
        <v>100-199 мм</v>
      </c>
      <c r="Y278" s="160" t="str">
        <f t="shared" si="79"/>
        <v>100-199 мм</v>
      </c>
      <c r="Z278" s="160" t="str">
        <f t="shared" si="80"/>
        <v>10-99 мм</v>
      </c>
      <c r="AA278" s="100" t="str">
        <f t="shared" si="75"/>
        <v>Самосборные</v>
      </c>
      <c r="AB278" s="66">
        <v>1.73</v>
      </c>
      <c r="AC278" s="100" t="str">
        <f t="shared" si="76"/>
        <v>0-1 литров</v>
      </c>
    </row>
    <row r="279" spans="1:29" s="61" customFormat="1" x14ac:dyDescent="0.3">
      <c r="A279" s="64">
        <v>0.56000000000000005</v>
      </c>
      <c r="B279" s="65">
        <f t="shared" si="77"/>
        <v>0.67200000000000004</v>
      </c>
      <c r="C279" s="109">
        <v>279</v>
      </c>
      <c r="D279" s="116" t="s">
        <v>27</v>
      </c>
      <c r="E279" s="88" t="s">
        <v>709</v>
      </c>
      <c r="F279" s="213"/>
      <c r="G279" s="83" t="s">
        <v>143</v>
      </c>
      <c r="H279" s="89" t="s">
        <v>710</v>
      </c>
      <c r="I279" s="83" t="s">
        <v>21</v>
      </c>
      <c r="J279" s="83" t="s">
        <v>711</v>
      </c>
      <c r="K279" s="116" t="s">
        <v>712</v>
      </c>
      <c r="L279" s="103"/>
      <c r="M279" s="51"/>
      <c r="N279" s="171">
        <f t="shared" si="67"/>
        <v>1</v>
      </c>
      <c r="O279" s="80">
        <f t="shared" si="82"/>
        <v>3.7</v>
      </c>
      <c r="P279" s="160" t="str">
        <f t="shared" si="68"/>
        <v>3-3,9 литра</v>
      </c>
      <c r="Q279" s="101" t="str">
        <f t="shared" si="81"/>
        <v>3-5 л</v>
      </c>
      <c r="R279" s="162">
        <f t="shared" si="69"/>
        <v>350</v>
      </c>
      <c r="S279" s="162">
        <f t="shared" si="70"/>
        <v>45</v>
      </c>
      <c r="T279" s="162">
        <f t="shared" si="71"/>
        <v>235</v>
      </c>
      <c r="U279" s="66">
        <f t="shared" si="72"/>
        <v>0.24479999999999999</v>
      </c>
      <c r="V279" s="66" t="str">
        <f t="shared" si="73"/>
        <v/>
      </c>
      <c r="W279" s="66" t="str">
        <f t="shared" si="74"/>
        <v>Плоские</v>
      </c>
      <c r="X279" s="160" t="str">
        <f t="shared" si="78"/>
        <v>300-399 мм</v>
      </c>
      <c r="Y279" s="160" t="str">
        <f t="shared" si="79"/>
        <v>200-299 мм</v>
      </c>
      <c r="Z279" s="160" t="str">
        <f t="shared" si="80"/>
        <v>10-99 мм</v>
      </c>
      <c r="AA279" s="100" t="str">
        <f t="shared" si="75"/>
        <v>Самосборные</v>
      </c>
      <c r="AB279" s="66">
        <v>1.73</v>
      </c>
      <c r="AC279" s="100" t="str">
        <f t="shared" si="76"/>
        <v>4-5 литра</v>
      </c>
    </row>
    <row r="280" spans="1:29" s="61" customFormat="1" x14ac:dyDescent="0.3">
      <c r="A280" s="64">
        <v>0.35</v>
      </c>
      <c r="B280" s="65">
        <f t="shared" si="77"/>
        <v>0.42</v>
      </c>
      <c r="C280" s="109">
        <v>280</v>
      </c>
      <c r="D280" s="116" t="s">
        <v>27</v>
      </c>
      <c r="E280" s="88" t="s">
        <v>713</v>
      </c>
      <c r="F280" s="213"/>
      <c r="G280" s="83" t="s">
        <v>143</v>
      </c>
      <c r="H280" s="89" t="s">
        <v>147</v>
      </c>
      <c r="I280" s="83" t="s">
        <v>21</v>
      </c>
      <c r="J280" s="83" t="s">
        <v>296</v>
      </c>
      <c r="K280" s="116" t="s">
        <v>714</v>
      </c>
      <c r="L280" s="103"/>
      <c r="M280" s="51"/>
      <c r="N280" s="171">
        <f t="shared" si="67"/>
        <v>1</v>
      </c>
      <c r="O280" s="80">
        <f t="shared" si="82"/>
        <v>1.68</v>
      </c>
      <c r="P280" s="160" t="str">
        <f t="shared" si="68"/>
        <v>1-1,9 литра</v>
      </c>
      <c r="Q280" s="101" t="str">
        <f t="shared" si="81"/>
        <v>1-2 л</v>
      </c>
      <c r="R280" s="162">
        <f t="shared" si="69"/>
        <v>260</v>
      </c>
      <c r="S280" s="162">
        <f t="shared" si="70"/>
        <v>185</v>
      </c>
      <c r="T280" s="162">
        <f t="shared" si="71"/>
        <v>35</v>
      </c>
      <c r="U280" s="66">
        <f t="shared" si="72"/>
        <v>0.21659999999999999</v>
      </c>
      <c r="V280" s="66" t="str">
        <f t="shared" si="73"/>
        <v/>
      </c>
      <c r="W280" s="66" t="str">
        <f t="shared" si="74"/>
        <v>Плоские</v>
      </c>
      <c r="X280" s="160" t="str">
        <f t="shared" si="78"/>
        <v>200-299 мм</v>
      </c>
      <c r="Y280" s="160" t="str">
        <f t="shared" si="79"/>
        <v>100-199 мм</v>
      </c>
      <c r="Z280" s="160" t="str">
        <f t="shared" si="80"/>
        <v>10-99 мм</v>
      </c>
      <c r="AA280" s="100" t="str">
        <f t="shared" si="75"/>
        <v>Самосборные</v>
      </c>
      <c r="AB280" s="66">
        <v>1.73</v>
      </c>
      <c r="AC280" s="100" t="str">
        <f t="shared" si="76"/>
        <v>2-3 литра</v>
      </c>
    </row>
    <row r="281" spans="1:29" s="61" customFormat="1" x14ac:dyDescent="0.3">
      <c r="A281" s="64">
        <v>0.2</v>
      </c>
      <c r="B281" s="65">
        <f t="shared" si="77"/>
        <v>0.24</v>
      </c>
      <c r="C281" s="109">
        <v>281</v>
      </c>
      <c r="D281" s="116" t="s">
        <v>27</v>
      </c>
      <c r="E281" s="88" t="s">
        <v>715</v>
      </c>
      <c r="F281" s="213"/>
      <c r="G281" s="83" t="s">
        <v>143</v>
      </c>
      <c r="H281" s="89" t="s">
        <v>135</v>
      </c>
      <c r="I281" s="83" t="s">
        <v>144</v>
      </c>
      <c r="J281" s="83" t="s">
        <v>711</v>
      </c>
      <c r="K281" s="116" t="s">
        <v>716</v>
      </c>
      <c r="L281" s="103"/>
      <c r="M281" s="51"/>
      <c r="N281" s="171">
        <f t="shared" si="67"/>
        <v>1</v>
      </c>
      <c r="O281" s="80">
        <f t="shared" si="82"/>
        <v>0.28999999999999998</v>
      </c>
      <c r="P281" s="160" t="str">
        <f t="shared" si="68"/>
        <v>0,1-0,9 литров</v>
      </c>
      <c r="Q281" s="101" t="str">
        <f t="shared" si="81"/>
        <v>&lt;1 л</v>
      </c>
      <c r="R281" s="162">
        <f t="shared" si="69"/>
        <v>210</v>
      </c>
      <c r="S281" s="162">
        <f t="shared" si="70"/>
        <v>140</v>
      </c>
      <c r="T281" s="162">
        <f t="shared" si="71"/>
        <v>10</v>
      </c>
      <c r="U281" s="66">
        <f t="shared" si="72"/>
        <v>0.12008000000000001</v>
      </c>
      <c r="V281" s="66" t="str">
        <f t="shared" si="73"/>
        <v/>
      </c>
      <c r="W281" s="66" t="str">
        <f t="shared" si="74"/>
        <v>Плоские</v>
      </c>
      <c r="X281" s="160" t="str">
        <f t="shared" si="78"/>
        <v>200-299 мм</v>
      </c>
      <c r="Y281" s="160" t="str">
        <f t="shared" si="79"/>
        <v>100-199 мм</v>
      </c>
      <c r="Z281" s="160" t="str">
        <f t="shared" si="80"/>
        <v>10-99 мм</v>
      </c>
      <c r="AA281" s="100" t="str">
        <f t="shared" si="75"/>
        <v>Самосборные</v>
      </c>
      <c r="AB281" s="66">
        <v>1.73</v>
      </c>
      <c r="AC281" s="100" t="str">
        <f t="shared" si="76"/>
        <v>0-1 литров</v>
      </c>
    </row>
    <row r="282" spans="1:29" s="61" customFormat="1" x14ac:dyDescent="0.3">
      <c r="A282" s="64">
        <v>1.47</v>
      </c>
      <c r="B282" s="65">
        <f t="shared" si="77"/>
        <v>1.764</v>
      </c>
      <c r="C282" s="109">
        <v>282</v>
      </c>
      <c r="D282" s="116" t="s">
        <v>27</v>
      </c>
      <c r="E282" s="88" t="s">
        <v>717</v>
      </c>
      <c r="F282" s="213"/>
      <c r="G282" s="83" t="s">
        <v>143</v>
      </c>
      <c r="H282" s="89" t="s">
        <v>147</v>
      </c>
      <c r="I282" s="83" t="s">
        <v>21</v>
      </c>
      <c r="J282" s="83" t="s">
        <v>711</v>
      </c>
      <c r="K282" s="116" t="s">
        <v>718</v>
      </c>
      <c r="L282" s="103"/>
      <c r="M282" s="51"/>
      <c r="N282" s="171">
        <f t="shared" si="67"/>
        <v>1</v>
      </c>
      <c r="O282" s="80">
        <f t="shared" si="82"/>
        <v>15.23</v>
      </c>
      <c r="P282" s="160" t="str">
        <f t="shared" si="68"/>
        <v>15-19,9 литров</v>
      </c>
      <c r="Q282" s="101" t="str">
        <f t="shared" si="81"/>
        <v>10-20 л</v>
      </c>
      <c r="R282" s="162">
        <f t="shared" si="69"/>
        <v>640</v>
      </c>
      <c r="S282" s="162">
        <f t="shared" si="70"/>
        <v>340</v>
      </c>
      <c r="T282" s="162">
        <f t="shared" si="71"/>
        <v>70</v>
      </c>
      <c r="U282" s="66">
        <f t="shared" si="72"/>
        <v>0.84436</v>
      </c>
      <c r="V282" s="66" t="str">
        <f t="shared" si="73"/>
        <v/>
      </c>
      <c r="W282" s="66" t="str">
        <f t="shared" si="74"/>
        <v>Плоские</v>
      </c>
      <c r="X282" s="160" t="str">
        <f t="shared" si="78"/>
        <v>600-699 мм</v>
      </c>
      <c r="Y282" s="160" t="str">
        <f t="shared" si="79"/>
        <v>300-399 мм</v>
      </c>
      <c r="Z282" s="160" t="str">
        <f t="shared" si="80"/>
        <v>10-99 мм</v>
      </c>
      <c r="AA282" s="100" t="str">
        <f t="shared" si="75"/>
        <v>Самосборные</v>
      </c>
      <c r="AB282" s="66">
        <v>1.73</v>
      </c>
      <c r="AC282" s="100" t="str">
        <f t="shared" si="76"/>
        <v>15-19 литров</v>
      </c>
    </row>
    <row r="283" spans="1:29" s="61" customFormat="1" x14ac:dyDescent="0.3">
      <c r="A283" s="64">
        <v>0.2</v>
      </c>
      <c r="B283" s="65">
        <f t="shared" si="77"/>
        <v>0.24</v>
      </c>
      <c r="C283" s="109">
        <v>283</v>
      </c>
      <c r="D283" s="116" t="s">
        <v>27</v>
      </c>
      <c r="E283" s="88" t="s">
        <v>719</v>
      </c>
      <c r="F283" s="213"/>
      <c r="G283" s="83" t="s">
        <v>143</v>
      </c>
      <c r="H283" s="89" t="s">
        <v>147</v>
      </c>
      <c r="I283" s="83" t="s">
        <v>144</v>
      </c>
      <c r="J283" s="83" t="s">
        <v>296</v>
      </c>
      <c r="K283" s="116" t="s">
        <v>720</v>
      </c>
      <c r="L283" s="103"/>
      <c r="M283" s="51"/>
      <c r="N283" s="171">
        <f t="shared" si="67"/>
        <v>1</v>
      </c>
      <c r="O283" s="80">
        <f t="shared" si="82"/>
        <v>0.64</v>
      </c>
      <c r="P283" s="160" t="str">
        <f t="shared" si="68"/>
        <v>0,1-0,9 литров</v>
      </c>
      <c r="Q283" s="101" t="str">
        <f t="shared" si="81"/>
        <v>&lt;1 л</v>
      </c>
      <c r="R283" s="162">
        <f t="shared" si="69"/>
        <v>230</v>
      </c>
      <c r="S283" s="162">
        <f t="shared" si="70"/>
        <v>140</v>
      </c>
      <c r="T283" s="162">
        <f t="shared" si="71"/>
        <v>20</v>
      </c>
      <c r="U283" s="66">
        <f t="shared" si="72"/>
        <v>0.13439999999999999</v>
      </c>
      <c r="V283" s="66" t="str">
        <f t="shared" si="73"/>
        <v/>
      </c>
      <c r="W283" s="66" t="str">
        <f t="shared" si="74"/>
        <v>Плоские</v>
      </c>
      <c r="X283" s="160" t="str">
        <f t="shared" si="78"/>
        <v>200-299 мм</v>
      </c>
      <c r="Y283" s="160" t="str">
        <f t="shared" si="79"/>
        <v>100-199 мм</v>
      </c>
      <c r="Z283" s="160" t="str">
        <f t="shared" si="80"/>
        <v>10-99 мм</v>
      </c>
      <c r="AA283" s="100" t="str">
        <f t="shared" si="75"/>
        <v>Самосборные</v>
      </c>
      <c r="AB283" s="66">
        <v>1.73</v>
      </c>
      <c r="AC283" s="100" t="str">
        <f t="shared" si="76"/>
        <v>0-1 литров</v>
      </c>
    </row>
    <row r="284" spans="1:29" s="61" customFormat="1" x14ac:dyDescent="0.3">
      <c r="A284" s="64">
        <v>0.24</v>
      </c>
      <c r="B284" s="65">
        <f t="shared" si="77"/>
        <v>0.28799999999999998</v>
      </c>
      <c r="C284" s="109">
        <v>284</v>
      </c>
      <c r="D284" s="116" t="s">
        <v>27</v>
      </c>
      <c r="E284" s="88" t="s">
        <v>721</v>
      </c>
      <c r="F284" s="213"/>
      <c r="G284" s="83" t="s">
        <v>143</v>
      </c>
      <c r="H284" s="89" t="s">
        <v>147</v>
      </c>
      <c r="I284" s="83" t="s">
        <v>21</v>
      </c>
      <c r="J284" s="83" t="s">
        <v>296</v>
      </c>
      <c r="K284" s="116" t="s">
        <v>722</v>
      </c>
      <c r="L284" s="103"/>
      <c r="M284" s="51"/>
      <c r="N284" s="171">
        <f t="shared" si="67"/>
        <v>1</v>
      </c>
      <c r="O284" s="80">
        <f t="shared" si="82"/>
        <v>0.85</v>
      </c>
      <c r="P284" s="160" t="str">
        <f t="shared" si="68"/>
        <v>0,1-0,9 литров</v>
      </c>
      <c r="Q284" s="101" t="str">
        <f t="shared" si="81"/>
        <v>&lt;1 л</v>
      </c>
      <c r="R284" s="162">
        <f t="shared" si="69"/>
        <v>220</v>
      </c>
      <c r="S284" s="162">
        <f t="shared" si="70"/>
        <v>168</v>
      </c>
      <c r="T284" s="162">
        <f t="shared" si="71"/>
        <v>23</v>
      </c>
      <c r="U284" s="66">
        <f t="shared" si="72"/>
        <v>0.16636400000000001</v>
      </c>
      <c r="V284" s="66" t="str">
        <f t="shared" si="73"/>
        <v/>
      </c>
      <c r="W284" s="66" t="str">
        <f t="shared" si="74"/>
        <v>Плоские</v>
      </c>
      <c r="X284" s="160" t="str">
        <f t="shared" si="78"/>
        <v>200-299 мм</v>
      </c>
      <c r="Y284" s="160" t="str">
        <f t="shared" si="79"/>
        <v>100-199 мм</v>
      </c>
      <c r="Z284" s="160" t="str">
        <f t="shared" si="80"/>
        <v>10-99 мм</v>
      </c>
      <c r="AA284" s="100" t="str">
        <f t="shared" si="75"/>
        <v>Самосборные</v>
      </c>
      <c r="AB284" s="66">
        <v>1.73</v>
      </c>
      <c r="AC284" s="100" t="str">
        <f t="shared" si="76"/>
        <v>0-1 литров</v>
      </c>
    </row>
    <row r="285" spans="1:29" s="61" customFormat="1" x14ac:dyDescent="0.3">
      <c r="A285" s="64">
        <v>0.46</v>
      </c>
      <c r="B285" s="65">
        <f t="shared" si="77"/>
        <v>0.55200000000000005</v>
      </c>
      <c r="C285" s="109">
        <v>285</v>
      </c>
      <c r="D285" s="116" t="s">
        <v>27</v>
      </c>
      <c r="E285" s="88" t="s">
        <v>723</v>
      </c>
      <c r="F285" s="213"/>
      <c r="G285" s="83" t="s">
        <v>18</v>
      </c>
      <c r="H285" s="89" t="s">
        <v>19</v>
      </c>
      <c r="I285" s="83" t="s">
        <v>21</v>
      </c>
      <c r="J285" s="83" t="s">
        <v>27</v>
      </c>
      <c r="K285" s="116" t="s">
        <v>724</v>
      </c>
      <c r="L285" s="103"/>
      <c r="M285" s="51"/>
      <c r="N285" s="171">
        <f t="shared" si="67"/>
        <v>1</v>
      </c>
      <c r="O285" s="80">
        <f t="shared" si="82"/>
        <v>5.63</v>
      </c>
      <c r="P285" s="160" t="str">
        <f t="shared" si="68"/>
        <v>4-5,9 литра</v>
      </c>
      <c r="Q285" s="101" t="str">
        <f t="shared" si="81"/>
        <v>5-10 л</v>
      </c>
      <c r="R285" s="162">
        <f t="shared" si="69"/>
        <v>150</v>
      </c>
      <c r="S285" s="162">
        <f t="shared" si="70"/>
        <v>150</v>
      </c>
      <c r="T285" s="162">
        <f t="shared" si="71"/>
        <v>250</v>
      </c>
      <c r="U285" s="66">
        <f t="shared" si="72"/>
        <v>0.26928000000000002</v>
      </c>
      <c r="V285" s="66" t="str">
        <f t="shared" si="73"/>
        <v/>
      </c>
      <c r="W285" s="66" t="str">
        <f t="shared" si="74"/>
        <v/>
      </c>
      <c r="X285" s="160" t="str">
        <f t="shared" si="78"/>
        <v>200-299 мм</v>
      </c>
      <c r="Y285" s="160" t="str">
        <f t="shared" si="79"/>
        <v>100-199 мм</v>
      </c>
      <c r="Z285" s="160" t="str">
        <f t="shared" si="80"/>
        <v>100-199 мм</v>
      </c>
      <c r="AA285" s="100" t="str">
        <f t="shared" si="75"/>
        <v>Четырехклапанные</v>
      </c>
      <c r="AB285" s="66">
        <v>1.73</v>
      </c>
      <c r="AC285" s="100" t="str">
        <f t="shared" si="76"/>
        <v>6-7 литра</v>
      </c>
    </row>
    <row r="286" spans="1:29" s="61" customFormat="1" x14ac:dyDescent="0.3">
      <c r="A286" s="64">
        <v>0.53</v>
      </c>
      <c r="B286" s="65">
        <f t="shared" si="77"/>
        <v>0.63600000000000001</v>
      </c>
      <c r="C286" s="109">
        <v>286</v>
      </c>
      <c r="D286" s="116" t="s">
        <v>27</v>
      </c>
      <c r="E286" s="88" t="s">
        <v>725</v>
      </c>
      <c r="F286" s="213"/>
      <c r="G286" s="83" t="s">
        <v>18</v>
      </c>
      <c r="H286" s="89" t="s">
        <v>19</v>
      </c>
      <c r="I286" s="83" t="s">
        <v>21</v>
      </c>
      <c r="J286" s="83" t="s">
        <v>27</v>
      </c>
      <c r="K286" s="116" t="s">
        <v>726</v>
      </c>
      <c r="L286" s="103"/>
      <c r="M286" s="51"/>
      <c r="N286" s="171">
        <f t="shared" si="67"/>
        <v>1</v>
      </c>
      <c r="O286" s="80">
        <f t="shared" si="82"/>
        <v>6</v>
      </c>
      <c r="P286" s="160" t="str">
        <f t="shared" si="68"/>
        <v>6-7,9 литра</v>
      </c>
      <c r="Q286" s="101" t="str">
        <f t="shared" si="81"/>
        <v>5-10 л</v>
      </c>
      <c r="R286" s="162">
        <f t="shared" si="69"/>
        <v>200</v>
      </c>
      <c r="S286" s="162">
        <f t="shared" si="70"/>
        <v>200</v>
      </c>
      <c r="T286" s="162">
        <f t="shared" si="71"/>
        <v>150</v>
      </c>
      <c r="U286" s="66">
        <f t="shared" si="72"/>
        <v>0.30787999999999999</v>
      </c>
      <c r="V286" s="66" t="str">
        <f t="shared" si="73"/>
        <v/>
      </c>
      <c r="W286" s="66" t="str">
        <f t="shared" si="74"/>
        <v/>
      </c>
      <c r="X286" s="160" t="str">
        <f t="shared" si="78"/>
        <v>200-299 мм</v>
      </c>
      <c r="Y286" s="160" t="str">
        <f t="shared" si="79"/>
        <v>200-299 мм</v>
      </c>
      <c r="Z286" s="160" t="str">
        <f t="shared" si="80"/>
        <v>100-199 мм</v>
      </c>
      <c r="AA286" s="100" t="str">
        <f t="shared" si="75"/>
        <v>Четырехклапанные</v>
      </c>
      <c r="AB286" s="66">
        <v>1.73</v>
      </c>
      <c r="AC286" s="100" t="str">
        <f t="shared" si="76"/>
        <v>6-7 литра</v>
      </c>
    </row>
    <row r="287" spans="1:29" s="61" customFormat="1" x14ac:dyDescent="0.3">
      <c r="A287" s="64">
        <v>2.02</v>
      </c>
      <c r="B287" s="65">
        <f t="shared" si="77"/>
        <v>2.4239999999999999</v>
      </c>
      <c r="C287" s="109">
        <v>287</v>
      </c>
      <c r="D287" s="77" t="s">
        <v>581</v>
      </c>
      <c r="E287" s="88" t="s">
        <v>727</v>
      </c>
      <c r="F287" s="213"/>
      <c r="G287" s="83" t="s">
        <v>18</v>
      </c>
      <c r="H287" s="89" t="s">
        <v>19</v>
      </c>
      <c r="I287" s="83" t="s">
        <v>21</v>
      </c>
      <c r="J287" s="83" t="s">
        <v>627</v>
      </c>
      <c r="K287" s="116" t="s">
        <v>728</v>
      </c>
      <c r="L287" s="103"/>
      <c r="M287" s="51"/>
      <c r="N287" s="171">
        <f t="shared" si="67"/>
        <v>1</v>
      </c>
      <c r="O287" s="80">
        <f t="shared" si="82"/>
        <v>90.97</v>
      </c>
      <c r="P287" s="160" t="str">
        <f t="shared" si="68"/>
        <v>90-99 литров</v>
      </c>
      <c r="Q287" s="101" t="str">
        <f t="shared" si="81"/>
        <v>50-100 л</v>
      </c>
      <c r="R287" s="162">
        <f t="shared" si="69"/>
        <v>630</v>
      </c>
      <c r="S287" s="162">
        <f t="shared" si="70"/>
        <v>380</v>
      </c>
      <c r="T287" s="162">
        <f t="shared" si="71"/>
        <v>380</v>
      </c>
      <c r="U287" s="66">
        <f t="shared" si="72"/>
        <v>1.59744</v>
      </c>
      <c r="V287" s="66" t="str">
        <f t="shared" si="73"/>
        <v/>
      </c>
      <c r="W287" s="66" t="str">
        <f t="shared" si="74"/>
        <v/>
      </c>
      <c r="X287" s="160" t="str">
        <f t="shared" si="78"/>
        <v>600-699 мм</v>
      </c>
      <c r="Y287" s="160" t="str">
        <f t="shared" si="79"/>
        <v>300-399 мм</v>
      </c>
      <c r="Z287" s="160" t="str">
        <f t="shared" si="80"/>
        <v>300-399 мм</v>
      </c>
      <c r="AA287" s="100" t="str">
        <f t="shared" si="75"/>
        <v>Четырехклапанные</v>
      </c>
      <c r="AB287" s="66">
        <v>1.73</v>
      </c>
      <c r="AC287" s="100" t="str">
        <f t="shared" si="76"/>
        <v>90-99 литров</v>
      </c>
    </row>
    <row r="288" spans="1:29" s="61" customFormat="1" x14ac:dyDescent="0.3">
      <c r="A288" s="64">
        <v>1.25</v>
      </c>
      <c r="B288" s="65">
        <f t="shared" si="77"/>
        <v>1.5</v>
      </c>
      <c r="C288" s="109">
        <v>288</v>
      </c>
      <c r="D288" s="116" t="s">
        <v>27</v>
      </c>
      <c r="E288" s="88" t="s">
        <v>729</v>
      </c>
      <c r="F288" s="213"/>
      <c r="G288" s="83" t="s">
        <v>143</v>
      </c>
      <c r="H288" s="89" t="s">
        <v>147</v>
      </c>
      <c r="I288" s="83" t="s">
        <v>21</v>
      </c>
      <c r="J288" s="83" t="s">
        <v>711</v>
      </c>
      <c r="K288" s="116" t="s">
        <v>730</v>
      </c>
      <c r="L288" s="103"/>
      <c r="M288" s="51"/>
      <c r="N288" s="171">
        <f t="shared" si="67"/>
        <v>1</v>
      </c>
      <c r="O288" s="80">
        <f t="shared" si="82"/>
        <v>11.2</v>
      </c>
      <c r="P288" s="160" t="str">
        <f t="shared" si="68"/>
        <v>10-14,9 литров</v>
      </c>
      <c r="Q288" s="101" t="str">
        <f t="shared" si="81"/>
        <v>10-20 л</v>
      </c>
      <c r="R288" s="162">
        <f t="shared" si="69"/>
        <v>400</v>
      </c>
      <c r="S288" s="162">
        <f t="shared" si="70"/>
        <v>400</v>
      </c>
      <c r="T288" s="162">
        <f t="shared" si="71"/>
        <v>70</v>
      </c>
      <c r="U288" s="66">
        <f t="shared" si="72"/>
        <v>0.79347999999999996</v>
      </c>
      <c r="V288" s="66" t="str">
        <f t="shared" si="73"/>
        <v/>
      </c>
      <c r="W288" s="66" t="str">
        <f t="shared" si="74"/>
        <v>Плоские</v>
      </c>
      <c r="X288" s="160" t="str">
        <f t="shared" si="78"/>
        <v>400-499 мм</v>
      </c>
      <c r="Y288" s="160" t="str">
        <f t="shared" si="79"/>
        <v>400-499 мм</v>
      </c>
      <c r="Z288" s="160" t="str">
        <f t="shared" si="80"/>
        <v>10-99 мм</v>
      </c>
      <c r="AA288" s="100" t="str">
        <f t="shared" si="75"/>
        <v>Самосборные</v>
      </c>
      <c r="AB288" s="66">
        <v>1.73</v>
      </c>
      <c r="AC288" s="100" t="str">
        <f t="shared" si="76"/>
        <v>10-14 литров</v>
      </c>
    </row>
    <row r="289" spans="1:29" s="61" customFormat="1" x14ac:dyDescent="0.3">
      <c r="A289" s="64">
        <v>0.28999999999999998</v>
      </c>
      <c r="B289" s="65">
        <f t="shared" si="77"/>
        <v>0.34799999999999998</v>
      </c>
      <c r="C289" s="109">
        <v>289</v>
      </c>
      <c r="D289" s="116" t="s">
        <v>27</v>
      </c>
      <c r="E289" s="88" t="s">
        <v>731</v>
      </c>
      <c r="F289" s="213"/>
      <c r="G289" s="83" t="s">
        <v>18</v>
      </c>
      <c r="H289" s="89" t="s">
        <v>19</v>
      </c>
      <c r="I289" s="83" t="s">
        <v>21</v>
      </c>
      <c r="J289" s="83" t="s">
        <v>27</v>
      </c>
      <c r="K289" s="116" t="s">
        <v>732</v>
      </c>
      <c r="L289" s="103"/>
      <c r="M289" s="51"/>
      <c r="N289" s="171">
        <f t="shared" si="67"/>
        <v>1</v>
      </c>
      <c r="O289" s="80">
        <f t="shared" si="82"/>
        <v>3</v>
      </c>
      <c r="P289" s="160" t="str">
        <f t="shared" si="68"/>
        <v>3-3,9 литра</v>
      </c>
      <c r="Q289" s="101" t="str">
        <f t="shared" si="81"/>
        <v>3-5 л</v>
      </c>
      <c r="R289" s="162">
        <f t="shared" si="69"/>
        <v>120</v>
      </c>
      <c r="S289" s="162">
        <f t="shared" si="70"/>
        <v>100</v>
      </c>
      <c r="T289" s="162">
        <f t="shared" si="71"/>
        <v>250</v>
      </c>
      <c r="U289" s="66">
        <f t="shared" si="72"/>
        <v>0.17899999999999999</v>
      </c>
      <c r="V289" s="66" t="str">
        <f t="shared" si="73"/>
        <v>Длинные</v>
      </c>
      <c r="W289" s="66" t="str">
        <f t="shared" si="74"/>
        <v/>
      </c>
      <c r="X289" s="160" t="str">
        <f t="shared" si="78"/>
        <v>200-299 мм</v>
      </c>
      <c r="Y289" s="160" t="str">
        <f t="shared" si="79"/>
        <v>100-199 мм</v>
      </c>
      <c r="Z289" s="160" t="str">
        <f t="shared" si="80"/>
        <v>100-199 мм</v>
      </c>
      <c r="AA289" s="100" t="str">
        <f t="shared" si="75"/>
        <v>Четырехклапанные</v>
      </c>
      <c r="AB289" s="66">
        <v>1.73</v>
      </c>
      <c r="AC289" s="100" t="str">
        <f t="shared" si="76"/>
        <v>2-3 литра</v>
      </c>
    </row>
    <row r="290" spans="1:29" s="61" customFormat="1" x14ac:dyDescent="0.3">
      <c r="A290" s="64">
        <v>0.79</v>
      </c>
      <c r="B290" s="65">
        <f t="shared" si="77"/>
        <v>0.94799999999999995</v>
      </c>
      <c r="C290" s="109">
        <v>290</v>
      </c>
      <c r="D290" s="116" t="s">
        <v>27</v>
      </c>
      <c r="E290" s="88" t="s">
        <v>733</v>
      </c>
      <c r="F290" s="213"/>
      <c r="G290" s="83" t="s">
        <v>18</v>
      </c>
      <c r="H290" s="89" t="s">
        <v>19</v>
      </c>
      <c r="I290" s="83" t="s">
        <v>21</v>
      </c>
      <c r="J290" s="83" t="s">
        <v>27</v>
      </c>
      <c r="K290" s="116" t="s">
        <v>734</v>
      </c>
      <c r="L290" s="103"/>
      <c r="M290" s="51"/>
      <c r="N290" s="171">
        <f t="shared" si="67"/>
        <v>1</v>
      </c>
      <c r="O290" s="80">
        <f t="shared" si="82"/>
        <v>8.9600000000000009</v>
      </c>
      <c r="P290" s="160" t="str">
        <f t="shared" si="68"/>
        <v>8-9,9 литров</v>
      </c>
      <c r="Q290" s="101" t="str">
        <f t="shared" si="81"/>
        <v>5-10 л</v>
      </c>
      <c r="R290" s="162">
        <f t="shared" si="69"/>
        <v>370</v>
      </c>
      <c r="S290" s="162">
        <f t="shared" si="70"/>
        <v>255</v>
      </c>
      <c r="T290" s="162">
        <f t="shared" si="71"/>
        <v>95</v>
      </c>
      <c r="U290" s="66">
        <f t="shared" si="72"/>
        <v>0.46898000000000001</v>
      </c>
      <c r="V290" s="66" t="str">
        <f t="shared" si="73"/>
        <v/>
      </c>
      <c r="W290" s="66" t="str">
        <f t="shared" si="74"/>
        <v>Плоские</v>
      </c>
      <c r="X290" s="160" t="str">
        <f t="shared" si="78"/>
        <v>300-399 мм</v>
      </c>
      <c r="Y290" s="160" t="str">
        <f t="shared" si="79"/>
        <v>200-299 мм</v>
      </c>
      <c r="Z290" s="160" t="str">
        <f t="shared" si="80"/>
        <v>10-99 мм</v>
      </c>
      <c r="AA290" s="100" t="str">
        <f t="shared" si="75"/>
        <v>Четырехклапанные</v>
      </c>
      <c r="AB290" s="66">
        <v>1.73</v>
      </c>
      <c r="AC290" s="100" t="str">
        <f t="shared" si="76"/>
        <v>8-9 литров</v>
      </c>
    </row>
    <row r="291" spans="1:29" s="61" customFormat="1" x14ac:dyDescent="0.3">
      <c r="A291" s="64">
        <v>0.28999999999999998</v>
      </c>
      <c r="B291" s="65">
        <f t="shared" si="77"/>
        <v>0.34799999999999998</v>
      </c>
      <c r="C291" s="109">
        <v>291</v>
      </c>
      <c r="D291" s="116" t="s">
        <v>27</v>
      </c>
      <c r="E291" s="88" t="s">
        <v>735</v>
      </c>
      <c r="F291" s="213"/>
      <c r="G291" s="83" t="s">
        <v>18</v>
      </c>
      <c r="H291" s="89" t="s">
        <v>19</v>
      </c>
      <c r="I291" s="83" t="s">
        <v>21</v>
      </c>
      <c r="J291" s="83" t="s">
        <v>627</v>
      </c>
      <c r="K291" s="116" t="s">
        <v>736</v>
      </c>
      <c r="L291" s="103"/>
      <c r="M291" s="51"/>
      <c r="N291" s="171">
        <f t="shared" si="67"/>
        <v>1</v>
      </c>
      <c r="O291" s="80">
        <f t="shared" si="82"/>
        <v>2.34</v>
      </c>
      <c r="P291" s="160" t="str">
        <f t="shared" si="68"/>
        <v>2-2,9 литра</v>
      </c>
      <c r="Q291" s="101" t="str">
        <f t="shared" si="81"/>
        <v>2-3 л</v>
      </c>
      <c r="R291" s="162">
        <f t="shared" si="69"/>
        <v>180</v>
      </c>
      <c r="S291" s="162">
        <f t="shared" si="70"/>
        <v>130</v>
      </c>
      <c r="T291" s="162">
        <f t="shared" si="71"/>
        <v>100</v>
      </c>
      <c r="U291" s="66">
        <f t="shared" si="72"/>
        <v>0.16184000000000001</v>
      </c>
      <c r="V291" s="66" t="str">
        <f t="shared" si="73"/>
        <v/>
      </c>
      <c r="W291" s="66" t="str">
        <f t="shared" si="74"/>
        <v/>
      </c>
      <c r="X291" s="160" t="str">
        <f t="shared" si="78"/>
        <v>100-199 мм</v>
      </c>
      <c r="Y291" s="160" t="str">
        <f t="shared" si="79"/>
        <v>100-199 мм</v>
      </c>
      <c r="Z291" s="160" t="str">
        <f t="shared" si="80"/>
        <v>100-199 мм</v>
      </c>
      <c r="AA291" s="100" t="str">
        <f t="shared" si="75"/>
        <v>Четырехклапанные</v>
      </c>
      <c r="AB291" s="66">
        <v>1.73</v>
      </c>
      <c r="AC291" s="100" t="str">
        <f t="shared" si="76"/>
        <v>2-3 литра</v>
      </c>
    </row>
    <row r="292" spans="1:29" s="61" customFormat="1" x14ac:dyDescent="0.3">
      <c r="A292" s="64">
        <v>0.2</v>
      </c>
      <c r="B292" s="65">
        <f t="shared" si="77"/>
        <v>0.24</v>
      </c>
      <c r="C292" s="109">
        <v>292</v>
      </c>
      <c r="D292" s="77" t="s">
        <v>581</v>
      </c>
      <c r="E292" s="88" t="s">
        <v>737</v>
      </c>
      <c r="F292" s="213"/>
      <c r="G292" s="83" t="s">
        <v>18</v>
      </c>
      <c r="H292" s="89" t="s">
        <v>19</v>
      </c>
      <c r="I292" s="83" t="s">
        <v>21</v>
      </c>
      <c r="J292" s="83" t="s">
        <v>581</v>
      </c>
      <c r="K292" s="116" t="s">
        <v>738</v>
      </c>
      <c r="L292" s="103"/>
      <c r="M292" s="51"/>
      <c r="N292" s="171">
        <f t="shared" si="67"/>
        <v>1</v>
      </c>
      <c r="O292" s="80">
        <f t="shared" si="82"/>
        <v>1.1499999999999999</v>
      </c>
      <c r="P292" s="160" t="str">
        <f t="shared" si="68"/>
        <v>1-1,9 литра</v>
      </c>
      <c r="Q292" s="101" t="str">
        <f t="shared" si="81"/>
        <v>1-2 л</v>
      </c>
      <c r="R292" s="162">
        <f t="shared" si="69"/>
        <v>180</v>
      </c>
      <c r="S292" s="162">
        <f t="shared" si="70"/>
        <v>80</v>
      </c>
      <c r="T292" s="162">
        <f t="shared" si="71"/>
        <v>80</v>
      </c>
      <c r="U292" s="66">
        <f t="shared" si="72"/>
        <v>9.7439999999999999E-2</v>
      </c>
      <c r="V292" s="66" t="str">
        <f t="shared" si="73"/>
        <v>Длинные</v>
      </c>
      <c r="W292" s="66" t="str">
        <f t="shared" si="74"/>
        <v/>
      </c>
      <c r="X292" s="160" t="str">
        <f t="shared" si="78"/>
        <v>100-199 мм</v>
      </c>
      <c r="Y292" s="160" t="str">
        <f t="shared" si="79"/>
        <v>10-99 мм</v>
      </c>
      <c r="Z292" s="160" t="str">
        <f t="shared" si="80"/>
        <v>10-99 мм</v>
      </c>
      <c r="AA292" s="100" t="str">
        <f t="shared" si="75"/>
        <v>Четырехклапанные</v>
      </c>
      <c r="AB292" s="66">
        <v>1.73</v>
      </c>
      <c r="AC292" s="100" t="str">
        <f t="shared" si="76"/>
        <v>2-3 литра</v>
      </c>
    </row>
    <row r="293" spans="1:29" s="61" customFormat="1" x14ac:dyDescent="0.3">
      <c r="A293" s="64">
        <v>0.64</v>
      </c>
      <c r="B293" s="65">
        <f t="shared" si="77"/>
        <v>0.76800000000000002</v>
      </c>
      <c r="C293" s="109">
        <v>293</v>
      </c>
      <c r="D293" s="116" t="s">
        <v>27</v>
      </c>
      <c r="E293" s="88" t="s">
        <v>739</v>
      </c>
      <c r="F293" s="213"/>
      <c r="G293" s="83" t="s">
        <v>143</v>
      </c>
      <c r="H293" s="89" t="s">
        <v>175</v>
      </c>
      <c r="I293" s="83" t="s">
        <v>21</v>
      </c>
      <c r="J293" s="83" t="s">
        <v>27</v>
      </c>
      <c r="K293" s="116" t="s">
        <v>740</v>
      </c>
      <c r="L293" s="103"/>
      <c r="M293" s="51"/>
      <c r="N293" s="171">
        <f t="shared" si="67"/>
        <v>1</v>
      </c>
      <c r="O293" s="80">
        <f t="shared" si="82"/>
        <v>3.63</v>
      </c>
      <c r="P293" s="160" t="str">
        <f t="shared" si="68"/>
        <v>3-3,9 литра</v>
      </c>
      <c r="Q293" s="101" t="str">
        <f t="shared" si="81"/>
        <v>3-5 л</v>
      </c>
      <c r="R293" s="162">
        <f t="shared" si="69"/>
        <v>220</v>
      </c>
      <c r="S293" s="162">
        <f t="shared" si="70"/>
        <v>165</v>
      </c>
      <c r="T293" s="162">
        <f t="shared" si="71"/>
        <v>100</v>
      </c>
      <c r="U293" s="66">
        <f t="shared" si="72"/>
        <v>0.22659000000000001</v>
      </c>
      <c r="V293" s="66" t="str">
        <f t="shared" si="73"/>
        <v/>
      </c>
      <c r="W293" s="66" t="str">
        <f t="shared" si="74"/>
        <v/>
      </c>
      <c r="X293" s="160" t="str">
        <f t="shared" si="78"/>
        <v>200-299 мм</v>
      </c>
      <c r="Y293" s="160" t="str">
        <f t="shared" si="79"/>
        <v>100-199 мм</v>
      </c>
      <c r="Z293" s="160" t="str">
        <f t="shared" si="80"/>
        <v>100-199 мм</v>
      </c>
      <c r="AA293" s="100" t="str">
        <f t="shared" si="75"/>
        <v>Самосборные</v>
      </c>
      <c r="AB293" s="66">
        <v>1.73</v>
      </c>
      <c r="AC293" s="100" t="str">
        <f t="shared" si="76"/>
        <v>4-5 литра</v>
      </c>
    </row>
    <row r="294" spans="1:29" s="61" customFormat="1" x14ac:dyDescent="0.3">
      <c r="A294" s="64">
        <v>0.82</v>
      </c>
      <c r="B294" s="65">
        <f t="shared" si="77"/>
        <v>0.98399999999999987</v>
      </c>
      <c r="C294" s="109">
        <v>294</v>
      </c>
      <c r="D294" s="116" t="s">
        <v>27</v>
      </c>
      <c r="E294" s="88" t="s">
        <v>90</v>
      </c>
      <c r="F294" s="213"/>
      <c r="G294" s="83" t="s">
        <v>18</v>
      </c>
      <c r="H294" s="89" t="s">
        <v>19</v>
      </c>
      <c r="I294" s="83" t="s">
        <v>21</v>
      </c>
      <c r="J294" s="83" t="s">
        <v>627</v>
      </c>
      <c r="K294" s="116" t="s">
        <v>741</v>
      </c>
      <c r="L294" s="103"/>
      <c r="M294" s="51"/>
      <c r="N294" s="171">
        <f t="shared" si="67"/>
        <v>1</v>
      </c>
      <c r="O294" s="80">
        <f t="shared" si="82"/>
        <v>12.5</v>
      </c>
      <c r="P294" s="160" t="str">
        <f t="shared" si="68"/>
        <v>10-14,9 литров</v>
      </c>
      <c r="Q294" s="101" t="str">
        <f t="shared" si="81"/>
        <v>10-20 л</v>
      </c>
      <c r="R294" s="162">
        <f t="shared" si="69"/>
        <v>250</v>
      </c>
      <c r="S294" s="162">
        <f t="shared" si="70"/>
        <v>250</v>
      </c>
      <c r="T294" s="162">
        <f t="shared" si="71"/>
        <v>200</v>
      </c>
      <c r="U294" s="66">
        <f t="shared" si="72"/>
        <v>0.48548000000000002</v>
      </c>
      <c r="V294" s="66" t="str">
        <f t="shared" si="73"/>
        <v/>
      </c>
      <c r="W294" s="66" t="str">
        <f t="shared" si="74"/>
        <v/>
      </c>
      <c r="X294" s="160" t="str">
        <f t="shared" si="78"/>
        <v>200-299 мм</v>
      </c>
      <c r="Y294" s="160" t="str">
        <f t="shared" si="79"/>
        <v>200-299 мм</v>
      </c>
      <c r="Z294" s="160" t="str">
        <f t="shared" si="80"/>
        <v>200-299 мм</v>
      </c>
      <c r="AA294" s="100" t="str">
        <f t="shared" si="75"/>
        <v>Четырехклапанные</v>
      </c>
      <c r="AB294" s="66">
        <v>1.73</v>
      </c>
      <c r="AC294" s="100" t="str">
        <f t="shared" si="76"/>
        <v>10-14 литров</v>
      </c>
    </row>
    <row r="295" spans="1:29" s="61" customFormat="1" x14ac:dyDescent="0.3">
      <c r="A295" s="64">
        <v>0.24</v>
      </c>
      <c r="B295" s="65">
        <f t="shared" si="77"/>
        <v>0.28799999999999998</v>
      </c>
      <c r="C295" s="109">
        <v>295</v>
      </c>
      <c r="D295" s="116" t="s">
        <v>27</v>
      </c>
      <c r="E295" s="88" t="s">
        <v>742</v>
      </c>
      <c r="F295" s="213"/>
      <c r="G295" s="83" t="s">
        <v>143</v>
      </c>
      <c r="H295" s="89" t="s">
        <v>156</v>
      </c>
      <c r="I295" s="83" t="s">
        <v>144</v>
      </c>
      <c r="J295" s="83" t="s">
        <v>27</v>
      </c>
      <c r="K295" s="116" t="s">
        <v>743</v>
      </c>
      <c r="L295" s="103"/>
      <c r="M295" s="51"/>
      <c r="N295" s="171">
        <f t="shared" si="67"/>
        <v>1</v>
      </c>
      <c r="O295" s="80">
        <f t="shared" si="82"/>
        <v>1.03</v>
      </c>
      <c r="P295" s="160" t="str">
        <f t="shared" si="68"/>
        <v>1-1,9 литра</v>
      </c>
      <c r="Q295" s="101" t="str">
        <f t="shared" si="81"/>
        <v>1-2 л</v>
      </c>
      <c r="R295" s="162">
        <f t="shared" si="69"/>
        <v>203</v>
      </c>
      <c r="S295" s="162">
        <f t="shared" si="70"/>
        <v>203</v>
      </c>
      <c r="T295" s="162">
        <f t="shared" si="71"/>
        <v>25</v>
      </c>
      <c r="U295" s="66">
        <f t="shared" si="72"/>
        <v>0.205792</v>
      </c>
      <c r="V295" s="66" t="str">
        <f t="shared" si="73"/>
        <v/>
      </c>
      <c r="W295" s="66" t="str">
        <f t="shared" si="74"/>
        <v>Плоские</v>
      </c>
      <c r="X295" s="160" t="str">
        <f t="shared" si="78"/>
        <v>200-299 мм</v>
      </c>
      <c r="Y295" s="160" t="str">
        <f t="shared" si="79"/>
        <v>200-299 мм</v>
      </c>
      <c r="Z295" s="160" t="str">
        <f t="shared" si="80"/>
        <v>10-99 мм</v>
      </c>
      <c r="AA295" s="100" t="str">
        <f t="shared" si="75"/>
        <v>Самосборные</v>
      </c>
      <c r="AB295" s="66">
        <v>1.73</v>
      </c>
      <c r="AC295" s="100" t="str">
        <f t="shared" si="76"/>
        <v>2-3 литра</v>
      </c>
    </row>
    <row r="296" spans="1:29" s="61" customFormat="1" x14ac:dyDescent="0.3">
      <c r="A296" s="64">
        <v>0.28999999999999998</v>
      </c>
      <c r="B296" s="65">
        <f t="shared" si="77"/>
        <v>0.34799999999999998</v>
      </c>
      <c r="C296" s="109">
        <v>296</v>
      </c>
      <c r="D296" s="77" t="s">
        <v>581</v>
      </c>
      <c r="E296" s="88" t="s">
        <v>618</v>
      </c>
      <c r="F296" s="213"/>
      <c r="G296" s="83" t="s">
        <v>143</v>
      </c>
      <c r="H296" s="89" t="s">
        <v>320</v>
      </c>
      <c r="I296" s="83" t="s">
        <v>21</v>
      </c>
      <c r="J296" s="83" t="s">
        <v>296</v>
      </c>
      <c r="K296" s="116" t="s">
        <v>744</v>
      </c>
      <c r="L296" s="103"/>
      <c r="M296" s="51"/>
      <c r="N296" s="171">
        <f t="shared" si="67"/>
        <v>1</v>
      </c>
      <c r="O296" s="80">
        <f t="shared" si="82"/>
        <v>1.88</v>
      </c>
      <c r="P296" s="160" t="str">
        <f t="shared" si="68"/>
        <v>1-1,9 литра</v>
      </c>
      <c r="Q296" s="101" t="str">
        <f t="shared" si="81"/>
        <v>1-2 л</v>
      </c>
      <c r="R296" s="162">
        <f t="shared" si="69"/>
        <v>260</v>
      </c>
      <c r="S296" s="162">
        <f t="shared" si="70"/>
        <v>85</v>
      </c>
      <c r="T296" s="162">
        <f t="shared" si="71"/>
        <v>85</v>
      </c>
      <c r="U296" s="66">
        <f t="shared" si="72"/>
        <v>0.13350000000000001</v>
      </c>
      <c r="V296" s="66" t="str">
        <f t="shared" si="73"/>
        <v>Длинные</v>
      </c>
      <c r="W296" s="66" t="str">
        <f t="shared" si="74"/>
        <v/>
      </c>
      <c r="X296" s="160" t="str">
        <f t="shared" si="78"/>
        <v>200-299 мм</v>
      </c>
      <c r="Y296" s="160" t="str">
        <f t="shared" si="79"/>
        <v>10-99 мм</v>
      </c>
      <c r="Z296" s="160" t="str">
        <f t="shared" si="80"/>
        <v>10-99 мм</v>
      </c>
      <c r="AA296" s="100" t="str">
        <f t="shared" si="75"/>
        <v>Самосборные</v>
      </c>
      <c r="AB296" s="66">
        <v>1.73</v>
      </c>
      <c r="AC296" s="100" t="str">
        <f t="shared" si="76"/>
        <v>2-3 литра</v>
      </c>
    </row>
    <row r="297" spans="1:29" s="61" customFormat="1" x14ac:dyDescent="0.3">
      <c r="A297" s="64">
        <v>0.45</v>
      </c>
      <c r="B297" s="65">
        <f t="shared" si="77"/>
        <v>0.54</v>
      </c>
      <c r="C297" s="109">
        <v>297</v>
      </c>
      <c r="D297" s="116" t="s">
        <v>27</v>
      </c>
      <c r="E297" s="88" t="s">
        <v>745</v>
      </c>
      <c r="F297" s="213"/>
      <c r="G297" s="83" t="s">
        <v>18</v>
      </c>
      <c r="H297" s="89" t="s">
        <v>19</v>
      </c>
      <c r="I297" s="83" t="s">
        <v>21</v>
      </c>
      <c r="J297" s="83" t="s">
        <v>627</v>
      </c>
      <c r="K297" s="116" t="s">
        <v>746</v>
      </c>
      <c r="L297" s="103"/>
      <c r="M297" s="51"/>
      <c r="N297" s="171">
        <f t="shared" si="67"/>
        <v>1</v>
      </c>
      <c r="O297" s="80">
        <f t="shared" si="82"/>
        <v>5.47</v>
      </c>
      <c r="P297" s="160" t="str">
        <f t="shared" si="68"/>
        <v>4-5,9 литра</v>
      </c>
      <c r="Q297" s="101" t="str">
        <f t="shared" si="81"/>
        <v>5-10 л</v>
      </c>
      <c r="R297" s="162">
        <f t="shared" si="69"/>
        <v>125</v>
      </c>
      <c r="S297" s="162">
        <f t="shared" si="70"/>
        <v>125</v>
      </c>
      <c r="T297" s="162">
        <f t="shared" si="71"/>
        <v>350</v>
      </c>
      <c r="U297" s="66">
        <f t="shared" si="72"/>
        <v>0.27048</v>
      </c>
      <c r="V297" s="66" t="str">
        <f t="shared" si="73"/>
        <v>Длинные</v>
      </c>
      <c r="W297" s="66" t="str">
        <f t="shared" si="74"/>
        <v/>
      </c>
      <c r="X297" s="160" t="str">
        <f t="shared" si="78"/>
        <v>300-399 мм</v>
      </c>
      <c r="Y297" s="160" t="str">
        <f t="shared" si="79"/>
        <v>100-199 мм</v>
      </c>
      <c r="Z297" s="160" t="str">
        <f t="shared" si="80"/>
        <v>100-199 мм</v>
      </c>
      <c r="AA297" s="100" t="str">
        <f t="shared" si="75"/>
        <v>Четырехклапанные</v>
      </c>
      <c r="AB297" s="66">
        <v>1.73</v>
      </c>
      <c r="AC297" s="100" t="str">
        <f t="shared" si="76"/>
        <v>6-7 литра</v>
      </c>
    </row>
    <row r="298" spans="1:29" s="61" customFormat="1" x14ac:dyDescent="0.3">
      <c r="A298" s="64">
        <v>0.49</v>
      </c>
      <c r="B298" s="65">
        <f t="shared" si="77"/>
        <v>0.58799999999999997</v>
      </c>
      <c r="C298" s="109">
        <v>298</v>
      </c>
      <c r="D298" s="116" t="s">
        <v>27</v>
      </c>
      <c r="E298" s="88" t="s">
        <v>747</v>
      </c>
      <c r="F298" s="213"/>
      <c r="G298" s="83" t="s">
        <v>18</v>
      </c>
      <c r="H298" s="89" t="s">
        <v>19</v>
      </c>
      <c r="I298" s="83" t="s">
        <v>21</v>
      </c>
      <c r="J298" s="83" t="s">
        <v>627</v>
      </c>
      <c r="K298" s="116" t="s">
        <v>748</v>
      </c>
      <c r="L298" s="103"/>
      <c r="M298" s="51"/>
      <c r="N298" s="171">
        <f t="shared" si="67"/>
        <v>1</v>
      </c>
      <c r="O298" s="80">
        <f t="shared" si="82"/>
        <v>6.25</v>
      </c>
      <c r="P298" s="160" t="str">
        <f t="shared" si="68"/>
        <v>6-7,9 литра</v>
      </c>
      <c r="Q298" s="101" t="str">
        <f t="shared" si="81"/>
        <v>5-10 л</v>
      </c>
      <c r="R298" s="162">
        <f t="shared" si="69"/>
        <v>125</v>
      </c>
      <c r="S298" s="162">
        <f t="shared" si="70"/>
        <v>125</v>
      </c>
      <c r="T298" s="162">
        <f t="shared" si="71"/>
        <v>400</v>
      </c>
      <c r="U298" s="66">
        <f t="shared" si="72"/>
        <v>0.29848000000000002</v>
      </c>
      <c r="V298" s="66" t="str">
        <f t="shared" si="73"/>
        <v>Длинные</v>
      </c>
      <c r="W298" s="66" t="str">
        <f t="shared" si="74"/>
        <v/>
      </c>
      <c r="X298" s="160" t="str">
        <f t="shared" si="78"/>
        <v>400-499 мм</v>
      </c>
      <c r="Y298" s="160" t="str">
        <f t="shared" si="79"/>
        <v>100-199 мм</v>
      </c>
      <c r="Z298" s="160" t="str">
        <f t="shared" si="80"/>
        <v>100-199 мм</v>
      </c>
      <c r="AA298" s="100" t="str">
        <f t="shared" si="75"/>
        <v>Четырехклапанные</v>
      </c>
      <c r="AB298" s="66">
        <v>1.73</v>
      </c>
      <c r="AC298" s="100" t="str">
        <f t="shared" si="76"/>
        <v>6-7 литра</v>
      </c>
    </row>
    <row r="299" spans="1:29" s="61" customFormat="1" x14ac:dyDescent="0.3">
      <c r="A299" s="64">
        <v>0.46</v>
      </c>
      <c r="B299" s="65">
        <f t="shared" si="77"/>
        <v>0.55200000000000005</v>
      </c>
      <c r="C299" s="109">
        <v>299</v>
      </c>
      <c r="D299" s="77" t="s">
        <v>749</v>
      </c>
      <c r="E299" s="88" t="s">
        <v>565</v>
      </c>
      <c r="F299" s="213"/>
      <c r="G299" s="83" t="s">
        <v>143</v>
      </c>
      <c r="H299" s="89" t="s">
        <v>320</v>
      </c>
      <c r="I299" s="83" t="s">
        <v>144</v>
      </c>
      <c r="J299" s="83" t="s">
        <v>749</v>
      </c>
      <c r="K299" s="116" t="s">
        <v>750</v>
      </c>
      <c r="L299" s="103"/>
      <c r="M299" s="51"/>
      <c r="N299" s="171">
        <f t="shared" si="67"/>
        <v>1</v>
      </c>
      <c r="O299" s="80">
        <f t="shared" si="82"/>
        <v>2.71</v>
      </c>
      <c r="P299" s="160" t="str">
        <f t="shared" si="68"/>
        <v>2-2,9 литра</v>
      </c>
      <c r="Q299" s="101" t="str">
        <f t="shared" si="81"/>
        <v>2-3 л</v>
      </c>
      <c r="R299" s="162">
        <f t="shared" si="69"/>
        <v>160</v>
      </c>
      <c r="S299" s="162">
        <f t="shared" si="70"/>
        <v>160</v>
      </c>
      <c r="T299" s="162">
        <f t="shared" si="71"/>
        <v>106</v>
      </c>
      <c r="U299" s="66">
        <f t="shared" si="72"/>
        <v>0.1918</v>
      </c>
      <c r="V299" s="66" t="str">
        <f t="shared" si="73"/>
        <v/>
      </c>
      <c r="W299" s="66" t="str">
        <f t="shared" si="74"/>
        <v/>
      </c>
      <c r="X299" s="160" t="str">
        <f t="shared" si="78"/>
        <v>100-199 мм</v>
      </c>
      <c r="Y299" s="160" t="str">
        <f t="shared" si="79"/>
        <v>100-199 мм</v>
      </c>
      <c r="Z299" s="160" t="str">
        <f t="shared" si="80"/>
        <v>100-199 мм</v>
      </c>
      <c r="AA299" s="100" t="str">
        <f t="shared" si="75"/>
        <v>Самосборные</v>
      </c>
      <c r="AB299" s="66">
        <v>1.73</v>
      </c>
      <c r="AC299" s="100" t="str">
        <f t="shared" si="76"/>
        <v>2-3 литра</v>
      </c>
    </row>
    <row r="300" spans="1:29" s="61" customFormat="1" x14ac:dyDescent="0.3">
      <c r="A300" s="64">
        <v>0.87</v>
      </c>
      <c r="B300" s="65">
        <f t="shared" si="77"/>
        <v>1.044</v>
      </c>
      <c r="C300" s="109">
        <v>300</v>
      </c>
      <c r="D300" s="116" t="s">
        <v>749</v>
      </c>
      <c r="E300" s="88" t="s">
        <v>566</v>
      </c>
      <c r="F300" s="213"/>
      <c r="G300" s="83" t="s">
        <v>143</v>
      </c>
      <c r="H300" s="89" t="s">
        <v>320</v>
      </c>
      <c r="I300" s="83" t="s">
        <v>21</v>
      </c>
      <c r="J300" s="83" t="s">
        <v>749</v>
      </c>
      <c r="K300" s="116" t="s">
        <v>751</v>
      </c>
      <c r="L300" s="103"/>
      <c r="M300" s="51"/>
      <c r="N300" s="171">
        <f t="shared" si="67"/>
        <v>1</v>
      </c>
      <c r="O300" s="80">
        <f t="shared" si="82"/>
        <v>6.62</v>
      </c>
      <c r="P300" s="160" t="str">
        <f t="shared" si="68"/>
        <v>6-7,9 литра</v>
      </c>
      <c r="Q300" s="101" t="str">
        <f t="shared" si="81"/>
        <v>5-10 л</v>
      </c>
      <c r="R300" s="162">
        <f t="shared" si="69"/>
        <v>240</v>
      </c>
      <c r="S300" s="162">
        <f t="shared" si="70"/>
        <v>230</v>
      </c>
      <c r="T300" s="162">
        <f t="shared" si="71"/>
        <v>120</v>
      </c>
      <c r="U300" s="66">
        <f t="shared" si="72"/>
        <v>0.35799999999999998</v>
      </c>
      <c r="V300" s="66" t="str">
        <f t="shared" si="73"/>
        <v/>
      </c>
      <c r="W300" s="66" t="str">
        <f t="shared" si="74"/>
        <v/>
      </c>
      <c r="X300" s="160" t="str">
        <f t="shared" si="78"/>
        <v>200-299 мм</v>
      </c>
      <c r="Y300" s="160" t="str">
        <f t="shared" si="79"/>
        <v>200-299 мм</v>
      </c>
      <c r="Z300" s="160" t="str">
        <f t="shared" si="80"/>
        <v>100-199 мм</v>
      </c>
      <c r="AA300" s="100" t="str">
        <f t="shared" si="75"/>
        <v>Самосборные</v>
      </c>
      <c r="AB300" s="66">
        <v>1.73</v>
      </c>
      <c r="AC300" s="100" t="str">
        <f t="shared" si="76"/>
        <v>6-7 литра</v>
      </c>
    </row>
    <row r="301" spans="1:29" s="61" customFormat="1" x14ac:dyDescent="0.3">
      <c r="A301" s="64">
        <v>0.93420000000000003</v>
      </c>
      <c r="B301" s="65">
        <f t="shared" si="77"/>
        <v>1.12104</v>
      </c>
      <c r="C301" s="109">
        <v>301</v>
      </c>
      <c r="D301" s="116" t="s">
        <v>749</v>
      </c>
      <c r="E301" s="88" t="s">
        <v>752</v>
      </c>
      <c r="F301" s="213"/>
      <c r="G301" s="83" t="s">
        <v>143</v>
      </c>
      <c r="H301" s="89" t="s">
        <v>147</v>
      </c>
      <c r="I301" s="83" t="s">
        <v>21</v>
      </c>
      <c r="J301" s="83" t="s">
        <v>749</v>
      </c>
      <c r="K301" s="116" t="s">
        <v>753</v>
      </c>
      <c r="L301" s="103"/>
      <c r="M301" s="51"/>
      <c r="N301" s="171">
        <f t="shared" si="67"/>
        <v>1</v>
      </c>
      <c r="O301" s="80">
        <f t="shared" si="82"/>
        <v>5.34</v>
      </c>
      <c r="P301" s="160" t="str">
        <f t="shared" si="68"/>
        <v>4-5,9 литра</v>
      </c>
      <c r="Q301" s="101" t="str">
        <f t="shared" si="81"/>
        <v>5-10 л</v>
      </c>
      <c r="R301" s="162">
        <f t="shared" si="69"/>
        <v>250</v>
      </c>
      <c r="S301" s="162">
        <f t="shared" si="70"/>
        <v>225</v>
      </c>
      <c r="T301" s="162">
        <f t="shared" si="71"/>
        <v>95</v>
      </c>
      <c r="U301" s="66">
        <f t="shared" si="72"/>
        <v>0.33128000000000002</v>
      </c>
      <c r="V301" s="66" t="str">
        <f t="shared" si="73"/>
        <v/>
      </c>
      <c r="W301" s="66" t="str">
        <f t="shared" si="74"/>
        <v>Плоские</v>
      </c>
      <c r="X301" s="160" t="str">
        <f t="shared" si="78"/>
        <v>200-299 мм</v>
      </c>
      <c r="Y301" s="160" t="str">
        <f t="shared" si="79"/>
        <v>200-299 мм</v>
      </c>
      <c r="Z301" s="160" t="str">
        <f t="shared" si="80"/>
        <v>10-99 мм</v>
      </c>
      <c r="AA301" s="100" t="str">
        <f t="shared" si="75"/>
        <v>Самосборные</v>
      </c>
      <c r="AB301" s="66">
        <v>1.73</v>
      </c>
      <c r="AC301" s="100" t="str">
        <f t="shared" si="76"/>
        <v>6-7 литра</v>
      </c>
    </row>
    <row r="302" spans="1:29" s="61" customFormat="1" x14ac:dyDescent="0.3">
      <c r="A302" s="64">
        <v>0.64</v>
      </c>
      <c r="B302" s="65">
        <f t="shared" si="77"/>
        <v>0.76800000000000002</v>
      </c>
      <c r="C302" s="109">
        <v>302</v>
      </c>
      <c r="D302" s="116" t="s">
        <v>749</v>
      </c>
      <c r="E302" s="88" t="s">
        <v>688</v>
      </c>
      <c r="F302" s="213"/>
      <c r="G302" s="83" t="s">
        <v>143</v>
      </c>
      <c r="H302" s="89" t="s">
        <v>320</v>
      </c>
      <c r="I302" s="83" t="s">
        <v>21</v>
      </c>
      <c r="J302" s="83" t="s">
        <v>749</v>
      </c>
      <c r="K302" s="116" t="s">
        <v>754</v>
      </c>
      <c r="L302" s="103"/>
      <c r="M302" s="51"/>
      <c r="N302" s="171">
        <f t="shared" si="67"/>
        <v>1</v>
      </c>
      <c r="O302" s="80">
        <f t="shared" si="82"/>
        <v>5.32</v>
      </c>
      <c r="P302" s="160" t="str">
        <f t="shared" si="68"/>
        <v>4-5,9 литра</v>
      </c>
      <c r="Q302" s="101" t="str">
        <f t="shared" si="81"/>
        <v>5-10 л</v>
      </c>
      <c r="R302" s="162">
        <f t="shared" si="69"/>
        <v>225</v>
      </c>
      <c r="S302" s="162">
        <f t="shared" si="70"/>
        <v>175</v>
      </c>
      <c r="T302" s="162">
        <f t="shared" si="71"/>
        <v>135</v>
      </c>
      <c r="U302" s="66">
        <f t="shared" si="72"/>
        <v>0.27348</v>
      </c>
      <c r="V302" s="66" t="str">
        <f t="shared" si="73"/>
        <v/>
      </c>
      <c r="W302" s="66" t="str">
        <f t="shared" si="74"/>
        <v/>
      </c>
      <c r="X302" s="160" t="str">
        <f t="shared" si="78"/>
        <v>200-299 мм</v>
      </c>
      <c r="Y302" s="160" t="str">
        <f t="shared" si="79"/>
        <v>100-199 мм</v>
      </c>
      <c r="Z302" s="160" t="str">
        <f t="shared" si="80"/>
        <v>100-199 мм</v>
      </c>
      <c r="AA302" s="100" t="str">
        <f t="shared" si="75"/>
        <v>Самосборные</v>
      </c>
      <c r="AB302" s="66">
        <v>1.73</v>
      </c>
      <c r="AC302" s="100" t="str">
        <f t="shared" si="76"/>
        <v>6-7 литра</v>
      </c>
    </row>
    <row r="303" spans="1:29" s="61" customFormat="1" x14ac:dyDescent="0.3">
      <c r="A303" s="64">
        <v>0.36</v>
      </c>
      <c r="B303" s="65">
        <f t="shared" si="77"/>
        <v>0.432</v>
      </c>
      <c r="C303" s="109">
        <v>303</v>
      </c>
      <c r="D303" s="77" t="s">
        <v>749</v>
      </c>
      <c r="E303" s="88" t="s">
        <v>531</v>
      </c>
      <c r="F303" s="213"/>
      <c r="G303" s="83" t="s">
        <v>143</v>
      </c>
      <c r="H303" s="89" t="s">
        <v>147</v>
      </c>
      <c r="I303" s="83" t="s">
        <v>144</v>
      </c>
      <c r="J303" s="83" t="s">
        <v>749</v>
      </c>
      <c r="K303" s="116" t="s">
        <v>755</v>
      </c>
      <c r="L303" s="103"/>
      <c r="M303" s="51"/>
      <c r="N303" s="171">
        <f t="shared" si="67"/>
        <v>1</v>
      </c>
      <c r="O303" s="80">
        <f t="shared" si="82"/>
        <v>1.31</v>
      </c>
      <c r="P303" s="160" t="str">
        <f t="shared" si="68"/>
        <v>1-1,9 литра</v>
      </c>
      <c r="Q303" s="101" t="str">
        <f t="shared" si="81"/>
        <v>1-2 л</v>
      </c>
      <c r="R303" s="162">
        <f t="shared" si="69"/>
        <v>265</v>
      </c>
      <c r="S303" s="162">
        <f t="shared" si="70"/>
        <v>90</v>
      </c>
      <c r="T303" s="162">
        <f t="shared" si="71"/>
        <v>55</v>
      </c>
      <c r="U303" s="66">
        <f t="shared" si="72"/>
        <v>0.11781</v>
      </c>
      <c r="V303" s="66" t="str">
        <f t="shared" si="73"/>
        <v>Длинные</v>
      </c>
      <c r="W303" s="66" t="str">
        <f t="shared" si="74"/>
        <v/>
      </c>
      <c r="X303" s="160" t="str">
        <f t="shared" si="78"/>
        <v>200-299 мм</v>
      </c>
      <c r="Y303" s="160" t="str">
        <f t="shared" si="79"/>
        <v>10-99 мм</v>
      </c>
      <c r="Z303" s="160" t="str">
        <f t="shared" si="80"/>
        <v>10-99 мм</v>
      </c>
      <c r="AA303" s="100" t="str">
        <f t="shared" si="75"/>
        <v>Самосборные</v>
      </c>
      <c r="AB303" s="66">
        <v>1.73</v>
      </c>
      <c r="AC303" s="100" t="str">
        <f t="shared" si="76"/>
        <v>2-3 литра</v>
      </c>
    </row>
    <row r="304" spans="1:29" s="61" customFormat="1" x14ac:dyDescent="0.3">
      <c r="A304" s="64">
        <v>0.23</v>
      </c>
      <c r="B304" s="65">
        <f t="shared" si="77"/>
        <v>0.27600000000000002</v>
      </c>
      <c r="C304" s="109">
        <v>304</v>
      </c>
      <c r="D304" s="77" t="s">
        <v>749</v>
      </c>
      <c r="E304" s="88" t="s">
        <v>597</v>
      </c>
      <c r="F304" s="213"/>
      <c r="G304" s="83" t="s">
        <v>143</v>
      </c>
      <c r="H304" s="89" t="s">
        <v>320</v>
      </c>
      <c r="I304" s="83" t="s">
        <v>144</v>
      </c>
      <c r="J304" s="83" t="s">
        <v>749</v>
      </c>
      <c r="K304" s="116" t="s">
        <v>756</v>
      </c>
      <c r="L304" s="103"/>
      <c r="M304" s="51"/>
      <c r="N304" s="171">
        <f t="shared" si="67"/>
        <v>1</v>
      </c>
      <c r="O304" s="80">
        <f t="shared" si="82"/>
        <v>1.1000000000000001</v>
      </c>
      <c r="P304" s="160" t="str">
        <f t="shared" si="68"/>
        <v>1-1,9 литра</v>
      </c>
      <c r="Q304" s="101" t="str">
        <f t="shared" si="81"/>
        <v>1-2 л</v>
      </c>
      <c r="R304" s="162">
        <f t="shared" si="69"/>
        <v>150</v>
      </c>
      <c r="S304" s="162">
        <f t="shared" si="70"/>
        <v>105</v>
      </c>
      <c r="T304" s="162">
        <f t="shared" si="71"/>
        <v>70</v>
      </c>
      <c r="U304" s="66">
        <f t="shared" si="72"/>
        <v>0.10431</v>
      </c>
      <c r="V304" s="66" t="str">
        <f t="shared" si="73"/>
        <v/>
      </c>
      <c r="W304" s="66" t="str">
        <f t="shared" si="74"/>
        <v/>
      </c>
      <c r="X304" s="160" t="str">
        <f t="shared" si="78"/>
        <v>100-199 мм</v>
      </c>
      <c r="Y304" s="160" t="str">
        <f t="shared" si="79"/>
        <v>100-199 мм</v>
      </c>
      <c r="Z304" s="160" t="str">
        <f t="shared" si="80"/>
        <v>10-99 мм</v>
      </c>
      <c r="AA304" s="100" t="str">
        <f t="shared" si="75"/>
        <v>Самосборные</v>
      </c>
      <c r="AB304" s="66">
        <v>1.73</v>
      </c>
      <c r="AC304" s="100" t="str">
        <f t="shared" si="76"/>
        <v>2-3 литра</v>
      </c>
    </row>
    <row r="305" spans="1:29" s="61" customFormat="1" x14ac:dyDescent="0.3">
      <c r="A305" s="64">
        <v>0.21</v>
      </c>
      <c r="B305" s="65">
        <f t="shared" si="77"/>
        <v>0.252</v>
      </c>
      <c r="C305" s="109">
        <v>305</v>
      </c>
      <c r="D305" s="77" t="s">
        <v>749</v>
      </c>
      <c r="E305" s="88" t="s">
        <v>600</v>
      </c>
      <c r="F305" s="213"/>
      <c r="G305" s="83" t="s">
        <v>143</v>
      </c>
      <c r="H305" s="89" t="s">
        <v>147</v>
      </c>
      <c r="I305" s="83" t="s">
        <v>144</v>
      </c>
      <c r="J305" s="83" t="s">
        <v>749</v>
      </c>
      <c r="K305" s="116" t="s">
        <v>757</v>
      </c>
      <c r="L305" s="103"/>
      <c r="M305" s="51"/>
      <c r="N305" s="171">
        <f t="shared" si="67"/>
        <v>1</v>
      </c>
      <c r="O305" s="80">
        <f t="shared" si="82"/>
        <v>0.46</v>
      </c>
      <c r="P305" s="160" t="str">
        <f t="shared" si="68"/>
        <v>0,1-0,9 литров</v>
      </c>
      <c r="Q305" s="101" t="str">
        <f t="shared" si="81"/>
        <v>&lt;1 л</v>
      </c>
      <c r="R305" s="162">
        <f t="shared" si="69"/>
        <v>180</v>
      </c>
      <c r="S305" s="162">
        <f t="shared" si="70"/>
        <v>150</v>
      </c>
      <c r="T305" s="162">
        <f t="shared" si="71"/>
        <v>17</v>
      </c>
      <c r="U305" s="66">
        <f t="shared" si="72"/>
        <v>0.126</v>
      </c>
      <c r="V305" s="66" t="str">
        <f t="shared" si="73"/>
        <v/>
      </c>
      <c r="W305" s="66" t="str">
        <f t="shared" si="74"/>
        <v>Плоские</v>
      </c>
      <c r="X305" s="160" t="str">
        <f t="shared" si="78"/>
        <v>100-199 мм</v>
      </c>
      <c r="Y305" s="160" t="str">
        <f t="shared" si="79"/>
        <v>100-199 мм</v>
      </c>
      <c r="Z305" s="160" t="str">
        <f t="shared" si="80"/>
        <v>10-99 мм</v>
      </c>
      <c r="AA305" s="100" t="str">
        <f t="shared" si="75"/>
        <v>Самосборные</v>
      </c>
      <c r="AB305" s="66">
        <v>1.73</v>
      </c>
      <c r="AC305" s="100" t="str">
        <f t="shared" si="76"/>
        <v>0-1 литров</v>
      </c>
    </row>
    <row r="306" spans="1:29" s="61" customFormat="1" x14ac:dyDescent="0.3">
      <c r="A306" s="64">
        <v>0.28000000000000003</v>
      </c>
      <c r="B306" s="65">
        <f t="shared" si="77"/>
        <v>0.33600000000000002</v>
      </c>
      <c r="C306" s="109">
        <v>306</v>
      </c>
      <c r="D306" s="77" t="s">
        <v>749</v>
      </c>
      <c r="E306" s="88" t="s">
        <v>758</v>
      </c>
      <c r="F306" s="213"/>
      <c r="G306" s="83" t="s">
        <v>143</v>
      </c>
      <c r="H306" s="89" t="s">
        <v>20</v>
      </c>
      <c r="I306" s="83" t="s">
        <v>144</v>
      </c>
      <c r="J306" s="83" t="s">
        <v>749</v>
      </c>
      <c r="K306" s="116" t="s">
        <v>759</v>
      </c>
      <c r="L306" s="103"/>
      <c r="M306" s="51"/>
      <c r="N306" s="171">
        <f t="shared" si="67"/>
        <v>1</v>
      </c>
      <c r="O306" s="80">
        <f t="shared" si="82"/>
        <v>1.3</v>
      </c>
      <c r="P306" s="160" t="str">
        <f t="shared" si="68"/>
        <v>1-1,9 литра</v>
      </c>
      <c r="Q306" s="101" t="str">
        <f t="shared" si="81"/>
        <v>1-2 л</v>
      </c>
      <c r="R306" s="162">
        <f t="shared" si="69"/>
        <v>90</v>
      </c>
      <c r="S306" s="162">
        <f t="shared" si="70"/>
        <v>90</v>
      </c>
      <c r="T306" s="162">
        <f t="shared" si="71"/>
        <v>160</v>
      </c>
      <c r="U306" s="66">
        <f t="shared" si="72"/>
        <v>0.10836</v>
      </c>
      <c r="V306" s="66" t="str">
        <f t="shared" si="73"/>
        <v/>
      </c>
      <c r="W306" s="66" t="str">
        <f t="shared" si="74"/>
        <v/>
      </c>
      <c r="X306" s="160" t="str">
        <f t="shared" si="78"/>
        <v>100-199 мм</v>
      </c>
      <c r="Y306" s="160" t="str">
        <f t="shared" si="79"/>
        <v>10-99 мм</v>
      </c>
      <c r="Z306" s="160" t="str">
        <f t="shared" si="80"/>
        <v>10-99 мм</v>
      </c>
      <c r="AA306" s="100" t="str">
        <f t="shared" si="75"/>
        <v>Самосборные</v>
      </c>
      <c r="AB306" s="66">
        <v>1.73</v>
      </c>
      <c r="AC306" s="100" t="str">
        <f t="shared" si="76"/>
        <v>2-3 литра</v>
      </c>
    </row>
    <row r="307" spans="1:29" s="61" customFormat="1" x14ac:dyDescent="0.3">
      <c r="A307" s="64">
        <v>0.4</v>
      </c>
      <c r="B307" s="65">
        <f t="shared" si="77"/>
        <v>0.48</v>
      </c>
      <c r="C307" s="109">
        <v>307</v>
      </c>
      <c r="D307" s="77" t="s">
        <v>749</v>
      </c>
      <c r="E307" s="88" t="s">
        <v>468</v>
      </c>
      <c r="F307" s="213"/>
      <c r="G307" s="83" t="s">
        <v>143</v>
      </c>
      <c r="H307" s="89" t="s">
        <v>320</v>
      </c>
      <c r="I307" s="83" t="s">
        <v>144</v>
      </c>
      <c r="J307" s="83" t="s">
        <v>749</v>
      </c>
      <c r="K307" s="116" t="s">
        <v>760</v>
      </c>
      <c r="L307" s="103"/>
      <c r="M307" s="51"/>
      <c r="N307" s="171">
        <f t="shared" si="67"/>
        <v>1</v>
      </c>
      <c r="O307" s="80">
        <f t="shared" si="82"/>
        <v>2.25</v>
      </c>
      <c r="P307" s="160" t="str">
        <f t="shared" si="68"/>
        <v>2-2,9 литра</v>
      </c>
      <c r="Q307" s="101" t="str">
        <f t="shared" si="81"/>
        <v>2-3 л</v>
      </c>
      <c r="R307" s="162">
        <f t="shared" si="69"/>
        <v>150</v>
      </c>
      <c r="S307" s="162">
        <f t="shared" si="70"/>
        <v>150</v>
      </c>
      <c r="T307" s="162">
        <f t="shared" si="71"/>
        <v>100</v>
      </c>
      <c r="U307" s="66">
        <f t="shared" si="72"/>
        <v>0.17027999999999999</v>
      </c>
      <c r="V307" s="66" t="str">
        <f t="shared" si="73"/>
        <v/>
      </c>
      <c r="W307" s="66" t="str">
        <f t="shared" si="74"/>
        <v/>
      </c>
      <c r="X307" s="160" t="str">
        <f t="shared" si="78"/>
        <v>100-199 мм</v>
      </c>
      <c r="Y307" s="160" t="str">
        <f t="shared" si="79"/>
        <v>100-199 мм</v>
      </c>
      <c r="Z307" s="160" t="str">
        <f t="shared" si="80"/>
        <v>100-199 мм</v>
      </c>
      <c r="AA307" s="100" t="str">
        <f t="shared" si="75"/>
        <v>Самосборные</v>
      </c>
      <c r="AB307" s="66">
        <v>1.73</v>
      </c>
      <c r="AC307" s="100" t="str">
        <f t="shared" si="76"/>
        <v>2-3 литра</v>
      </c>
    </row>
    <row r="308" spans="1:29" s="61" customFormat="1" x14ac:dyDescent="0.3">
      <c r="A308" s="64">
        <v>0.36</v>
      </c>
      <c r="B308" s="65">
        <f t="shared" si="77"/>
        <v>0.432</v>
      </c>
      <c r="C308" s="109">
        <v>308</v>
      </c>
      <c r="D308" s="77" t="s">
        <v>749</v>
      </c>
      <c r="E308" s="88" t="s">
        <v>474</v>
      </c>
      <c r="F308" s="213"/>
      <c r="G308" s="83" t="s">
        <v>143</v>
      </c>
      <c r="H308" s="89" t="s">
        <v>20</v>
      </c>
      <c r="I308" s="83" t="s">
        <v>144</v>
      </c>
      <c r="J308" s="83" t="s">
        <v>749</v>
      </c>
      <c r="K308" s="116" t="s">
        <v>761</v>
      </c>
      <c r="L308" s="103"/>
      <c r="M308" s="51"/>
      <c r="N308" s="171">
        <f t="shared" si="67"/>
        <v>1</v>
      </c>
      <c r="O308" s="80">
        <f t="shared" si="82"/>
        <v>1.73</v>
      </c>
      <c r="P308" s="160" t="str">
        <f t="shared" si="68"/>
        <v>1-1,9 литра</v>
      </c>
      <c r="Q308" s="101" t="str">
        <f t="shared" si="81"/>
        <v>1-2 л</v>
      </c>
      <c r="R308" s="162">
        <f t="shared" si="69"/>
        <v>120</v>
      </c>
      <c r="S308" s="162">
        <f t="shared" si="70"/>
        <v>120</v>
      </c>
      <c r="T308" s="162">
        <f t="shared" si="71"/>
        <v>120</v>
      </c>
      <c r="U308" s="66">
        <f t="shared" si="72"/>
        <v>0.13392000000000001</v>
      </c>
      <c r="V308" s="66" t="str">
        <f t="shared" si="73"/>
        <v/>
      </c>
      <c r="W308" s="66" t="str">
        <f t="shared" si="74"/>
        <v/>
      </c>
      <c r="X308" s="160" t="str">
        <f t="shared" si="78"/>
        <v>100-199 мм</v>
      </c>
      <c r="Y308" s="160" t="str">
        <f t="shared" si="79"/>
        <v>100-199 мм</v>
      </c>
      <c r="Z308" s="160" t="str">
        <f t="shared" si="80"/>
        <v>100-199 мм</v>
      </c>
      <c r="AA308" s="100" t="str">
        <f t="shared" si="75"/>
        <v>Самосборные</v>
      </c>
      <c r="AB308" s="66">
        <v>1.73</v>
      </c>
      <c r="AC308" s="100" t="str">
        <f t="shared" si="76"/>
        <v>2-3 литра</v>
      </c>
    </row>
    <row r="309" spans="1:29" s="61" customFormat="1" x14ac:dyDescent="0.3">
      <c r="A309" s="64">
        <v>0.41519999999999996</v>
      </c>
      <c r="B309" s="65">
        <f t="shared" si="77"/>
        <v>0.49823999999999991</v>
      </c>
      <c r="C309" s="109">
        <v>309</v>
      </c>
      <c r="D309" s="77" t="s">
        <v>749</v>
      </c>
      <c r="E309" s="88" t="s">
        <v>762</v>
      </c>
      <c r="F309" s="213"/>
      <c r="G309" s="83" t="s">
        <v>143</v>
      </c>
      <c r="H309" s="89" t="s">
        <v>147</v>
      </c>
      <c r="I309" s="83" t="s">
        <v>144</v>
      </c>
      <c r="J309" s="83" t="s">
        <v>749</v>
      </c>
      <c r="K309" s="116" t="s">
        <v>763</v>
      </c>
      <c r="L309" s="103"/>
      <c r="M309" s="51"/>
      <c r="N309" s="171">
        <f t="shared" si="67"/>
        <v>1</v>
      </c>
      <c r="O309" s="80">
        <f t="shared" si="82"/>
        <v>1.38</v>
      </c>
      <c r="P309" s="160" t="str">
        <f t="shared" si="68"/>
        <v>1-1,9 литра</v>
      </c>
      <c r="Q309" s="101" t="str">
        <f t="shared" si="81"/>
        <v>1-2 л</v>
      </c>
      <c r="R309" s="162">
        <f t="shared" si="69"/>
        <v>240</v>
      </c>
      <c r="S309" s="162">
        <f t="shared" si="70"/>
        <v>230</v>
      </c>
      <c r="T309" s="162">
        <f t="shared" si="71"/>
        <v>25</v>
      </c>
      <c r="U309" s="66">
        <f t="shared" si="72"/>
        <v>0.26300000000000001</v>
      </c>
      <c r="V309" s="66" t="str">
        <f t="shared" si="73"/>
        <v/>
      </c>
      <c r="W309" s="66" t="str">
        <f t="shared" si="74"/>
        <v>Плоские</v>
      </c>
      <c r="X309" s="160" t="str">
        <f t="shared" si="78"/>
        <v>200-299 мм</v>
      </c>
      <c r="Y309" s="160" t="str">
        <f t="shared" si="79"/>
        <v>200-299 мм</v>
      </c>
      <c r="Z309" s="160" t="str">
        <f t="shared" si="80"/>
        <v>10-99 мм</v>
      </c>
      <c r="AA309" s="100" t="str">
        <f t="shared" si="75"/>
        <v>Самосборные</v>
      </c>
      <c r="AB309" s="66">
        <v>1.73</v>
      </c>
      <c r="AC309" s="100" t="str">
        <f t="shared" si="76"/>
        <v>2-3 литра</v>
      </c>
    </row>
    <row r="310" spans="1:29" s="61" customFormat="1" x14ac:dyDescent="0.3">
      <c r="A310" s="64">
        <v>0.1</v>
      </c>
      <c r="B310" s="65">
        <f t="shared" si="77"/>
        <v>0.12</v>
      </c>
      <c r="C310" s="109">
        <v>310</v>
      </c>
      <c r="D310" s="116" t="s">
        <v>27</v>
      </c>
      <c r="E310" s="88" t="s">
        <v>764</v>
      </c>
      <c r="F310" s="213"/>
      <c r="G310" s="83" t="s">
        <v>143</v>
      </c>
      <c r="H310" s="89" t="s">
        <v>20</v>
      </c>
      <c r="I310" s="83" t="s">
        <v>144</v>
      </c>
      <c r="J310" s="83" t="s">
        <v>27</v>
      </c>
      <c r="K310" s="116" t="s">
        <v>765</v>
      </c>
      <c r="L310" s="103"/>
      <c r="M310" s="51"/>
      <c r="N310" s="171">
        <f t="shared" si="67"/>
        <v>1</v>
      </c>
      <c r="O310" s="80">
        <f t="shared" si="82"/>
        <v>0.24</v>
      </c>
      <c r="P310" s="160" t="str">
        <f t="shared" si="68"/>
        <v>0,1-0,9 литров</v>
      </c>
      <c r="Q310" s="101" t="str">
        <f t="shared" si="81"/>
        <v>&lt;1 л</v>
      </c>
      <c r="R310" s="162">
        <f t="shared" si="69"/>
        <v>40</v>
      </c>
      <c r="S310" s="162">
        <f t="shared" si="70"/>
        <v>40</v>
      </c>
      <c r="T310" s="162">
        <f t="shared" si="71"/>
        <v>150</v>
      </c>
      <c r="U310" s="66">
        <f t="shared" si="72"/>
        <v>4.3560000000000001E-2</v>
      </c>
      <c r="V310" s="66" t="str">
        <f t="shared" si="73"/>
        <v>Длинные</v>
      </c>
      <c r="W310" s="66" t="str">
        <f t="shared" si="74"/>
        <v/>
      </c>
      <c r="X310" s="160" t="str">
        <f t="shared" si="78"/>
        <v>100-199 мм</v>
      </c>
      <c r="Y310" s="160" t="str">
        <f t="shared" si="79"/>
        <v>10-99 мм</v>
      </c>
      <c r="Z310" s="160" t="str">
        <f t="shared" si="80"/>
        <v>10-99 мм</v>
      </c>
      <c r="AA310" s="100" t="str">
        <f t="shared" si="75"/>
        <v>Самосборные</v>
      </c>
      <c r="AB310" s="66">
        <v>1.73</v>
      </c>
      <c r="AC310" s="100" t="str">
        <f t="shared" si="76"/>
        <v>0-1 литров</v>
      </c>
    </row>
    <row r="311" spans="1:29" s="61" customFormat="1" x14ac:dyDescent="0.3">
      <c r="A311" s="64">
        <v>0.38</v>
      </c>
      <c r="B311" s="65">
        <f t="shared" si="77"/>
        <v>0.45599999999999996</v>
      </c>
      <c r="C311" s="109">
        <v>311</v>
      </c>
      <c r="D311" s="116" t="s">
        <v>27</v>
      </c>
      <c r="E311" s="88" t="s">
        <v>766</v>
      </c>
      <c r="F311" s="213"/>
      <c r="G311" s="83" t="s">
        <v>18</v>
      </c>
      <c r="H311" s="89" t="s">
        <v>19</v>
      </c>
      <c r="I311" s="83" t="s">
        <v>21</v>
      </c>
      <c r="J311" s="83" t="s">
        <v>27</v>
      </c>
      <c r="K311" s="116" t="s">
        <v>767</v>
      </c>
      <c r="L311" s="103"/>
      <c r="M311" s="51"/>
      <c r="N311" s="171">
        <f t="shared" si="67"/>
        <v>1</v>
      </c>
      <c r="O311" s="80">
        <f t="shared" si="82"/>
        <v>4.1900000000000004</v>
      </c>
      <c r="P311" s="160" t="str">
        <f t="shared" si="68"/>
        <v>4-5,9 литра</v>
      </c>
      <c r="Q311" s="101" t="str">
        <f t="shared" si="81"/>
        <v>3-5 л</v>
      </c>
      <c r="R311" s="162">
        <f t="shared" si="69"/>
        <v>230</v>
      </c>
      <c r="S311" s="162">
        <f t="shared" si="70"/>
        <v>140</v>
      </c>
      <c r="T311" s="162">
        <f t="shared" si="71"/>
        <v>130</v>
      </c>
      <c r="U311" s="66">
        <f t="shared" si="72"/>
        <v>0.22239999999999999</v>
      </c>
      <c r="V311" s="66" t="str">
        <f t="shared" si="73"/>
        <v/>
      </c>
      <c r="W311" s="66" t="str">
        <f t="shared" si="74"/>
        <v/>
      </c>
      <c r="X311" s="160" t="str">
        <f t="shared" si="78"/>
        <v>200-299 мм</v>
      </c>
      <c r="Y311" s="160" t="str">
        <f t="shared" si="79"/>
        <v>100-199 мм</v>
      </c>
      <c r="Z311" s="160" t="str">
        <f t="shared" si="80"/>
        <v>100-199 мм</v>
      </c>
      <c r="AA311" s="100" t="str">
        <f t="shared" si="75"/>
        <v>Четырехклапанные</v>
      </c>
      <c r="AB311" s="66">
        <v>1.73</v>
      </c>
      <c r="AC311" s="100" t="str">
        <f t="shared" si="76"/>
        <v>4-5 литра</v>
      </c>
    </row>
    <row r="312" spans="1:29" s="61" customFormat="1" x14ac:dyDescent="0.3">
      <c r="A312" s="92">
        <v>0.45</v>
      </c>
      <c r="B312" s="65">
        <f t="shared" si="77"/>
        <v>0.54</v>
      </c>
      <c r="C312" s="109">
        <v>312</v>
      </c>
      <c r="D312" s="116" t="s">
        <v>962</v>
      </c>
      <c r="E312" s="88" t="s">
        <v>859</v>
      </c>
      <c r="F312" s="213" t="s">
        <v>909</v>
      </c>
      <c r="G312" s="83" t="s">
        <v>18</v>
      </c>
      <c r="H312" s="89" t="s">
        <v>19</v>
      </c>
      <c r="I312" s="83" t="s">
        <v>21</v>
      </c>
      <c r="J312" s="83" t="s">
        <v>627</v>
      </c>
      <c r="K312" s="116" t="s">
        <v>769</v>
      </c>
      <c r="L312" s="103" t="s">
        <v>870</v>
      </c>
      <c r="M312" s="97"/>
      <c r="N312" s="171">
        <f t="shared" si="67"/>
        <v>0</v>
      </c>
      <c r="O312" s="80">
        <f t="shared" si="82"/>
        <v>7.68</v>
      </c>
      <c r="P312" s="160" t="str">
        <f t="shared" si="68"/>
        <v>6-7,9 литра</v>
      </c>
      <c r="Q312" s="101" t="str">
        <f t="shared" si="81"/>
        <v>5-10 л</v>
      </c>
      <c r="R312" s="162">
        <f t="shared" si="69"/>
        <v>320</v>
      </c>
      <c r="S312" s="162">
        <f t="shared" si="70"/>
        <v>240</v>
      </c>
      <c r="T312" s="162">
        <f t="shared" si="71"/>
        <v>100</v>
      </c>
      <c r="U312" s="66">
        <f t="shared" si="72"/>
        <v>0.41064000000000001</v>
      </c>
      <c r="V312" s="66" t="str">
        <f t="shared" si="73"/>
        <v/>
      </c>
      <c r="W312" s="66" t="str">
        <f t="shared" si="74"/>
        <v>Плоские</v>
      </c>
      <c r="X312" s="160" t="str">
        <f t="shared" si="78"/>
        <v>300-399 мм</v>
      </c>
      <c r="Y312" s="160" t="str">
        <f t="shared" si="79"/>
        <v>200-299 мм</v>
      </c>
      <c r="Z312" s="160" t="str">
        <f t="shared" si="80"/>
        <v>100-199 мм</v>
      </c>
      <c r="AA312" s="101" t="str">
        <f t="shared" si="75"/>
        <v>Четырехклапанные</v>
      </c>
      <c r="AB312" s="66">
        <v>1.73</v>
      </c>
      <c r="AC312" s="100" t="str">
        <f t="shared" si="76"/>
        <v>8-9 литров</v>
      </c>
    </row>
    <row r="313" spans="1:29" s="61" customFormat="1" x14ac:dyDescent="0.3">
      <c r="A313" s="92">
        <v>1.65</v>
      </c>
      <c r="B313" s="65">
        <f t="shared" si="77"/>
        <v>1.9799999999999998</v>
      </c>
      <c r="C313" s="109">
        <v>313</v>
      </c>
      <c r="D313" s="116" t="s">
        <v>962</v>
      </c>
      <c r="E313" s="88" t="s">
        <v>860</v>
      </c>
      <c r="F313" s="213" t="s">
        <v>909</v>
      </c>
      <c r="G313" s="83" t="s">
        <v>18</v>
      </c>
      <c r="H313" s="89" t="s">
        <v>19</v>
      </c>
      <c r="I313" s="83" t="s">
        <v>21</v>
      </c>
      <c r="J313" s="83" t="s">
        <v>627</v>
      </c>
      <c r="K313" s="116" t="s">
        <v>770</v>
      </c>
      <c r="L313" s="103"/>
      <c r="M313" s="97"/>
      <c r="N313" s="171">
        <f t="shared" si="67"/>
        <v>0</v>
      </c>
      <c r="O313" s="80">
        <f t="shared" si="82"/>
        <v>80.61</v>
      </c>
      <c r="P313" s="160" t="str">
        <f t="shared" si="68"/>
        <v>80-89 литров</v>
      </c>
      <c r="Q313" s="101" t="str">
        <f t="shared" si="81"/>
        <v>50-100 л</v>
      </c>
      <c r="R313" s="162">
        <f t="shared" si="69"/>
        <v>530</v>
      </c>
      <c r="S313" s="162">
        <f t="shared" si="70"/>
        <v>390</v>
      </c>
      <c r="T313" s="162">
        <f t="shared" si="71"/>
        <v>390</v>
      </c>
      <c r="U313" s="66">
        <f t="shared" si="72"/>
        <v>1.4972000000000001</v>
      </c>
      <c r="V313" s="66" t="str">
        <f t="shared" si="73"/>
        <v/>
      </c>
      <c r="W313" s="66" t="str">
        <f t="shared" si="74"/>
        <v/>
      </c>
      <c r="X313" s="160" t="str">
        <f t="shared" si="78"/>
        <v>500-599 мм</v>
      </c>
      <c r="Y313" s="160" t="str">
        <f t="shared" si="79"/>
        <v>300-399 мм</v>
      </c>
      <c r="Z313" s="160" t="str">
        <f t="shared" si="80"/>
        <v>300-399 мм</v>
      </c>
      <c r="AA313" s="101" t="str">
        <f t="shared" si="75"/>
        <v>Четырехклапанные</v>
      </c>
      <c r="AB313" s="66">
        <v>1.73</v>
      </c>
      <c r="AC313" s="100" t="str">
        <f t="shared" si="76"/>
        <v>80-89 литров</v>
      </c>
    </row>
    <row r="314" spans="1:29" s="61" customFormat="1" x14ac:dyDescent="0.3">
      <c r="A314" s="92">
        <v>0.37</v>
      </c>
      <c r="B314" s="65">
        <f t="shared" si="77"/>
        <v>0.44400000000000001</v>
      </c>
      <c r="C314" s="109">
        <v>314</v>
      </c>
      <c r="D314" s="116" t="s">
        <v>962</v>
      </c>
      <c r="E314" s="88" t="s">
        <v>861</v>
      </c>
      <c r="F314" s="213" t="s">
        <v>909</v>
      </c>
      <c r="G314" s="83" t="s">
        <v>18</v>
      </c>
      <c r="H314" s="89" t="s">
        <v>19</v>
      </c>
      <c r="I314" s="83" t="s">
        <v>21</v>
      </c>
      <c r="J314" s="83" t="s">
        <v>627</v>
      </c>
      <c r="K314" s="116" t="s">
        <v>771</v>
      </c>
      <c r="L314" s="103" t="s">
        <v>870</v>
      </c>
      <c r="M314" s="51"/>
      <c r="N314" s="171">
        <f t="shared" ref="N314:N329" si="83">IF(D314="","",IF(LEFT(D314,1)="0",0,1))</f>
        <v>0</v>
      </c>
      <c r="O314" s="80">
        <f t="shared" si="82"/>
        <v>5.25</v>
      </c>
      <c r="P314" s="160" t="str">
        <f t="shared" si="68"/>
        <v>4-5,9 литра</v>
      </c>
      <c r="Q314" s="101" t="str">
        <f t="shared" si="81"/>
        <v>5-10 л</v>
      </c>
      <c r="R314" s="162">
        <f t="shared" si="69"/>
        <v>250</v>
      </c>
      <c r="S314" s="162">
        <f t="shared" si="70"/>
        <v>150</v>
      </c>
      <c r="T314" s="162">
        <f t="shared" si="71"/>
        <v>140</v>
      </c>
      <c r="U314" s="66">
        <f t="shared" si="72"/>
        <v>0.25628000000000001</v>
      </c>
      <c r="V314" s="66" t="str">
        <f t="shared" si="73"/>
        <v/>
      </c>
      <c r="W314" s="66" t="str">
        <f t="shared" si="74"/>
        <v/>
      </c>
      <c r="X314" s="160" t="str">
        <f t="shared" si="78"/>
        <v>200-299 мм</v>
      </c>
      <c r="Y314" s="160" t="str">
        <f t="shared" si="79"/>
        <v>100-199 мм</v>
      </c>
      <c r="Z314" s="160" t="str">
        <f t="shared" si="80"/>
        <v>100-199 мм</v>
      </c>
      <c r="AA314" s="100" t="str">
        <f t="shared" si="75"/>
        <v>Четырехклапанные</v>
      </c>
      <c r="AB314" s="66">
        <v>1.73</v>
      </c>
      <c r="AC314" s="100" t="str">
        <f t="shared" si="76"/>
        <v>6-7 литра</v>
      </c>
    </row>
    <row r="315" spans="1:29" s="61" customFormat="1" x14ac:dyDescent="0.3">
      <c r="A315" s="92">
        <v>0.46</v>
      </c>
      <c r="B315" s="65">
        <f t="shared" si="77"/>
        <v>0.55200000000000005</v>
      </c>
      <c r="C315" s="109">
        <v>315</v>
      </c>
      <c r="D315" s="116" t="s">
        <v>749</v>
      </c>
      <c r="E315" s="88" t="s">
        <v>862</v>
      </c>
      <c r="F315" s="213" t="s">
        <v>909</v>
      </c>
      <c r="G315" s="83" t="s">
        <v>18</v>
      </c>
      <c r="H315" s="89" t="s">
        <v>19</v>
      </c>
      <c r="I315" s="83" t="s">
        <v>21</v>
      </c>
      <c r="J315" s="83" t="s">
        <v>627</v>
      </c>
      <c r="K315" s="116" t="s">
        <v>772</v>
      </c>
      <c r="L315" s="103"/>
      <c r="M315" s="51"/>
      <c r="N315" s="171">
        <f t="shared" si="83"/>
        <v>1</v>
      </c>
      <c r="O315" s="80">
        <f t="shared" si="82"/>
        <v>7.51</v>
      </c>
      <c r="P315" s="160" t="str">
        <f t="shared" si="68"/>
        <v>6-7,9 литра</v>
      </c>
      <c r="Q315" s="101" t="str">
        <f t="shared" si="81"/>
        <v>5-10 л</v>
      </c>
      <c r="R315" s="162">
        <f t="shared" si="69"/>
        <v>260</v>
      </c>
      <c r="S315" s="162">
        <f t="shared" si="70"/>
        <v>170</v>
      </c>
      <c r="T315" s="162">
        <f t="shared" si="71"/>
        <v>170</v>
      </c>
      <c r="U315" s="66">
        <f t="shared" si="72"/>
        <v>0.32016</v>
      </c>
      <c r="V315" s="66" t="str">
        <f t="shared" si="73"/>
        <v/>
      </c>
      <c r="W315" s="66" t="str">
        <f t="shared" si="74"/>
        <v/>
      </c>
      <c r="X315" s="160" t="str">
        <f t="shared" si="78"/>
        <v>200-299 мм</v>
      </c>
      <c r="Y315" s="160" t="str">
        <f t="shared" si="79"/>
        <v>100-199 мм</v>
      </c>
      <c r="Z315" s="160" t="str">
        <f t="shared" si="80"/>
        <v>100-199 мм</v>
      </c>
      <c r="AA315" s="100" t="str">
        <f t="shared" si="75"/>
        <v>Четырехклапанные</v>
      </c>
      <c r="AB315" s="66">
        <v>1.73</v>
      </c>
      <c r="AC315" s="100" t="str">
        <f t="shared" si="76"/>
        <v>8-9 литров</v>
      </c>
    </row>
    <row r="316" spans="1:29" s="61" customFormat="1" x14ac:dyDescent="0.3">
      <c r="A316" s="64">
        <v>0.39</v>
      </c>
      <c r="B316" s="65">
        <f t="shared" si="77"/>
        <v>0.46799999999999997</v>
      </c>
      <c r="C316" s="109">
        <v>316</v>
      </c>
      <c r="D316" s="116" t="s">
        <v>27</v>
      </c>
      <c r="E316" s="88" t="s">
        <v>863</v>
      </c>
      <c r="F316" s="213"/>
      <c r="G316" s="83" t="s">
        <v>18</v>
      </c>
      <c r="H316" s="89" t="s">
        <v>19</v>
      </c>
      <c r="I316" s="83" t="s">
        <v>21</v>
      </c>
      <c r="J316" s="83" t="s">
        <v>27</v>
      </c>
      <c r="K316" s="116" t="s">
        <v>874</v>
      </c>
      <c r="L316" s="103"/>
      <c r="M316" s="51"/>
      <c r="N316" s="171">
        <f t="shared" si="83"/>
        <v>1</v>
      </c>
      <c r="O316" s="80">
        <f t="shared" si="82"/>
        <v>4.8</v>
      </c>
      <c r="P316" s="160" t="str">
        <f t="shared" si="68"/>
        <v>4-5,9 литра</v>
      </c>
      <c r="Q316" s="101" t="str">
        <f t="shared" si="81"/>
        <v>3-5 л</v>
      </c>
      <c r="R316" s="162">
        <f t="shared" si="69"/>
        <v>147</v>
      </c>
      <c r="S316" s="162">
        <f t="shared" si="70"/>
        <v>127</v>
      </c>
      <c r="T316" s="162">
        <f t="shared" si="71"/>
        <v>257</v>
      </c>
      <c r="U316" s="66">
        <f t="shared" si="72"/>
        <v>0.23833599999999999</v>
      </c>
      <c r="V316" s="66" t="str">
        <f t="shared" si="73"/>
        <v/>
      </c>
      <c r="W316" s="66" t="str">
        <f t="shared" si="74"/>
        <v/>
      </c>
      <c r="X316" s="160" t="str">
        <f t="shared" si="78"/>
        <v>200-299 мм</v>
      </c>
      <c r="Y316" s="160" t="str">
        <f t="shared" si="79"/>
        <v>100-199 мм</v>
      </c>
      <c r="Z316" s="160" t="str">
        <f t="shared" si="80"/>
        <v>100-199 мм</v>
      </c>
      <c r="AA316" s="100" t="str">
        <f t="shared" si="75"/>
        <v>Четырехклапанные</v>
      </c>
      <c r="AB316" s="66">
        <v>1.73</v>
      </c>
      <c r="AC316" s="100" t="str">
        <f t="shared" si="76"/>
        <v>4-5 литра</v>
      </c>
    </row>
    <row r="317" spans="1:29" s="61" customFormat="1" x14ac:dyDescent="0.3">
      <c r="A317" s="64">
        <v>0.67</v>
      </c>
      <c r="B317" s="65">
        <f t="shared" si="77"/>
        <v>0.80400000000000005</v>
      </c>
      <c r="C317" s="109">
        <v>317</v>
      </c>
      <c r="D317" s="116" t="s">
        <v>27</v>
      </c>
      <c r="E317" s="88" t="s">
        <v>864</v>
      </c>
      <c r="F317" s="213"/>
      <c r="G317" s="83" t="s">
        <v>18</v>
      </c>
      <c r="H317" s="89" t="s">
        <v>19</v>
      </c>
      <c r="I317" s="83" t="s">
        <v>21</v>
      </c>
      <c r="J317" s="83" t="s">
        <v>27</v>
      </c>
      <c r="K317" s="116" t="s">
        <v>875</v>
      </c>
      <c r="L317" s="103"/>
      <c r="M317" s="51"/>
      <c r="N317" s="171">
        <f t="shared" si="83"/>
        <v>1</v>
      </c>
      <c r="O317" s="80">
        <f t="shared" si="82"/>
        <v>11.28</v>
      </c>
      <c r="P317" s="160" t="str">
        <f t="shared" si="68"/>
        <v>10-14,9 литров</v>
      </c>
      <c r="Q317" s="101" t="str">
        <f t="shared" si="81"/>
        <v>10-20 л</v>
      </c>
      <c r="R317" s="162">
        <f t="shared" si="69"/>
        <v>207</v>
      </c>
      <c r="S317" s="162">
        <f t="shared" si="70"/>
        <v>157</v>
      </c>
      <c r="T317" s="162">
        <f t="shared" si="71"/>
        <v>347</v>
      </c>
      <c r="U317" s="66">
        <f t="shared" si="72"/>
        <v>0.40345599999999998</v>
      </c>
      <c r="V317" s="66" t="str">
        <f t="shared" si="73"/>
        <v/>
      </c>
      <c r="W317" s="66" t="str">
        <f t="shared" si="74"/>
        <v/>
      </c>
      <c r="X317" s="160" t="str">
        <f t="shared" si="78"/>
        <v>300-399 мм</v>
      </c>
      <c r="Y317" s="160" t="str">
        <f t="shared" si="79"/>
        <v>200-299 мм</v>
      </c>
      <c r="Z317" s="160" t="str">
        <f t="shared" si="80"/>
        <v>100-199 мм</v>
      </c>
      <c r="AA317" s="100" t="str">
        <f t="shared" si="75"/>
        <v>Четырехклапанные</v>
      </c>
      <c r="AB317" s="66">
        <v>1.73</v>
      </c>
      <c r="AC317" s="100" t="str">
        <f t="shared" si="76"/>
        <v>10-14 литров</v>
      </c>
    </row>
    <row r="318" spans="1:29" s="61" customFormat="1" x14ac:dyDescent="0.3">
      <c r="A318" s="64">
        <v>0.89</v>
      </c>
      <c r="B318" s="65">
        <f t="shared" si="77"/>
        <v>1.0680000000000001</v>
      </c>
      <c r="C318" s="109">
        <v>318</v>
      </c>
      <c r="D318" s="116" t="s">
        <v>27</v>
      </c>
      <c r="E318" s="88" t="s">
        <v>865</v>
      </c>
      <c r="F318" s="213"/>
      <c r="G318" s="83" t="s">
        <v>18</v>
      </c>
      <c r="H318" s="89" t="s">
        <v>19</v>
      </c>
      <c r="I318" s="83" t="s">
        <v>21</v>
      </c>
      <c r="J318" s="83" t="s">
        <v>27</v>
      </c>
      <c r="K318" s="116" t="s">
        <v>876</v>
      </c>
      <c r="L318" s="103"/>
      <c r="M318" s="51"/>
      <c r="N318" s="171">
        <f t="shared" si="83"/>
        <v>1</v>
      </c>
      <c r="O318" s="80">
        <f t="shared" si="82"/>
        <v>17.809999999999999</v>
      </c>
      <c r="P318" s="160" t="str">
        <f t="shared" si="68"/>
        <v>15-19,9 литров</v>
      </c>
      <c r="Q318" s="101" t="str">
        <f t="shared" si="81"/>
        <v>10-20 л</v>
      </c>
      <c r="R318" s="162">
        <f t="shared" si="69"/>
        <v>327</v>
      </c>
      <c r="S318" s="162">
        <f t="shared" si="70"/>
        <v>157</v>
      </c>
      <c r="T318" s="162">
        <f t="shared" si="71"/>
        <v>347</v>
      </c>
      <c r="U318" s="66">
        <f t="shared" si="72"/>
        <v>0.52633600000000003</v>
      </c>
      <c r="V318" s="66" t="str">
        <f t="shared" si="73"/>
        <v/>
      </c>
      <c r="W318" s="66" t="str">
        <f t="shared" si="74"/>
        <v>Плоские</v>
      </c>
      <c r="X318" s="160" t="str">
        <f t="shared" si="78"/>
        <v>300-399 мм</v>
      </c>
      <c r="Y318" s="160" t="str">
        <f t="shared" si="79"/>
        <v>300-399 мм</v>
      </c>
      <c r="Z318" s="160" t="str">
        <f t="shared" si="80"/>
        <v>100-199 мм</v>
      </c>
      <c r="AA318" s="100" t="str">
        <f t="shared" si="75"/>
        <v>Четырехклапанные</v>
      </c>
      <c r="AB318" s="66">
        <v>1.73</v>
      </c>
      <c r="AC318" s="100" t="str">
        <f t="shared" si="76"/>
        <v>15-19 литров</v>
      </c>
    </row>
    <row r="319" spans="1:29" s="61" customFormat="1" x14ac:dyDescent="0.3">
      <c r="A319" s="64">
        <v>0.24</v>
      </c>
      <c r="B319" s="65">
        <f t="shared" si="77"/>
        <v>0.28799999999999998</v>
      </c>
      <c r="C319" s="109">
        <v>319</v>
      </c>
      <c r="D319" s="116" t="s">
        <v>27</v>
      </c>
      <c r="E319" s="88" t="s">
        <v>866</v>
      </c>
      <c r="F319" s="213"/>
      <c r="G319" s="83" t="s">
        <v>18</v>
      </c>
      <c r="H319" s="89" t="s">
        <v>19</v>
      </c>
      <c r="I319" s="83" t="s">
        <v>21</v>
      </c>
      <c r="J319" s="83" t="s">
        <v>27</v>
      </c>
      <c r="K319" s="116" t="s">
        <v>877</v>
      </c>
      <c r="L319" s="103"/>
      <c r="M319" s="51"/>
      <c r="N319" s="171">
        <f t="shared" si="83"/>
        <v>1</v>
      </c>
      <c r="O319" s="80">
        <f t="shared" si="82"/>
        <v>2.19</v>
      </c>
      <c r="P319" s="160" t="str">
        <f t="shared" si="68"/>
        <v>2-2,9 литра</v>
      </c>
      <c r="Q319" s="101" t="str">
        <f t="shared" si="81"/>
        <v>2-3 л</v>
      </c>
      <c r="R319" s="162">
        <f t="shared" si="69"/>
        <v>127</v>
      </c>
      <c r="S319" s="162">
        <f t="shared" si="70"/>
        <v>67</v>
      </c>
      <c r="T319" s="162">
        <f t="shared" si="71"/>
        <v>257</v>
      </c>
      <c r="U319" s="66">
        <f t="shared" si="72"/>
        <v>0.14873600000000001</v>
      </c>
      <c r="V319" s="66" t="str">
        <f t="shared" si="73"/>
        <v>Длинные</v>
      </c>
      <c r="W319" s="66" t="str">
        <f t="shared" si="74"/>
        <v/>
      </c>
      <c r="X319" s="160" t="str">
        <f t="shared" si="78"/>
        <v>200-299 мм</v>
      </c>
      <c r="Y319" s="160" t="str">
        <f t="shared" si="79"/>
        <v>100-199 мм</v>
      </c>
      <c r="Z319" s="160" t="str">
        <f t="shared" si="80"/>
        <v>10-99 мм</v>
      </c>
      <c r="AA319" s="100" t="str">
        <f t="shared" si="75"/>
        <v>Четырехклапанные</v>
      </c>
      <c r="AB319" s="66">
        <v>1.73</v>
      </c>
      <c r="AC319" s="100" t="str">
        <f t="shared" si="76"/>
        <v>2-3 литра</v>
      </c>
    </row>
    <row r="320" spans="1:29" s="61" customFormat="1" x14ac:dyDescent="0.3">
      <c r="A320" s="64">
        <v>0.5</v>
      </c>
      <c r="B320" s="65">
        <f t="shared" si="77"/>
        <v>0.6</v>
      </c>
      <c r="C320" s="109">
        <v>320</v>
      </c>
      <c r="D320" s="116" t="s">
        <v>27</v>
      </c>
      <c r="E320" s="88" t="s">
        <v>867</v>
      </c>
      <c r="F320" s="213"/>
      <c r="G320" s="83" t="s">
        <v>18</v>
      </c>
      <c r="H320" s="89" t="s">
        <v>19</v>
      </c>
      <c r="I320" s="83" t="s">
        <v>21</v>
      </c>
      <c r="J320" s="83" t="s">
        <v>27</v>
      </c>
      <c r="K320" s="116" t="s">
        <v>878</v>
      </c>
      <c r="L320" s="103"/>
      <c r="M320" s="51"/>
      <c r="N320" s="171">
        <f t="shared" si="83"/>
        <v>1</v>
      </c>
      <c r="O320" s="80">
        <f t="shared" si="82"/>
        <v>7.41</v>
      </c>
      <c r="P320" s="160" t="str">
        <f t="shared" si="68"/>
        <v>6-7,9 литра</v>
      </c>
      <c r="Q320" s="101" t="str">
        <f t="shared" si="81"/>
        <v>5-10 л</v>
      </c>
      <c r="R320" s="162">
        <f t="shared" si="69"/>
        <v>227</v>
      </c>
      <c r="S320" s="162">
        <f t="shared" si="70"/>
        <v>127</v>
      </c>
      <c r="T320" s="162">
        <f t="shared" si="71"/>
        <v>257</v>
      </c>
      <c r="U320" s="66">
        <f t="shared" si="72"/>
        <v>0.30105599999999999</v>
      </c>
      <c r="V320" s="66" t="str">
        <f t="shared" si="73"/>
        <v/>
      </c>
      <c r="W320" s="66" t="str">
        <f t="shared" si="74"/>
        <v/>
      </c>
      <c r="X320" s="160" t="str">
        <f t="shared" si="78"/>
        <v>200-299 мм</v>
      </c>
      <c r="Y320" s="160" t="str">
        <f t="shared" si="79"/>
        <v>200-299 мм</v>
      </c>
      <c r="Z320" s="160" t="str">
        <f t="shared" si="80"/>
        <v>100-199 мм</v>
      </c>
      <c r="AA320" s="100" t="str">
        <f t="shared" si="75"/>
        <v>Четырехклапанные</v>
      </c>
      <c r="AB320" s="66">
        <v>1.73</v>
      </c>
      <c r="AC320" s="100" t="str">
        <f t="shared" si="76"/>
        <v>8-9 литров</v>
      </c>
    </row>
    <row r="321" spans="1:29" s="61" customFormat="1" x14ac:dyDescent="0.3">
      <c r="A321" s="64">
        <v>0.8</v>
      </c>
      <c r="B321" s="65">
        <f t="shared" si="77"/>
        <v>0.96</v>
      </c>
      <c r="C321" s="109">
        <v>321</v>
      </c>
      <c r="D321" s="77" t="s">
        <v>581</v>
      </c>
      <c r="E321" s="88" t="s">
        <v>843</v>
      </c>
      <c r="F321" s="213"/>
      <c r="G321" s="83" t="s">
        <v>18</v>
      </c>
      <c r="H321" s="89" t="s">
        <v>19</v>
      </c>
      <c r="I321" s="83" t="s">
        <v>21</v>
      </c>
      <c r="J321" s="83" t="s">
        <v>627</v>
      </c>
      <c r="K321" s="116" t="s">
        <v>907</v>
      </c>
      <c r="L321" s="103" t="s">
        <v>870</v>
      </c>
      <c r="M321" s="51"/>
      <c r="N321" s="171">
        <f t="shared" si="83"/>
        <v>1</v>
      </c>
      <c r="O321" s="80">
        <f t="shared" si="82"/>
        <v>12.97</v>
      </c>
      <c r="P321" s="160" t="str">
        <f t="shared" si="68"/>
        <v>10-14,9 литров</v>
      </c>
      <c r="Q321" s="101" t="str">
        <f t="shared" si="81"/>
        <v>10-20 л</v>
      </c>
      <c r="R321" s="162">
        <f t="shared" si="69"/>
        <v>365</v>
      </c>
      <c r="S321" s="162">
        <f t="shared" si="70"/>
        <v>245</v>
      </c>
      <c r="T321" s="162">
        <f t="shared" si="71"/>
        <v>145</v>
      </c>
      <c r="U321" s="66">
        <f t="shared" si="72"/>
        <v>0.50944</v>
      </c>
      <c r="V321" s="66" t="str">
        <f t="shared" si="73"/>
        <v/>
      </c>
      <c r="W321" s="66" t="str">
        <f t="shared" si="74"/>
        <v/>
      </c>
      <c r="X321" s="160" t="str">
        <f t="shared" si="78"/>
        <v>300-399 мм</v>
      </c>
      <c r="Y321" s="160" t="str">
        <f t="shared" si="79"/>
        <v>200-299 мм</v>
      </c>
      <c r="Z321" s="160" t="str">
        <f t="shared" si="80"/>
        <v>100-199 мм</v>
      </c>
      <c r="AA321" s="100" t="str">
        <f t="shared" si="75"/>
        <v>Четырехклапанные</v>
      </c>
      <c r="AB321" s="66">
        <v>1.73</v>
      </c>
      <c r="AC321" s="100" t="str">
        <f t="shared" si="76"/>
        <v>10-14 литров</v>
      </c>
    </row>
    <row r="322" spans="1:29" s="61" customFormat="1" x14ac:dyDescent="0.3">
      <c r="A322" s="90">
        <v>0.26</v>
      </c>
      <c r="B322" s="65">
        <f t="shared" si="77"/>
        <v>0.312</v>
      </c>
      <c r="C322" s="109">
        <v>322</v>
      </c>
      <c r="D322" s="116" t="s">
        <v>749</v>
      </c>
      <c r="E322" s="88" t="s">
        <v>869</v>
      </c>
      <c r="F322" s="213" t="s">
        <v>940</v>
      </c>
      <c r="G322" s="83" t="s">
        <v>18</v>
      </c>
      <c r="H322" s="89" t="s">
        <v>19</v>
      </c>
      <c r="I322" s="83" t="s">
        <v>21</v>
      </c>
      <c r="J322" s="83" t="s">
        <v>627</v>
      </c>
      <c r="K322" s="116" t="s">
        <v>773</v>
      </c>
      <c r="L322" s="103" t="s">
        <v>870</v>
      </c>
      <c r="M322" s="51"/>
      <c r="N322" s="171">
        <f t="shared" si="83"/>
        <v>1</v>
      </c>
      <c r="O322" s="80">
        <f t="shared" si="82"/>
        <v>3.92</v>
      </c>
      <c r="P322" s="160" t="str">
        <f t="shared" ref="P322:P326" si="84">IF(O322="","",
IF(O322&lt;1,"0,1-0,9 литров",
IF(O322&lt;2,"1-1,9 литра",
IF(O322&lt;3,"2-2,9 литра",
IF(O322&lt;4,"3-3,9 литра",
IF(O322&lt;6,"4-5,9 литра",IF(O322&lt;8,"6-7,9 литра",IF(O322&lt;10,"8-9,9 литров",IF(O322&lt;15,"10-14,9 литров",IF(O322&lt;20,"15-19,9 литров",IF(O322&lt;30,"20-29 литров",IF(O322&lt;50,"30-49 литров",IF(O322&lt;60,"50-59 литров",IF(O322&lt;70,"60-69 литров",IF(O322&lt;80,"70-79 литров",IF(O322&lt;90,"80-89 литров",IF(O322&lt;100,"90-99 литров",IF(O322&lt;200,"100-200 литров","200+ литров"))))))))))))))))))</f>
        <v>3-3,9 литра</v>
      </c>
      <c r="Q322" s="101" t="str">
        <f t="shared" si="81"/>
        <v>3-5 л</v>
      </c>
      <c r="R322" s="162">
        <f t="shared" si="69"/>
        <v>245</v>
      </c>
      <c r="S322" s="162">
        <f t="shared" si="70"/>
        <v>80</v>
      </c>
      <c r="T322" s="162">
        <f t="shared" si="71"/>
        <v>200</v>
      </c>
      <c r="U322" s="66">
        <f t="shared" ref="U322:U326" si="85">(2*(R322+S322)+60)*(S322+T322+8)/1000000</f>
        <v>0.20448</v>
      </c>
      <c r="V322" s="66" t="str">
        <f t="shared" si="73"/>
        <v/>
      </c>
      <c r="W322" s="66" t="str">
        <f t="shared" si="74"/>
        <v>Плоские</v>
      </c>
      <c r="X322" s="160" t="str">
        <f t="shared" si="78"/>
        <v>200-299 мм</v>
      </c>
      <c r="Y322" s="160" t="str">
        <f t="shared" si="79"/>
        <v>200-299 мм</v>
      </c>
      <c r="Z322" s="160" t="str">
        <f t="shared" si="80"/>
        <v>10-99 мм</v>
      </c>
      <c r="AA322" s="100" t="str">
        <f t="shared" si="75"/>
        <v>Четырехклапанные</v>
      </c>
      <c r="AB322" s="66">
        <v>1.73</v>
      </c>
      <c r="AC322" s="100" t="str">
        <f t="shared" si="76"/>
        <v>4-5 литра</v>
      </c>
    </row>
    <row r="323" spans="1:29" x14ac:dyDescent="0.3">
      <c r="A323" s="91">
        <v>0.36</v>
      </c>
      <c r="B323" s="59">
        <f t="shared" ref="B323:B329" si="86">A323*1.2</f>
        <v>0.432</v>
      </c>
      <c r="C323" s="108">
        <v>323</v>
      </c>
      <c r="D323" s="115" t="s">
        <v>749</v>
      </c>
      <c r="E323" s="88" t="s">
        <v>879</v>
      </c>
      <c r="F323" s="213" t="s">
        <v>940</v>
      </c>
      <c r="G323" s="83" t="s">
        <v>18</v>
      </c>
      <c r="H323" s="89" t="s">
        <v>19</v>
      </c>
      <c r="I323" s="83" t="s">
        <v>21</v>
      </c>
      <c r="J323" s="83" t="s">
        <v>627</v>
      </c>
      <c r="K323" s="116" t="s">
        <v>774</v>
      </c>
      <c r="L323" s="103" t="s">
        <v>870</v>
      </c>
      <c r="N323" s="171">
        <f t="shared" si="83"/>
        <v>1</v>
      </c>
      <c r="O323" s="74">
        <f t="shared" si="82"/>
        <v>3.92</v>
      </c>
      <c r="P323" s="160" t="str">
        <f t="shared" si="84"/>
        <v>3-3,9 литра</v>
      </c>
      <c r="Q323" s="101" t="str">
        <f t="shared" si="81"/>
        <v>3-5 л</v>
      </c>
      <c r="R323" s="153">
        <f t="shared" si="69"/>
        <v>245</v>
      </c>
      <c r="S323" s="153">
        <f t="shared" si="70"/>
        <v>200</v>
      </c>
      <c r="T323" s="153">
        <f t="shared" si="71"/>
        <v>80</v>
      </c>
      <c r="U323" s="16">
        <f t="shared" si="85"/>
        <v>0.27360000000000001</v>
      </c>
      <c r="V323" s="16" t="str">
        <f t="shared" si="73"/>
        <v/>
      </c>
      <c r="W323" s="16" t="str">
        <f t="shared" si="74"/>
        <v>Плоские</v>
      </c>
      <c r="X323" s="159" t="str">
        <f t="shared" ref="X323:X341" si="87">IF(LARGE($R323:$T323,1)="","",IF(LARGE($R323:$T323,1)&lt;=99,"10-99 мм",IF(LARGE($R323:$T323,1)&lt;=199,"100-199 мм",IF(LARGE($R323:$T323,1)&lt;=299,"200-299 мм",IF(LARGE($R323:$T323,1)&lt;=399,"300-399 мм",IF(LARGE($R323:$T323,1)&lt;=499,"400-499 мм",IF(LARGE($R323:$T323,1)&lt;=599,"500-599 мм",IF(LARGE($R323:$T323,1)&lt;=699,"600-699 мм",IF(LARGE($R323:$T323,1)&lt;=999,"700-999 мм","1000+ мм")))))))))</f>
        <v>200-299 мм</v>
      </c>
      <c r="Y323" s="159" t="str">
        <f t="shared" ref="Y323:Y341" si="88">IF(LARGE($R323:$T323,2)="","",IF(LARGE($R323:$T323,2)&lt;=99,"10-99 мм",IF(LARGE($R323:$T323,2)&lt;=199,"100-199 мм",IF(LARGE($R323:$T323,2)&lt;=299,"200-299 мм",IF(LARGE($R323:$T323,2)&lt;=399,"300-399 мм",IF(LARGE($R323:$T323,2)&lt;=499,"400-499 мм",IF(LARGE($R323:$T323,2)&lt;=599,"500-599 мм",IF(LARGE($R323:$T323,2)&lt;=699,"600-699 мм",IF(LARGE($R323:$T323,2)&lt;=999,"700-999 мм","1000+ мм")))))))))</f>
        <v>200-299 мм</v>
      </c>
      <c r="Z323" s="159" t="str">
        <f t="shared" ref="Z323:Z341" si="89">IF(SMALL($R323:$T323,1)="","",IF(SMALL($R323:$T323,1)&lt;=99,"10-99 мм",IF(SMALL($R323:$T323,1)&lt;=199,"100-199 мм",IF(SMALL($R323:$T323,1)&lt;=299,"200-299 мм",IF(SMALL($R323:$T323,1)&lt;=399,"300-399 мм",IF(SMALL($R323:$T323,1)&lt;=499,"400-499 мм",IF(SMALL($R323:$T323,1)&lt;=599,"500-599 мм",IF(SMALL($R323:$T323,1)&lt;=699,"600-699 мм",IF(SMALL($R323:$T323,1)&lt;=999,"700-999 мм","1000+ мм")))))))))</f>
        <v>10-99 мм</v>
      </c>
      <c r="AA323" s="100" t="str">
        <f t="shared" si="75"/>
        <v>Четырехклапанные</v>
      </c>
      <c r="AB323" s="16">
        <v>1.73</v>
      </c>
      <c r="AC323" s="100" t="str">
        <f t="shared" si="76"/>
        <v>4-5 литра</v>
      </c>
    </row>
    <row r="324" spans="1:29" x14ac:dyDescent="0.3">
      <c r="A324" s="53">
        <v>1.01</v>
      </c>
      <c r="B324" s="59">
        <f t="shared" si="86"/>
        <v>1.212</v>
      </c>
      <c r="C324" s="108">
        <v>324</v>
      </c>
      <c r="D324" s="115" t="s">
        <v>27</v>
      </c>
      <c r="E324" s="88" t="s">
        <v>901</v>
      </c>
      <c r="G324" s="83" t="s">
        <v>18</v>
      </c>
      <c r="H324" s="89" t="s">
        <v>19</v>
      </c>
      <c r="I324" s="83" t="s">
        <v>21</v>
      </c>
      <c r="J324" s="82" t="s">
        <v>27</v>
      </c>
      <c r="K324" s="116" t="s">
        <v>903</v>
      </c>
      <c r="N324" s="171">
        <f t="shared" si="83"/>
        <v>1</v>
      </c>
      <c r="O324" s="74">
        <f t="shared" si="82"/>
        <v>20.61</v>
      </c>
      <c r="P324" s="160" t="str">
        <f t="shared" si="84"/>
        <v>20-29 литров</v>
      </c>
      <c r="Q324" s="101" t="str">
        <f t="shared" si="81"/>
        <v>20-50 л</v>
      </c>
      <c r="R324" s="153">
        <f t="shared" si="69"/>
        <v>287</v>
      </c>
      <c r="S324" s="153">
        <f t="shared" si="70"/>
        <v>207</v>
      </c>
      <c r="T324" s="153">
        <f t="shared" si="71"/>
        <v>347</v>
      </c>
      <c r="U324" s="16">
        <f t="shared" si="85"/>
        <v>0.58897600000000006</v>
      </c>
      <c r="V324" s="16" t="str">
        <f t="shared" si="73"/>
        <v/>
      </c>
      <c r="W324" s="16" t="str">
        <f t="shared" si="74"/>
        <v/>
      </c>
      <c r="X324" s="159" t="str">
        <f t="shared" si="87"/>
        <v>300-399 мм</v>
      </c>
      <c r="Y324" s="159" t="str">
        <f t="shared" si="88"/>
        <v>200-299 мм</v>
      </c>
      <c r="Z324" s="159" t="str">
        <f t="shared" si="89"/>
        <v>200-299 мм</v>
      </c>
      <c r="AA324" s="100" t="str">
        <f t="shared" si="75"/>
        <v>Четырехклапанные</v>
      </c>
      <c r="AB324" s="16">
        <v>1.73</v>
      </c>
      <c r="AC324" s="100" t="str">
        <f t="shared" si="76"/>
        <v>20-29 литров</v>
      </c>
    </row>
    <row r="325" spans="1:29" x14ac:dyDescent="0.3">
      <c r="A325" s="53">
        <v>0.66</v>
      </c>
      <c r="B325" s="59">
        <f t="shared" si="86"/>
        <v>0.79200000000000004</v>
      </c>
      <c r="C325" s="108">
        <v>325</v>
      </c>
      <c r="D325" s="115" t="s">
        <v>749</v>
      </c>
      <c r="E325" s="87" t="s">
        <v>902</v>
      </c>
      <c r="G325" s="82" t="s">
        <v>18</v>
      </c>
      <c r="H325" s="89" t="s">
        <v>19</v>
      </c>
      <c r="I325" s="82" t="s">
        <v>905</v>
      </c>
      <c r="J325" s="82" t="s">
        <v>627</v>
      </c>
      <c r="K325" s="115" t="s">
        <v>906</v>
      </c>
      <c r="N325" s="171">
        <f t="shared" si="83"/>
        <v>1</v>
      </c>
      <c r="O325" s="74">
        <f t="shared" si="82"/>
        <v>10.86</v>
      </c>
      <c r="P325" s="160" t="str">
        <f t="shared" si="84"/>
        <v>10-14,9 литров</v>
      </c>
      <c r="Q325" s="101" t="str">
        <f t="shared" si="81"/>
        <v>10-20 л</v>
      </c>
      <c r="R325" s="153">
        <f t="shared" si="69"/>
        <v>365</v>
      </c>
      <c r="S325" s="153">
        <f t="shared" si="70"/>
        <v>155</v>
      </c>
      <c r="T325" s="153">
        <f t="shared" si="71"/>
        <v>192</v>
      </c>
      <c r="U325" s="16">
        <f t="shared" si="85"/>
        <v>0.39050000000000001</v>
      </c>
      <c r="V325" s="16" t="str">
        <f t="shared" si="73"/>
        <v/>
      </c>
      <c r="W325" s="16" t="str">
        <f t="shared" si="74"/>
        <v/>
      </c>
      <c r="X325" s="159" t="str">
        <f t="shared" si="87"/>
        <v>300-399 мм</v>
      </c>
      <c r="Y325" s="159" t="str">
        <f t="shared" si="88"/>
        <v>100-199 мм</v>
      </c>
      <c r="Z325" s="159" t="str">
        <f t="shared" si="89"/>
        <v>100-199 мм</v>
      </c>
      <c r="AA325" s="100" t="str">
        <f t="shared" si="75"/>
        <v>Четырехклапанные</v>
      </c>
      <c r="AB325" s="16">
        <v>1.73</v>
      </c>
      <c r="AC325" s="100" t="str">
        <f t="shared" si="76"/>
        <v>10-14 литров</v>
      </c>
    </row>
    <row r="326" spans="1:29" x14ac:dyDescent="0.3">
      <c r="A326" s="53">
        <v>0.45</v>
      </c>
      <c r="B326" s="59">
        <f t="shared" si="86"/>
        <v>0.54</v>
      </c>
      <c r="C326" s="108">
        <v>326</v>
      </c>
      <c r="D326" s="75" t="s">
        <v>749</v>
      </c>
      <c r="E326" s="87" t="s">
        <v>926</v>
      </c>
      <c r="G326" s="82" t="s">
        <v>143</v>
      </c>
      <c r="H326" s="89" t="s">
        <v>147</v>
      </c>
      <c r="I326" s="82" t="s">
        <v>21</v>
      </c>
      <c r="J326" s="82" t="s">
        <v>296</v>
      </c>
      <c r="K326" s="115" t="s">
        <v>927</v>
      </c>
      <c r="N326" s="171">
        <f t="shared" si="83"/>
        <v>1</v>
      </c>
      <c r="O326" s="74">
        <f t="shared" si="82"/>
        <v>2</v>
      </c>
      <c r="P326" s="160" t="str">
        <f t="shared" si="84"/>
        <v>2-2,9 литра</v>
      </c>
      <c r="Q326" s="101" t="str">
        <f t="shared" si="81"/>
        <v>2-3 л</v>
      </c>
      <c r="R326" s="153">
        <f t="shared" si="69"/>
        <v>500</v>
      </c>
      <c r="S326" s="153">
        <f t="shared" si="70"/>
        <v>100</v>
      </c>
      <c r="T326" s="153">
        <f t="shared" si="71"/>
        <v>40</v>
      </c>
      <c r="U326" s="16">
        <f t="shared" si="85"/>
        <v>0.18648000000000001</v>
      </c>
      <c r="V326" s="16" t="str">
        <f t="shared" si="73"/>
        <v>Длинные</v>
      </c>
      <c r="W326" s="16" t="str">
        <f t="shared" si="74"/>
        <v>Плоские</v>
      </c>
      <c r="X326" s="159" t="str">
        <f t="shared" si="87"/>
        <v>500-599 мм</v>
      </c>
      <c r="Y326" s="159" t="str">
        <f t="shared" si="88"/>
        <v>100-199 мм</v>
      </c>
      <c r="Z326" s="159" t="str">
        <f t="shared" si="89"/>
        <v>10-99 мм</v>
      </c>
      <c r="AA326" s="100" t="str">
        <f t="shared" si="75"/>
        <v>Самосборные</v>
      </c>
      <c r="AB326" s="16">
        <v>1.73</v>
      </c>
      <c r="AC326" s="100" t="str">
        <f t="shared" si="76"/>
        <v>2-3 литра</v>
      </c>
    </row>
    <row r="327" spans="1:29" x14ac:dyDescent="0.3">
      <c r="A327" s="53">
        <v>0.56999999999999995</v>
      </c>
      <c r="B327" s="94">
        <f t="shared" si="86"/>
        <v>0.68399999999999994</v>
      </c>
      <c r="C327" s="108">
        <v>327</v>
      </c>
      <c r="D327" s="75" t="s">
        <v>27</v>
      </c>
      <c r="E327" s="87" t="s">
        <v>849</v>
      </c>
      <c r="G327" s="82" t="s">
        <v>18</v>
      </c>
      <c r="H327" s="89" t="s">
        <v>19</v>
      </c>
      <c r="I327" s="82" t="s">
        <v>21</v>
      </c>
      <c r="J327" s="82" t="s">
        <v>27</v>
      </c>
      <c r="K327" s="116" t="s">
        <v>931</v>
      </c>
      <c r="N327" s="171">
        <f t="shared" si="83"/>
        <v>1</v>
      </c>
      <c r="O327" s="74">
        <f t="shared" ref="O327:O332" si="90">ROUND(R327*S327*T327/1000000,2)</f>
        <v>3.83</v>
      </c>
      <c r="P327" s="160" t="str">
        <f t="shared" ref="P327:P330" si="91">IF(O327="","",
IF(O327&lt;1,"0,1-0,9 литров",
IF(O327&lt;2,"1-1,9 литра",
IF(O327&lt;3,"2-2,9 литра",
IF(O327&lt;4,"3-3,9 литра",
IF(O327&lt;6,"4-5,9 литра",IF(O327&lt;8,"6-7,9 литра",IF(O327&lt;10,"8-9,9 литров",IF(O327&lt;15,"10-14,9 литров",IF(O327&lt;20,"15-19,9 литров",IF(O327&lt;30,"20-29 литров",IF(O327&lt;50,"30-49 литров",IF(O327&lt;60,"50-59 литров",IF(O327&lt;70,"60-69 литров",IF(O327&lt;80,"70-79 литров",IF(O327&lt;90,"80-89 литров",IF(O327&lt;100,"90-99 литров",IF(O327&lt;200,"100-200 литров","200+ литров"))))))))))))))))))</f>
        <v>3-3,9 литра</v>
      </c>
      <c r="Q327" s="101" t="str">
        <f t="shared" ref="Q327:Q330" si="92">IF(O327="","",IF(O327&lt;1,"&lt;1 л",IF(O327&lt;2,"1-2 л",IF(O327&lt;3,"2-3 л",IF(O327&lt;5,"3-5 л",IF(O327&lt;10,"5-10 л",IF(O327&lt;20,"10-20 л",IF(O327&lt;50,"20-50 л",IF(O327&lt;100,"50-100 л","100+ л")))))))))</f>
        <v>3-5 л</v>
      </c>
      <c r="R327" s="153">
        <f t="shared" ref="R327:R330" si="93">IF(E327="","",--LEFT(E327,FIND("х",E327)-1))</f>
        <v>150</v>
      </c>
      <c r="S327" s="153">
        <f t="shared" ref="S327:S330" si="94">IF(E327="","",--MID(E327,FIND("х",E327)+1,FIND("х",E327,FIND("х",E327)+1)-FIND("х",E327)-1))</f>
        <v>150</v>
      </c>
      <c r="T327" s="153">
        <f t="shared" ref="T327:T330" si="95">IF(E327="","",--RIGHT(E327,LEN(E327)-FIND("х",E327,FIND("х",E327)+1)))</f>
        <v>170</v>
      </c>
      <c r="U327" s="16">
        <f t="shared" ref="U327:U330" si="96">(2*(R327+S327)+60)*(S327+T327+8)/1000000</f>
        <v>0.21648000000000001</v>
      </c>
      <c r="V327" s="16" t="str">
        <f t="shared" ref="V327:V330" si="97">IF(OR(AND(R327&gt;=2*S327,R327&gt;=2*T327),AND(S327&gt;=2*R327,S327&gt;=2*T327),AND(T327&gt;=2*R327,T327&gt;=2*S327)),"Длинные","")</f>
        <v/>
      </c>
      <c r="W327" s="16" t="str">
        <f t="shared" ref="W327:W330" si="98">IF(OR(AND(R327&lt;=S327/2,R327&lt;=T327/2),AND(S327&lt;=R327/2,S327&lt;=T327/2),AND(T327&lt;=R327/2,T327&lt;=S327/2)),"Плоские","")</f>
        <v/>
      </c>
      <c r="X327" s="159" t="str">
        <f t="shared" si="87"/>
        <v>100-199 мм</v>
      </c>
      <c r="Y327" s="159" t="str">
        <f t="shared" si="88"/>
        <v>100-199 мм</v>
      </c>
      <c r="Z327" s="159" t="str">
        <f t="shared" si="89"/>
        <v>100-199 мм</v>
      </c>
      <c r="AA327" s="159" t="str">
        <f t="shared" si="75"/>
        <v>Четырехклапанные</v>
      </c>
      <c r="AB327" s="16">
        <v>1.73</v>
      </c>
      <c r="AC327" s="100" t="str">
        <f t="shared" si="76"/>
        <v>4-5 литра</v>
      </c>
    </row>
    <row r="328" spans="1:29" x14ac:dyDescent="0.3">
      <c r="A328" s="53">
        <v>0.35</v>
      </c>
      <c r="B328" s="94">
        <f t="shared" si="86"/>
        <v>0.42</v>
      </c>
      <c r="C328" s="108">
        <v>328</v>
      </c>
      <c r="D328" s="75" t="s">
        <v>27</v>
      </c>
      <c r="E328" s="87" t="s">
        <v>817</v>
      </c>
      <c r="G328" s="82" t="s">
        <v>18</v>
      </c>
      <c r="H328" s="89" t="s">
        <v>19</v>
      </c>
      <c r="I328" s="82" t="s">
        <v>21</v>
      </c>
      <c r="J328" s="82" t="s">
        <v>27</v>
      </c>
      <c r="K328" s="115" t="s">
        <v>932</v>
      </c>
      <c r="N328" s="171">
        <f t="shared" si="83"/>
        <v>1</v>
      </c>
      <c r="O328" s="74">
        <f t="shared" si="90"/>
        <v>3.91</v>
      </c>
      <c r="P328" s="160" t="str">
        <f t="shared" si="91"/>
        <v>3-3,9 литра</v>
      </c>
      <c r="Q328" s="101" t="str">
        <f t="shared" si="92"/>
        <v>3-5 л</v>
      </c>
      <c r="R328" s="153">
        <f t="shared" si="93"/>
        <v>125</v>
      </c>
      <c r="S328" s="153">
        <f t="shared" si="94"/>
        <v>125</v>
      </c>
      <c r="T328" s="153">
        <f t="shared" si="95"/>
        <v>250</v>
      </c>
      <c r="U328" s="16">
        <f t="shared" si="96"/>
        <v>0.21448</v>
      </c>
      <c r="V328" s="16" t="str">
        <f t="shared" si="97"/>
        <v>Длинные</v>
      </c>
      <c r="W328" s="16" t="str">
        <f t="shared" si="98"/>
        <v/>
      </c>
      <c r="X328" s="159" t="str">
        <f t="shared" si="87"/>
        <v>200-299 мм</v>
      </c>
      <c r="Y328" s="159" t="str">
        <f t="shared" si="88"/>
        <v>100-199 мм</v>
      </c>
      <c r="Z328" s="159" t="str">
        <f t="shared" si="89"/>
        <v>100-199 мм</v>
      </c>
      <c r="AA328" s="159" t="str">
        <f t="shared" si="75"/>
        <v>Четырехклапанные</v>
      </c>
      <c r="AB328" s="16">
        <v>1.73</v>
      </c>
      <c r="AC328" s="100" t="str">
        <f t="shared" ref="AC328:AC329" si="99">IF(O328="","",IF(O328&lt;=1,"0-1 литров",IF(O328&lt;=3,"2-3 литра",IF(O328&lt;=5,"4-5 литра",IF(O328&lt;=7,"6-7 литра",IF(O328&lt;=9,"8-9 литров",IF(O328&lt;=14,"10-14 литров",IF(O328&lt;=19,"15-19 литров",IF(O328&lt;=29,"20-29 литров",IF(O328&lt;=49,"30-49 литров",IF(O328&lt;=59,"50-59 литров",IF(O328&lt;=70,"60-69 литров",IF(O328&lt;=79,"70-79 литров",IF(O328&lt;=89,"80-89 литров",IF(O328&lt;=99,"90-99 литров",IF(O328&lt;=200,"100-200 литров","200+ литров"))))))))))))))))</f>
        <v>4-5 литра</v>
      </c>
    </row>
    <row r="329" spans="1:29" x14ac:dyDescent="0.3">
      <c r="A329" s="53">
        <v>1</v>
      </c>
      <c r="B329" s="94">
        <f t="shared" si="86"/>
        <v>1.2</v>
      </c>
      <c r="C329" s="108">
        <v>329</v>
      </c>
      <c r="D329" s="75" t="s">
        <v>749</v>
      </c>
      <c r="E329" s="87" t="s">
        <v>933</v>
      </c>
      <c r="G329" s="82" t="s">
        <v>143</v>
      </c>
      <c r="H329" s="89" t="s">
        <v>175</v>
      </c>
      <c r="I329" s="82" t="s">
        <v>21</v>
      </c>
      <c r="J329" s="82" t="s">
        <v>296</v>
      </c>
      <c r="K329" s="115" t="s">
        <v>934</v>
      </c>
      <c r="N329" s="171">
        <f t="shared" si="83"/>
        <v>1</v>
      </c>
      <c r="O329" s="74">
        <f t="shared" si="90"/>
        <v>8.51</v>
      </c>
      <c r="P329" s="160" t="str">
        <f t="shared" si="91"/>
        <v>8-9,9 литров</v>
      </c>
      <c r="Q329" s="101" t="str">
        <f t="shared" si="92"/>
        <v>5-10 л</v>
      </c>
      <c r="R329" s="153">
        <f t="shared" si="93"/>
        <v>270</v>
      </c>
      <c r="S329" s="153">
        <f t="shared" si="94"/>
        <v>225</v>
      </c>
      <c r="T329" s="153">
        <f t="shared" si="95"/>
        <v>140</v>
      </c>
      <c r="U329" s="16">
        <f t="shared" si="96"/>
        <v>0.39165</v>
      </c>
      <c r="V329" s="16" t="str">
        <f t="shared" si="97"/>
        <v/>
      </c>
      <c r="W329" s="16" t="str">
        <f t="shared" si="98"/>
        <v/>
      </c>
      <c r="X329" s="159" t="str">
        <f t="shared" si="87"/>
        <v>200-299 мм</v>
      </c>
      <c r="Y329" s="159" t="str">
        <f t="shared" si="88"/>
        <v>200-299 мм</v>
      </c>
      <c r="Z329" s="159" t="str">
        <f t="shared" si="89"/>
        <v>100-199 мм</v>
      </c>
      <c r="AA329" s="159" t="str">
        <f t="shared" si="75"/>
        <v>Самосборные</v>
      </c>
      <c r="AB329" s="16">
        <v>1.73</v>
      </c>
      <c r="AC329" s="100" t="str">
        <f t="shared" si="99"/>
        <v>8-9 литров</v>
      </c>
    </row>
    <row r="330" spans="1:29" x14ac:dyDescent="0.3">
      <c r="A330" s="91">
        <v>0.36</v>
      </c>
      <c r="B330" s="94">
        <f t="shared" ref="B330:B347" si="100">A330*1.2</f>
        <v>0.432</v>
      </c>
      <c r="C330" s="108">
        <v>330</v>
      </c>
      <c r="D330" s="75" t="s">
        <v>749</v>
      </c>
      <c r="E330" s="87" t="s">
        <v>936</v>
      </c>
      <c r="F330" s="212" t="s">
        <v>939</v>
      </c>
      <c r="G330" s="82" t="s">
        <v>18</v>
      </c>
      <c r="H330" s="89" t="s">
        <v>19</v>
      </c>
      <c r="I330" s="82" t="s">
        <v>21</v>
      </c>
      <c r="J330" s="82" t="s">
        <v>627</v>
      </c>
      <c r="K330" s="115" t="s">
        <v>937</v>
      </c>
      <c r="N330" s="171">
        <f t="shared" ref="N330:N333" si="101">IF(D330="","",IF(LEFT(D330,1)="0",0,1))</f>
        <v>1</v>
      </c>
      <c r="O330" s="74">
        <f t="shared" si="90"/>
        <v>6.17</v>
      </c>
      <c r="P330" s="160" t="str">
        <f t="shared" si="91"/>
        <v>6-7,9 литра</v>
      </c>
      <c r="Q330" s="101" t="str">
        <f t="shared" si="92"/>
        <v>5-10 л</v>
      </c>
      <c r="R330" s="153">
        <f t="shared" si="93"/>
        <v>245</v>
      </c>
      <c r="S330" s="153">
        <f t="shared" si="94"/>
        <v>140</v>
      </c>
      <c r="T330" s="153">
        <f t="shared" si="95"/>
        <v>180</v>
      </c>
      <c r="U330" s="16">
        <f t="shared" si="96"/>
        <v>0.27223999999999998</v>
      </c>
      <c r="V330" s="16" t="str">
        <f t="shared" si="97"/>
        <v/>
      </c>
      <c r="W330" s="16" t="str">
        <f t="shared" si="98"/>
        <v/>
      </c>
      <c r="X330" s="159" t="str">
        <f t="shared" si="87"/>
        <v>200-299 мм</v>
      </c>
      <c r="Y330" s="159" t="str">
        <f t="shared" si="88"/>
        <v>100-199 мм</v>
      </c>
      <c r="Z330" s="159" t="str">
        <f t="shared" si="89"/>
        <v>100-199 мм</v>
      </c>
      <c r="AA330" s="159" t="str">
        <f t="shared" si="75"/>
        <v>Четырехклапанные</v>
      </c>
    </row>
    <row r="331" spans="1:29" x14ac:dyDescent="0.3">
      <c r="A331" s="221">
        <v>0.38</v>
      </c>
      <c r="B331" s="94">
        <f t="shared" si="100"/>
        <v>0.45599999999999996</v>
      </c>
      <c r="C331" s="108">
        <v>331</v>
      </c>
      <c r="D331" s="75" t="s">
        <v>749</v>
      </c>
      <c r="E331" s="87" t="s">
        <v>929</v>
      </c>
      <c r="F331" s="212" t="s">
        <v>910</v>
      </c>
      <c r="G331" s="82" t="s">
        <v>18</v>
      </c>
      <c r="H331" s="89" t="s">
        <v>19</v>
      </c>
      <c r="I331" s="82" t="s">
        <v>21</v>
      </c>
      <c r="J331" s="82" t="s">
        <v>627</v>
      </c>
      <c r="K331" s="115" t="s">
        <v>938</v>
      </c>
      <c r="N331" s="171">
        <f t="shared" si="101"/>
        <v>1</v>
      </c>
      <c r="O331" s="74">
        <f t="shared" si="90"/>
        <v>3.84</v>
      </c>
      <c r="P331" s="160" t="str">
        <f t="shared" ref="P331:P332" si="102">IF(O331="","",
IF(O331&lt;1,"0,1-0,9 литров",
IF(O331&lt;2,"1-1,9 литра",
IF(O331&lt;3,"2-2,9 литра",
IF(O331&lt;4,"3-3,9 литра",
IF(O331&lt;6,"4-5,9 литра",IF(O331&lt;8,"6-7,9 литра",IF(O331&lt;10,"8-9,9 литров",IF(O331&lt;15,"10-14,9 литров",IF(O331&lt;20,"15-19,9 литров",IF(O331&lt;30,"20-29 литров",IF(O331&lt;50,"30-49 литров",IF(O331&lt;60,"50-59 литров",IF(O331&lt;70,"60-69 литров",IF(O331&lt;80,"70-79 литров",IF(O331&lt;90,"80-89 литров",IF(O331&lt;100,"90-99 литров",IF(O331&lt;200,"100-200 литров","200+ литров"))))))))))))))))))</f>
        <v>3-3,9 литра</v>
      </c>
      <c r="Q331" s="101" t="str">
        <f t="shared" ref="Q331:Q332" si="103">IF(O331="","",IF(O331&lt;1,"&lt;1 л",IF(O331&lt;2,"1-2 л",IF(O331&lt;3,"2-3 л",IF(O331&lt;5,"3-5 л",IF(O331&lt;10,"5-10 л",IF(O331&lt;20,"10-20 л",IF(O331&lt;50,"20-50 л",IF(O331&lt;100,"50-100 л","100+ л")))))))))</f>
        <v>3-5 л</v>
      </c>
      <c r="R331" s="153">
        <f t="shared" ref="R331:R332" si="104">IF(E331="","",--LEFT(E331,FIND("х",E331)-1))</f>
        <v>240</v>
      </c>
      <c r="S331" s="153">
        <f t="shared" ref="S331:S332" si="105">IF(E331="","",--MID(E331,FIND("х",E331)+1,FIND("х",E331,FIND("х",E331)+1)-FIND("х",E331)-1))</f>
        <v>80</v>
      </c>
      <c r="T331" s="153">
        <f t="shared" ref="T331:T332" si="106">IF(E331="","",--RIGHT(E331,LEN(E331)-FIND("х",E331,FIND("х",E331)+1)))</f>
        <v>200</v>
      </c>
      <c r="U331" s="16">
        <f t="shared" ref="U331:U332" si="107">(2*(R331+S331)+60)*(S331+T331+8)/1000000</f>
        <v>0.2016</v>
      </c>
      <c r="V331" s="16" t="str">
        <f t="shared" ref="V331:V332" si="108">IF(OR(AND(R331&gt;=2*S331,R331&gt;=2*T331),AND(S331&gt;=2*R331,S331&gt;=2*T331),AND(T331&gt;=2*R331,T331&gt;=2*S331)),"Длинные","")</f>
        <v/>
      </c>
      <c r="W331" s="16" t="str">
        <f t="shared" ref="W331:W332" si="109">IF(OR(AND(R331&lt;=S331/2,R331&lt;=T331/2),AND(S331&lt;=R331/2,S331&lt;=T331/2),AND(T331&lt;=R331/2,T331&lt;=S331/2)),"Плоские","")</f>
        <v>Плоские</v>
      </c>
      <c r="X331" s="159" t="str">
        <f t="shared" si="87"/>
        <v>200-299 мм</v>
      </c>
      <c r="Y331" s="159" t="str">
        <f t="shared" si="88"/>
        <v>200-299 мм</v>
      </c>
      <c r="Z331" s="159" t="str">
        <f t="shared" si="89"/>
        <v>10-99 мм</v>
      </c>
      <c r="AA331" s="159" t="str">
        <f t="shared" ref="AA331:AA332" si="110">IF(G331="","",IF(G331="Л","Лист гофрокартона",IF(G331="КД","Крышка-дно",IF(G331="С","Самосборные",IF(G331="Ч","Четырехклапанные",IF(G331="А","Архивные","Неизвестно"))))))</f>
        <v>Четырехклапанные</v>
      </c>
    </row>
    <row r="332" spans="1:29" x14ac:dyDescent="0.3">
      <c r="A332" s="221">
        <v>0.5</v>
      </c>
      <c r="B332" s="94">
        <f t="shared" si="100"/>
        <v>0.6</v>
      </c>
      <c r="C332" s="108">
        <v>332</v>
      </c>
      <c r="D332" s="75" t="s">
        <v>749</v>
      </c>
      <c r="E332" s="87" t="s">
        <v>930</v>
      </c>
      <c r="F332" s="212" t="s">
        <v>910</v>
      </c>
      <c r="G332" s="82" t="s">
        <v>18</v>
      </c>
      <c r="H332" s="89" t="s">
        <v>19</v>
      </c>
      <c r="I332" s="82" t="s">
        <v>21</v>
      </c>
      <c r="J332" s="82" t="s">
        <v>627</v>
      </c>
      <c r="K332" s="115" t="s">
        <v>941</v>
      </c>
      <c r="N332" s="171">
        <f t="shared" si="101"/>
        <v>1</v>
      </c>
      <c r="O332" s="74">
        <f t="shared" si="90"/>
        <v>3.84</v>
      </c>
      <c r="P332" s="160" t="str">
        <f t="shared" si="102"/>
        <v>3-3,9 литра</v>
      </c>
      <c r="Q332" s="101" t="str">
        <f t="shared" si="103"/>
        <v>3-5 л</v>
      </c>
      <c r="R332" s="153">
        <f t="shared" si="104"/>
        <v>240</v>
      </c>
      <c r="S332" s="153">
        <f t="shared" si="105"/>
        <v>200</v>
      </c>
      <c r="T332" s="153">
        <f t="shared" si="106"/>
        <v>80</v>
      </c>
      <c r="U332" s="16">
        <f t="shared" si="107"/>
        <v>0.27072000000000002</v>
      </c>
      <c r="V332" s="16" t="str">
        <f t="shared" si="108"/>
        <v/>
      </c>
      <c r="W332" s="16" t="str">
        <f t="shared" si="109"/>
        <v>Плоские</v>
      </c>
      <c r="X332" s="159" t="str">
        <f t="shared" si="87"/>
        <v>200-299 мм</v>
      </c>
      <c r="Y332" s="159" t="str">
        <f t="shared" si="88"/>
        <v>200-299 мм</v>
      </c>
      <c r="Z332" s="159" t="str">
        <f t="shared" si="89"/>
        <v>10-99 мм</v>
      </c>
      <c r="AA332" s="159" t="str">
        <f t="shared" si="110"/>
        <v>Четырехклапанные</v>
      </c>
    </row>
    <row r="333" spans="1:29" x14ac:dyDescent="0.3">
      <c r="A333" s="53">
        <v>0.56000000000000005</v>
      </c>
      <c r="B333" s="94">
        <f t="shared" si="100"/>
        <v>0.67200000000000004</v>
      </c>
      <c r="C333" s="108">
        <v>333</v>
      </c>
      <c r="D333" s="75" t="s">
        <v>749</v>
      </c>
      <c r="E333" s="87" t="s">
        <v>945</v>
      </c>
      <c r="G333" s="82" t="s">
        <v>18</v>
      </c>
      <c r="H333" s="89" t="s">
        <v>19</v>
      </c>
      <c r="I333" s="82" t="s">
        <v>21</v>
      </c>
      <c r="J333" s="82" t="s">
        <v>627</v>
      </c>
      <c r="K333" s="115" t="s">
        <v>946</v>
      </c>
      <c r="N333" s="171">
        <f t="shared" si="101"/>
        <v>1</v>
      </c>
      <c r="O333" s="74">
        <f t="shared" ref="O333:O339" si="111">ROUND(R333*S333*T333/1000000,2)</f>
        <v>4.7</v>
      </c>
      <c r="P333" s="160" t="str">
        <f t="shared" ref="P333:P339" si="112">IF(O333="","",
IF(O333&lt;1,"0,1-0,9 литров",
IF(O333&lt;2,"1-1,9 литра",
IF(O333&lt;3,"2-2,9 литра",
IF(O333&lt;4,"3-3,9 литра",
IF(O333&lt;6,"4-5,9 литра",IF(O333&lt;8,"6-7,9 литра",IF(O333&lt;10,"8-9,9 литров",IF(O333&lt;15,"10-14,9 литров",IF(O333&lt;20,"15-19,9 литров",IF(O333&lt;30,"20-29 литров",IF(O333&lt;50,"30-49 литров",IF(O333&lt;60,"50-59 литров",IF(O333&lt;70,"60-69 литров",IF(O333&lt;80,"70-79 литров",IF(O333&lt;90,"80-89 литров",IF(O333&lt;100,"90-99 литров",IF(O333&lt;200,"100-200 литров","200+ литров"))))))))))))))))))</f>
        <v>4-5,9 литра</v>
      </c>
      <c r="Q333" s="101" t="str">
        <f t="shared" ref="Q333:Q339" si="113">IF(O333="","",IF(O333&lt;1,"&lt;1 л",IF(O333&lt;2,"1-2 л",IF(O333&lt;3,"2-3 л",IF(O333&lt;5,"3-5 л",IF(O333&lt;10,"5-10 л",IF(O333&lt;20,"10-20 л",IF(O333&lt;50,"20-50 л",IF(O333&lt;100,"50-100 л","100+ л")))))))))</f>
        <v>3-5 л</v>
      </c>
      <c r="R333" s="153">
        <f t="shared" ref="R333:R339" si="114">IF(E333="","",--LEFT(E333,FIND("х",E333)-1))</f>
        <v>245</v>
      </c>
      <c r="S333" s="153">
        <f t="shared" ref="S333:S339" si="115">IF(E333="","",--MID(E333,FIND("х",E333)+1,FIND("х",E333,FIND("х",E333)+1)-FIND("х",E333)-1))</f>
        <v>80</v>
      </c>
      <c r="T333" s="153">
        <f t="shared" ref="T333:T339" si="116">IF(E333="","",--RIGHT(E333,LEN(E333)-FIND("х",E333,FIND("х",E333)+1)))</f>
        <v>240</v>
      </c>
      <c r="U333" s="16">
        <f t="shared" ref="U333:U339" si="117">(2*(R333+S333)+60)*(S333+T333+8)/1000000</f>
        <v>0.23288</v>
      </c>
      <c r="V333" s="16" t="str">
        <f t="shared" ref="V333:V339" si="118">IF(OR(AND(R333&gt;=2*S333,R333&gt;=2*T333),AND(S333&gt;=2*R333,S333&gt;=2*T333),AND(T333&gt;=2*R333,T333&gt;=2*S333)),"Длинные","")</f>
        <v/>
      </c>
      <c r="W333" s="16" t="str">
        <f t="shared" ref="W333:W339" si="119">IF(OR(AND(R333&lt;=S333/2,R333&lt;=T333/2),AND(S333&lt;=R333/2,S333&lt;=T333/2),AND(T333&lt;=R333/2,T333&lt;=S333/2)),"Плоские","")</f>
        <v>Плоские</v>
      </c>
      <c r="X333" s="159" t="str">
        <f t="shared" si="87"/>
        <v>200-299 мм</v>
      </c>
      <c r="Y333" s="159" t="str">
        <f t="shared" si="88"/>
        <v>200-299 мм</v>
      </c>
      <c r="Z333" s="159" t="str">
        <f t="shared" si="89"/>
        <v>10-99 мм</v>
      </c>
      <c r="AA333" s="159" t="str">
        <f t="shared" ref="AA333:AA339" si="120">IF(G333="","",IF(G333="Л","Лист гофрокартона",IF(G333="КД","Крышка-дно",IF(G333="С","Самосборные",IF(G333="Ч","Четырехклапанные",IF(G333="А","Архивные","Неизвестно"))))))</f>
        <v>Четырехклапанные</v>
      </c>
    </row>
    <row r="334" spans="1:29" x14ac:dyDescent="0.3">
      <c r="A334" s="53">
        <v>0.51</v>
      </c>
      <c r="B334" s="94">
        <f t="shared" si="100"/>
        <v>0.61199999999999999</v>
      </c>
      <c r="C334" s="108">
        <v>334</v>
      </c>
      <c r="D334" s="75" t="s">
        <v>27</v>
      </c>
      <c r="E334" s="87" t="s">
        <v>949</v>
      </c>
      <c r="G334" s="82" t="s">
        <v>18</v>
      </c>
      <c r="H334" s="89" t="s">
        <v>19</v>
      </c>
      <c r="I334" s="82" t="s">
        <v>21</v>
      </c>
      <c r="J334" s="82" t="s">
        <v>27</v>
      </c>
      <c r="K334" s="115" t="s">
        <v>950</v>
      </c>
      <c r="N334" s="171">
        <f>IF(D334="","",IF(LEFT(D334,1)="0",0,1))</f>
        <v>1</v>
      </c>
      <c r="O334" s="74">
        <f t="shared" si="111"/>
        <v>4.76</v>
      </c>
      <c r="P334" s="160" t="str">
        <f t="shared" si="112"/>
        <v>4-5,9 литра</v>
      </c>
      <c r="Q334" s="101" t="str">
        <f t="shared" si="113"/>
        <v>3-5 л</v>
      </c>
      <c r="R334" s="153">
        <f>IF(E334="","",--LEFT(E334,FIND("х",E334)-1))</f>
        <v>350</v>
      </c>
      <c r="S334" s="153">
        <f>IF(E334="","",--MID(E334,FIND("х",E334)+1,FIND("х",E334,FIND("х",E334)+1)-FIND("х",E334)-1))</f>
        <v>160</v>
      </c>
      <c r="T334" s="153">
        <f>IF(E334="","",--RIGHT(E334,LEN(E334)-FIND("х",E334,FIND("х",E334)+1)))</f>
        <v>85</v>
      </c>
      <c r="U334" s="16">
        <f t="shared" si="117"/>
        <v>0.27323999999999998</v>
      </c>
      <c r="V334" s="16" t="str">
        <f t="shared" si="118"/>
        <v>Длинные</v>
      </c>
      <c r="W334" s="16" t="str">
        <f t="shared" si="119"/>
        <v/>
      </c>
      <c r="X334" s="159" t="str">
        <f t="shared" si="87"/>
        <v>300-399 мм</v>
      </c>
      <c r="Y334" s="159" t="str">
        <f t="shared" si="88"/>
        <v>100-199 мм</v>
      </c>
      <c r="Z334" s="159" t="str">
        <f t="shared" si="89"/>
        <v>10-99 мм</v>
      </c>
      <c r="AA334" s="159" t="str">
        <f t="shared" si="120"/>
        <v>Четырехклапанные</v>
      </c>
    </row>
    <row r="335" spans="1:29" x14ac:dyDescent="0.3">
      <c r="A335" s="53">
        <v>2.0299999999999998</v>
      </c>
      <c r="B335" s="94">
        <f t="shared" si="100"/>
        <v>2.4359999999999995</v>
      </c>
      <c r="C335" s="108">
        <v>335</v>
      </c>
      <c r="D335" s="75" t="s">
        <v>749</v>
      </c>
      <c r="E335" s="87" t="s">
        <v>426</v>
      </c>
      <c r="F335" s="212" t="s">
        <v>951</v>
      </c>
      <c r="G335" s="82" t="s">
        <v>18</v>
      </c>
      <c r="H335" s="89" t="s">
        <v>19</v>
      </c>
      <c r="I335" s="82" t="s">
        <v>21</v>
      </c>
      <c r="J335" s="82" t="s">
        <v>627</v>
      </c>
      <c r="K335" s="115" t="s">
        <v>952</v>
      </c>
      <c r="L335" s="103" t="s">
        <v>870</v>
      </c>
      <c r="N335" s="171">
        <f t="shared" ref="N335:N345" si="121">IF(D335="","",IF(LEFT(D335,1)="0",0,1))</f>
        <v>1</v>
      </c>
      <c r="O335" s="74">
        <f t="shared" si="111"/>
        <v>78.62</v>
      </c>
      <c r="P335" s="160" t="str">
        <f t="shared" si="112"/>
        <v>70-79 литров</v>
      </c>
      <c r="Q335" s="101" t="str">
        <f t="shared" si="113"/>
        <v>50-100 л</v>
      </c>
      <c r="R335" s="153">
        <f>IF(E335="","",--LEFT(E335,FIND("х",E335)-1))</f>
        <v>560</v>
      </c>
      <c r="S335" s="153">
        <f>IF(E335="","",--MID(E335,FIND("х",E335)+1,FIND("х",E335,FIND("х",E335)+1)-FIND("х",E335)-1))</f>
        <v>360</v>
      </c>
      <c r="T335" s="153">
        <f>IF(E335="","",--RIGHT(E335,LEN(E335)-FIND("х",E335,FIND("х",E335)+1)))</f>
        <v>390</v>
      </c>
      <c r="U335" s="16">
        <f t="shared" si="117"/>
        <v>1.4401999999999999</v>
      </c>
      <c r="V335" s="16" t="str">
        <f t="shared" si="118"/>
        <v/>
      </c>
      <c r="W335" s="16" t="str">
        <f t="shared" si="119"/>
        <v/>
      </c>
      <c r="X335" s="159" t="str">
        <f t="shared" si="87"/>
        <v>500-599 мм</v>
      </c>
      <c r="Y335" s="159" t="str">
        <f t="shared" si="88"/>
        <v>300-399 мм</v>
      </c>
      <c r="Z335" s="159" t="str">
        <f t="shared" si="89"/>
        <v>300-399 мм</v>
      </c>
      <c r="AA335" s="159" t="str">
        <f t="shared" si="120"/>
        <v>Четырехклапанные</v>
      </c>
    </row>
    <row r="336" spans="1:29" x14ac:dyDescent="0.3">
      <c r="A336" s="53">
        <v>0.41</v>
      </c>
      <c r="B336" s="94">
        <f t="shared" si="100"/>
        <v>0.49199999999999994</v>
      </c>
      <c r="C336" s="108">
        <v>336</v>
      </c>
      <c r="D336" s="75" t="s">
        <v>581</v>
      </c>
      <c r="E336" s="87" t="s">
        <v>955</v>
      </c>
      <c r="G336" s="82" t="s">
        <v>143</v>
      </c>
      <c r="H336" s="89" t="s">
        <v>320</v>
      </c>
      <c r="I336" s="82" t="s">
        <v>21</v>
      </c>
      <c r="J336" s="82" t="s">
        <v>581</v>
      </c>
      <c r="K336" s="115" t="s">
        <v>956</v>
      </c>
      <c r="N336" s="171">
        <f t="shared" si="121"/>
        <v>1</v>
      </c>
      <c r="O336" s="74">
        <f t="shared" si="111"/>
        <v>1.7</v>
      </c>
      <c r="P336" s="160" t="str">
        <f t="shared" si="112"/>
        <v>1-1,9 литра</v>
      </c>
      <c r="Q336" s="101" t="str">
        <f t="shared" si="113"/>
        <v>1-2 л</v>
      </c>
      <c r="R336" s="153">
        <f t="shared" si="114"/>
        <v>165</v>
      </c>
      <c r="S336" s="153">
        <f t="shared" si="115"/>
        <v>120</v>
      </c>
      <c r="T336" s="153">
        <f t="shared" si="116"/>
        <v>86</v>
      </c>
      <c r="U336" s="16">
        <f t="shared" si="117"/>
        <v>0.13482</v>
      </c>
      <c r="V336" s="16" t="str">
        <f t="shared" si="118"/>
        <v/>
      </c>
      <c r="W336" s="16" t="str">
        <f t="shared" si="119"/>
        <v/>
      </c>
      <c r="X336" s="159" t="str">
        <f t="shared" si="87"/>
        <v>100-199 мм</v>
      </c>
      <c r="Y336" s="159" t="str">
        <f t="shared" si="88"/>
        <v>100-199 мм</v>
      </c>
      <c r="Z336" s="159" t="str">
        <f t="shared" si="89"/>
        <v>10-99 мм</v>
      </c>
      <c r="AA336" s="159" t="str">
        <f t="shared" si="120"/>
        <v>Самосборные</v>
      </c>
    </row>
    <row r="337" spans="1:27" x14ac:dyDescent="0.3">
      <c r="A337" s="53">
        <v>0.24</v>
      </c>
      <c r="B337" s="94">
        <f t="shared" si="100"/>
        <v>0.28799999999999998</v>
      </c>
      <c r="C337" s="108">
        <v>337</v>
      </c>
      <c r="D337" s="75" t="s">
        <v>27</v>
      </c>
      <c r="E337" s="87" t="s">
        <v>958</v>
      </c>
      <c r="G337" s="82" t="s">
        <v>18</v>
      </c>
      <c r="H337" s="89" t="s">
        <v>19</v>
      </c>
      <c r="I337" s="82" t="s">
        <v>21</v>
      </c>
      <c r="J337" s="82" t="s">
        <v>27</v>
      </c>
      <c r="K337" s="115" t="s">
        <v>960</v>
      </c>
      <c r="N337" s="171">
        <f t="shared" si="121"/>
        <v>1</v>
      </c>
      <c r="O337" s="74">
        <f t="shared" si="111"/>
        <v>2.14</v>
      </c>
      <c r="P337" s="160" t="str">
        <f t="shared" si="112"/>
        <v>2-2,9 литра</v>
      </c>
      <c r="Q337" s="101" t="str">
        <f t="shared" si="113"/>
        <v>2-3 л</v>
      </c>
      <c r="R337" s="153">
        <f t="shared" si="114"/>
        <v>170</v>
      </c>
      <c r="S337" s="153">
        <f t="shared" si="115"/>
        <v>70</v>
      </c>
      <c r="T337" s="153">
        <f t="shared" si="116"/>
        <v>180</v>
      </c>
      <c r="U337" s="16">
        <f t="shared" si="117"/>
        <v>0.13932</v>
      </c>
      <c r="V337" s="16" t="str">
        <f t="shared" si="118"/>
        <v/>
      </c>
      <c r="W337" s="16" t="str">
        <f t="shared" si="119"/>
        <v>Плоские</v>
      </c>
      <c r="X337" s="159" t="str">
        <f t="shared" si="87"/>
        <v>100-199 мм</v>
      </c>
      <c r="Y337" s="159" t="str">
        <f t="shared" si="88"/>
        <v>100-199 мм</v>
      </c>
      <c r="Z337" s="159" t="str">
        <f t="shared" si="89"/>
        <v>10-99 мм</v>
      </c>
      <c r="AA337" s="159" t="str">
        <f t="shared" si="120"/>
        <v>Четырехклапанные</v>
      </c>
    </row>
    <row r="338" spans="1:27" x14ac:dyDescent="0.3">
      <c r="A338" s="53">
        <v>0.35</v>
      </c>
      <c r="B338" s="94">
        <f t="shared" si="100"/>
        <v>0.42</v>
      </c>
      <c r="C338" s="108">
        <v>338</v>
      </c>
      <c r="D338" s="75" t="s">
        <v>27</v>
      </c>
      <c r="E338" s="87" t="s">
        <v>959</v>
      </c>
      <c r="G338" s="82" t="s">
        <v>18</v>
      </c>
      <c r="H338" s="89" t="s">
        <v>19</v>
      </c>
      <c r="I338" s="82" t="s">
        <v>21</v>
      </c>
      <c r="J338" s="82" t="s">
        <v>27</v>
      </c>
      <c r="K338" s="115" t="s">
        <v>961</v>
      </c>
      <c r="N338" s="171">
        <f t="shared" si="121"/>
        <v>1</v>
      </c>
      <c r="O338" s="74">
        <f t="shared" si="111"/>
        <v>3.86</v>
      </c>
      <c r="P338" s="160" t="str">
        <f t="shared" si="112"/>
        <v>3-3,9 литра</v>
      </c>
      <c r="Q338" s="101" t="str">
        <f t="shared" si="113"/>
        <v>3-5 л</v>
      </c>
      <c r="R338" s="153">
        <f t="shared" si="114"/>
        <v>210</v>
      </c>
      <c r="S338" s="153">
        <f t="shared" si="115"/>
        <v>80</v>
      </c>
      <c r="T338" s="153">
        <f t="shared" si="116"/>
        <v>230</v>
      </c>
      <c r="U338" s="16">
        <f t="shared" si="117"/>
        <v>0.20352000000000001</v>
      </c>
      <c r="V338" s="16" t="str">
        <f t="shared" si="118"/>
        <v/>
      </c>
      <c r="W338" s="16" t="str">
        <f t="shared" si="119"/>
        <v>Плоские</v>
      </c>
      <c r="X338" s="159" t="str">
        <f t="shared" si="87"/>
        <v>200-299 мм</v>
      </c>
      <c r="Y338" s="159" t="str">
        <f t="shared" si="88"/>
        <v>200-299 мм</v>
      </c>
      <c r="Z338" s="159" t="str">
        <f t="shared" si="89"/>
        <v>10-99 мм</v>
      </c>
      <c r="AA338" s="159" t="str">
        <f t="shared" si="120"/>
        <v>Четырехклапанные</v>
      </c>
    </row>
    <row r="339" spans="1:27" x14ac:dyDescent="0.3">
      <c r="A339" s="53">
        <v>0.46</v>
      </c>
      <c r="B339" s="94">
        <f t="shared" si="100"/>
        <v>0.55200000000000005</v>
      </c>
      <c r="C339" s="108">
        <v>339</v>
      </c>
      <c r="D339" s="75" t="s">
        <v>27</v>
      </c>
      <c r="E339" s="87" t="s">
        <v>963</v>
      </c>
      <c r="F339" s="212" t="s">
        <v>965</v>
      </c>
      <c r="G339" s="82" t="s">
        <v>143</v>
      </c>
      <c r="H339" s="89" t="s">
        <v>147</v>
      </c>
      <c r="I339" s="82" t="s">
        <v>144</v>
      </c>
      <c r="J339" s="82" t="s">
        <v>711</v>
      </c>
      <c r="K339" s="115" t="s">
        <v>964</v>
      </c>
      <c r="N339" s="171">
        <f t="shared" si="121"/>
        <v>1</v>
      </c>
      <c r="O339" s="74">
        <f t="shared" si="111"/>
        <v>1.63</v>
      </c>
      <c r="P339" s="160" t="str">
        <f t="shared" si="112"/>
        <v>1-1,9 литра</v>
      </c>
      <c r="Q339" s="101" t="str">
        <f t="shared" si="113"/>
        <v>1-2 л</v>
      </c>
      <c r="R339" s="153">
        <f t="shared" si="114"/>
        <v>160</v>
      </c>
      <c r="S339" s="153">
        <f t="shared" si="115"/>
        <v>120</v>
      </c>
      <c r="T339" s="153">
        <f t="shared" si="116"/>
        <v>85</v>
      </c>
      <c r="U339" s="16">
        <f t="shared" si="117"/>
        <v>0.13206000000000001</v>
      </c>
      <c r="V339" s="16" t="str">
        <f t="shared" si="118"/>
        <v/>
      </c>
      <c r="W339" s="16" t="str">
        <f t="shared" si="119"/>
        <v/>
      </c>
      <c r="X339" s="159" t="str">
        <f t="shared" si="87"/>
        <v>100-199 мм</v>
      </c>
      <c r="Y339" s="159" t="str">
        <f t="shared" si="88"/>
        <v>100-199 мм</v>
      </c>
      <c r="Z339" s="159" t="str">
        <f t="shared" si="89"/>
        <v>10-99 мм</v>
      </c>
      <c r="AA339" s="159" t="str">
        <f t="shared" si="120"/>
        <v>Самосборные</v>
      </c>
    </row>
    <row r="340" spans="1:27" x14ac:dyDescent="0.3">
      <c r="A340" s="53">
        <v>0.71</v>
      </c>
      <c r="B340" s="94">
        <f t="shared" si="100"/>
        <v>0.85199999999999998</v>
      </c>
      <c r="C340" s="108">
        <v>340</v>
      </c>
      <c r="D340" s="75" t="s">
        <v>27</v>
      </c>
      <c r="E340" s="87" t="s">
        <v>968</v>
      </c>
      <c r="G340" s="82" t="s">
        <v>18</v>
      </c>
      <c r="H340" s="89" t="s">
        <v>19</v>
      </c>
      <c r="I340" s="82" t="s">
        <v>21</v>
      </c>
      <c r="J340" s="82" t="s">
        <v>627</v>
      </c>
      <c r="K340" s="115" t="s">
        <v>969</v>
      </c>
      <c r="N340" s="171">
        <f t="shared" si="121"/>
        <v>1</v>
      </c>
      <c r="O340" s="74">
        <f t="shared" ref="O340" si="122">ROUND(R340*S340*T340/1000000,2)</f>
        <v>7.91</v>
      </c>
      <c r="P340" s="160" t="str">
        <f t="shared" ref="P340" si="123">IF(O340="","",
IF(O340&lt;1,"0,1-0,9 литров",
IF(O340&lt;2,"1-1,9 литра",
IF(O340&lt;3,"2-2,9 литра",
IF(O340&lt;4,"3-3,9 литра",
IF(O340&lt;6,"4-5,9 литра",IF(O340&lt;8,"6-7,9 литра",IF(O340&lt;10,"8-9,9 литров",IF(O340&lt;15,"10-14,9 литров",IF(O340&lt;20,"15-19,9 литров",IF(O340&lt;30,"20-29 литров",IF(O340&lt;50,"30-49 литров",IF(O340&lt;60,"50-59 литров",IF(O340&lt;70,"60-69 литров",IF(O340&lt;80,"70-79 литров",IF(O340&lt;90,"80-89 литров",IF(O340&lt;100,"90-99 литров",IF(O340&lt;200,"100-200 литров","200+ литров"))))))))))))))))))</f>
        <v>6-7,9 литра</v>
      </c>
      <c r="Q340" s="101" t="str">
        <f t="shared" ref="Q340" si="124">IF(O340="","",IF(O340&lt;1,"&lt;1 л",IF(O340&lt;2,"1-2 л",IF(O340&lt;3,"2-3 л",IF(O340&lt;5,"3-5 л",IF(O340&lt;10,"5-10 л",IF(O340&lt;20,"10-20 л",IF(O340&lt;50,"20-50 л",IF(O340&lt;100,"50-100 л","100+ л")))))))))</f>
        <v>5-10 л</v>
      </c>
      <c r="R340" s="153">
        <f t="shared" ref="R340" si="125">IF(E340="","",--LEFT(E340,FIND("х",E340)-1))</f>
        <v>370</v>
      </c>
      <c r="S340" s="153">
        <f t="shared" ref="S340" si="126">IF(E340="","",--MID(E340,FIND("х",E340)+1,FIND("х",E340,FIND("х",E340)+1)-FIND("х",E340)-1))</f>
        <v>225</v>
      </c>
      <c r="T340" s="153">
        <f t="shared" ref="T340" si="127">IF(E340="","",--RIGHT(E340,LEN(E340)-FIND("х",E340,FIND("х",E340)+1)))</f>
        <v>95</v>
      </c>
      <c r="U340" s="16">
        <f t="shared" ref="U340" si="128">(2*(R340+S340)+60)*(S340+T340+8)/1000000</f>
        <v>0.41</v>
      </c>
      <c r="V340" s="16" t="str">
        <f t="shared" ref="V340" si="129">IF(OR(AND(R340&gt;=2*S340,R340&gt;=2*T340),AND(S340&gt;=2*R340,S340&gt;=2*T340),AND(T340&gt;=2*R340,T340&gt;=2*S340)),"Длинные","")</f>
        <v/>
      </c>
      <c r="W340" s="16" t="str">
        <f t="shared" ref="W340" si="130">IF(OR(AND(R340&lt;=S340/2,R340&lt;=T340/2),AND(S340&lt;=R340/2,S340&lt;=T340/2),AND(T340&lt;=R340/2,T340&lt;=S340/2)),"Плоские","")</f>
        <v>Плоские</v>
      </c>
      <c r="X340" s="159" t="str">
        <f t="shared" si="87"/>
        <v>300-399 мм</v>
      </c>
      <c r="Y340" s="159" t="str">
        <f t="shared" si="88"/>
        <v>200-299 мм</v>
      </c>
      <c r="Z340" s="159" t="str">
        <f t="shared" si="89"/>
        <v>10-99 мм</v>
      </c>
      <c r="AA340" s="159" t="str">
        <f t="shared" ref="AA340:AA347" si="131">IF(G340="","",IF(G340="Л","Лист гофрокартона",IF(G340="КД","Крышка-дно",IF(G340="С","Самосборные",IF(G340="Ч","Четырехклапанные",IF(G340="А","Архивные","Неизвестно"))))))</f>
        <v>Четырехклапанные</v>
      </c>
    </row>
    <row r="341" spans="1:27" x14ac:dyDescent="0.3">
      <c r="A341" s="53">
        <v>0.86</v>
      </c>
      <c r="B341" s="94">
        <f t="shared" si="100"/>
        <v>1.032</v>
      </c>
      <c r="C341" s="108">
        <v>341</v>
      </c>
      <c r="D341" s="75" t="s">
        <v>27</v>
      </c>
      <c r="E341" s="87" t="s">
        <v>970</v>
      </c>
      <c r="G341" s="82" t="s">
        <v>18</v>
      </c>
      <c r="H341" s="89" t="s">
        <v>19</v>
      </c>
      <c r="I341" s="82" t="s">
        <v>21</v>
      </c>
      <c r="J341" s="82" t="s">
        <v>627</v>
      </c>
      <c r="K341" s="115" t="s">
        <v>971</v>
      </c>
      <c r="N341" s="171">
        <f t="shared" si="121"/>
        <v>1</v>
      </c>
      <c r="O341" s="74">
        <f t="shared" ref="O341" si="132">ROUND(R341*S341*T341/1000000,2)</f>
        <v>9.67</v>
      </c>
      <c r="P341" s="160" t="str">
        <f t="shared" ref="P341" si="133">IF(O341="","",
IF(O341&lt;1,"0,1-0,9 литров",
IF(O341&lt;2,"1-1,9 литра",
IF(O341&lt;3,"2-2,9 литра",
IF(O341&lt;4,"3-3,9 литра",
IF(O341&lt;6,"4-5,9 литра",IF(O341&lt;8,"6-7,9 литра",IF(O341&lt;10,"8-9,9 литров",IF(O341&lt;15,"10-14,9 литров",IF(O341&lt;20,"15-19,9 литров",IF(O341&lt;30,"20-29 литров",IF(O341&lt;50,"30-49 литров",IF(O341&lt;60,"50-59 литров",IF(O341&lt;70,"60-69 литров",IF(O341&lt;80,"70-79 литров",IF(O341&lt;90,"80-89 литров",IF(O341&lt;100,"90-99 литров",IF(O341&lt;200,"100-200 литров","200+ литров"))))))))))))))))))</f>
        <v>8-9,9 литров</v>
      </c>
      <c r="Q341" s="101" t="str">
        <f t="shared" ref="Q341" si="134">IF(O341="","",IF(O341&lt;1,"&lt;1 л",IF(O341&lt;2,"1-2 л",IF(O341&lt;3,"2-3 л",IF(O341&lt;5,"3-5 л",IF(O341&lt;10,"5-10 л",IF(O341&lt;20,"10-20 л",IF(O341&lt;50,"20-50 л",IF(O341&lt;100,"50-100 л","100+ л")))))))))</f>
        <v>5-10 л</v>
      </c>
      <c r="R341" s="153">
        <f t="shared" ref="R341" si="135">IF(E341="","",--LEFT(E341,FIND("х",E341)-1))</f>
        <v>370</v>
      </c>
      <c r="S341" s="153">
        <f t="shared" ref="S341" si="136">IF(E341="","",--MID(E341,FIND("х",E341)+1,FIND("х",E341,FIND("х",E341)+1)-FIND("х",E341)-1))</f>
        <v>275</v>
      </c>
      <c r="T341" s="153">
        <f t="shared" ref="T341" si="137">IF(E341="","",--RIGHT(E341,LEN(E341)-FIND("х",E341,FIND("х",E341)+1)))</f>
        <v>95</v>
      </c>
      <c r="U341" s="16">
        <f t="shared" ref="U341" si="138">(2*(R341+S341)+60)*(S341+T341+8)/1000000</f>
        <v>0.51029999999999998</v>
      </c>
      <c r="V341" s="16" t="str">
        <f t="shared" ref="V341" si="139">IF(OR(AND(R341&gt;=2*S341,R341&gt;=2*T341),AND(S341&gt;=2*R341,S341&gt;=2*T341),AND(T341&gt;=2*R341,T341&gt;=2*S341)),"Длинные","")</f>
        <v/>
      </c>
      <c r="W341" s="16" t="str">
        <f t="shared" ref="W341" si="140">IF(OR(AND(R341&lt;=S341/2,R341&lt;=T341/2),AND(S341&lt;=R341/2,S341&lt;=T341/2),AND(T341&lt;=R341/2,T341&lt;=S341/2)),"Плоские","")</f>
        <v>Плоские</v>
      </c>
      <c r="X341" s="159" t="str">
        <f t="shared" si="87"/>
        <v>300-399 мм</v>
      </c>
      <c r="Y341" s="159" t="str">
        <f t="shared" si="88"/>
        <v>200-299 мм</v>
      </c>
      <c r="Z341" s="159" t="str">
        <f t="shared" si="89"/>
        <v>10-99 мм</v>
      </c>
      <c r="AA341" s="159" t="str">
        <f t="shared" ref="AA341" si="141">IF(G341="","",IF(G341="Л","Лист гофрокартона",IF(G341="КД","Крышка-дно",IF(G341="С","Самосборные",IF(G341="Ч","Четырехклапанные",IF(G341="А","Архивные","Неизвестно"))))))</f>
        <v>Четырехклапанные</v>
      </c>
    </row>
    <row r="342" spans="1:27" x14ac:dyDescent="0.3">
      <c r="B342" s="94">
        <f t="shared" si="100"/>
        <v>0</v>
      </c>
      <c r="C342" s="108">
        <v>342</v>
      </c>
      <c r="H342" s="89"/>
      <c r="N342" s="171" t="str">
        <f t="shared" si="121"/>
        <v/>
      </c>
      <c r="O342" s="74"/>
      <c r="P342" s="160"/>
      <c r="Q342" s="101"/>
      <c r="R342" s="153"/>
      <c r="S342" s="153"/>
      <c r="T342" s="153"/>
      <c r="U342" s="16"/>
      <c r="V342" s="16"/>
      <c r="W342" s="16"/>
      <c r="AA342" s="159" t="str">
        <f t="shared" si="131"/>
        <v/>
      </c>
    </row>
    <row r="343" spans="1:27" x14ac:dyDescent="0.3">
      <c r="B343" s="94">
        <f t="shared" si="100"/>
        <v>0</v>
      </c>
      <c r="C343" s="108">
        <v>343</v>
      </c>
      <c r="H343" s="89"/>
      <c r="N343" s="171" t="str">
        <f t="shared" si="121"/>
        <v/>
      </c>
      <c r="O343" s="74"/>
      <c r="P343" s="160"/>
      <c r="Q343" s="101"/>
      <c r="R343" s="153"/>
      <c r="S343" s="153"/>
      <c r="T343" s="153"/>
      <c r="U343" s="16"/>
      <c r="V343" s="16"/>
      <c r="W343" s="16"/>
      <c r="AA343" s="159" t="str">
        <f t="shared" si="131"/>
        <v/>
      </c>
    </row>
    <row r="344" spans="1:27" x14ac:dyDescent="0.3">
      <c r="B344" s="94">
        <f t="shared" si="100"/>
        <v>0</v>
      </c>
      <c r="C344" s="108">
        <v>344</v>
      </c>
      <c r="H344" s="89"/>
      <c r="N344" s="171" t="str">
        <f t="shared" si="121"/>
        <v/>
      </c>
      <c r="O344" s="74"/>
      <c r="P344" s="160"/>
      <c r="Q344" s="101"/>
      <c r="R344" s="153"/>
      <c r="S344" s="153"/>
      <c r="T344" s="153"/>
      <c r="U344" s="16"/>
      <c r="V344" s="16"/>
      <c r="W344" s="16"/>
      <c r="AA344" s="159" t="str">
        <f t="shared" si="131"/>
        <v/>
      </c>
    </row>
    <row r="345" spans="1:27" x14ac:dyDescent="0.3">
      <c r="B345" s="94">
        <f t="shared" si="100"/>
        <v>0</v>
      </c>
      <c r="C345" s="108">
        <v>345</v>
      </c>
      <c r="H345" s="89"/>
      <c r="N345" s="171" t="str">
        <f t="shared" si="121"/>
        <v/>
      </c>
      <c r="O345" s="74"/>
      <c r="P345" s="160"/>
      <c r="Q345" s="101"/>
      <c r="R345" s="153"/>
      <c r="S345" s="153"/>
      <c r="T345" s="153"/>
      <c r="U345" s="16"/>
      <c r="V345" s="16"/>
      <c r="W345" s="16"/>
      <c r="AA345" s="159" t="str">
        <f t="shared" si="131"/>
        <v/>
      </c>
    </row>
    <row r="346" spans="1:27" x14ac:dyDescent="0.3">
      <c r="B346" s="94">
        <f t="shared" si="100"/>
        <v>0</v>
      </c>
      <c r="C346" s="108">
        <v>346</v>
      </c>
      <c r="H346" s="89"/>
      <c r="O346" s="74"/>
      <c r="P346" s="160"/>
      <c r="Q346" s="101"/>
      <c r="R346" s="153"/>
      <c r="S346" s="153"/>
      <c r="T346" s="153"/>
      <c r="U346" s="16"/>
      <c r="V346" s="16"/>
      <c r="W346" s="16"/>
      <c r="AA346" s="159" t="str">
        <f t="shared" si="131"/>
        <v/>
      </c>
    </row>
    <row r="347" spans="1:27" x14ac:dyDescent="0.3">
      <c r="B347" s="94">
        <f t="shared" si="100"/>
        <v>0</v>
      </c>
      <c r="H347" s="89"/>
      <c r="O347" s="74"/>
      <c r="P347" s="160"/>
      <c r="Q347" s="101"/>
      <c r="R347" s="153"/>
      <c r="S347" s="153"/>
      <c r="T347" s="153"/>
      <c r="U347" s="16"/>
      <c r="V347" s="16"/>
      <c r="W347" s="16"/>
      <c r="AA347" s="159" t="str">
        <f t="shared" si="131"/>
        <v/>
      </c>
    </row>
    <row r="348" spans="1:27" x14ac:dyDescent="0.3">
      <c r="E348" s="87" t="s">
        <v>775</v>
      </c>
    </row>
  </sheetData>
  <autoFilter ref="A1:AC348" xr:uid="{50D7F208-822E-4C2A-839C-7DA068A0875F}"/>
  <phoneticPr fontId="6" type="noConversion"/>
  <conditionalFormatting sqref="D1:D1048576">
    <cfRule type="expression" dxfId="22" priority="1">
      <formula>LEFT(D1,1)="0"</formula>
    </cfRule>
    <cfRule type="expression" dxfId="21" priority="13">
      <formula>D1="У"</formula>
    </cfRule>
    <cfRule type="expression" dxfId="20" priority="14">
      <formula>D1="БМ"</formula>
    </cfRule>
  </conditionalFormatting>
  <conditionalFormatting sqref="E1:E1048576">
    <cfRule type="expression" dxfId="19" priority="2">
      <formula>LEFT(D1,1)="0"</formula>
    </cfRule>
    <cfRule type="expression" dxfId="18" priority="12">
      <formula>AND(ROW()&gt;1, L1="Sale")</formula>
    </cfRule>
  </conditionalFormatting>
  <conditionalFormatting sqref="G1:G1048576">
    <cfRule type="expression" dxfId="17" priority="10">
      <formula>G1="ч"</formula>
    </cfRule>
    <cfRule type="expression" dxfId="16" priority="11">
      <formula>G1="с"</formula>
    </cfRule>
  </conditionalFormatting>
  <conditionalFormatting sqref="N1:N1048576">
    <cfRule type="expression" dxfId="15" priority="7">
      <formula>N1=0</formula>
    </cfRule>
  </conditionalFormatting>
  <conditionalFormatting sqref="A1:A1048576">
    <cfRule type="expression" dxfId="14" priority="3">
      <formula>AND(ROW()&gt;1, L1="Sale")</formula>
    </cfRule>
  </conditionalFormatting>
  <dataValidations count="2">
    <dataValidation type="list" allowBlank="1" showInputMessage="1" showErrorMessage="1" sqref="H2:H347" xr:uid="{A16DB1F9-4B78-409D-AEB5-0F6FE144DEA3}">
      <formula1>"0201,0203,0200,0211,0215,0421,0426,0427,0429,0470,0471,0409,0401"</formula1>
    </dataValidation>
    <dataValidation type="list" allowBlank="1" showInputMessage="1" showErrorMessage="1" sqref="L2:L340" xr:uid="{ACCD9256-B158-42EA-8DE5-D3B35950B515}">
      <formula1>",Sale"</formula1>
    </dataValidation>
  </dataValidations>
  <pageMargins left="0.7" right="0.7" top="0.75" bottom="0.75" header="0.3" footer="0.3"/>
  <pageSetup paperSize="9" orientation="portrait" r:id="rId1"/>
  <ignoredErrors>
    <ignoredError sqref="H2:H201 H294:H326 H202:H292 H327:H339" numberStoredAsText="1"/>
    <ignoredError sqref="W58:Z61 W217:Z217 W312:Z326 V326 R234:U238 R312:U326 R58:U61 R217:U217 R242:U250 AA234:AA250 AC234:AC238 O242:O250 O217 O58:O61 O312:O326 O234:O238 V234:Z250 O333:Z339 O201" evalError="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A935E-BE89-4104-9A52-709D81FBF01B}">
  <sheetPr>
    <tabColor theme="9" tint="0.59999389629810485"/>
  </sheetPr>
  <dimension ref="A1:AD1756"/>
  <sheetViews>
    <sheetView topLeftCell="G1" zoomScaleNormal="100" workbookViewId="0">
      <pane ySplit="1" topLeftCell="A1695" activePane="bottomLeft" state="frozen"/>
      <selection pane="bottomLeft" activeCell="AD1697" sqref="AD1697:AD1701"/>
    </sheetView>
  </sheetViews>
  <sheetFormatPr defaultRowHeight="14.6" x14ac:dyDescent="0.4"/>
  <cols>
    <col min="1" max="1" width="4.3046875" style="112" bestFit="1" customWidth="1"/>
    <col min="2" max="2" width="4.07421875" style="8" hidden="1" customWidth="1"/>
    <col min="3" max="3" width="8.23046875" style="14" hidden="1" customWidth="1"/>
    <col min="4" max="4" width="8.07421875" style="20" bestFit="1" customWidth="1"/>
    <col min="5" max="5" width="4.3046875" style="95" customWidth="1"/>
    <col min="6" max="6" width="16.69140625" style="175" bestFit="1" customWidth="1"/>
    <col min="7" max="7" width="4.765625" style="173" customWidth="1"/>
    <col min="8" max="8" width="8.3046875" style="94" customWidth="1"/>
    <col min="9" max="9" width="7.84375" style="21" bestFit="1" customWidth="1"/>
    <col min="10" max="10" width="0" style="68" hidden="1" customWidth="1"/>
    <col min="11" max="11" width="9.765625" style="70" customWidth="1"/>
    <col min="12" max="12" width="8.84375" style="72" hidden="1" customWidth="1"/>
    <col min="13" max="13" width="9" style="73" bestFit="1" customWidth="1"/>
    <col min="14" max="14" width="12.23046875" hidden="1" customWidth="1"/>
    <col min="15" max="15" width="16.765625" style="5" hidden="1" customWidth="1"/>
    <col min="16" max="16" width="8.84375" style="11" hidden="1" customWidth="1"/>
    <col min="17" max="17" width="20.84375" style="1" customWidth="1"/>
    <col min="18" max="18" width="4.69140625" style="206" customWidth="1"/>
    <col min="19" max="19" width="6.23046875" style="207" customWidth="1"/>
    <col min="20" max="20" width="6.69140625" style="208" customWidth="1"/>
    <col min="21" max="21" width="6.07421875" style="195" customWidth="1"/>
    <col min="22" max="22" width="6.23046875" style="196" bestFit="1" customWidth="1"/>
    <col min="23" max="23" width="4" style="17" bestFit="1" customWidth="1"/>
    <col min="24" max="24" width="5.53515625" bestFit="1" customWidth="1"/>
    <col min="25" max="25" width="5.4609375" customWidth="1"/>
    <col min="26" max="26" width="8.84375" style="200"/>
    <col min="27" max="27" width="8.84375" style="201"/>
    <col min="28" max="28" width="8.84375" style="202"/>
    <col min="29" max="29" width="11.84375" style="216" customWidth="1"/>
    <col min="30" max="30" width="22.84375" style="196" bestFit="1" customWidth="1"/>
  </cols>
  <sheetData>
    <row r="1" spans="1:30" s="4" customFormat="1" ht="38.6" x14ac:dyDescent="0.4">
      <c r="A1" s="111" t="s">
        <v>28</v>
      </c>
      <c r="B1" s="6" t="s">
        <v>1</v>
      </c>
      <c r="C1" s="10" t="s">
        <v>35</v>
      </c>
      <c r="D1" s="18" t="s">
        <v>36</v>
      </c>
      <c r="E1" s="117" t="s">
        <v>872</v>
      </c>
      <c r="F1" s="174" t="s">
        <v>46</v>
      </c>
      <c r="G1" s="172" t="s">
        <v>870</v>
      </c>
      <c r="H1" s="93" t="s">
        <v>871</v>
      </c>
      <c r="I1" s="19" t="s">
        <v>47</v>
      </c>
      <c r="J1" s="67" t="s">
        <v>37</v>
      </c>
      <c r="K1" s="9" t="s">
        <v>38</v>
      </c>
      <c r="L1" s="71" t="s">
        <v>39</v>
      </c>
      <c r="M1" s="15" t="s">
        <v>873</v>
      </c>
      <c r="N1" s="6" t="s">
        <v>1</v>
      </c>
      <c r="O1" s="6" t="s">
        <v>1</v>
      </c>
      <c r="P1" s="6" t="s">
        <v>1</v>
      </c>
      <c r="Q1" s="98" t="s">
        <v>5</v>
      </c>
      <c r="R1" s="203" t="s">
        <v>4</v>
      </c>
      <c r="S1" s="204" t="s">
        <v>918</v>
      </c>
      <c r="T1" s="205" t="s">
        <v>880</v>
      </c>
      <c r="U1" s="193" t="s">
        <v>881</v>
      </c>
      <c r="V1" s="194" t="s">
        <v>30</v>
      </c>
      <c r="W1" s="25" t="s">
        <v>7</v>
      </c>
      <c r="X1" s="102" t="s">
        <v>6</v>
      </c>
      <c r="Y1" s="96" t="s">
        <v>8</v>
      </c>
      <c r="Z1" s="197" t="s">
        <v>58</v>
      </c>
      <c r="AA1" s="198" t="s">
        <v>33</v>
      </c>
      <c r="AB1" s="199" t="s">
        <v>59</v>
      </c>
      <c r="AC1" s="215" t="s">
        <v>943</v>
      </c>
      <c r="AD1" s="209" t="s">
        <v>944</v>
      </c>
    </row>
    <row r="2" spans="1:30" x14ac:dyDescent="0.4">
      <c r="A2" s="230">
        <v>2</v>
      </c>
      <c r="B2" s="7">
        <v>2</v>
      </c>
      <c r="C2" s="14">
        <f t="shared" ref="C2:C8" ca="1" si="0">INDIRECT("'Закуп'!B" &amp; B2)</f>
        <v>0.33600000000000002</v>
      </c>
      <c r="D2" s="20">
        <f t="shared" ref="D2:D26" ca="1" si="1">C2*1.2</f>
        <v>0.4032</v>
      </c>
      <c r="E2" s="224" t="str">
        <f ca="1">INDIRECT("'Закуп'!D" &amp; A2)</f>
        <v>У</v>
      </c>
      <c r="F2" s="231" t="str">
        <f ca="1">INDIRECT("'Закуп'!E" &amp; B2)</f>
        <v>230х85х150</v>
      </c>
      <c r="G2" s="172" t="str">
        <f ca="1">IF(INDIRECT("'Закуп'!L" &amp; B2)="Sale","Sale","")</f>
        <v/>
      </c>
      <c r="H2" s="93" t="str">
        <f ca="1">IF(INDIRECT("'Закуп'!F" &amp; B2)=0,"",INDIRECT("'Закуп'!F" &amp; B2))</f>
        <v/>
      </c>
      <c r="I2" s="21">
        <v>50</v>
      </c>
      <c r="J2" s="68">
        <f>K2/1.2</f>
        <v>0.91666666666666674</v>
      </c>
      <c r="K2" s="69">
        <v>1.1000000000000001</v>
      </c>
      <c r="L2" s="72">
        <f t="shared" ref="L2:L65" ca="1" si="2">J2-C2-(J2-C2)*0.2</f>
        <v>0.46453333333333335</v>
      </c>
      <c r="M2" s="73">
        <f t="shared" ref="M2:M65" ca="1" si="3">L2*I2</f>
        <v>23.226666666666667</v>
      </c>
      <c r="N2" s="12" t="s">
        <v>40</v>
      </c>
      <c r="O2" s="11" t="s">
        <v>45</v>
      </c>
      <c r="P2" s="13">
        <f>ROUND(K2,2)</f>
        <v>1.1000000000000001</v>
      </c>
      <c r="Q2" s="1" t="str">
        <f>CONCATENATE(N2,P2,O2,)</f>
        <v>50-90 шт - 1,1 руб / шт с НДС</v>
      </c>
      <c r="R2" s="235" t="str">
        <f ca="1">INDIRECT("'Закуп'!k" &amp; A2)</f>
        <v>K1</v>
      </c>
      <c r="S2" s="239">
        <f ca="1">INDIRECT("'Закуп'!o" &amp; A2)</f>
        <v>2.93</v>
      </c>
      <c r="T2" s="226" t="str">
        <f ca="1">INDIRECT("'Закуп'!p" &amp; A2)</f>
        <v>2-2,9 литра</v>
      </c>
      <c r="U2" s="228" t="str">
        <f ca="1">INDIRECT("'Закуп'!v" &amp; A2)</f>
        <v/>
      </c>
      <c r="V2" s="222" t="str">
        <f ca="1">INDIRECT("'Закуп'!w" &amp; A2)</f>
        <v/>
      </c>
      <c r="W2" s="229" t="str">
        <f ca="1">INDIRECT("'Закуп'!H" &amp; A2)</f>
        <v>0201</v>
      </c>
      <c r="X2" s="227" t="str">
        <f ca="1">INDIRECT("'Закуп'!g" &amp; A2)</f>
        <v>Ч</v>
      </c>
      <c r="Y2" s="229" t="str">
        <f ca="1">INDIRECT("'Закуп'!i" &amp; A2)</f>
        <v>В</v>
      </c>
      <c r="Z2" s="236" t="str">
        <f ca="1">INDIRECT("'Закуп'!x" &amp; A2)</f>
        <v>200-299 мм</v>
      </c>
      <c r="AA2" s="237" t="str">
        <f ca="1">INDIRECT("'Закуп'!y" &amp; A2)</f>
        <v>100-199 мм</v>
      </c>
      <c r="AB2" s="238" t="str">
        <f ca="1">INDIRECT("'Закуп'!z" &amp; A2)</f>
        <v>10-99 мм</v>
      </c>
      <c r="AC2" s="223" t="str">
        <f ca="1">SUBSTITUTE(INDEX(F:F, ROUNDUP((ROW(A1))/5,0)*5 - 3), "х", "x")</f>
        <v>230x85x150</v>
      </c>
      <c r="AD2" s="222" t="str">
        <f ca="1">SUBSTITUTE(INDEX(F:F, ROUNDUP((ROW(A1))/5,0)*5 - 3), "х", "x") &amp; " - " &amp; SUBSTITUTE(SUBSTITUTE(INDEX(F:F, ROUNDUP((ROW(A1))/5,0)*5 - 3), "х", "*"), "x", "*") &amp; " мм"</f>
        <v>230x85x150 - 230*85*150 мм</v>
      </c>
    </row>
    <row r="3" spans="1:30" x14ac:dyDescent="0.4">
      <c r="A3" s="230"/>
      <c r="B3" s="7">
        <v>2</v>
      </c>
      <c r="C3" s="14">
        <f t="shared" ca="1" si="0"/>
        <v>0.33600000000000002</v>
      </c>
      <c r="D3" s="20">
        <f t="shared" ca="1" si="1"/>
        <v>0.4032</v>
      </c>
      <c r="E3" s="225"/>
      <c r="F3" s="231"/>
      <c r="G3" s="172" t="str">
        <f t="shared" ref="G3:G66" ca="1" si="4">IF(INDIRECT("'Закуп'!L" &amp; B3)="Sale","Sale","")</f>
        <v/>
      </c>
      <c r="H3" s="93" t="str">
        <f t="shared" ref="H3:H66" ca="1" si="5">IF(INDIRECT("'Закуп'!F" &amp; B3)=0,"",INDIRECT("'Закуп'!F" &amp; B3))</f>
        <v/>
      </c>
      <c r="I3" s="21">
        <v>100</v>
      </c>
      <c r="J3" s="68">
        <f t="shared" ref="J3:J66" si="6">K3/1.2</f>
        <v>0.72499999999999998</v>
      </c>
      <c r="K3" s="69">
        <v>0.87</v>
      </c>
      <c r="L3" s="72">
        <f t="shared" ca="1" si="2"/>
        <v>0.31119999999999998</v>
      </c>
      <c r="M3" s="73">
        <f t="shared" ca="1" si="3"/>
        <v>31.119999999999997</v>
      </c>
      <c r="N3" s="12" t="s">
        <v>41</v>
      </c>
      <c r="O3" s="11" t="s">
        <v>45</v>
      </c>
      <c r="P3" s="13">
        <f t="shared" ref="P3:P41" si="7">ROUND(K3,2)</f>
        <v>0.87</v>
      </c>
      <c r="Q3" s="1" t="str">
        <f t="shared" ref="Q3:Q41" si="8">CONCATENATE(N3,P3,O3,)</f>
        <v>100-290 шт - 0,87 руб / шт с НДС</v>
      </c>
      <c r="R3" s="235"/>
      <c r="S3" s="239"/>
      <c r="T3" s="226"/>
      <c r="U3" s="228"/>
      <c r="V3" s="222"/>
      <c r="W3" s="229"/>
      <c r="X3" s="227"/>
      <c r="Y3" s="229"/>
      <c r="Z3" s="236"/>
      <c r="AA3" s="237"/>
      <c r="AB3" s="238"/>
      <c r="AC3" s="223"/>
      <c r="AD3" s="222"/>
    </row>
    <row r="4" spans="1:30" x14ac:dyDescent="0.4">
      <c r="A4" s="230"/>
      <c r="B4" s="7">
        <v>2</v>
      </c>
      <c r="C4" s="14">
        <f t="shared" ca="1" si="0"/>
        <v>0.33600000000000002</v>
      </c>
      <c r="D4" s="20">
        <f t="shared" ca="1" si="1"/>
        <v>0.4032</v>
      </c>
      <c r="E4" s="225"/>
      <c r="F4" s="231"/>
      <c r="G4" s="172" t="str">
        <f t="shared" ca="1" si="4"/>
        <v/>
      </c>
      <c r="H4" s="93" t="str">
        <f t="shared" ca="1" si="5"/>
        <v/>
      </c>
      <c r="I4" s="21">
        <v>300</v>
      </c>
      <c r="J4" s="68">
        <f t="shared" si="6"/>
        <v>0.56666666666666676</v>
      </c>
      <c r="K4" s="69">
        <v>0.68</v>
      </c>
      <c r="L4" s="72">
        <f t="shared" ca="1" si="2"/>
        <v>0.18453333333333338</v>
      </c>
      <c r="M4" s="73">
        <f t="shared" ca="1" si="3"/>
        <v>55.360000000000014</v>
      </c>
      <c r="N4" s="12" t="s">
        <v>42</v>
      </c>
      <c r="O4" s="11" t="s">
        <v>45</v>
      </c>
      <c r="P4" s="13">
        <f t="shared" si="7"/>
        <v>0.68</v>
      </c>
      <c r="Q4" s="1" t="str">
        <f>CONCATENATE(N4,P4,O4,)</f>
        <v>300-490 шт - 0,68 руб / шт с НДС</v>
      </c>
      <c r="R4" s="235"/>
      <c r="S4" s="239"/>
      <c r="T4" s="226"/>
      <c r="U4" s="228"/>
      <c r="V4" s="222"/>
      <c r="W4" s="229"/>
      <c r="X4" s="227"/>
      <c r="Y4" s="229"/>
      <c r="Z4" s="236"/>
      <c r="AA4" s="237"/>
      <c r="AB4" s="238"/>
      <c r="AC4" s="223"/>
      <c r="AD4" s="222"/>
    </row>
    <row r="5" spans="1:30" x14ac:dyDescent="0.4">
      <c r="A5" s="230"/>
      <c r="B5" s="7">
        <v>2</v>
      </c>
      <c r="C5" s="14">
        <f t="shared" ca="1" si="0"/>
        <v>0.33600000000000002</v>
      </c>
      <c r="D5" s="20">
        <f t="shared" ca="1" si="1"/>
        <v>0.4032</v>
      </c>
      <c r="E5" s="225"/>
      <c r="F5" s="231"/>
      <c r="G5" s="172" t="str">
        <f t="shared" ca="1" si="4"/>
        <v/>
      </c>
      <c r="H5" s="93" t="str">
        <f t="shared" ca="1" si="5"/>
        <v/>
      </c>
      <c r="I5" s="21">
        <v>500</v>
      </c>
      <c r="J5" s="68">
        <f t="shared" si="6"/>
        <v>0.52500000000000002</v>
      </c>
      <c r="K5" s="69">
        <v>0.63</v>
      </c>
      <c r="L5" s="72">
        <f t="shared" ca="1" si="2"/>
        <v>0.1512</v>
      </c>
      <c r="M5" s="73">
        <f t="shared" ca="1" si="3"/>
        <v>75.599999999999994</v>
      </c>
      <c r="N5" s="12" t="s">
        <v>43</v>
      </c>
      <c r="O5" s="11" t="s">
        <v>45</v>
      </c>
      <c r="P5" s="13">
        <f t="shared" si="7"/>
        <v>0.63</v>
      </c>
      <c r="Q5" s="1" t="str">
        <f t="shared" si="8"/>
        <v>500-990 шт - 0,63 руб / шт с НДС</v>
      </c>
      <c r="R5" s="235"/>
      <c r="S5" s="239"/>
      <c r="T5" s="226"/>
      <c r="U5" s="228"/>
      <c r="V5" s="222"/>
      <c r="W5" s="229"/>
      <c r="X5" s="227"/>
      <c r="Y5" s="229"/>
      <c r="Z5" s="236"/>
      <c r="AA5" s="237"/>
      <c r="AB5" s="238"/>
      <c r="AC5" s="223"/>
      <c r="AD5" s="222"/>
    </row>
    <row r="6" spans="1:30" x14ac:dyDescent="0.4">
      <c r="A6" s="230"/>
      <c r="B6" s="7">
        <v>2</v>
      </c>
      <c r="C6" s="14">
        <f t="shared" ca="1" si="0"/>
        <v>0.33600000000000002</v>
      </c>
      <c r="D6" s="20">
        <f t="shared" ca="1" si="1"/>
        <v>0.4032</v>
      </c>
      <c r="E6" s="225"/>
      <c r="F6" s="231"/>
      <c r="G6" s="172" t="str">
        <f t="shared" ca="1" si="4"/>
        <v/>
      </c>
      <c r="H6" s="93" t="str">
        <f t="shared" ca="1" si="5"/>
        <v/>
      </c>
      <c r="I6" s="21">
        <v>1000</v>
      </c>
      <c r="J6" s="68">
        <f t="shared" si="6"/>
        <v>0.49166666666666664</v>
      </c>
      <c r="K6" s="69">
        <v>0.59</v>
      </c>
      <c r="L6" s="72">
        <f t="shared" ca="1" si="2"/>
        <v>0.1245333333333333</v>
      </c>
      <c r="M6" s="73">
        <f t="shared" ca="1" si="3"/>
        <v>124.5333333333333</v>
      </c>
      <c r="N6" s="12" t="s">
        <v>44</v>
      </c>
      <c r="O6" s="11" t="s">
        <v>45</v>
      </c>
      <c r="P6" s="13">
        <f t="shared" si="7"/>
        <v>0.59</v>
      </c>
      <c r="Q6" s="1" t="str">
        <f t="shared" si="8"/>
        <v>1000 + шт - 0,59 руб / шт с НДС</v>
      </c>
      <c r="R6" s="235"/>
      <c r="S6" s="239"/>
      <c r="T6" s="226"/>
      <c r="U6" s="228"/>
      <c r="V6" s="222"/>
      <c r="W6" s="229"/>
      <c r="X6" s="227"/>
      <c r="Y6" s="229"/>
      <c r="Z6" s="236"/>
      <c r="AA6" s="237"/>
      <c r="AB6" s="238"/>
      <c r="AC6" s="223"/>
      <c r="AD6" s="222"/>
    </row>
    <row r="7" spans="1:30" x14ac:dyDescent="0.4">
      <c r="A7" s="230">
        <v>3</v>
      </c>
      <c r="B7" s="7">
        <v>3</v>
      </c>
      <c r="C7" s="14">
        <f t="shared" ca="1" si="0"/>
        <v>0.876</v>
      </c>
      <c r="D7" s="20">
        <f t="shared" ca="1" si="1"/>
        <v>1.0511999999999999</v>
      </c>
      <c r="E7" s="224" t="str">
        <f ca="1">INDIRECT("'Закуп'!D" &amp; A7)</f>
        <v>У</v>
      </c>
      <c r="F7" s="231" t="str">
        <f ca="1">INDIRECT("'Закуп'!E" &amp; B7)</f>
        <v xml:space="preserve">245х245х165 </v>
      </c>
      <c r="G7" s="172" t="str">
        <f t="shared" ca="1" si="4"/>
        <v/>
      </c>
      <c r="H7" s="93" t="str">
        <f t="shared" ca="1" si="5"/>
        <v/>
      </c>
      <c r="I7" s="21">
        <v>50</v>
      </c>
      <c r="J7" s="68">
        <f t="shared" si="6"/>
        <v>1.4750000000000001</v>
      </c>
      <c r="K7" s="69">
        <v>1.77</v>
      </c>
      <c r="L7" s="72">
        <f t="shared" ca="1" si="2"/>
        <v>0.47920000000000007</v>
      </c>
      <c r="M7" s="73">
        <f t="shared" ca="1" si="3"/>
        <v>23.960000000000004</v>
      </c>
      <c r="N7" s="12" t="s">
        <v>40</v>
      </c>
      <c r="O7" s="11" t="s">
        <v>45</v>
      </c>
      <c r="P7" s="13">
        <f t="shared" si="7"/>
        <v>1.77</v>
      </c>
      <c r="Q7" s="1" t="str">
        <f t="shared" si="8"/>
        <v>50-90 шт - 1,77 руб / шт с НДС</v>
      </c>
      <c r="R7" s="235" t="str">
        <f ca="1">INDIRECT("'Закуп'!k" &amp; A7)</f>
        <v>K2</v>
      </c>
      <c r="S7" s="239">
        <f ca="1">INDIRECT("'Закуп'!o" &amp; A7)</f>
        <v>9.9</v>
      </c>
      <c r="T7" s="226" t="str">
        <f ca="1">INDIRECT("'Закуп'!p" &amp; A7)</f>
        <v>8-9,9 литров</v>
      </c>
      <c r="U7" s="228" t="str">
        <f ca="1">INDIRECT("'Закуп'!v" &amp; A7)</f>
        <v/>
      </c>
      <c r="V7" s="222" t="str">
        <f ca="1">INDIRECT("'Закуп'!w" &amp; A7)</f>
        <v/>
      </c>
      <c r="W7" s="229" t="str">
        <f ca="1">INDIRECT("'Закуп'!H" &amp; A7)</f>
        <v>0201</v>
      </c>
      <c r="X7" s="227" t="str">
        <f ca="1">INDIRECT("'Закуп'!g" &amp; A7)</f>
        <v>Ч</v>
      </c>
      <c r="Y7" s="229" t="str">
        <f ca="1">INDIRECT("'Закуп'!i" &amp; A7)</f>
        <v>В</v>
      </c>
      <c r="Z7" s="236" t="str">
        <f ca="1">INDIRECT("'Закуп'!x" &amp; A7)</f>
        <v>200-299 мм</v>
      </c>
      <c r="AA7" s="237" t="str">
        <f ca="1">INDIRECT("'Закуп'!y" &amp; A7)</f>
        <v>200-299 мм</v>
      </c>
      <c r="AB7" s="238" t="str">
        <f ca="1">INDIRECT("'Закуп'!z" &amp; A7)</f>
        <v>100-199 мм</v>
      </c>
      <c r="AC7" s="223" t="str">
        <f t="shared" ref="AC7" ca="1" si="9">SUBSTITUTE(INDEX(F:F, ROUNDUP((ROW(A6))/5,0)*5 - 3), "х", "x")</f>
        <v xml:space="preserve">245x245x165 </v>
      </c>
      <c r="AD7" s="222" t="str">
        <f t="shared" ref="AD7" ca="1" si="10">SUBSTITUTE(INDEX(F:F, ROUNDUP((ROW(A6))/5,0)*5 - 3), "х", "x") &amp; " - " &amp; SUBSTITUTE(SUBSTITUTE(INDEX(F:F, ROUNDUP((ROW(A6))/5,0)*5 - 3), "х", "*"), "x", "*") &amp; " мм"</f>
        <v>245x245x165  - 245*245*165  мм</v>
      </c>
    </row>
    <row r="8" spans="1:30" x14ac:dyDescent="0.4">
      <c r="A8" s="230"/>
      <c r="B8" s="7">
        <v>3</v>
      </c>
      <c r="C8" s="14">
        <f t="shared" ca="1" si="0"/>
        <v>0.876</v>
      </c>
      <c r="D8" s="20">
        <f t="shared" ca="1" si="1"/>
        <v>1.0511999999999999</v>
      </c>
      <c r="E8" s="225"/>
      <c r="F8" s="231"/>
      <c r="G8" s="172" t="str">
        <f t="shared" ca="1" si="4"/>
        <v/>
      </c>
      <c r="H8" s="93" t="str">
        <f t="shared" ca="1" si="5"/>
        <v/>
      </c>
      <c r="I8" s="21">
        <v>100</v>
      </c>
      <c r="J8" s="68">
        <f t="shared" si="6"/>
        <v>1.3416666666666668</v>
      </c>
      <c r="K8" s="69">
        <v>1.61</v>
      </c>
      <c r="L8" s="72">
        <f t="shared" ca="1" si="2"/>
        <v>0.37253333333333344</v>
      </c>
      <c r="M8" s="73">
        <f t="shared" ca="1" si="3"/>
        <v>37.253333333333345</v>
      </c>
      <c r="N8" s="12" t="s">
        <v>41</v>
      </c>
      <c r="O8" s="11" t="s">
        <v>45</v>
      </c>
      <c r="P8" s="13">
        <f t="shared" si="7"/>
        <v>1.61</v>
      </c>
      <c r="Q8" s="1" t="str">
        <f t="shared" si="8"/>
        <v>100-290 шт - 1,61 руб / шт с НДС</v>
      </c>
      <c r="R8" s="235"/>
      <c r="S8" s="239"/>
      <c r="T8" s="226"/>
      <c r="U8" s="228"/>
      <c r="V8" s="222"/>
      <c r="W8" s="229"/>
      <c r="X8" s="227"/>
      <c r="Y8" s="229"/>
      <c r="Z8" s="236"/>
      <c r="AA8" s="237"/>
      <c r="AB8" s="238"/>
      <c r="AC8" s="223"/>
      <c r="AD8" s="222"/>
    </row>
    <row r="9" spans="1:30" x14ac:dyDescent="0.4">
      <c r="A9" s="230"/>
      <c r="B9" s="7">
        <v>3</v>
      </c>
      <c r="C9" s="14">
        <f t="shared" ref="C9:C72" ca="1" si="11">INDIRECT("'Закуп'!A" &amp; B9)</f>
        <v>0.73</v>
      </c>
      <c r="D9" s="20">
        <f ca="1">C9*1.2</f>
        <v>0.876</v>
      </c>
      <c r="E9" s="225"/>
      <c r="F9" s="231"/>
      <c r="G9" s="172" t="str">
        <f t="shared" ca="1" si="4"/>
        <v/>
      </c>
      <c r="H9" s="93" t="str">
        <f t="shared" ca="1" si="5"/>
        <v/>
      </c>
      <c r="I9" s="21">
        <v>300</v>
      </c>
      <c r="J9" s="68">
        <f t="shared" si="6"/>
        <v>1.2250000000000001</v>
      </c>
      <c r="K9" s="69">
        <v>1.47</v>
      </c>
      <c r="L9" s="72">
        <f t="shared" ca="1" si="2"/>
        <v>0.39600000000000007</v>
      </c>
      <c r="M9" s="73">
        <f t="shared" ca="1" si="3"/>
        <v>118.80000000000003</v>
      </c>
      <c r="N9" s="12" t="s">
        <v>42</v>
      </c>
      <c r="O9" s="11" t="s">
        <v>45</v>
      </c>
      <c r="P9" s="13">
        <f t="shared" si="7"/>
        <v>1.47</v>
      </c>
      <c r="Q9" s="1" t="str">
        <f t="shared" si="8"/>
        <v>300-490 шт - 1,47 руб / шт с НДС</v>
      </c>
      <c r="R9" s="235"/>
      <c r="S9" s="239"/>
      <c r="T9" s="226"/>
      <c r="U9" s="228"/>
      <c r="V9" s="222"/>
      <c r="W9" s="229"/>
      <c r="X9" s="227"/>
      <c r="Y9" s="229"/>
      <c r="Z9" s="236"/>
      <c r="AA9" s="237"/>
      <c r="AB9" s="238"/>
      <c r="AC9" s="223"/>
      <c r="AD9" s="222"/>
    </row>
    <row r="10" spans="1:30" x14ac:dyDescent="0.4">
      <c r="A10" s="230"/>
      <c r="B10" s="7">
        <v>3</v>
      </c>
      <c r="C10" s="14">
        <f t="shared" ca="1" si="11"/>
        <v>0.73</v>
      </c>
      <c r="D10" s="20">
        <f t="shared" ca="1" si="1"/>
        <v>0.876</v>
      </c>
      <c r="E10" s="225"/>
      <c r="F10" s="231"/>
      <c r="G10" s="172" t="str">
        <f t="shared" ca="1" si="4"/>
        <v/>
      </c>
      <c r="H10" s="93" t="str">
        <f t="shared" ca="1" si="5"/>
        <v/>
      </c>
      <c r="I10" s="21">
        <v>500</v>
      </c>
      <c r="J10" s="68">
        <f t="shared" si="6"/>
        <v>1.1250000000000002</v>
      </c>
      <c r="K10" s="69">
        <v>1.35</v>
      </c>
      <c r="L10" s="72">
        <f t="shared" ca="1" si="2"/>
        <v>0.31600000000000017</v>
      </c>
      <c r="M10" s="73">
        <f t="shared" ca="1" si="3"/>
        <v>158.00000000000009</v>
      </c>
      <c r="N10" s="12" t="s">
        <v>43</v>
      </c>
      <c r="O10" s="11" t="s">
        <v>45</v>
      </c>
      <c r="P10" s="13">
        <f t="shared" si="7"/>
        <v>1.35</v>
      </c>
      <c r="Q10" s="1" t="str">
        <f t="shared" si="8"/>
        <v>500-990 шт - 1,35 руб / шт с НДС</v>
      </c>
      <c r="R10" s="235"/>
      <c r="S10" s="239"/>
      <c r="T10" s="226"/>
      <c r="U10" s="228"/>
      <c r="V10" s="222"/>
      <c r="W10" s="229"/>
      <c r="X10" s="227"/>
      <c r="Y10" s="229"/>
      <c r="Z10" s="236"/>
      <c r="AA10" s="237"/>
      <c r="AB10" s="238"/>
      <c r="AC10" s="223"/>
      <c r="AD10" s="222"/>
    </row>
    <row r="11" spans="1:30" x14ac:dyDescent="0.4">
      <c r="A11" s="230"/>
      <c r="B11" s="7">
        <v>3</v>
      </c>
      <c r="C11" s="14">
        <f t="shared" ca="1" si="11"/>
        <v>0.73</v>
      </c>
      <c r="D11" s="20">
        <f t="shared" ca="1" si="1"/>
        <v>0.876</v>
      </c>
      <c r="E11" s="225"/>
      <c r="F11" s="231"/>
      <c r="G11" s="172" t="str">
        <f t="shared" ca="1" si="4"/>
        <v/>
      </c>
      <c r="H11" s="93" t="str">
        <f t="shared" ca="1" si="5"/>
        <v/>
      </c>
      <c r="I11" s="21">
        <v>1000</v>
      </c>
      <c r="J11" s="68">
        <f t="shared" si="6"/>
        <v>1</v>
      </c>
      <c r="K11" s="69">
        <v>1.2</v>
      </c>
      <c r="L11" s="72">
        <f t="shared" ca="1" si="2"/>
        <v>0.21600000000000003</v>
      </c>
      <c r="M11" s="73">
        <f t="shared" ca="1" si="3"/>
        <v>216.00000000000003</v>
      </c>
      <c r="N11" s="12" t="s">
        <v>44</v>
      </c>
      <c r="O11" s="11" t="s">
        <v>45</v>
      </c>
      <c r="P11" s="13">
        <f t="shared" si="7"/>
        <v>1.2</v>
      </c>
      <c r="Q11" s="1" t="str">
        <f t="shared" si="8"/>
        <v>1000 + шт - 1,2 руб / шт с НДС</v>
      </c>
      <c r="R11" s="235"/>
      <c r="S11" s="239"/>
      <c r="T11" s="226"/>
      <c r="U11" s="228"/>
      <c r="V11" s="222"/>
      <c r="W11" s="229"/>
      <c r="X11" s="227"/>
      <c r="Y11" s="229"/>
      <c r="Z11" s="236"/>
      <c r="AA11" s="237"/>
      <c r="AB11" s="238"/>
      <c r="AC11" s="223"/>
      <c r="AD11" s="222"/>
    </row>
    <row r="12" spans="1:30" x14ac:dyDescent="0.4">
      <c r="A12" s="230">
        <v>4</v>
      </c>
      <c r="B12" s="7">
        <v>4</v>
      </c>
      <c r="C12" s="14">
        <f t="shared" ca="1" si="11"/>
        <v>0.51</v>
      </c>
      <c r="D12" s="20">
        <f t="shared" ca="1" si="1"/>
        <v>0.61199999999999999</v>
      </c>
      <c r="E12" s="224" t="str">
        <f ca="1">INDIRECT("'Закуп'!D" &amp; A12)</f>
        <v>У</v>
      </c>
      <c r="F12" s="231" t="str">
        <f t="shared" ref="F12" ca="1" si="12">INDIRECT("'Закуп'!E" &amp; B12)</f>
        <v>380х160х100</v>
      </c>
      <c r="G12" s="172" t="str">
        <f t="shared" ca="1" si="4"/>
        <v/>
      </c>
      <c r="H12" s="93" t="str">
        <f t="shared" ca="1" si="5"/>
        <v/>
      </c>
      <c r="I12" s="21">
        <v>50</v>
      </c>
      <c r="J12" s="68">
        <f t="shared" si="6"/>
        <v>1.2</v>
      </c>
      <c r="K12" s="69">
        <v>1.44</v>
      </c>
      <c r="L12" s="72">
        <f t="shared" ca="1" si="2"/>
        <v>0.55199999999999994</v>
      </c>
      <c r="M12" s="73">
        <f t="shared" ca="1" si="3"/>
        <v>27.599999999999998</v>
      </c>
      <c r="N12" s="12" t="s">
        <v>40</v>
      </c>
      <c r="O12" s="11" t="s">
        <v>45</v>
      </c>
      <c r="P12" s="13">
        <f t="shared" si="7"/>
        <v>1.44</v>
      </c>
      <c r="Q12" s="1" t="str">
        <f t="shared" si="8"/>
        <v>50-90 шт - 1,44 руб / шт с НДС</v>
      </c>
      <c r="R12" s="235" t="str">
        <f ca="1">INDIRECT("'Закуп'!k" &amp; A12)</f>
        <v>K3</v>
      </c>
      <c r="S12" s="239">
        <f ca="1">INDIRECT("'Закуп'!o" &amp; A12)</f>
        <v>6.08</v>
      </c>
      <c r="T12" s="226" t="str">
        <f ca="1">INDIRECT("'Закуп'!p" &amp; A12)</f>
        <v>6-7,9 литра</v>
      </c>
      <c r="U12" s="228" t="str">
        <f ca="1">INDIRECT("'Закуп'!v" &amp; A12)</f>
        <v>Длинные</v>
      </c>
      <c r="V12" s="222" t="str">
        <f ca="1">INDIRECT("'Закуп'!w" &amp; A12)</f>
        <v/>
      </c>
      <c r="W12" s="229" t="str">
        <f ca="1">INDIRECT("'Закуп'!H" &amp; A12)</f>
        <v>0201</v>
      </c>
      <c r="X12" s="227" t="str">
        <f ca="1">INDIRECT("'Закуп'!g" &amp; A12)</f>
        <v>Ч</v>
      </c>
      <c r="Y12" s="229" t="str">
        <f ca="1">INDIRECT("'Закуп'!i" &amp; A12)</f>
        <v>В</v>
      </c>
      <c r="Z12" s="236" t="str">
        <f ca="1">INDIRECT("'Закуп'!x" &amp; A12)</f>
        <v>300-399 мм</v>
      </c>
      <c r="AA12" s="237" t="str">
        <f ca="1">INDIRECT("'Закуп'!y" &amp; A12)</f>
        <v>100-199 мм</v>
      </c>
      <c r="AB12" s="238" t="str">
        <f ca="1">INDIRECT("'Закуп'!z" &amp; A12)</f>
        <v>100-199 мм</v>
      </c>
      <c r="AC12" s="223" t="str">
        <f t="shared" ref="AC12" ca="1" si="13">SUBSTITUTE(INDEX(F:F, ROUNDUP((ROW(A11))/5,0)*5 - 3), "х", "x")</f>
        <v>380x160x100</v>
      </c>
      <c r="AD12" s="222" t="str">
        <f t="shared" ref="AD12:AD72" ca="1" si="14">SUBSTITUTE(INDEX(F:F, ROUNDUP((ROW(A11))/5,0)*5 - 3), "х", "x") &amp; " - " &amp; SUBSTITUTE(SUBSTITUTE(INDEX(F:F, ROUNDUP((ROW(A11))/5,0)*5 - 3), "х", "*"), "x", "*") &amp; " мм"</f>
        <v>380x160x100 - 380*160*100 мм</v>
      </c>
    </row>
    <row r="13" spans="1:30" x14ac:dyDescent="0.4">
      <c r="A13" s="230"/>
      <c r="B13" s="7">
        <v>4</v>
      </c>
      <c r="C13" s="14">
        <f t="shared" ca="1" si="11"/>
        <v>0.51</v>
      </c>
      <c r="D13" s="20">
        <f t="shared" ca="1" si="1"/>
        <v>0.61199999999999999</v>
      </c>
      <c r="E13" s="225"/>
      <c r="F13" s="231"/>
      <c r="G13" s="172" t="str">
        <f t="shared" ca="1" si="4"/>
        <v/>
      </c>
      <c r="H13" s="93" t="str">
        <f t="shared" ca="1" si="5"/>
        <v/>
      </c>
      <c r="I13" s="21">
        <v>100</v>
      </c>
      <c r="J13" s="68">
        <f t="shared" si="6"/>
        <v>1.0916666666666668</v>
      </c>
      <c r="K13" s="69">
        <v>1.31</v>
      </c>
      <c r="L13" s="72">
        <f t="shared" ca="1" si="2"/>
        <v>0.46533333333333343</v>
      </c>
      <c r="M13" s="73">
        <f t="shared" ca="1" si="3"/>
        <v>46.533333333333346</v>
      </c>
      <c r="N13" s="12" t="s">
        <v>41</v>
      </c>
      <c r="O13" s="11" t="s">
        <v>45</v>
      </c>
      <c r="P13" s="13">
        <f t="shared" si="7"/>
        <v>1.31</v>
      </c>
      <c r="Q13" s="1" t="str">
        <f t="shared" si="8"/>
        <v>100-290 шт - 1,31 руб / шт с НДС</v>
      </c>
      <c r="R13" s="235"/>
      <c r="S13" s="239"/>
      <c r="T13" s="226"/>
      <c r="U13" s="228"/>
      <c r="V13" s="222"/>
      <c r="W13" s="229"/>
      <c r="X13" s="227"/>
      <c r="Y13" s="229"/>
      <c r="Z13" s="236"/>
      <c r="AA13" s="237"/>
      <c r="AB13" s="238"/>
      <c r="AC13" s="223"/>
      <c r="AD13" s="222"/>
    </row>
    <row r="14" spans="1:30" x14ac:dyDescent="0.4">
      <c r="A14" s="230"/>
      <c r="B14" s="7">
        <v>4</v>
      </c>
      <c r="C14" s="14">
        <f t="shared" ca="1" si="11"/>
        <v>0.51</v>
      </c>
      <c r="D14" s="20">
        <f t="shared" ca="1" si="1"/>
        <v>0.61199999999999999</v>
      </c>
      <c r="E14" s="225"/>
      <c r="F14" s="231"/>
      <c r="G14" s="172" t="str">
        <f t="shared" ca="1" si="4"/>
        <v/>
      </c>
      <c r="H14" s="93" t="str">
        <f t="shared" ca="1" si="5"/>
        <v/>
      </c>
      <c r="I14" s="21">
        <v>300</v>
      </c>
      <c r="J14" s="68">
        <f t="shared" si="6"/>
        <v>0.8666666666666667</v>
      </c>
      <c r="K14" s="69">
        <v>1.04</v>
      </c>
      <c r="L14" s="72">
        <f t="shared" ca="1" si="2"/>
        <v>0.28533333333333333</v>
      </c>
      <c r="M14" s="73">
        <f t="shared" ca="1" si="3"/>
        <v>85.6</v>
      </c>
      <c r="N14" s="12" t="s">
        <v>42</v>
      </c>
      <c r="O14" s="11" t="s">
        <v>45</v>
      </c>
      <c r="P14" s="13">
        <f t="shared" si="7"/>
        <v>1.04</v>
      </c>
      <c r="Q14" s="1" t="str">
        <f t="shared" si="8"/>
        <v>300-490 шт - 1,04 руб / шт с НДС</v>
      </c>
      <c r="R14" s="235"/>
      <c r="S14" s="239"/>
      <c r="T14" s="226"/>
      <c r="U14" s="228"/>
      <c r="V14" s="222"/>
      <c r="W14" s="229"/>
      <c r="X14" s="227"/>
      <c r="Y14" s="229"/>
      <c r="Z14" s="236"/>
      <c r="AA14" s="237"/>
      <c r="AB14" s="238"/>
      <c r="AC14" s="223"/>
      <c r="AD14" s="222"/>
    </row>
    <row r="15" spans="1:30" x14ac:dyDescent="0.4">
      <c r="A15" s="230"/>
      <c r="B15" s="7">
        <v>4</v>
      </c>
      <c r="C15" s="14">
        <f t="shared" ca="1" si="11"/>
        <v>0.51</v>
      </c>
      <c r="D15" s="20">
        <f t="shared" ca="1" si="1"/>
        <v>0.61199999999999999</v>
      </c>
      <c r="E15" s="225"/>
      <c r="F15" s="231"/>
      <c r="G15" s="172" t="str">
        <f t="shared" ca="1" si="4"/>
        <v/>
      </c>
      <c r="H15" s="93" t="str">
        <f t="shared" ca="1" si="5"/>
        <v/>
      </c>
      <c r="I15" s="21">
        <v>500</v>
      </c>
      <c r="J15" s="68">
        <f t="shared" si="6"/>
        <v>0.80833333333333335</v>
      </c>
      <c r="K15" s="69">
        <v>0.97</v>
      </c>
      <c r="L15" s="72">
        <f t="shared" ca="1" si="2"/>
        <v>0.23866666666666667</v>
      </c>
      <c r="M15" s="73">
        <f t="shared" ca="1" si="3"/>
        <v>119.33333333333333</v>
      </c>
      <c r="N15" s="12" t="s">
        <v>43</v>
      </c>
      <c r="O15" s="11" t="s">
        <v>45</v>
      </c>
      <c r="P15" s="13">
        <f t="shared" si="7"/>
        <v>0.97</v>
      </c>
      <c r="Q15" s="1" t="str">
        <f t="shared" si="8"/>
        <v>500-990 шт - 0,97 руб / шт с НДС</v>
      </c>
      <c r="R15" s="235"/>
      <c r="S15" s="239"/>
      <c r="T15" s="226"/>
      <c r="U15" s="228"/>
      <c r="V15" s="222"/>
      <c r="W15" s="229"/>
      <c r="X15" s="227"/>
      <c r="Y15" s="229"/>
      <c r="Z15" s="236"/>
      <c r="AA15" s="237"/>
      <c r="AB15" s="238"/>
      <c r="AC15" s="223"/>
      <c r="AD15" s="222"/>
    </row>
    <row r="16" spans="1:30" x14ac:dyDescent="0.4">
      <c r="A16" s="230"/>
      <c r="B16" s="7">
        <v>4</v>
      </c>
      <c r="C16" s="14">
        <f t="shared" ca="1" si="11"/>
        <v>0.51</v>
      </c>
      <c r="D16" s="20">
        <f t="shared" ca="1" si="1"/>
        <v>0.61199999999999999</v>
      </c>
      <c r="E16" s="225"/>
      <c r="F16" s="231"/>
      <c r="G16" s="172" t="str">
        <f t="shared" ca="1" si="4"/>
        <v/>
      </c>
      <c r="H16" s="93" t="str">
        <f t="shared" ca="1" si="5"/>
        <v/>
      </c>
      <c r="I16" s="21">
        <v>1000</v>
      </c>
      <c r="J16" s="68">
        <f t="shared" si="6"/>
        <v>0.76666666666666672</v>
      </c>
      <c r="K16" s="69">
        <v>0.92</v>
      </c>
      <c r="L16" s="72">
        <f t="shared" ca="1" si="2"/>
        <v>0.20533333333333337</v>
      </c>
      <c r="M16" s="73">
        <f t="shared" ca="1" si="3"/>
        <v>205.33333333333337</v>
      </c>
      <c r="N16" s="12" t="s">
        <v>44</v>
      </c>
      <c r="O16" s="11" t="s">
        <v>45</v>
      </c>
      <c r="P16" s="13">
        <f t="shared" si="7"/>
        <v>0.92</v>
      </c>
      <c r="Q16" s="1" t="str">
        <f t="shared" si="8"/>
        <v>1000 + шт - 0,92 руб / шт с НДС</v>
      </c>
      <c r="R16" s="235"/>
      <c r="S16" s="239"/>
      <c r="T16" s="226"/>
      <c r="U16" s="228"/>
      <c r="V16" s="222"/>
      <c r="W16" s="229"/>
      <c r="X16" s="227"/>
      <c r="Y16" s="229"/>
      <c r="Z16" s="236"/>
      <c r="AA16" s="237"/>
      <c r="AB16" s="238"/>
      <c r="AC16" s="223"/>
      <c r="AD16" s="222"/>
    </row>
    <row r="17" spans="1:30" x14ac:dyDescent="0.4">
      <c r="A17" s="230">
        <v>5</v>
      </c>
      <c r="B17" s="7">
        <v>5</v>
      </c>
      <c r="C17" s="14">
        <f t="shared" ca="1" si="11"/>
        <v>2.48</v>
      </c>
      <c r="D17" s="20">
        <f t="shared" ca="1" si="1"/>
        <v>2.976</v>
      </c>
      <c r="E17" s="224" t="str">
        <f ca="1">INDIRECT("'Закуп'!D" &amp; A17)</f>
        <v>У</v>
      </c>
      <c r="F17" s="231" t="str">
        <f t="shared" ref="F17" ca="1" si="15">INDIRECT("'Закуп'!E" &amp; B17)</f>
        <v>460х410х390</v>
      </c>
      <c r="G17" s="172" t="str">
        <f t="shared" ca="1" si="4"/>
        <v/>
      </c>
      <c r="H17" s="93" t="str">
        <f t="shared" ca="1" si="5"/>
        <v/>
      </c>
      <c r="I17" s="21">
        <v>50</v>
      </c>
      <c r="J17" s="68">
        <f t="shared" si="6"/>
        <v>4.2416666666666671</v>
      </c>
      <c r="K17" s="69">
        <v>5.09</v>
      </c>
      <c r="L17" s="72">
        <f t="shared" ca="1" si="2"/>
        <v>1.4093333333333338</v>
      </c>
      <c r="M17" s="73">
        <f t="shared" ca="1" si="3"/>
        <v>70.466666666666683</v>
      </c>
      <c r="N17" s="12" t="s">
        <v>40</v>
      </c>
      <c r="O17" s="11" t="s">
        <v>45</v>
      </c>
      <c r="P17" s="13">
        <f t="shared" si="7"/>
        <v>5.09</v>
      </c>
      <c r="Q17" s="1" t="str">
        <f t="shared" si="8"/>
        <v>50-90 шт - 5,09 руб / шт с НДС</v>
      </c>
      <c r="R17" s="235" t="str">
        <f ca="1">INDIRECT("'Закуп'!k" &amp; A17)</f>
        <v>K4</v>
      </c>
      <c r="S17" s="239">
        <f ca="1">INDIRECT("'Закуп'!o" &amp; A17)</f>
        <v>73.55</v>
      </c>
      <c r="T17" s="226" t="str">
        <f ca="1">INDIRECT("'Закуп'!p" &amp; A17)</f>
        <v>70-79 литров</v>
      </c>
      <c r="U17" s="228" t="str">
        <f ca="1">INDIRECT("'Закуп'!v" &amp; A17)</f>
        <v/>
      </c>
      <c r="V17" s="222" t="str">
        <f ca="1">INDIRECT("'Закуп'!w" &amp; A17)</f>
        <v/>
      </c>
      <c r="W17" s="229" t="str">
        <f ca="1">INDIRECT("'Закуп'!H" &amp; A17)</f>
        <v>0201</v>
      </c>
      <c r="X17" s="227" t="str">
        <f ca="1">INDIRECT("'Закуп'!g" &amp; A17)</f>
        <v>Ч</v>
      </c>
      <c r="Y17" s="229" t="str">
        <f ca="1">INDIRECT("'Закуп'!i" &amp; A17)</f>
        <v>В</v>
      </c>
      <c r="Z17" s="236" t="str">
        <f ca="1">INDIRECT("'Закуп'!x" &amp; A17)</f>
        <v>400-499 мм</v>
      </c>
      <c r="AA17" s="237" t="str">
        <f ca="1">INDIRECT("'Закуп'!y" &amp; A17)</f>
        <v>400-499 мм</v>
      </c>
      <c r="AB17" s="238" t="str">
        <f ca="1">INDIRECT("'Закуп'!z" &amp; A17)</f>
        <v>300-399 мм</v>
      </c>
      <c r="AC17" s="223" t="str">
        <f t="shared" ref="AC17" ca="1" si="16">SUBSTITUTE(INDEX(F:F, ROUNDUP((ROW(A16))/5,0)*5 - 3), "х", "x")</f>
        <v>460x410x390</v>
      </c>
      <c r="AD17" s="222" t="str">
        <f t="shared" ca="1" si="14"/>
        <v>460x410x390 - 460*410*390 мм</v>
      </c>
    </row>
    <row r="18" spans="1:30" x14ac:dyDescent="0.4">
      <c r="A18" s="230"/>
      <c r="B18" s="7">
        <v>5</v>
      </c>
      <c r="C18" s="14">
        <f t="shared" ca="1" si="11"/>
        <v>2.48</v>
      </c>
      <c r="D18" s="20">
        <f t="shared" ca="1" si="1"/>
        <v>2.976</v>
      </c>
      <c r="E18" s="225"/>
      <c r="F18" s="231"/>
      <c r="G18" s="172" t="str">
        <f t="shared" ca="1" si="4"/>
        <v/>
      </c>
      <c r="H18" s="93" t="str">
        <f t="shared" ca="1" si="5"/>
        <v/>
      </c>
      <c r="I18" s="21">
        <v>100</v>
      </c>
      <c r="J18" s="68">
        <f t="shared" si="6"/>
        <v>3.9250000000000003</v>
      </c>
      <c r="K18" s="69">
        <v>4.71</v>
      </c>
      <c r="L18" s="72">
        <f t="shared" ca="1" si="2"/>
        <v>1.1560000000000001</v>
      </c>
      <c r="M18" s="73">
        <f t="shared" ca="1" si="3"/>
        <v>115.60000000000001</v>
      </c>
      <c r="N18" s="12" t="s">
        <v>41</v>
      </c>
      <c r="O18" s="11" t="s">
        <v>45</v>
      </c>
      <c r="P18" s="13">
        <f t="shared" si="7"/>
        <v>4.71</v>
      </c>
      <c r="Q18" s="1" t="str">
        <f t="shared" si="8"/>
        <v>100-290 шт - 4,71 руб / шт с НДС</v>
      </c>
      <c r="R18" s="235"/>
      <c r="S18" s="239"/>
      <c r="T18" s="226"/>
      <c r="U18" s="228"/>
      <c r="V18" s="222"/>
      <c r="W18" s="229"/>
      <c r="X18" s="227"/>
      <c r="Y18" s="229"/>
      <c r="Z18" s="236"/>
      <c r="AA18" s="237"/>
      <c r="AB18" s="238"/>
      <c r="AC18" s="223"/>
      <c r="AD18" s="222"/>
    </row>
    <row r="19" spans="1:30" x14ac:dyDescent="0.4">
      <c r="A19" s="230"/>
      <c r="B19" s="7">
        <v>5</v>
      </c>
      <c r="C19" s="14">
        <f t="shared" ca="1" si="11"/>
        <v>2.48</v>
      </c>
      <c r="D19" s="20">
        <f t="shared" ca="1" si="1"/>
        <v>2.976</v>
      </c>
      <c r="E19" s="225"/>
      <c r="F19" s="231"/>
      <c r="G19" s="172" t="str">
        <f t="shared" ca="1" si="4"/>
        <v/>
      </c>
      <c r="H19" s="93" t="str">
        <f t="shared" ca="1" si="5"/>
        <v/>
      </c>
      <c r="I19" s="21">
        <v>300</v>
      </c>
      <c r="J19" s="68">
        <f t="shared" si="6"/>
        <v>3.3416666666666668</v>
      </c>
      <c r="K19" s="69">
        <v>4.01</v>
      </c>
      <c r="L19" s="72">
        <f t="shared" ca="1" si="2"/>
        <v>0.68933333333333346</v>
      </c>
      <c r="M19" s="73">
        <f t="shared" ca="1" si="3"/>
        <v>206.80000000000004</v>
      </c>
      <c r="N19" s="12" t="s">
        <v>42</v>
      </c>
      <c r="O19" s="11" t="s">
        <v>45</v>
      </c>
      <c r="P19" s="13">
        <f t="shared" si="7"/>
        <v>4.01</v>
      </c>
      <c r="Q19" s="1" t="str">
        <f t="shared" si="8"/>
        <v>300-490 шт - 4,01 руб / шт с НДС</v>
      </c>
      <c r="R19" s="235"/>
      <c r="S19" s="239"/>
      <c r="T19" s="226"/>
      <c r="U19" s="228"/>
      <c r="V19" s="222"/>
      <c r="W19" s="229"/>
      <c r="X19" s="227"/>
      <c r="Y19" s="229"/>
      <c r="Z19" s="236"/>
      <c r="AA19" s="237"/>
      <c r="AB19" s="238"/>
      <c r="AC19" s="223"/>
      <c r="AD19" s="222"/>
    </row>
    <row r="20" spans="1:30" x14ac:dyDescent="0.4">
      <c r="A20" s="230"/>
      <c r="B20" s="7">
        <v>5</v>
      </c>
      <c r="C20" s="14">
        <f t="shared" ca="1" si="11"/>
        <v>2.48</v>
      </c>
      <c r="D20" s="20">
        <f t="shared" ca="1" si="1"/>
        <v>2.976</v>
      </c>
      <c r="E20" s="225"/>
      <c r="F20" s="231"/>
      <c r="G20" s="172" t="str">
        <f t="shared" ca="1" si="4"/>
        <v/>
      </c>
      <c r="H20" s="93" t="str">
        <f t="shared" ca="1" si="5"/>
        <v/>
      </c>
      <c r="I20" s="21">
        <v>500</v>
      </c>
      <c r="J20" s="68">
        <f t="shared" si="6"/>
        <v>3.2333333333333334</v>
      </c>
      <c r="K20" s="69">
        <v>3.88</v>
      </c>
      <c r="L20" s="72">
        <f t="shared" ca="1" si="2"/>
        <v>0.60266666666666668</v>
      </c>
      <c r="M20" s="73">
        <f t="shared" ca="1" si="3"/>
        <v>301.33333333333331</v>
      </c>
      <c r="N20" s="12" t="s">
        <v>43</v>
      </c>
      <c r="O20" s="11" t="s">
        <v>45</v>
      </c>
      <c r="P20" s="13">
        <f t="shared" si="7"/>
        <v>3.88</v>
      </c>
      <c r="Q20" s="1" t="str">
        <f t="shared" si="8"/>
        <v>500-990 шт - 3,88 руб / шт с НДС</v>
      </c>
      <c r="R20" s="235"/>
      <c r="S20" s="239"/>
      <c r="T20" s="226"/>
      <c r="U20" s="228"/>
      <c r="V20" s="222"/>
      <c r="W20" s="229"/>
      <c r="X20" s="227"/>
      <c r="Y20" s="229"/>
      <c r="Z20" s="236"/>
      <c r="AA20" s="237"/>
      <c r="AB20" s="238"/>
      <c r="AC20" s="223"/>
      <c r="AD20" s="222"/>
    </row>
    <row r="21" spans="1:30" x14ac:dyDescent="0.4">
      <c r="A21" s="230"/>
      <c r="B21" s="7">
        <v>5</v>
      </c>
      <c r="C21" s="14">
        <f t="shared" ca="1" si="11"/>
        <v>2.48</v>
      </c>
      <c r="D21" s="20">
        <f t="shared" ca="1" si="1"/>
        <v>2.976</v>
      </c>
      <c r="E21" s="225"/>
      <c r="F21" s="231"/>
      <c r="G21" s="172" t="str">
        <f t="shared" ca="1" si="4"/>
        <v/>
      </c>
      <c r="H21" s="93" t="str">
        <f t="shared" ca="1" si="5"/>
        <v/>
      </c>
      <c r="I21" s="21">
        <v>1000</v>
      </c>
      <c r="J21" s="68">
        <f t="shared" si="6"/>
        <v>3.1833333333333331</v>
      </c>
      <c r="K21" s="69">
        <v>3.82</v>
      </c>
      <c r="L21" s="72">
        <f t="shared" ca="1" si="2"/>
        <v>0.56266666666666654</v>
      </c>
      <c r="M21" s="73">
        <f t="shared" ca="1" si="3"/>
        <v>562.66666666666652</v>
      </c>
      <c r="N21" s="12" t="s">
        <v>44</v>
      </c>
      <c r="O21" s="11" t="s">
        <v>45</v>
      </c>
      <c r="P21" s="13">
        <f t="shared" si="7"/>
        <v>3.82</v>
      </c>
      <c r="Q21" s="1" t="str">
        <f t="shared" si="8"/>
        <v>1000 + шт - 3,82 руб / шт с НДС</v>
      </c>
      <c r="R21" s="235"/>
      <c r="S21" s="239"/>
      <c r="T21" s="226"/>
      <c r="U21" s="228"/>
      <c r="V21" s="222"/>
      <c r="W21" s="229"/>
      <c r="X21" s="227"/>
      <c r="Y21" s="229"/>
      <c r="Z21" s="236"/>
      <c r="AA21" s="237"/>
      <c r="AB21" s="238"/>
      <c r="AC21" s="223"/>
      <c r="AD21" s="222"/>
    </row>
    <row r="22" spans="1:30" x14ac:dyDescent="0.4">
      <c r="A22" s="230">
        <v>6</v>
      </c>
      <c r="B22" s="7">
        <v>6</v>
      </c>
      <c r="C22" s="14">
        <f t="shared" ca="1" si="11"/>
        <v>2.2000000000000002</v>
      </c>
      <c r="D22" s="20">
        <f t="shared" ca="1" si="1"/>
        <v>2.64</v>
      </c>
      <c r="E22" s="224" t="str">
        <f ca="1">INDIRECT("'Закуп'!D" &amp; A22)</f>
        <v>У</v>
      </c>
      <c r="F22" s="231" t="str">
        <f t="shared" ref="F22" ca="1" si="17">INDIRECT("'Закуп'!E" &amp; B22)</f>
        <v>460х310х490</v>
      </c>
      <c r="G22" s="172" t="str">
        <f t="shared" ca="1" si="4"/>
        <v/>
      </c>
      <c r="H22" s="93" t="str">
        <f t="shared" ca="1" si="5"/>
        <v/>
      </c>
      <c r="I22" s="21">
        <v>50</v>
      </c>
      <c r="J22" s="68">
        <f t="shared" si="6"/>
        <v>3.7666666666666666</v>
      </c>
      <c r="K22" s="69">
        <v>4.5199999999999996</v>
      </c>
      <c r="L22" s="72">
        <f t="shared" ca="1" si="2"/>
        <v>1.2533333333333332</v>
      </c>
      <c r="M22" s="73">
        <f t="shared" ca="1" si="3"/>
        <v>62.666666666666657</v>
      </c>
      <c r="N22" s="12" t="s">
        <v>40</v>
      </c>
      <c r="O22" s="11" t="s">
        <v>45</v>
      </c>
      <c r="P22" s="13">
        <f t="shared" si="7"/>
        <v>4.5199999999999996</v>
      </c>
      <c r="Q22" s="1" t="str">
        <f t="shared" si="8"/>
        <v>50-90 шт - 4,52 руб / шт с НДС</v>
      </c>
      <c r="R22" s="235" t="str">
        <f ca="1">INDIRECT("'Закуп'!k" &amp; A22)</f>
        <v>K5</v>
      </c>
      <c r="S22" s="239">
        <f ca="1">INDIRECT("'Закуп'!o" &amp; A22)</f>
        <v>69.87</v>
      </c>
      <c r="T22" s="226" t="str">
        <f ca="1">INDIRECT("'Закуп'!p" &amp; A22)</f>
        <v>60-69 литров</v>
      </c>
      <c r="U22" s="228" t="str">
        <f ca="1">INDIRECT("'Закуп'!v" &amp; A22)</f>
        <v/>
      </c>
      <c r="V22" s="222" t="str">
        <f ca="1">INDIRECT("'Закуп'!w" &amp; A22)</f>
        <v/>
      </c>
      <c r="W22" s="229" t="str">
        <f ca="1">INDIRECT("'Закуп'!H" &amp; A22)</f>
        <v>0201</v>
      </c>
      <c r="X22" s="227" t="str">
        <f ca="1">INDIRECT("'Закуп'!g" &amp; A22)</f>
        <v>Ч</v>
      </c>
      <c r="Y22" s="229" t="str">
        <f ca="1">INDIRECT("'Закуп'!i" &amp; A22)</f>
        <v>В</v>
      </c>
      <c r="Z22" s="236" t="str">
        <f ca="1">INDIRECT("'Закуп'!x" &amp; A22)</f>
        <v>400-499 мм</v>
      </c>
      <c r="AA22" s="237" t="str">
        <f ca="1">INDIRECT("'Закуп'!y" &amp; A22)</f>
        <v>400-499 мм</v>
      </c>
      <c r="AB22" s="238" t="str">
        <f ca="1">INDIRECT("'Закуп'!z" &amp; A22)</f>
        <v>300-399 мм</v>
      </c>
      <c r="AC22" s="223" t="str">
        <f t="shared" ref="AC22" ca="1" si="18">SUBSTITUTE(INDEX(F:F, ROUNDUP((ROW(A21))/5,0)*5 - 3), "х", "x")</f>
        <v>460x310x490</v>
      </c>
      <c r="AD22" s="222" t="str">
        <f t="shared" ca="1" si="14"/>
        <v>460x310x490 - 460*310*490 мм</v>
      </c>
    </row>
    <row r="23" spans="1:30" x14ac:dyDescent="0.4">
      <c r="A23" s="230"/>
      <c r="B23" s="7">
        <v>6</v>
      </c>
      <c r="C23" s="14">
        <f t="shared" ca="1" si="11"/>
        <v>2.2000000000000002</v>
      </c>
      <c r="D23" s="20">
        <f t="shared" ca="1" si="1"/>
        <v>2.64</v>
      </c>
      <c r="E23" s="225"/>
      <c r="F23" s="231"/>
      <c r="G23" s="172" t="str">
        <f t="shared" ca="1" si="4"/>
        <v/>
      </c>
      <c r="H23" s="93" t="str">
        <f t="shared" ca="1" si="5"/>
        <v/>
      </c>
      <c r="I23" s="21">
        <v>100</v>
      </c>
      <c r="J23" s="68">
        <f t="shared" si="6"/>
        <v>3.6750000000000003</v>
      </c>
      <c r="K23" s="69">
        <v>4.41</v>
      </c>
      <c r="L23" s="72">
        <f t="shared" ca="1" si="2"/>
        <v>1.1800000000000002</v>
      </c>
      <c r="M23" s="73">
        <f t="shared" ca="1" si="3"/>
        <v>118.00000000000001</v>
      </c>
      <c r="N23" s="12" t="s">
        <v>41</v>
      </c>
      <c r="O23" s="11" t="s">
        <v>45</v>
      </c>
      <c r="P23" s="13">
        <f t="shared" si="7"/>
        <v>4.41</v>
      </c>
      <c r="Q23" s="1" t="str">
        <f t="shared" si="8"/>
        <v>100-290 шт - 4,41 руб / шт с НДС</v>
      </c>
      <c r="R23" s="235"/>
      <c r="S23" s="239"/>
      <c r="T23" s="226"/>
      <c r="U23" s="228"/>
      <c r="V23" s="222"/>
      <c r="W23" s="229"/>
      <c r="X23" s="227"/>
      <c r="Y23" s="229"/>
      <c r="Z23" s="236"/>
      <c r="AA23" s="237"/>
      <c r="AB23" s="238"/>
      <c r="AC23" s="223"/>
      <c r="AD23" s="222"/>
    </row>
    <row r="24" spans="1:30" x14ac:dyDescent="0.4">
      <c r="A24" s="230"/>
      <c r="B24" s="7">
        <v>6</v>
      </c>
      <c r="C24" s="14">
        <f t="shared" ca="1" si="11"/>
        <v>2.2000000000000002</v>
      </c>
      <c r="D24" s="20">
        <f t="shared" ca="1" si="1"/>
        <v>2.64</v>
      </c>
      <c r="E24" s="225"/>
      <c r="F24" s="231"/>
      <c r="G24" s="172" t="str">
        <f t="shared" ca="1" si="4"/>
        <v/>
      </c>
      <c r="H24" s="93" t="str">
        <f t="shared" ca="1" si="5"/>
        <v/>
      </c>
      <c r="I24" s="21">
        <v>300</v>
      </c>
      <c r="J24" s="68">
        <f t="shared" si="6"/>
        <v>3.0166666666666671</v>
      </c>
      <c r="K24" s="69">
        <v>3.62</v>
      </c>
      <c r="L24" s="72">
        <f t="shared" ca="1" si="2"/>
        <v>0.65333333333333354</v>
      </c>
      <c r="M24" s="73">
        <f t="shared" ca="1" si="3"/>
        <v>196.00000000000006</v>
      </c>
      <c r="N24" s="12" t="s">
        <v>42</v>
      </c>
      <c r="O24" s="11" t="s">
        <v>45</v>
      </c>
      <c r="P24" s="13">
        <f t="shared" si="7"/>
        <v>3.62</v>
      </c>
      <c r="Q24" s="1" t="str">
        <f t="shared" si="8"/>
        <v>300-490 шт - 3,62 руб / шт с НДС</v>
      </c>
      <c r="R24" s="235"/>
      <c r="S24" s="239"/>
      <c r="T24" s="226"/>
      <c r="U24" s="228"/>
      <c r="V24" s="222"/>
      <c r="W24" s="229"/>
      <c r="X24" s="227"/>
      <c r="Y24" s="229"/>
      <c r="Z24" s="236"/>
      <c r="AA24" s="237"/>
      <c r="AB24" s="238"/>
      <c r="AC24" s="223"/>
      <c r="AD24" s="222"/>
    </row>
    <row r="25" spans="1:30" x14ac:dyDescent="0.4">
      <c r="A25" s="230"/>
      <c r="B25" s="7">
        <v>6</v>
      </c>
      <c r="C25" s="14">
        <f t="shared" ca="1" si="11"/>
        <v>2.2000000000000002</v>
      </c>
      <c r="D25" s="20">
        <f t="shared" ca="1" si="1"/>
        <v>2.64</v>
      </c>
      <c r="E25" s="225"/>
      <c r="F25" s="231"/>
      <c r="G25" s="172" t="str">
        <f t="shared" ca="1" si="4"/>
        <v/>
      </c>
      <c r="H25" s="93" t="str">
        <f t="shared" ca="1" si="5"/>
        <v/>
      </c>
      <c r="I25" s="21">
        <v>500</v>
      </c>
      <c r="J25" s="68">
        <f t="shared" si="6"/>
        <v>2.9666666666666668</v>
      </c>
      <c r="K25" s="69">
        <v>3.56</v>
      </c>
      <c r="L25" s="72">
        <f t="shared" ca="1" si="2"/>
        <v>0.61333333333333329</v>
      </c>
      <c r="M25" s="73">
        <f t="shared" ca="1" si="3"/>
        <v>306.66666666666663</v>
      </c>
      <c r="N25" s="12" t="s">
        <v>43</v>
      </c>
      <c r="O25" s="11" t="s">
        <v>45</v>
      </c>
      <c r="P25" s="13">
        <f t="shared" si="7"/>
        <v>3.56</v>
      </c>
      <c r="Q25" s="1" t="str">
        <f t="shared" si="8"/>
        <v>500-990 шт - 3,56 руб / шт с НДС</v>
      </c>
      <c r="R25" s="235"/>
      <c r="S25" s="239"/>
      <c r="T25" s="226"/>
      <c r="U25" s="228"/>
      <c r="V25" s="222"/>
      <c r="W25" s="229"/>
      <c r="X25" s="227"/>
      <c r="Y25" s="229"/>
      <c r="Z25" s="236"/>
      <c r="AA25" s="237"/>
      <c r="AB25" s="238"/>
      <c r="AC25" s="223"/>
      <c r="AD25" s="222"/>
    </row>
    <row r="26" spans="1:30" x14ac:dyDescent="0.4">
      <c r="A26" s="230"/>
      <c r="B26" s="7">
        <v>6</v>
      </c>
      <c r="C26" s="14">
        <f t="shared" ca="1" si="11"/>
        <v>2.2000000000000002</v>
      </c>
      <c r="D26" s="20">
        <f t="shared" ca="1" si="1"/>
        <v>2.64</v>
      </c>
      <c r="E26" s="225"/>
      <c r="F26" s="231"/>
      <c r="G26" s="172" t="str">
        <f t="shared" ca="1" si="4"/>
        <v/>
      </c>
      <c r="H26" s="93" t="str">
        <f t="shared" ca="1" si="5"/>
        <v/>
      </c>
      <c r="I26" s="21">
        <v>1000</v>
      </c>
      <c r="J26" s="68">
        <f t="shared" si="6"/>
        <v>2.8750000000000004</v>
      </c>
      <c r="K26" s="69">
        <v>3.45</v>
      </c>
      <c r="L26" s="72">
        <f t="shared" ca="1" si="2"/>
        <v>0.54000000000000026</v>
      </c>
      <c r="M26" s="73">
        <f t="shared" ca="1" si="3"/>
        <v>540.00000000000023</v>
      </c>
      <c r="N26" s="12" t="s">
        <v>44</v>
      </c>
      <c r="O26" s="11" t="s">
        <v>45</v>
      </c>
      <c r="P26" s="13">
        <f t="shared" si="7"/>
        <v>3.45</v>
      </c>
      <c r="Q26" s="1" t="str">
        <f t="shared" si="8"/>
        <v>1000 + шт - 3,45 руб / шт с НДС</v>
      </c>
      <c r="R26" s="235"/>
      <c r="S26" s="239"/>
      <c r="T26" s="226"/>
      <c r="U26" s="228"/>
      <c r="V26" s="222"/>
      <c r="W26" s="229"/>
      <c r="X26" s="227"/>
      <c r="Y26" s="229"/>
      <c r="Z26" s="236"/>
      <c r="AA26" s="237"/>
      <c r="AB26" s="238"/>
      <c r="AC26" s="223"/>
      <c r="AD26" s="222"/>
    </row>
    <row r="27" spans="1:30" x14ac:dyDescent="0.4">
      <c r="A27" s="230">
        <v>7</v>
      </c>
      <c r="B27" s="7">
        <v>7</v>
      </c>
      <c r="C27" s="14">
        <f t="shared" ca="1" si="11"/>
        <v>3.05</v>
      </c>
      <c r="D27" s="20">
        <f t="shared" ref="D27:D71" ca="1" si="19">C27*1.2</f>
        <v>3.6599999999999997</v>
      </c>
      <c r="E27" s="224" t="str">
        <f ca="1">INDIRECT("'Закуп'!D" &amp; A27)</f>
        <v>У</v>
      </c>
      <c r="F27" s="231" t="str">
        <f t="shared" ref="F27" ca="1" si="20">INDIRECT("'Закуп'!E" &amp; B27)</f>
        <v>585х385х500</v>
      </c>
      <c r="G27" s="172" t="str">
        <f t="shared" ca="1" si="4"/>
        <v/>
      </c>
      <c r="H27" s="93" t="str">
        <f t="shared" ca="1" si="5"/>
        <v/>
      </c>
      <c r="I27" s="21">
        <v>50</v>
      </c>
      <c r="J27" s="68">
        <f t="shared" si="6"/>
        <v>5.15</v>
      </c>
      <c r="K27" s="70">
        <v>6.18</v>
      </c>
      <c r="L27" s="72">
        <f t="shared" ca="1" si="2"/>
        <v>1.6800000000000004</v>
      </c>
      <c r="M27" s="73">
        <f t="shared" ca="1" si="3"/>
        <v>84.000000000000014</v>
      </c>
      <c r="N27" s="12" t="s">
        <v>40</v>
      </c>
      <c r="O27" s="11" t="s">
        <v>45</v>
      </c>
      <c r="P27" s="13">
        <f t="shared" si="7"/>
        <v>6.18</v>
      </c>
      <c r="Q27" s="1" t="str">
        <f t="shared" si="8"/>
        <v>50-90 шт - 6,18 руб / шт с НДС</v>
      </c>
      <c r="R27" s="235" t="str">
        <f ca="1">INDIRECT("'Закуп'!k" &amp; A27)</f>
        <v>K6</v>
      </c>
      <c r="S27" s="239">
        <f ca="1">INDIRECT("'Закуп'!o" &amp; A27)</f>
        <v>112.61</v>
      </c>
      <c r="T27" s="226" t="str">
        <f ca="1">INDIRECT("'Закуп'!p" &amp; A27)</f>
        <v>100-200 литров</v>
      </c>
      <c r="U27" s="228" t="str">
        <f ca="1">INDIRECT("'Закуп'!v" &amp; A27)</f>
        <v/>
      </c>
      <c r="V27" s="222" t="str">
        <f ca="1">INDIRECT("'Закуп'!w" &amp; A27)</f>
        <v/>
      </c>
      <c r="W27" s="229" t="str">
        <f ca="1">INDIRECT("'Закуп'!H" &amp; A27)</f>
        <v>0201</v>
      </c>
      <c r="X27" s="227" t="str">
        <f ca="1">INDIRECT("'Закуп'!g" &amp; A27)</f>
        <v>Ч</v>
      </c>
      <c r="Y27" s="229" t="str">
        <f ca="1">INDIRECT("'Закуп'!i" &amp; A27)</f>
        <v>В</v>
      </c>
      <c r="Z27" s="236" t="str">
        <f ca="1">INDIRECT("'Закуп'!x" &amp; A27)</f>
        <v>500-599 мм</v>
      </c>
      <c r="AA27" s="237" t="str">
        <f ca="1">INDIRECT("'Закуп'!y" &amp; A27)</f>
        <v>500-599 мм</v>
      </c>
      <c r="AB27" s="238" t="str">
        <f ca="1">INDIRECT("'Закуп'!z" &amp; A27)</f>
        <v>300-399 мм</v>
      </c>
      <c r="AC27" s="223" t="str">
        <f t="shared" ref="AC27" ca="1" si="21">SUBSTITUTE(INDEX(F:F, ROUNDUP((ROW(A26))/5,0)*5 - 3), "х", "x")</f>
        <v>585x385x500</v>
      </c>
      <c r="AD27" s="222" t="str">
        <f t="shared" ca="1" si="14"/>
        <v>585x385x500 - 585*385*500 мм</v>
      </c>
    </row>
    <row r="28" spans="1:30" x14ac:dyDescent="0.4">
      <c r="A28" s="230"/>
      <c r="B28" s="7">
        <v>7</v>
      </c>
      <c r="C28" s="14">
        <f t="shared" ca="1" si="11"/>
        <v>3.05</v>
      </c>
      <c r="D28" s="20">
        <f t="shared" ca="1" si="19"/>
        <v>3.6599999999999997</v>
      </c>
      <c r="E28" s="225"/>
      <c r="F28" s="231"/>
      <c r="G28" s="172" t="str">
        <f t="shared" ca="1" si="4"/>
        <v/>
      </c>
      <c r="H28" s="93" t="str">
        <f t="shared" ca="1" si="5"/>
        <v/>
      </c>
      <c r="I28" s="21">
        <v>100</v>
      </c>
      <c r="J28" s="68">
        <f t="shared" si="6"/>
        <v>4.7583333333333337</v>
      </c>
      <c r="K28" s="70">
        <v>5.71</v>
      </c>
      <c r="L28" s="72">
        <f t="shared" ca="1" si="2"/>
        <v>1.3666666666666671</v>
      </c>
      <c r="M28" s="73">
        <f t="shared" ca="1" si="3"/>
        <v>136.66666666666671</v>
      </c>
      <c r="N28" s="12" t="s">
        <v>41</v>
      </c>
      <c r="O28" s="11" t="s">
        <v>45</v>
      </c>
      <c r="P28" s="13">
        <f t="shared" si="7"/>
        <v>5.71</v>
      </c>
      <c r="Q28" s="1" t="str">
        <f t="shared" si="8"/>
        <v>100-290 шт - 5,71 руб / шт с НДС</v>
      </c>
      <c r="R28" s="235"/>
      <c r="S28" s="239"/>
      <c r="T28" s="226"/>
      <c r="U28" s="228"/>
      <c r="V28" s="222"/>
      <c r="W28" s="229"/>
      <c r="X28" s="227"/>
      <c r="Y28" s="229"/>
      <c r="Z28" s="236"/>
      <c r="AA28" s="237"/>
      <c r="AB28" s="238"/>
      <c r="AC28" s="223"/>
      <c r="AD28" s="222"/>
    </row>
    <row r="29" spans="1:30" x14ac:dyDescent="0.4">
      <c r="A29" s="230"/>
      <c r="B29" s="7">
        <v>7</v>
      </c>
      <c r="C29" s="14">
        <f t="shared" ca="1" si="11"/>
        <v>3.05</v>
      </c>
      <c r="D29" s="20">
        <f t="shared" ca="1" si="19"/>
        <v>3.6599999999999997</v>
      </c>
      <c r="E29" s="225"/>
      <c r="F29" s="231"/>
      <c r="G29" s="172" t="str">
        <f t="shared" ca="1" si="4"/>
        <v/>
      </c>
      <c r="H29" s="93" t="str">
        <f t="shared" ca="1" si="5"/>
        <v/>
      </c>
      <c r="I29" s="21">
        <v>300</v>
      </c>
      <c r="J29" s="68">
        <f t="shared" si="6"/>
        <v>4.1083333333333334</v>
      </c>
      <c r="K29" s="70">
        <v>4.93</v>
      </c>
      <c r="L29" s="72">
        <f t="shared" ca="1" si="2"/>
        <v>0.8466666666666669</v>
      </c>
      <c r="M29" s="73">
        <f t="shared" ca="1" si="3"/>
        <v>254.00000000000006</v>
      </c>
      <c r="N29" s="12" t="s">
        <v>42</v>
      </c>
      <c r="O29" s="11" t="s">
        <v>45</v>
      </c>
      <c r="P29" s="13">
        <f t="shared" si="7"/>
        <v>4.93</v>
      </c>
      <c r="Q29" s="1" t="str">
        <f t="shared" si="8"/>
        <v>300-490 шт - 4,93 руб / шт с НДС</v>
      </c>
      <c r="R29" s="235"/>
      <c r="S29" s="239"/>
      <c r="T29" s="226"/>
      <c r="U29" s="228"/>
      <c r="V29" s="222"/>
      <c r="W29" s="229"/>
      <c r="X29" s="227"/>
      <c r="Y29" s="229"/>
      <c r="Z29" s="236"/>
      <c r="AA29" s="237"/>
      <c r="AB29" s="238"/>
      <c r="AC29" s="223"/>
      <c r="AD29" s="222"/>
    </row>
    <row r="30" spans="1:30" x14ac:dyDescent="0.4">
      <c r="A30" s="230"/>
      <c r="B30" s="7">
        <v>7</v>
      </c>
      <c r="C30" s="14">
        <f t="shared" ca="1" si="11"/>
        <v>3.05</v>
      </c>
      <c r="D30" s="20">
        <f t="shared" ca="1" si="19"/>
        <v>3.6599999999999997</v>
      </c>
      <c r="E30" s="225"/>
      <c r="F30" s="231"/>
      <c r="G30" s="172" t="str">
        <f t="shared" ca="1" si="4"/>
        <v/>
      </c>
      <c r="H30" s="93" t="str">
        <f t="shared" ca="1" si="5"/>
        <v/>
      </c>
      <c r="I30" s="21">
        <v>500</v>
      </c>
      <c r="J30" s="68">
        <f t="shared" si="6"/>
        <v>3.9833333333333338</v>
      </c>
      <c r="K30" s="70">
        <v>4.78</v>
      </c>
      <c r="L30" s="72">
        <f t="shared" ca="1" si="2"/>
        <v>0.74666666666666726</v>
      </c>
      <c r="M30" s="73">
        <f t="shared" ca="1" si="3"/>
        <v>373.33333333333366</v>
      </c>
      <c r="N30" s="12" t="s">
        <v>43</v>
      </c>
      <c r="O30" s="11" t="s">
        <v>45</v>
      </c>
      <c r="P30" s="13">
        <f t="shared" si="7"/>
        <v>4.78</v>
      </c>
      <c r="Q30" s="1" t="str">
        <f t="shared" si="8"/>
        <v>500-990 шт - 4,78 руб / шт с НДС</v>
      </c>
      <c r="R30" s="235"/>
      <c r="S30" s="239"/>
      <c r="T30" s="226"/>
      <c r="U30" s="228"/>
      <c r="V30" s="222"/>
      <c r="W30" s="229"/>
      <c r="X30" s="227"/>
      <c r="Y30" s="229"/>
      <c r="Z30" s="236"/>
      <c r="AA30" s="237"/>
      <c r="AB30" s="238"/>
      <c r="AC30" s="223"/>
      <c r="AD30" s="222"/>
    </row>
    <row r="31" spans="1:30" x14ac:dyDescent="0.4">
      <c r="A31" s="230"/>
      <c r="B31" s="7">
        <v>7</v>
      </c>
      <c r="C31" s="14">
        <f t="shared" ca="1" si="11"/>
        <v>3.05</v>
      </c>
      <c r="D31" s="20">
        <f t="shared" ca="1" si="19"/>
        <v>3.6599999999999997</v>
      </c>
      <c r="E31" s="225"/>
      <c r="F31" s="231"/>
      <c r="G31" s="172" t="str">
        <f t="shared" ca="1" si="4"/>
        <v/>
      </c>
      <c r="H31" s="93" t="str">
        <f t="shared" ca="1" si="5"/>
        <v/>
      </c>
      <c r="I31" s="21">
        <v>1000</v>
      </c>
      <c r="J31" s="68">
        <f t="shared" si="6"/>
        <v>3.916666666666667</v>
      </c>
      <c r="K31" s="70">
        <v>4.7</v>
      </c>
      <c r="L31" s="72">
        <f t="shared" ca="1" si="2"/>
        <v>0.69333333333333369</v>
      </c>
      <c r="M31" s="73">
        <f t="shared" ca="1" si="3"/>
        <v>693.33333333333371</v>
      </c>
      <c r="N31" s="12" t="s">
        <v>44</v>
      </c>
      <c r="O31" s="11" t="s">
        <v>45</v>
      </c>
      <c r="P31" s="13">
        <f t="shared" si="7"/>
        <v>4.7</v>
      </c>
      <c r="Q31" s="1" t="str">
        <f t="shared" si="8"/>
        <v>1000 + шт - 4,7 руб / шт с НДС</v>
      </c>
      <c r="R31" s="235"/>
      <c r="S31" s="239"/>
      <c r="T31" s="226"/>
      <c r="U31" s="228"/>
      <c r="V31" s="222"/>
      <c r="W31" s="229"/>
      <c r="X31" s="227"/>
      <c r="Y31" s="229"/>
      <c r="Z31" s="236"/>
      <c r="AA31" s="237"/>
      <c r="AB31" s="238"/>
      <c r="AC31" s="223"/>
      <c r="AD31" s="222"/>
    </row>
    <row r="32" spans="1:30" x14ac:dyDescent="0.4">
      <c r="A32" s="230">
        <v>8</v>
      </c>
      <c r="B32" s="7">
        <v>8</v>
      </c>
      <c r="C32" s="14">
        <f t="shared" ca="1" si="11"/>
        <v>1.3</v>
      </c>
      <c r="D32" s="20">
        <f t="shared" ca="1" si="19"/>
        <v>1.56</v>
      </c>
      <c r="E32" s="224" t="str">
        <f ca="1">INDIRECT("'Закуп'!D" &amp; A32)</f>
        <v>У</v>
      </c>
      <c r="F32" s="231" t="str">
        <f t="shared" ref="F32" ca="1" si="22">INDIRECT("'Закуп'!E" &amp; B32)</f>
        <v>280х220х500</v>
      </c>
      <c r="G32" s="172" t="str">
        <f t="shared" ca="1" si="4"/>
        <v/>
      </c>
      <c r="H32" s="93" t="str">
        <f t="shared" ca="1" si="5"/>
        <v/>
      </c>
      <c r="I32" s="21">
        <v>50</v>
      </c>
      <c r="J32" s="68">
        <f t="shared" si="6"/>
        <v>2.7833333333333332</v>
      </c>
      <c r="K32" s="70">
        <v>3.34</v>
      </c>
      <c r="L32" s="72">
        <f t="shared" ca="1" si="2"/>
        <v>1.1866666666666665</v>
      </c>
      <c r="M32" s="73">
        <f t="shared" ca="1" si="3"/>
        <v>59.333333333333329</v>
      </c>
      <c r="N32" s="12" t="s">
        <v>40</v>
      </c>
      <c r="O32" s="11" t="s">
        <v>45</v>
      </c>
      <c r="P32" s="13">
        <f t="shared" si="7"/>
        <v>3.34</v>
      </c>
      <c r="Q32" s="1" t="str">
        <f t="shared" si="8"/>
        <v>50-90 шт - 3,34 руб / шт с НДС</v>
      </c>
      <c r="R32" s="235" t="str">
        <f ca="1">INDIRECT("'Закуп'!k" &amp; A32)</f>
        <v>K7</v>
      </c>
      <c r="S32" s="239">
        <f ca="1">INDIRECT("'Закуп'!o" &amp; A32)</f>
        <v>30.8</v>
      </c>
      <c r="T32" s="226" t="str">
        <f ca="1">INDIRECT("'Закуп'!p" &amp; A32)</f>
        <v>30-49 литров</v>
      </c>
      <c r="U32" s="228" t="str">
        <f ca="1">INDIRECT("'Закуп'!v" &amp; A32)</f>
        <v/>
      </c>
      <c r="V32" s="222" t="str">
        <f ca="1">INDIRECT("'Закуп'!w" &amp; A32)</f>
        <v/>
      </c>
      <c r="W32" s="229" t="str">
        <f ca="1">INDIRECT("'Закуп'!H" &amp; A32)</f>
        <v>0201</v>
      </c>
      <c r="X32" s="227" t="str">
        <f ca="1">INDIRECT("'Закуп'!g" &amp; A32)</f>
        <v>Ч</v>
      </c>
      <c r="Y32" s="229" t="str">
        <f ca="1">INDIRECT("'Закуп'!i" &amp; A32)</f>
        <v>В</v>
      </c>
      <c r="Z32" s="236" t="str">
        <f ca="1">INDIRECT("'Закуп'!x" &amp; A32)</f>
        <v>500-599 мм</v>
      </c>
      <c r="AA32" s="237" t="str">
        <f ca="1">INDIRECT("'Закуп'!y" &amp; A32)</f>
        <v>200-299 мм</v>
      </c>
      <c r="AB32" s="238" t="str">
        <f ca="1">INDIRECT("'Закуп'!z" &amp; A32)</f>
        <v>200-299 мм</v>
      </c>
      <c r="AC32" s="223" t="str">
        <f t="shared" ref="AC32" ca="1" si="23">SUBSTITUTE(INDEX(F:F, ROUNDUP((ROW(A31))/5,0)*5 - 3), "х", "x")</f>
        <v>280x220x500</v>
      </c>
      <c r="AD32" s="222" t="str">
        <f t="shared" ca="1" si="14"/>
        <v>280x220x500 - 280*220*500 мм</v>
      </c>
    </row>
    <row r="33" spans="1:30" x14ac:dyDescent="0.4">
      <c r="A33" s="230"/>
      <c r="B33" s="7">
        <v>8</v>
      </c>
      <c r="C33" s="14">
        <f t="shared" ca="1" si="11"/>
        <v>1.3</v>
      </c>
      <c r="D33" s="20">
        <f t="shared" ca="1" si="19"/>
        <v>1.56</v>
      </c>
      <c r="E33" s="225"/>
      <c r="F33" s="231"/>
      <c r="G33" s="172" t="str">
        <f t="shared" ca="1" si="4"/>
        <v/>
      </c>
      <c r="H33" s="93" t="str">
        <f t="shared" ca="1" si="5"/>
        <v/>
      </c>
      <c r="I33" s="21">
        <v>100</v>
      </c>
      <c r="J33" s="68">
        <f t="shared" si="6"/>
        <v>2.2333333333333334</v>
      </c>
      <c r="K33" s="70">
        <v>2.68</v>
      </c>
      <c r="L33" s="72">
        <f t="shared" ca="1" si="2"/>
        <v>0.7466666666666667</v>
      </c>
      <c r="M33" s="73">
        <f t="shared" ca="1" si="3"/>
        <v>74.666666666666671</v>
      </c>
      <c r="N33" s="12" t="s">
        <v>41</v>
      </c>
      <c r="O33" s="11" t="s">
        <v>45</v>
      </c>
      <c r="P33" s="13">
        <f t="shared" si="7"/>
        <v>2.68</v>
      </c>
      <c r="Q33" s="1" t="str">
        <f t="shared" si="8"/>
        <v>100-290 шт - 2,68 руб / шт с НДС</v>
      </c>
      <c r="R33" s="235"/>
      <c r="S33" s="239"/>
      <c r="T33" s="226"/>
      <c r="U33" s="228"/>
      <c r="V33" s="222"/>
      <c r="W33" s="229"/>
      <c r="X33" s="227"/>
      <c r="Y33" s="229"/>
      <c r="Z33" s="236"/>
      <c r="AA33" s="237"/>
      <c r="AB33" s="238"/>
      <c r="AC33" s="223"/>
      <c r="AD33" s="222"/>
    </row>
    <row r="34" spans="1:30" x14ac:dyDescent="0.4">
      <c r="A34" s="230"/>
      <c r="B34" s="7">
        <v>8</v>
      </c>
      <c r="C34" s="14">
        <f t="shared" ca="1" si="11"/>
        <v>1.3</v>
      </c>
      <c r="D34" s="20">
        <f t="shared" ca="1" si="19"/>
        <v>1.56</v>
      </c>
      <c r="E34" s="225"/>
      <c r="F34" s="231"/>
      <c r="G34" s="172" t="str">
        <f t="shared" ca="1" si="4"/>
        <v/>
      </c>
      <c r="H34" s="93" t="str">
        <f t="shared" ca="1" si="5"/>
        <v/>
      </c>
      <c r="I34" s="21">
        <v>300</v>
      </c>
      <c r="J34" s="68">
        <f t="shared" si="6"/>
        <v>2.0083333333333337</v>
      </c>
      <c r="K34" s="70">
        <v>2.41</v>
      </c>
      <c r="L34" s="72">
        <f t="shared" ca="1" si="2"/>
        <v>0.56666666666666698</v>
      </c>
      <c r="M34" s="73">
        <f t="shared" ca="1" si="3"/>
        <v>170.00000000000009</v>
      </c>
      <c r="N34" s="12" t="s">
        <v>42</v>
      </c>
      <c r="O34" s="11" t="s">
        <v>45</v>
      </c>
      <c r="P34" s="13">
        <f t="shared" si="7"/>
        <v>2.41</v>
      </c>
      <c r="Q34" s="1" t="str">
        <f t="shared" si="8"/>
        <v>300-490 шт - 2,41 руб / шт с НДС</v>
      </c>
      <c r="R34" s="235"/>
      <c r="S34" s="239"/>
      <c r="T34" s="226"/>
      <c r="U34" s="228"/>
      <c r="V34" s="222"/>
      <c r="W34" s="229"/>
      <c r="X34" s="227"/>
      <c r="Y34" s="229"/>
      <c r="Z34" s="236"/>
      <c r="AA34" s="237"/>
      <c r="AB34" s="238"/>
      <c r="AC34" s="223"/>
      <c r="AD34" s="222"/>
    </row>
    <row r="35" spans="1:30" x14ac:dyDescent="0.4">
      <c r="A35" s="230"/>
      <c r="B35" s="7">
        <v>8</v>
      </c>
      <c r="C35" s="14">
        <f t="shared" ca="1" si="11"/>
        <v>1.3</v>
      </c>
      <c r="D35" s="20">
        <f t="shared" ca="1" si="19"/>
        <v>1.56</v>
      </c>
      <c r="E35" s="225"/>
      <c r="F35" s="231"/>
      <c r="G35" s="172" t="str">
        <f t="shared" ca="1" si="4"/>
        <v/>
      </c>
      <c r="H35" s="93" t="str">
        <f t="shared" ca="1" si="5"/>
        <v/>
      </c>
      <c r="I35" s="21">
        <v>500</v>
      </c>
      <c r="J35" s="68">
        <f t="shared" si="6"/>
        <v>1.8083333333333333</v>
      </c>
      <c r="K35" s="70">
        <v>2.17</v>
      </c>
      <c r="L35" s="72">
        <f t="shared" ca="1" si="2"/>
        <v>0.40666666666666662</v>
      </c>
      <c r="M35" s="73">
        <f t="shared" ca="1" si="3"/>
        <v>203.33333333333331</v>
      </c>
      <c r="N35" s="12" t="s">
        <v>43</v>
      </c>
      <c r="O35" s="11" t="s">
        <v>45</v>
      </c>
      <c r="P35" s="13">
        <f t="shared" si="7"/>
        <v>2.17</v>
      </c>
      <c r="Q35" s="1" t="str">
        <f t="shared" si="8"/>
        <v>500-990 шт - 2,17 руб / шт с НДС</v>
      </c>
      <c r="R35" s="235"/>
      <c r="S35" s="239"/>
      <c r="T35" s="226"/>
      <c r="U35" s="228"/>
      <c r="V35" s="222"/>
      <c r="W35" s="229"/>
      <c r="X35" s="227"/>
      <c r="Y35" s="229"/>
      <c r="Z35" s="236"/>
      <c r="AA35" s="237"/>
      <c r="AB35" s="238"/>
      <c r="AC35" s="223"/>
      <c r="AD35" s="222"/>
    </row>
    <row r="36" spans="1:30" x14ac:dyDescent="0.4">
      <c r="A36" s="230"/>
      <c r="B36" s="7">
        <v>8</v>
      </c>
      <c r="C36" s="14">
        <f t="shared" ca="1" si="11"/>
        <v>1.3</v>
      </c>
      <c r="D36" s="20">
        <f t="shared" ca="1" si="19"/>
        <v>1.56</v>
      </c>
      <c r="E36" s="225"/>
      <c r="F36" s="231"/>
      <c r="G36" s="172" t="str">
        <f t="shared" ca="1" si="4"/>
        <v/>
      </c>
      <c r="H36" s="93" t="str">
        <f t="shared" ca="1" si="5"/>
        <v/>
      </c>
      <c r="I36" s="21">
        <v>1000</v>
      </c>
      <c r="J36" s="68">
        <f t="shared" si="6"/>
        <v>1.7249999999999999</v>
      </c>
      <c r="K36" s="70">
        <v>2.0699999999999998</v>
      </c>
      <c r="L36" s="72">
        <f t="shared" ca="1" si="2"/>
        <v>0.33999999999999986</v>
      </c>
      <c r="M36" s="73">
        <f t="shared" ca="1" si="3"/>
        <v>339.99999999999989</v>
      </c>
      <c r="N36" s="12" t="s">
        <v>44</v>
      </c>
      <c r="O36" s="11" t="s">
        <v>45</v>
      </c>
      <c r="P36" s="13">
        <f t="shared" si="7"/>
        <v>2.0699999999999998</v>
      </c>
      <c r="Q36" s="1" t="str">
        <f t="shared" si="8"/>
        <v>1000 + шт - 2,07 руб / шт с НДС</v>
      </c>
      <c r="R36" s="235"/>
      <c r="S36" s="239"/>
      <c r="T36" s="226"/>
      <c r="U36" s="228"/>
      <c r="V36" s="222"/>
      <c r="W36" s="229"/>
      <c r="X36" s="227"/>
      <c r="Y36" s="229"/>
      <c r="Z36" s="236"/>
      <c r="AA36" s="237"/>
      <c r="AB36" s="238"/>
      <c r="AC36" s="223"/>
      <c r="AD36" s="222"/>
    </row>
    <row r="37" spans="1:30" x14ac:dyDescent="0.4">
      <c r="A37" s="230">
        <v>9</v>
      </c>
      <c r="B37" s="7">
        <v>9</v>
      </c>
      <c r="C37" s="14">
        <f t="shared" ca="1" si="11"/>
        <v>1.25</v>
      </c>
      <c r="D37" s="20">
        <f t="shared" ca="1" si="19"/>
        <v>1.5</v>
      </c>
      <c r="E37" s="224" t="str">
        <f ca="1">INDIRECT("'Закуп'!D" &amp; A37)</f>
        <v>У</v>
      </c>
      <c r="F37" s="231" t="str">
        <f t="shared" ref="F37" ca="1" si="24">INDIRECT("'Закуп'!E" &amp; B37)</f>
        <v>405х55х605</v>
      </c>
      <c r="G37" s="172" t="str">
        <f t="shared" ca="1" si="4"/>
        <v/>
      </c>
      <c r="H37" s="93" t="str">
        <f t="shared" ca="1" si="5"/>
        <v>605х55х405</v>
      </c>
      <c r="I37" s="21">
        <v>50</v>
      </c>
      <c r="J37" s="68">
        <f t="shared" si="6"/>
        <v>2.9750000000000001</v>
      </c>
      <c r="K37" s="70">
        <v>3.57</v>
      </c>
      <c r="L37" s="72">
        <f t="shared" ca="1" si="2"/>
        <v>1.3800000000000001</v>
      </c>
      <c r="M37" s="73">
        <f t="shared" ca="1" si="3"/>
        <v>69</v>
      </c>
      <c r="N37" s="12" t="s">
        <v>40</v>
      </c>
      <c r="O37" s="11" t="s">
        <v>45</v>
      </c>
      <c r="P37" s="13">
        <f t="shared" si="7"/>
        <v>3.57</v>
      </c>
      <c r="Q37" s="1" t="str">
        <f t="shared" si="8"/>
        <v>50-90 шт - 3,57 руб / шт с НДС</v>
      </c>
      <c r="R37" s="235" t="str">
        <f ca="1">INDIRECT("'Закуп'!k" &amp; A37)</f>
        <v>K8</v>
      </c>
      <c r="S37" s="239">
        <f ca="1">INDIRECT("'Закуп'!o" &amp; A37)</f>
        <v>13.48</v>
      </c>
      <c r="T37" s="226" t="str">
        <f ca="1">INDIRECT("'Закуп'!p" &amp; A37)</f>
        <v>10-14,9 литров</v>
      </c>
      <c r="U37" s="228" t="str">
        <f ca="1">INDIRECT("'Закуп'!v" &amp; A37)</f>
        <v/>
      </c>
      <c r="V37" s="222" t="str">
        <f ca="1">INDIRECT("'Закуп'!w" &amp; A37)</f>
        <v>Плоские</v>
      </c>
      <c r="W37" s="229" t="str">
        <f ca="1">INDIRECT("'Закуп'!H" &amp; A37)</f>
        <v>0215</v>
      </c>
      <c r="X37" s="227" t="str">
        <f ca="1">INDIRECT("'Закуп'!g" &amp; A37)</f>
        <v>Ч</v>
      </c>
      <c r="Y37" s="229" t="str">
        <f ca="1">INDIRECT("'Закуп'!i" &amp; A37)</f>
        <v>В</v>
      </c>
      <c r="Z37" s="236" t="str">
        <f ca="1">INDIRECT("'Закуп'!x" &amp; A37)</f>
        <v>600-699 мм</v>
      </c>
      <c r="AA37" s="237" t="str">
        <f ca="1">INDIRECT("'Закуп'!y" &amp; A37)</f>
        <v>400-499 мм</v>
      </c>
      <c r="AB37" s="238" t="str">
        <f ca="1">INDIRECT("'Закуп'!z" &amp; A37)</f>
        <v>10-99 мм</v>
      </c>
      <c r="AC37" s="223" t="str">
        <f t="shared" ref="AC37" ca="1" si="25">SUBSTITUTE(INDEX(F:F, ROUNDUP((ROW(A36))/5,0)*5 - 3), "х", "x")</f>
        <v>405x55x605</v>
      </c>
      <c r="AD37" s="222" t="str">
        <f t="shared" ca="1" si="14"/>
        <v>405x55x605 - 405*55*605 мм</v>
      </c>
    </row>
    <row r="38" spans="1:30" x14ac:dyDescent="0.4">
      <c r="A38" s="230"/>
      <c r="B38" s="7">
        <v>9</v>
      </c>
      <c r="C38" s="14">
        <f t="shared" ca="1" si="11"/>
        <v>1.25</v>
      </c>
      <c r="D38" s="20">
        <f t="shared" ca="1" si="19"/>
        <v>1.5</v>
      </c>
      <c r="E38" s="225"/>
      <c r="F38" s="231"/>
      <c r="G38" s="172" t="str">
        <f t="shared" ca="1" si="4"/>
        <v/>
      </c>
      <c r="H38" s="93" t="str">
        <f t="shared" ca="1" si="5"/>
        <v>605х55х405</v>
      </c>
      <c r="I38" s="21">
        <v>100</v>
      </c>
      <c r="J38" s="68">
        <f t="shared" si="6"/>
        <v>2.7083333333333335</v>
      </c>
      <c r="K38" s="70">
        <v>3.25</v>
      </c>
      <c r="L38" s="72">
        <f t="shared" ca="1" si="2"/>
        <v>1.1666666666666667</v>
      </c>
      <c r="M38" s="73">
        <f t="shared" ca="1" si="3"/>
        <v>116.66666666666667</v>
      </c>
      <c r="N38" s="12" t="s">
        <v>41</v>
      </c>
      <c r="O38" s="11" t="s">
        <v>45</v>
      </c>
      <c r="P38" s="13">
        <f t="shared" si="7"/>
        <v>3.25</v>
      </c>
      <c r="Q38" s="1" t="str">
        <f t="shared" si="8"/>
        <v>100-290 шт - 3,25 руб / шт с НДС</v>
      </c>
      <c r="R38" s="235"/>
      <c r="S38" s="239"/>
      <c r="T38" s="226"/>
      <c r="U38" s="228"/>
      <c r="V38" s="222"/>
      <c r="W38" s="229"/>
      <c r="X38" s="227"/>
      <c r="Y38" s="229"/>
      <c r="Z38" s="236"/>
      <c r="AA38" s="237"/>
      <c r="AB38" s="238"/>
      <c r="AC38" s="223"/>
      <c r="AD38" s="222"/>
    </row>
    <row r="39" spans="1:30" x14ac:dyDescent="0.4">
      <c r="A39" s="230"/>
      <c r="B39" s="7">
        <v>9</v>
      </c>
      <c r="C39" s="14">
        <f t="shared" ca="1" si="11"/>
        <v>1.25</v>
      </c>
      <c r="D39" s="20">
        <f t="shared" ca="1" si="19"/>
        <v>1.5</v>
      </c>
      <c r="E39" s="225"/>
      <c r="F39" s="231"/>
      <c r="G39" s="172" t="str">
        <f t="shared" ca="1" si="4"/>
        <v/>
      </c>
      <c r="H39" s="93" t="str">
        <f t="shared" ca="1" si="5"/>
        <v>605х55х405</v>
      </c>
      <c r="I39" s="21">
        <v>300</v>
      </c>
      <c r="J39" s="68">
        <f t="shared" si="6"/>
        <v>2.4250000000000003</v>
      </c>
      <c r="K39" s="70">
        <v>2.91</v>
      </c>
      <c r="L39" s="72">
        <f t="shared" ca="1" si="2"/>
        <v>0.94000000000000017</v>
      </c>
      <c r="M39" s="73">
        <f t="shared" ca="1" si="3"/>
        <v>282.00000000000006</v>
      </c>
      <c r="N39" s="12" t="s">
        <v>42</v>
      </c>
      <c r="O39" s="11" t="s">
        <v>45</v>
      </c>
      <c r="P39" s="13">
        <f t="shared" si="7"/>
        <v>2.91</v>
      </c>
      <c r="Q39" s="1" t="str">
        <f t="shared" si="8"/>
        <v>300-490 шт - 2,91 руб / шт с НДС</v>
      </c>
      <c r="R39" s="235"/>
      <c r="S39" s="239"/>
      <c r="T39" s="226"/>
      <c r="U39" s="228"/>
      <c r="V39" s="222"/>
      <c r="W39" s="229"/>
      <c r="X39" s="227"/>
      <c r="Y39" s="229"/>
      <c r="Z39" s="236"/>
      <c r="AA39" s="237"/>
      <c r="AB39" s="238"/>
      <c r="AC39" s="223"/>
      <c r="AD39" s="222"/>
    </row>
    <row r="40" spans="1:30" x14ac:dyDescent="0.4">
      <c r="A40" s="230"/>
      <c r="B40" s="7">
        <v>9</v>
      </c>
      <c r="C40" s="14">
        <f t="shared" ca="1" si="11"/>
        <v>1.25</v>
      </c>
      <c r="D40" s="20">
        <f t="shared" ca="1" si="19"/>
        <v>1.5</v>
      </c>
      <c r="E40" s="225"/>
      <c r="F40" s="231"/>
      <c r="G40" s="172" t="str">
        <f t="shared" ca="1" si="4"/>
        <v/>
      </c>
      <c r="H40" s="93" t="str">
        <f t="shared" ca="1" si="5"/>
        <v>605х55х405</v>
      </c>
      <c r="I40" s="21">
        <v>500</v>
      </c>
      <c r="J40" s="68">
        <f t="shared" si="6"/>
        <v>2.2749999999999999</v>
      </c>
      <c r="K40" s="70">
        <v>2.73</v>
      </c>
      <c r="L40" s="72">
        <f t="shared" ca="1" si="2"/>
        <v>0.82</v>
      </c>
      <c r="M40" s="73">
        <f t="shared" ca="1" si="3"/>
        <v>410</v>
      </c>
      <c r="N40" s="12" t="s">
        <v>43</v>
      </c>
      <c r="O40" s="11" t="s">
        <v>45</v>
      </c>
      <c r="P40" s="13">
        <f t="shared" si="7"/>
        <v>2.73</v>
      </c>
      <c r="Q40" s="1" t="str">
        <f t="shared" si="8"/>
        <v>500-990 шт - 2,73 руб / шт с НДС</v>
      </c>
      <c r="R40" s="235"/>
      <c r="S40" s="239"/>
      <c r="T40" s="226"/>
      <c r="U40" s="228"/>
      <c r="V40" s="222"/>
      <c r="W40" s="229"/>
      <c r="X40" s="227"/>
      <c r="Y40" s="229"/>
      <c r="Z40" s="236"/>
      <c r="AA40" s="237"/>
      <c r="AB40" s="238"/>
      <c r="AC40" s="223"/>
      <c r="AD40" s="222"/>
    </row>
    <row r="41" spans="1:30" x14ac:dyDescent="0.4">
      <c r="A41" s="230"/>
      <c r="B41" s="7">
        <v>9</v>
      </c>
      <c r="C41" s="14">
        <f t="shared" ca="1" si="11"/>
        <v>1.25</v>
      </c>
      <c r="D41" s="20">
        <f t="shared" ca="1" si="19"/>
        <v>1.5</v>
      </c>
      <c r="E41" s="225"/>
      <c r="F41" s="231"/>
      <c r="G41" s="172" t="str">
        <f t="shared" ca="1" si="4"/>
        <v/>
      </c>
      <c r="H41" s="93" t="str">
        <f t="shared" ca="1" si="5"/>
        <v>605х55х405</v>
      </c>
      <c r="I41" s="21">
        <v>1000</v>
      </c>
      <c r="J41" s="68">
        <f t="shared" si="6"/>
        <v>2.1416666666666666</v>
      </c>
      <c r="K41" s="70">
        <v>2.57</v>
      </c>
      <c r="L41" s="72">
        <f t="shared" ca="1" si="2"/>
        <v>0.71333333333333326</v>
      </c>
      <c r="M41" s="73">
        <f t="shared" ca="1" si="3"/>
        <v>713.33333333333326</v>
      </c>
      <c r="N41" s="12" t="s">
        <v>44</v>
      </c>
      <c r="O41" s="11" t="s">
        <v>45</v>
      </c>
      <c r="P41" s="13">
        <f t="shared" si="7"/>
        <v>2.57</v>
      </c>
      <c r="Q41" s="1" t="str">
        <f t="shared" si="8"/>
        <v>1000 + шт - 2,57 руб / шт с НДС</v>
      </c>
      <c r="R41" s="235"/>
      <c r="S41" s="239"/>
      <c r="T41" s="226"/>
      <c r="U41" s="228"/>
      <c r="V41" s="222"/>
      <c r="W41" s="229"/>
      <c r="X41" s="227"/>
      <c r="Y41" s="229"/>
      <c r="Z41" s="236"/>
      <c r="AA41" s="237"/>
      <c r="AB41" s="238"/>
      <c r="AC41" s="223"/>
      <c r="AD41" s="222"/>
    </row>
    <row r="42" spans="1:30" x14ac:dyDescent="0.4">
      <c r="A42" s="230">
        <v>10</v>
      </c>
      <c r="B42" s="7">
        <v>10</v>
      </c>
      <c r="C42" s="14">
        <f t="shared" ca="1" si="11"/>
        <v>1.0900000000000001</v>
      </c>
      <c r="D42" s="20">
        <f t="shared" ca="1" si="19"/>
        <v>1.3080000000000001</v>
      </c>
      <c r="E42" s="224" t="str">
        <f ca="1">INDIRECT("'Закуп'!D" &amp; A42)</f>
        <v>У</v>
      </c>
      <c r="F42" s="231" t="str">
        <f t="shared" ref="F42" ca="1" si="26">INDIRECT("'Закуп'!E" &amp; B42)</f>
        <v>160х150х800</v>
      </c>
      <c r="G42" s="172" t="str">
        <f t="shared" ca="1" si="4"/>
        <v/>
      </c>
      <c r="H42" s="93" t="str">
        <f t="shared" ca="1" si="5"/>
        <v/>
      </c>
      <c r="I42" s="21">
        <v>50</v>
      </c>
      <c r="J42" s="68">
        <f t="shared" si="6"/>
        <v>2.3333333333333335</v>
      </c>
      <c r="K42" s="70">
        <v>2.8</v>
      </c>
      <c r="L42" s="72">
        <f t="shared" ca="1" si="2"/>
        <v>0.9946666666666667</v>
      </c>
      <c r="M42" s="73">
        <f t="shared" ca="1" si="3"/>
        <v>49.733333333333334</v>
      </c>
      <c r="N42" s="12" t="s">
        <v>40</v>
      </c>
      <c r="O42" s="47" t="s">
        <v>45</v>
      </c>
      <c r="P42" s="13">
        <f t="shared" ref="P42:P46" si="27">ROUND(K42,2)</f>
        <v>2.8</v>
      </c>
      <c r="Q42" s="1" t="str">
        <f>CONCATENATE(N42,P42,O42,)</f>
        <v>50-90 шт - 2,8 руб / шт с НДС</v>
      </c>
      <c r="R42" s="235" t="str">
        <f ca="1">INDIRECT("'Закуп'!k" &amp; A42)</f>
        <v>K9</v>
      </c>
      <c r="S42" s="239">
        <f ca="1">INDIRECT("'Закуп'!o" &amp; A42)</f>
        <v>19.2</v>
      </c>
      <c r="T42" s="226" t="str">
        <f ca="1">INDIRECT("'Закуп'!p" &amp; A42)</f>
        <v>15-19,9 литров</v>
      </c>
      <c r="U42" s="228" t="str">
        <f ca="1">INDIRECT("'Закуп'!v" &amp; A42)</f>
        <v>Длинные</v>
      </c>
      <c r="V42" s="222" t="str">
        <f ca="1">INDIRECT("'Закуп'!w" &amp; A42)</f>
        <v/>
      </c>
      <c r="W42" s="229" t="str">
        <f ca="1">INDIRECT("'Закуп'!H" &amp; A42)</f>
        <v>0201</v>
      </c>
      <c r="X42" s="227" t="str">
        <f ca="1">INDIRECT("'Закуп'!g" &amp; A42)</f>
        <v>Ч</v>
      </c>
      <c r="Y42" s="229" t="str">
        <f ca="1">INDIRECT("'Закуп'!i" &amp; A42)</f>
        <v>В</v>
      </c>
      <c r="Z42" s="236" t="str">
        <f ca="1">INDIRECT("'Закуп'!x" &amp; A42)</f>
        <v>700-999 мм</v>
      </c>
      <c r="AA42" s="237" t="str">
        <f ca="1">INDIRECT("'Закуп'!y" &amp; A42)</f>
        <v>100-199 мм</v>
      </c>
      <c r="AB42" s="238" t="str">
        <f ca="1">INDIRECT("'Закуп'!z" &amp; A42)</f>
        <v>100-199 мм</v>
      </c>
      <c r="AC42" s="223" t="str">
        <f t="shared" ref="AC42" ca="1" si="28">SUBSTITUTE(INDEX(F:F, ROUNDUP((ROW(A41))/5,0)*5 - 3), "х", "x")</f>
        <v>160x150x800</v>
      </c>
      <c r="AD42" s="222" t="str">
        <f t="shared" ca="1" si="14"/>
        <v>160x150x800 - 160*150*800 мм</v>
      </c>
    </row>
    <row r="43" spans="1:30" x14ac:dyDescent="0.4">
      <c r="A43" s="230"/>
      <c r="B43" s="7">
        <v>10</v>
      </c>
      <c r="C43" s="14">
        <f t="shared" ca="1" si="11"/>
        <v>1.0900000000000001</v>
      </c>
      <c r="D43" s="20">
        <f t="shared" ca="1" si="19"/>
        <v>1.3080000000000001</v>
      </c>
      <c r="E43" s="225"/>
      <c r="F43" s="231"/>
      <c r="G43" s="172" t="str">
        <f t="shared" ca="1" si="4"/>
        <v/>
      </c>
      <c r="H43" s="93" t="str">
        <f t="shared" ca="1" si="5"/>
        <v/>
      </c>
      <c r="I43" s="21">
        <v>100</v>
      </c>
      <c r="J43" s="68">
        <f t="shared" si="6"/>
        <v>1.8666666666666669</v>
      </c>
      <c r="K43" s="70">
        <v>2.2400000000000002</v>
      </c>
      <c r="L43" s="72">
        <f t="shared" ca="1" si="2"/>
        <v>0.62133333333333352</v>
      </c>
      <c r="M43" s="73">
        <f t="shared" ca="1" si="3"/>
        <v>62.133333333333354</v>
      </c>
      <c r="N43" s="12" t="s">
        <v>41</v>
      </c>
      <c r="O43" s="47" t="s">
        <v>45</v>
      </c>
      <c r="P43" s="13">
        <f t="shared" si="27"/>
        <v>2.2400000000000002</v>
      </c>
      <c r="Q43" s="1" t="str">
        <f t="shared" ref="Q43:Q47" si="29">CONCATENATE(N43,P43,O43,)</f>
        <v>100-290 шт - 2,24 руб / шт с НДС</v>
      </c>
      <c r="R43" s="235"/>
      <c r="S43" s="239"/>
      <c r="T43" s="226"/>
      <c r="U43" s="228"/>
      <c r="V43" s="222"/>
      <c r="W43" s="229"/>
      <c r="X43" s="227"/>
      <c r="Y43" s="229"/>
      <c r="Z43" s="236"/>
      <c r="AA43" s="237"/>
      <c r="AB43" s="238"/>
      <c r="AC43" s="223"/>
      <c r="AD43" s="222"/>
    </row>
    <row r="44" spans="1:30" x14ac:dyDescent="0.4">
      <c r="A44" s="230"/>
      <c r="B44" s="7">
        <v>10</v>
      </c>
      <c r="C44" s="14">
        <f t="shared" ca="1" si="11"/>
        <v>1.0900000000000001</v>
      </c>
      <c r="D44" s="20">
        <f t="shared" ca="1" si="19"/>
        <v>1.3080000000000001</v>
      </c>
      <c r="E44" s="225"/>
      <c r="F44" s="231"/>
      <c r="G44" s="172" t="str">
        <f t="shared" ca="1" si="4"/>
        <v/>
      </c>
      <c r="H44" s="93" t="str">
        <f t="shared" ca="1" si="5"/>
        <v/>
      </c>
      <c r="I44" s="21">
        <v>300</v>
      </c>
      <c r="J44" s="68">
        <f t="shared" si="6"/>
        <v>1.7000000000000002</v>
      </c>
      <c r="K44" s="70">
        <v>2.04</v>
      </c>
      <c r="L44" s="72">
        <f t="shared" ca="1" si="2"/>
        <v>0.4880000000000001</v>
      </c>
      <c r="M44" s="73">
        <f t="shared" ca="1" si="3"/>
        <v>146.40000000000003</v>
      </c>
      <c r="N44" s="12" t="s">
        <v>42</v>
      </c>
      <c r="O44" s="47" t="s">
        <v>45</v>
      </c>
      <c r="P44" s="13">
        <f t="shared" si="27"/>
        <v>2.04</v>
      </c>
      <c r="Q44" s="1" t="str">
        <f t="shared" si="29"/>
        <v>300-490 шт - 2,04 руб / шт с НДС</v>
      </c>
      <c r="R44" s="235"/>
      <c r="S44" s="239"/>
      <c r="T44" s="226"/>
      <c r="U44" s="228"/>
      <c r="V44" s="222"/>
      <c r="W44" s="229"/>
      <c r="X44" s="227"/>
      <c r="Y44" s="229"/>
      <c r="Z44" s="236"/>
      <c r="AA44" s="237"/>
      <c r="AB44" s="238"/>
      <c r="AC44" s="223"/>
      <c r="AD44" s="222"/>
    </row>
    <row r="45" spans="1:30" x14ac:dyDescent="0.4">
      <c r="A45" s="230"/>
      <c r="B45" s="7">
        <v>10</v>
      </c>
      <c r="C45" s="14">
        <f t="shared" ca="1" si="11"/>
        <v>1.0900000000000001</v>
      </c>
      <c r="D45" s="20">
        <f t="shared" ca="1" si="19"/>
        <v>1.3080000000000001</v>
      </c>
      <c r="E45" s="225"/>
      <c r="F45" s="231"/>
      <c r="G45" s="172" t="str">
        <f t="shared" ca="1" si="4"/>
        <v/>
      </c>
      <c r="H45" s="93" t="str">
        <f t="shared" ca="1" si="5"/>
        <v/>
      </c>
      <c r="I45" s="21">
        <v>500</v>
      </c>
      <c r="J45" s="68">
        <f t="shared" si="6"/>
        <v>1.5166666666666668</v>
      </c>
      <c r="K45" s="70">
        <v>1.82</v>
      </c>
      <c r="L45" s="72">
        <f t="shared" ca="1" si="2"/>
        <v>0.34133333333333338</v>
      </c>
      <c r="M45" s="73">
        <f t="shared" ca="1" si="3"/>
        <v>170.66666666666669</v>
      </c>
      <c r="N45" s="12" t="s">
        <v>43</v>
      </c>
      <c r="O45" s="47" t="s">
        <v>45</v>
      </c>
      <c r="P45" s="13">
        <f t="shared" si="27"/>
        <v>1.82</v>
      </c>
      <c r="Q45" s="1" t="str">
        <f t="shared" si="29"/>
        <v>500-990 шт - 1,82 руб / шт с НДС</v>
      </c>
      <c r="R45" s="235"/>
      <c r="S45" s="239"/>
      <c r="T45" s="226"/>
      <c r="U45" s="228"/>
      <c r="V45" s="222"/>
      <c r="W45" s="229"/>
      <c r="X45" s="227"/>
      <c r="Y45" s="229"/>
      <c r="Z45" s="236"/>
      <c r="AA45" s="237"/>
      <c r="AB45" s="238"/>
      <c r="AC45" s="223"/>
      <c r="AD45" s="222"/>
    </row>
    <row r="46" spans="1:30" x14ac:dyDescent="0.4">
      <c r="A46" s="230"/>
      <c r="B46" s="7">
        <v>10</v>
      </c>
      <c r="C46" s="14">
        <f t="shared" ca="1" si="11"/>
        <v>1.0900000000000001</v>
      </c>
      <c r="D46" s="20">
        <f t="shared" ca="1" si="19"/>
        <v>1.3080000000000001</v>
      </c>
      <c r="E46" s="225"/>
      <c r="F46" s="231"/>
      <c r="G46" s="172" t="str">
        <f t="shared" ca="1" si="4"/>
        <v/>
      </c>
      <c r="H46" s="93" t="str">
        <f t="shared" ca="1" si="5"/>
        <v/>
      </c>
      <c r="I46" s="21">
        <v>1000</v>
      </c>
      <c r="J46" s="68">
        <f t="shared" si="6"/>
        <v>1.4750000000000001</v>
      </c>
      <c r="K46" s="70">
        <v>1.77</v>
      </c>
      <c r="L46" s="72">
        <f t="shared" ca="1" si="2"/>
        <v>0.308</v>
      </c>
      <c r="M46" s="73">
        <f t="shared" ca="1" si="3"/>
        <v>308</v>
      </c>
      <c r="N46" s="12" t="s">
        <v>44</v>
      </c>
      <c r="O46" s="47" t="s">
        <v>45</v>
      </c>
      <c r="P46" s="13">
        <f t="shared" si="27"/>
        <v>1.77</v>
      </c>
      <c r="Q46" s="1" t="str">
        <f t="shared" si="29"/>
        <v>1000 + шт - 1,77 руб / шт с НДС</v>
      </c>
      <c r="R46" s="235"/>
      <c r="S46" s="239"/>
      <c r="T46" s="226"/>
      <c r="U46" s="228"/>
      <c r="V46" s="222"/>
      <c r="W46" s="229"/>
      <c r="X46" s="227"/>
      <c r="Y46" s="229"/>
      <c r="Z46" s="236"/>
      <c r="AA46" s="237"/>
      <c r="AB46" s="238"/>
      <c r="AC46" s="223"/>
      <c r="AD46" s="222"/>
    </row>
    <row r="47" spans="1:30" x14ac:dyDescent="0.4">
      <c r="A47" s="230">
        <v>11</v>
      </c>
      <c r="B47" s="7">
        <v>11</v>
      </c>
      <c r="C47" s="14">
        <f t="shared" ca="1" si="11"/>
        <v>1.9</v>
      </c>
      <c r="D47" s="20">
        <f t="shared" ca="1" si="19"/>
        <v>2.2799999999999998</v>
      </c>
      <c r="E47" s="224" t="str">
        <f ca="1">INDIRECT("'Закуп'!D" &amp; A47)</f>
        <v>У</v>
      </c>
      <c r="F47" s="231" t="str">
        <f t="shared" ref="F47" ca="1" si="30">INDIRECT("'Закуп'!E" &amp; B47)</f>
        <v>870х510х35</v>
      </c>
      <c r="G47" s="172" t="str">
        <f t="shared" ca="1" si="4"/>
        <v/>
      </c>
      <c r="H47" s="93" t="str">
        <f t="shared" ca="1" si="5"/>
        <v/>
      </c>
      <c r="I47" s="21">
        <v>50</v>
      </c>
      <c r="J47" s="68">
        <f t="shared" si="6"/>
        <v>3.2583333333333337</v>
      </c>
      <c r="K47" s="70">
        <v>3.91</v>
      </c>
      <c r="L47" s="72">
        <f t="shared" ca="1" si="2"/>
        <v>1.0866666666666671</v>
      </c>
      <c r="M47" s="73">
        <f t="shared" ca="1" si="3"/>
        <v>54.333333333333357</v>
      </c>
      <c r="N47" s="12" t="s">
        <v>40</v>
      </c>
      <c r="O47" s="47" t="s">
        <v>45</v>
      </c>
      <c r="P47" s="13">
        <f t="shared" ref="P47:P110" si="31">ROUND(K47,2)</f>
        <v>3.91</v>
      </c>
      <c r="Q47" s="1" t="str">
        <f t="shared" si="29"/>
        <v>50-90 шт - 3,91 руб / шт с НДС</v>
      </c>
      <c r="R47" s="235" t="str">
        <f ca="1">INDIRECT("'Закуп'!k" &amp; A47)</f>
        <v>K10</v>
      </c>
      <c r="S47" s="239">
        <f ca="1">INDIRECT("'Закуп'!o" &amp; A47)</f>
        <v>15.53</v>
      </c>
      <c r="T47" s="226" t="str">
        <f ca="1">INDIRECT("'Закуп'!p" &amp; A47)</f>
        <v>15-19,9 литров</v>
      </c>
      <c r="U47" s="228" t="str">
        <f ca="1">INDIRECT("'Закуп'!v" &amp; A47)</f>
        <v/>
      </c>
      <c r="V47" s="222" t="str">
        <f ca="1">INDIRECT("'Закуп'!w" &amp; A47)</f>
        <v>Плоские</v>
      </c>
      <c r="W47" s="229" t="str">
        <f ca="1">INDIRECT("'Закуп'!H" &amp; A47)</f>
        <v>0401</v>
      </c>
      <c r="X47" s="227" t="str">
        <f ca="1">INDIRECT("'Закуп'!g" &amp; A47)</f>
        <v>Ч</v>
      </c>
      <c r="Y47" s="229" t="str">
        <f ca="1">INDIRECT("'Закуп'!i" &amp; A47)</f>
        <v>В</v>
      </c>
      <c r="Z47" s="236" t="str">
        <f ca="1">INDIRECT("'Закуп'!x" &amp; A47)</f>
        <v>700-999 мм</v>
      </c>
      <c r="AA47" s="237" t="str">
        <f ca="1">INDIRECT("'Закуп'!y" &amp; A47)</f>
        <v>500-599 мм</v>
      </c>
      <c r="AB47" s="238" t="str">
        <f ca="1">INDIRECT("'Закуп'!z" &amp; A47)</f>
        <v>10-99 мм</v>
      </c>
      <c r="AC47" s="223" t="str">
        <f t="shared" ref="AC47" ca="1" si="32">SUBSTITUTE(INDEX(F:F, ROUNDUP((ROW(A46))/5,0)*5 - 3), "х", "x")</f>
        <v>870x510x35</v>
      </c>
      <c r="AD47" s="222" t="str">
        <f t="shared" ca="1" si="14"/>
        <v>870x510x35 - 870*510*35 мм</v>
      </c>
    </row>
    <row r="48" spans="1:30" x14ac:dyDescent="0.4">
      <c r="A48" s="230"/>
      <c r="B48" s="7">
        <v>11</v>
      </c>
      <c r="C48" s="14">
        <f t="shared" ca="1" si="11"/>
        <v>1.9</v>
      </c>
      <c r="D48" s="20">
        <f t="shared" ca="1" si="19"/>
        <v>2.2799999999999998</v>
      </c>
      <c r="E48" s="225"/>
      <c r="F48" s="231"/>
      <c r="G48" s="172" t="str">
        <f t="shared" ca="1" si="4"/>
        <v/>
      </c>
      <c r="H48" s="93" t="str">
        <f t="shared" ca="1" si="5"/>
        <v/>
      </c>
      <c r="I48" s="21">
        <v>100</v>
      </c>
      <c r="J48" s="68">
        <f t="shared" si="6"/>
        <v>3.1750000000000003</v>
      </c>
      <c r="K48" s="70">
        <v>3.81</v>
      </c>
      <c r="L48" s="72">
        <f t="shared" ca="1" si="2"/>
        <v>1.0200000000000002</v>
      </c>
      <c r="M48" s="73">
        <f t="shared" ca="1" si="3"/>
        <v>102.00000000000003</v>
      </c>
      <c r="N48" s="12" t="s">
        <v>41</v>
      </c>
      <c r="O48" s="47" t="s">
        <v>45</v>
      </c>
      <c r="P48" s="13">
        <f t="shared" si="31"/>
        <v>3.81</v>
      </c>
      <c r="Q48" s="1" t="str">
        <f t="shared" ref="Q48:Q111" si="33">CONCATENATE(N48,P48,O48,)</f>
        <v>100-290 шт - 3,81 руб / шт с НДС</v>
      </c>
      <c r="R48" s="235"/>
      <c r="S48" s="239"/>
      <c r="T48" s="226"/>
      <c r="U48" s="228"/>
      <c r="V48" s="222"/>
      <c r="W48" s="229"/>
      <c r="X48" s="227"/>
      <c r="Y48" s="229"/>
      <c r="Z48" s="236"/>
      <c r="AA48" s="237"/>
      <c r="AB48" s="238"/>
      <c r="AC48" s="223"/>
      <c r="AD48" s="222"/>
    </row>
    <row r="49" spans="1:30" x14ac:dyDescent="0.4">
      <c r="A49" s="230"/>
      <c r="B49" s="7">
        <v>11</v>
      </c>
      <c r="C49" s="14">
        <f t="shared" ca="1" si="11"/>
        <v>1.9</v>
      </c>
      <c r="D49" s="20">
        <f t="shared" ca="1" si="19"/>
        <v>2.2799999999999998</v>
      </c>
      <c r="E49" s="225"/>
      <c r="F49" s="231"/>
      <c r="G49" s="172" t="str">
        <f t="shared" ca="1" si="4"/>
        <v/>
      </c>
      <c r="H49" s="93" t="str">
        <f t="shared" ca="1" si="5"/>
        <v/>
      </c>
      <c r="I49" s="21">
        <v>300</v>
      </c>
      <c r="J49" s="68">
        <f t="shared" si="6"/>
        <v>2.6416666666666666</v>
      </c>
      <c r="K49" s="70">
        <v>3.17</v>
      </c>
      <c r="L49" s="72">
        <f t="shared" ca="1" si="2"/>
        <v>0.59333333333333338</v>
      </c>
      <c r="M49" s="73">
        <f t="shared" ca="1" si="3"/>
        <v>178</v>
      </c>
      <c r="N49" s="12" t="s">
        <v>42</v>
      </c>
      <c r="O49" s="47" t="s">
        <v>45</v>
      </c>
      <c r="P49" s="13">
        <f t="shared" si="31"/>
        <v>3.17</v>
      </c>
      <c r="Q49" s="1" t="str">
        <f t="shared" si="33"/>
        <v>300-490 шт - 3,17 руб / шт с НДС</v>
      </c>
      <c r="R49" s="235"/>
      <c r="S49" s="239"/>
      <c r="T49" s="226"/>
      <c r="U49" s="228"/>
      <c r="V49" s="222"/>
      <c r="W49" s="229"/>
      <c r="X49" s="227"/>
      <c r="Y49" s="229"/>
      <c r="Z49" s="236"/>
      <c r="AA49" s="237"/>
      <c r="AB49" s="238"/>
      <c r="AC49" s="223"/>
      <c r="AD49" s="222"/>
    </row>
    <row r="50" spans="1:30" x14ac:dyDescent="0.4">
      <c r="A50" s="230"/>
      <c r="B50" s="7">
        <v>11</v>
      </c>
      <c r="C50" s="14">
        <f t="shared" ca="1" si="11"/>
        <v>1.9</v>
      </c>
      <c r="D50" s="20">
        <f t="shared" ca="1" si="19"/>
        <v>2.2799999999999998</v>
      </c>
      <c r="E50" s="225"/>
      <c r="F50" s="231"/>
      <c r="G50" s="172" t="str">
        <f t="shared" ca="1" si="4"/>
        <v/>
      </c>
      <c r="H50" s="93" t="str">
        <f t="shared" ca="1" si="5"/>
        <v/>
      </c>
      <c r="I50" s="21">
        <v>500</v>
      </c>
      <c r="J50" s="68">
        <f t="shared" si="6"/>
        <v>2.5583333333333331</v>
      </c>
      <c r="K50" s="70">
        <v>3.07</v>
      </c>
      <c r="L50" s="72">
        <f t="shared" ca="1" si="2"/>
        <v>0.52666666666666662</v>
      </c>
      <c r="M50" s="73">
        <f t="shared" ca="1" si="3"/>
        <v>263.33333333333331</v>
      </c>
      <c r="N50" s="12" t="s">
        <v>43</v>
      </c>
      <c r="O50" s="47" t="s">
        <v>45</v>
      </c>
      <c r="P50" s="13">
        <f t="shared" si="31"/>
        <v>3.07</v>
      </c>
      <c r="Q50" s="1" t="str">
        <f t="shared" si="33"/>
        <v>500-990 шт - 3,07 руб / шт с НДС</v>
      </c>
      <c r="R50" s="235"/>
      <c r="S50" s="239"/>
      <c r="T50" s="226"/>
      <c r="U50" s="228"/>
      <c r="V50" s="222"/>
      <c r="W50" s="229"/>
      <c r="X50" s="227"/>
      <c r="Y50" s="229"/>
      <c r="Z50" s="236"/>
      <c r="AA50" s="237"/>
      <c r="AB50" s="238"/>
      <c r="AC50" s="223"/>
      <c r="AD50" s="222"/>
    </row>
    <row r="51" spans="1:30" x14ac:dyDescent="0.4">
      <c r="A51" s="230"/>
      <c r="B51" s="7">
        <v>11</v>
      </c>
      <c r="C51" s="14">
        <f t="shared" ca="1" si="11"/>
        <v>1.9</v>
      </c>
      <c r="D51" s="20">
        <f t="shared" ca="1" si="19"/>
        <v>2.2799999999999998</v>
      </c>
      <c r="E51" s="225"/>
      <c r="F51" s="231"/>
      <c r="G51" s="172" t="str">
        <f t="shared" ca="1" si="4"/>
        <v/>
      </c>
      <c r="H51" s="93" t="str">
        <f t="shared" ca="1" si="5"/>
        <v/>
      </c>
      <c r="I51" s="21">
        <v>1000</v>
      </c>
      <c r="J51" s="68">
        <f t="shared" si="6"/>
        <v>2.4750000000000001</v>
      </c>
      <c r="K51" s="70">
        <v>2.97</v>
      </c>
      <c r="L51" s="72">
        <f t="shared" ca="1" si="2"/>
        <v>0.46000000000000013</v>
      </c>
      <c r="M51" s="73">
        <f t="shared" ca="1" si="3"/>
        <v>460.00000000000011</v>
      </c>
      <c r="N51" s="12" t="s">
        <v>44</v>
      </c>
      <c r="O51" s="47" t="s">
        <v>45</v>
      </c>
      <c r="P51" s="13">
        <f t="shared" si="31"/>
        <v>2.97</v>
      </c>
      <c r="Q51" s="1" t="str">
        <f t="shared" si="33"/>
        <v>1000 + шт - 2,97 руб / шт с НДС</v>
      </c>
      <c r="R51" s="235"/>
      <c r="S51" s="239"/>
      <c r="T51" s="226"/>
      <c r="U51" s="228"/>
      <c r="V51" s="222"/>
      <c r="W51" s="229"/>
      <c r="X51" s="227"/>
      <c r="Y51" s="229"/>
      <c r="Z51" s="236"/>
      <c r="AA51" s="237"/>
      <c r="AB51" s="238"/>
      <c r="AC51" s="223"/>
      <c r="AD51" s="222"/>
    </row>
    <row r="52" spans="1:30" x14ac:dyDescent="0.4">
      <c r="A52" s="230">
        <v>12</v>
      </c>
      <c r="B52" s="7">
        <v>12</v>
      </c>
      <c r="C52" s="14">
        <f t="shared" ca="1" si="11"/>
        <v>1.71</v>
      </c>
      <c r="D52" s="20">
        <f t="shared" ca="1" si="19"/>
        <v>2.052</v>
      </c>
      <c r="E52" s="224" t="str">
        <f ca="1">INDIRECT("'Закуп'!D" &amp; A52)</f>
        <v>У</v>
      </c>
      <c r="F52" s="231" t="str">
        <f t="shared" ref="F52" ca="1" si="34">INDIRECT("'Закуп'!E" &amp; B52)</f>
        <v>400х400х200</v>
      </c>
      <c r="G52" s="172" t="str">
        <f t="shared" ca="1" si="4"/>
        <v/>
      </c>
      <c r="H52" s="93" t="str">
        <f t="shared" ca="1" si="5"/>
        <v/>
      </c>
      <c r="I52" s="21">
        <v>50</v>
      </c>
      <c r="J52" s="68">
        <f t="shared" si="6"/>
        <v>2.9583333333333335</v>
      </c>
      <c r="K52" s="70">
        <v>3.55</v>
      </c>
      <c r="L52" s="72">
        <f t="shared" ca="1" si="2"/>
        <v>0.99866666666666681</v>
      </c>
      <c r="M52" s="73">
        <f t="shared" ca="1" si="3"/>
        <v>49.933333333333337</v>
      </c>
      <c r="N52" s="12" t="s">
        <v>40</v>
      </c>
      <c r="O52" s="47" t="s">
        <v>45</v>
      </c>
      <c r="P52" s="13">
        <f t="shared" si="31"/>
        <v>3.55</v>
      </c>
      <c r="Q52" s="1" t="str">
        <f t="shared" si="33"/>
        <v>50-90 шт - 3,55 руб / шт с НДС</v>
      </c>
      <c r="R52" s="235" t="str">
        <f ca="1">INDIRECT("'Закуп'!k" &amp; A52)</f>
        <v>K11</v>
      </c>
      <c r="S52" s="239">
        <f ca="1">INDIRECT("'Закуп'!o" &amp; A52)</f>
        <v>32</v>
      </c>
      <c r="T52" s="226" t="str">
        <f ca="1">INDIRECT("'Закуп'!p" &amp; A52)</f>
        <v>30-49 литров</v>
      </c>
      <c r="U52" s="228" t="str">
        <f ca="1">INDIRECT("'Закуп'!v" &amp; A52)</f>
        <v/>
      </c>
      <c r="V52" s="222" t="str">
        <f ca="1">INDIRECT("'Закуп'!w" &amp; A52)</f>
        <v>Плоские</v>
      </c>
      <c r="W52" s="229" t="str">
        <f ca="1">INDIRECT("'Закуп'!H" &amp; A52)</f>
        <v>0201</v>
      </c>
      <c r="X52" s="227" t="str">
        <f ca="1">INDIRECT("'Закуп'!g" &amp; A52)</f>
        <v>Ч</v>
      </c>
      <c r="Y52" s="229" t="str">
        <f ca="1">INDIRECT("'Закуп'!i" &amp; A52)</f>
        <v>В</v>
      </c>
      <c r="Z52" s="236" t="str">
        <f ca="1">INDIRECT("'Закуп'!x" &amp; A52)</f>
        <v>400-499 мм</v>
      </c>
      <c r="AA52" s="237" t="str">
        <f ca="1">INDIRECT("'Закуп'!y" &amp; A52)</f>
        <v>400-499 мм</v>
      </c>
      <c r="AB52" s="238" t="str">
        <f ca="1">INDIRECT("'Закуп'!z" &amp; A52)</f>
        <v>200-299 мм</v>
      </c>
      <c r="AC52" s="223" t="str">
        <f t="shared" ref="AC52" ca="1" si="35">SUBSTITUTE(INDEX(F:F, ROUNDUP((ROW(A51))/5,0)*5 - 3), "х", "x")</f>
        <v>400x400x200</v>
      </c>
      <c r="AD52" s="222" t="str">
        <f t="shared" ca="1" si="14"/>
        <v>400x400x200 - 400*400*200 мм</v>
      </c>
    </row>
    <row r="53" spans="1:30" x14ac:dyDescent="0.4">
      <c r="A53" s="230"/>
      <c r="B53" s="7">
        <v>12</v>
      </c>
      <c r="C53" s="14">
        <f t="shared" ca="1" si="11"/>
        <v>1.71</v>
      </c>
      <c r="D53" s="20">
        <f t="shared" ca="1" si="19"/>
        <v>2.052</v>
      </c>
      <c r="E53" s="225"/>
      <c r="F53" s="231"/>
      <c r="G53" s="172" t="str">
        <f t="shared" ca="1" si="4"/>
        <v/>
      </c>
      <c r="H53" s="93" t="str">
        <f t="shared" ca="1" si="5"/>
        <v/>
      </c>
      <c r="I53" s="21">
        <v>100</v>
      </c>
      <c r="J53" s="68">
        <f t="shared" si="6"/>
        <v>2.6833333333333336</v>
      </c>
      <c r="K53" s="70">
        <v>3.22</v>
      </c>
      <c r="L53" s="72">
        <f t="shared" ca="1" si="2"/>
        <v>0.77866666666666684</v>
      </c>
      <c r="M53" s="73">
        <f t="shared" ca="1" si="3"/>
        <v>77.866666666666688</v>
      </c>
      <c r="N53" s="12" t="s">
        <v>41</v>
      </c>
      <c r="O53" s="47" t="s">
        <v>45</v>
      </c>
      <c r="P53" s="13">
        <f t="shared" si="31"/>
        <v>3.22</v>
      </c>
      <c r="Q53" s="1" t="str">
        <f t="shared" si="33"/>
        <v>100-290 шт - 3,22 руб / шт с НДС</v>
      </c>
      <c r="R53" s="235"/>
      <c r="S53" s="239"/>
      <c r="T53" s="226"/>
      <c r="U53" s="228"/>
      <c r="V53" s="222"/>
      <c r="W53" s="229"/>
      <c r="X53" s="227"/>
      <c r="Y53" s="229"/>
      <c r="Z53" s="236"/>
      <c r="AA53" s="237"/>
      <c r="AB53" s="238"/>
      <c r="AC53" s="223"/>
      <c r="AD53" s="222"/>
    </row>
    <row r="54" spans="1:30" x14ac:dyDescent="0.4">
      <c r="A54" s="230"/>
      <c r="B54" s="7">
        <v>12</v>
      </c>
      <c r="C54" s="14">
        <f t="shared" ca="1" si="11"/>
        <v>1.71</v>
      </c>
      <c r="D54" s="20">
        <f t="shared" ca="1" si="19"/>
        <v>2.052</v>
      </c>
      <c r="E54" s="225"/>
      <c r="F54" s="231"/>
      <c r="G54" s="172" t="str">
        <f t="shared" ca="1" si="4"/>
        <v/>
      </c>
      <c r="H54" s="93" t="str">
        <f t="shared" ca="1" si="5"/>
        <v/>
      </c>
      <c r="I54" s="21">
        <v>300</v>
      </c>
      <c r="J54" s="68">
        <f t="shared" si="6"/>
        <v>2.4083333333333337</v>
      </c>
      <c r="K54" s="70">
        <v>2.89</v>
      </c>
      <c r="L54" s="72">
        <f t="shared" ca="1" si="2"/>
        <v>0.55866666666666698</v>
      </c>
      <c r="M54" s="73">
        <f t="shared" ca="1" si="3"/>
        <v>167.60000000000008</v>
      </c>
      <c r="N54" s="12" t="s">
        <v>42</v>
      </c>
      <c r="O54" s="47" t="s">
        <v>45</v>
      </c>
      <c r="P54" s="13">
        <f t="shared" si="31"/>
        <v>2.89</v>
      </c>
      <c r="Q54" s="1" t="str">
        <f t="shared" si="33"/>
        <v>300-490 шт - 2,89 руб / шт с НДС</v>
      </c>
      <c r="R54" s="235"/>
      <c r="S54" s="239"/>
      <c r="T54" s="226"/>
      <c r="U54" s="228"/>
      <c r="V54" s="222"/>
      <c r="W54" s="229"/>
      <c r="X54" s="227"/>
      <c r="Y54" s="229"/>
      <c r="Z54" s="236"/>
      <c r="AA54" s="237"/>
      <c r="AB54" s="238"/>
      <c r="AC54" s="223"/>
      <c r="AD54" s="222"/>
    </row>
    <row r="55" spans="1:30" x14ac:dyDescent="0.4">
      <c r="A55" s="230"/>
      <c r="B55" s="7">
        <v>12</v>
      </c>
      <c r="C55" s="14">
        <f t="shared" ca="1" si="11"/>
        <v>1.71</v>
      </c>
      <c r="D55" s="20">
        <f t="shared" ca="1" si="19"/>
        <v>2.052</v>
      </c>
      <c r="E55" s="225"/>
      <c r="F55" s="231"/>
      <c r="G55" s="172" t="str">
        <f t="shared" ca="1" si="4"/>
        <v/>
      </c>
      <c r="H55" s="93" t="str">
        <f t="shared" ca="1" si="5"/>
        <v/>
      </c>
      <c r="I55" s="21">
        <v>500</v>
      </c>
      <c r="J55" s="68">
        <f t="shared" si="6"/>
        <v>2.2583333333333333</v>
      </c>
      <c r="K55" s="70">
        <v>2.71</v>
      </c>
      <c r="L55" s="72">
        <f t="shared" ca="1" si="2"/>
        <v>0.43866666666666665</v>
      </c>
      <c r="M55" s="73">
        <f t="shared" ca="1" si="3"/>
        <v>219.33333333333331</v>
      </c>
      <c r="N55" s="12" t="s">
        <v>43</v>
      </c>
      <c r="O55" s="47" t="s">
        <v>45</v>
      </c>
      <c r="P55" s="13">
        <f t="shared" si="31"/>
        <v>2.71</v>
      </c>
      <c r="Q55" s="1" t="str">
        <f t="shared" si="33"/>
        <v>500-990 шт - 2,71 руб / шт с НДС</v>
      </c>
      <c r="R55" s="235"/>
      <c r="S55" s="239"/>
      <c r="T55" s="226"/>
      <c r="U55" s="228"/>
      <c r="V55" s="222"/>
      <c r="W55" s="229"/>
      <c r="X55" s="227"/>
      <c r="Y55" s="229"/>
      <c r="Z55" s="236"/>
      <c r="AA55" s="237"/>
      <c r="AB55" s="238"/>
      <c r="AC55" s="223"/>
      <c r="AD55" s="222"/>
    </row>
    <row r="56" spans="1:30" x14ac:dyDescent="0.4">
      <c r="A56" s="230"/>
      <c r="B56" s="7">
        <v>12</v>
      </c>
      <c r="C56" s="14">
        <f t="shared" ca="1" si="11"/>
        <v>1.71</v>
      </c>
      <c r="D56" s="20">
        <f t="shared" ca="1" si="19"/>
        <v>2.052</v>
      </c>
      <c r="E56" s="225"/>
      <c r="F56" s="231"/>
      <c r="G56" s="172" t="str">
        <f t="shared" ca="1" si="4"/>
        <v/>
      </c>
      <c r="H56" s="93" t="str">
        <f t="shared" ca="1" si="5"/>
        <v/>
      </c>
      <c r="I56" s="21">
        <v>1000</v>
      </c>
      <c r="J56" s="68">
        <f t="shared" si="6"/>
        <v>2.125</v>
      </c>
      <c r="K56" s="70">
        <v>2.5499999999999998</v>
      </c>
      <c r="L56" s="72">
        <f t="shared" ca="1" si="2"/>
        <v>0.33200000000000002</v>
      </c>
      <c r="M56" s="73">
        <f t="shared" ca="1" si="3"/>
        <v>332</v>
      </c>
      <c r="N56" s="12" t="s">
        <v>44</v>
      </c>
      <c r="O56" s="47" t="s">
        <v>45</v>
      </c>
      <c r="P56" s="13">
        <f t="shared" si="31"/>
        <v>2.5499999999999998</v>
      </c>
      <c r="Q56" s="1" t="str">
        <f t="shared" si="33"/>
        <v>1000 + шт - 2,55 руб / шт с НДС</v>
      </c>
      <c r="R56" s="235"/>
      <c r="S56" s="239"/>
      <c r="T56" s="226"/>
      <c r="U56" s="228"/>
      <c r="V56" s="222"/>
      <c r="W56" s="229"/>
      <c r="X56" s="227"/>
      <c r="Y56" s="229"/>
      <c r="Z56" s="236"/>
      <c r="AA56" s="237"/>
      <c r="AB56" s="238"/>
      <c r="AC56" s="223"/>
      <c r="AD56" s="222"/>
    </row>
    <row r="57" spans="1:30" x14ac:dyDescent="0.4">
      <c r="A57" s="230">
        <v>13</v>
      </c>
      <c r="B57" s="7">
        <v>13</v>
      </c>
      <c r="C57" s="14">
        <f t="shared" ca="1" si="11"/>
        <v>2.1800000000000002</v>
      </c>
      <c r="D57" s="20">
        <f t="shared" ca="1" si="19"/>
        <v>2.6160000000000001</v>
      </c>
      <c r="E57" s="224" t="str">
        <f ca="1">INDIRECT("'Закуп'!D" &amp; A57)</f>
        <v>У</v>
      </c>
      <c r="F57" s="231" t="str">
        <f t="shared" ref="F57" ca="1" si="36">INDIRECT("'Закуп'!E" &amp; B57)</f>
        <v>400х400х400</v>
      </c>
      <c r="G57" s="172" t="str">
        <f t="shared" ca="1" si="4"/>
        <v/>
      </c>
      <c r="H57" s="93" t="str">
        <f t="shared" ca="1" si="5"/>
        <v/>
      </c>
      <c r="I57" s="21">
        <v>50</v>
      </c>
      <c r="J57" s="68">
        <f t="shared" si="6"/>
        <v>3.7333333333333338</v>
      </c>
      <c r="K57" s="70">
        <v>4.4800000000000004</v>
      </c>
      <c r="L57" s="72">
        <f t="shared" ca="1" si="2"/>
        <v>1.242666666666667</v>
      </c>
      <c r="M57" s="73">
        <f t="shared" ca="1" si="3"/>
        <v>62.133333333333354</v>
      </c>
      <c r="N57" s="12" t="s">
        <v>40</v>
      </c>
      <c r="O57" s="47" t="s">
        <v>45</v>
      </c>
      <c r="P57" s="13">
        <f t="shared" si="31"/>
        <v>4.4800000000000004</v>
      </c>
      <c r="Q57" s="1" t="str">
        <f t="shared" si="33"/>
        <v>50-90 шт - 4,48 руб / шт с НДС</v>
      </c>
      <c r="R57" s="235" t="str">
        <f ca="1">INDIRECT("'Закуп'!k" &amp; A57)</f>
        <v>K12</v>
      </c>
      <c r="S57" s="239">
        <f ca="1">INDIRECT("'Закуп'!o" &amp; A57)</f>
        <v>64</v>
      </c>
      <c r="T57" s="226" t="str">
        <f ca="1">INDIRECT("'Закуп'!p" &amp; A57)</f>
        <v>60-69 литров</v>
      </c>
      <c r="U57" s="228" t="str">
        <f ca="1">INDIRECT("'Закуп'!v" &amp; A57)</f>
        <v/>
      </c>
      <c r="V57" s="222" t="str">
        <f ca="1">INDIRECT("'Закуп'!w" &amp; A57)</f>
        <v/>
      </c>
      <c r="W57" s="229" t="str">
        <f ca="1">INDIRECT("'Закуп'!H" &amp; A57)</f>
        <v>0201</v>
      </c>
      <c r="X57" s="227" t="str">
        <f ca="1">INDIRECT("'Закуп'!g" &amp; A57)</f>
        <v>Ч</v>
      </c>
      <c r="Y57" s="229" t="str">
        <f ca="1">INDIRECT("'Закуп'!i" &amp; A57)</f>
        <v>В</v>
      </c>
      <c r="Z57" s="236" t="str">
        <f ca="1">INDIRECT("'Закуп'!x" &amp; A57)</f>
        <v>400-499 мм</v>
      </c>
      <c r="AA57" s="237" t="str">
        <f ca="1">INDIRECT("'Закуп'!y" &amp; A57)</f>
        <v>400-499 мм</v>
      </c>
      <c r="AB57" s="238" t="str">
        <f ca="1">INDIRECT("'Закуп'!z" &amp; A57)</f>
        <v>400-499 мм</v>
      </c>
      <c r="AC57" s="223" t="str">
        <f t="shared" ref="AC57" ca="1" si="37">SUBSTITUTE(INDEX(F:F, ROUNDUP((ROW(A56))/5,0)*5 - 3), "х", "x")</f>
        <v>400x400x400</v>
      </c>
      <c r="AD57" s="222" t="str">
        <f t="shared" ca="1" si="14"/>
        <v>400x400x400 - 400*400*400 мм</v>
      </c>
    </row>
    <row r="58" spans="1:30" x14ac:dyDescent="0.4">
      <c r="A58" s="230"/>
      <c r="B58" s="7">
        <v>13</v>
      </c>
      <c r="C58" s="14">
        <f t="shared" ca="1" si="11"/>
        <v>2.1800000000000002</v>
      </c>
      <c r="D58" s="20">
        <f t="shared" ca="1" si="19"/>
        <v>2.6160000000000001</v>
      </c>
      <c r="E58" s="225"/>
      <c r="F58" s="231"/>
      <c r="G58" s="172" t="str">
        <f t="shared" ca="1" si="4"/>
        <v/>
      </c>
      <c r="H58" s="93" t="str">
        <f t="shared" ca="1" si="5"/>
        <v/>
      </c>
      <c r="I58" s="21">
        <v>100</v>
      </c>
      <c r="J58" s="68">
        <f t="shared" si="6"/>
        <v>3.6416666666666671</v>
      </c>
      <c r="K58" s="70">
        <v>4.37</v>
      </c>
      <c r="L58" s="72">
        <f t="shared" ca="1" si="2"/>
        <v>1.1693333333333336</v>
      </c>
      <c r="M58" s="73">
        <f t="shared" ca="1" si="3"/>
        <v>116.93333333333335</v>
      </c>
      <c r="N58" s="12" t="s">
        <v>41</v>
      </c>
      <c r="O58" s="47" t="s">
        <v>45</v>
      </c>
      <c r="P58" s="13">
        <f t="shared" si="31"/>
        <v>4.37</v>
      </c>
      <c r="Q58" s="1" t="str">
        <f t="shared" si="33"/>
        <v>100-290 шт - 4,37 руб / шт с НДС</v>
      </c>
      <c r="R58" s="235"/>
      <c r="S58" s="239"/>
      <c r="T58" s="226"/>
      <c r="U58" s="228"/>
      <c r="V58" s="222"/>
      <c r="W58" s="229"/>
      <c r="X58" s="227"/>
      <c r="Y58" s="229"/>
      <c r="Z58" s="236"/>
      <c r="AA58" s="237"/>
      <c r="AB58" s="238"/>
      <c r="AC58" s="223"/>
      <c r="AD58" s="222"/>
    </row>
    <row r="59" spans="1:30" x14ac:dyDescent="0.4">
      <c r="A59" s="230"/>
      <c r="B59" s="7">
        <v>13</v>
      </c>
      <c r="C59" s="14">
        <f t="shared" ca="1" si="11"/>
        <v>2.1800000000000002</v>
      </c>
      <c r="D59" s="20">
        <f t="shared" ca="1" si="19"/>
        <v>2.6160000000000001</v>
      </c>
      <c r="E59" s="225"/>
      <c r="F59" s="231"/>
      <c r="G59" s="172" t="str">
        <f t="shared" ca="1" si="4"/>
        <v/>
      </c>
      <c r="H59" s="93" t="str">
        <f t="shared" ca="1" si="5"/>
        <v/>
      </c>
      <c r="I59" s="21">
        <v>300</v>
      </c>
      <c r="J59" s="68">
        <f t="shared" si="6"/>
        <v>2.9833333333333334</v>
      </c>
      <c r="K59" s="70">
        <v>3.58</v>
      </c>
      <c r="L59" s="72">
        <f t="shared" ca="1" si="2"/>
        <v>0.64266666666666661</v>
      </c>
      <c r="M59" s="73">
        <f t="shared" ca="1" si="3"/>
        <v>192.79999999999998</v>
      </c>
      <c r="N59" s="12" t="s">
        <v>42</v>
      </c>
      <c r="O59" s="47" t="s">
        <v>45</v>
      </c>
      <c r="P59" s="13">
        <f t="shared" si="31"/>
        <v>3.58</v>
      </c>
      <c r="Q59" s="1" t="str">
        <f t="shared" si="33"/>
        <v>300-490 шт - 3,58 руб / шт с НДС</v>
      </c>
      <c r="R59" s="235"/>
      <c r="S59" s="239"/>
      <c r="T59" s="226"/>
      <c r="U59" s="228"/>
      <c r="V59" s="222"/>
      <c r="W59" s="229"/>
      <c r="X59" s="227"/>
      <c r="Y59" s="229"/>
      <c r="Z59" s="236"/>
      <c r="AA59" s="237"/>
      <c r="AB59" s="238"/>
      <c r="AC59" s="223"/>
      <c r="AD59" s="222"/>
    </row>
    <row r="60" spans="1:30" x14ac:dyDescent="0.4">
      <c r="A60" s="230"/>
      <c r="B60" s="7">
        <v>13</v>
      </c>
      <c r="C60" s="14">
        <f t="shared" ca="1" si="11"/>
        <v>2.1800000000000002</v>
      </c>
      <c r="D60" s="20">
        <f t="shared" ca="1" si="19"/>
        <v>2.6160000000000001</v>
      </c>
      <c r="E60" s="225"/>
      <c r="F60" s="231"/>
      <c r="G60" s="172" t="str">
        <f t="shared" ca="1" si="4"/>
        <v/>
      </c>
      <c r="H60" s="93" t="str">
        <f t="shared" ca="1" si="5"/>
        <v/>
      </c>
      <c r="I60" s="21">
        <v>500</v>
      </c>
      <c r="J60" s="68">
        <f t="shared" si="6"/>
        <v>2.9416666666666664</v>
      </c>
      <c r="K60" s="70">
        <v>3.53</v>
      </c>
      <c r="L60" s="72">
        <f t="shared" ca="1" si="2"/>
        <v>0.60933333333333306</v>
      </c>
      <c r="M60" s="73">
        <f t="shared" ca="1" si="3"/>
        <v>304.66666666666652</v>
      </c>
      <c r="N60" s="12" t="s">
        <v>43</v>
      </c>
      <c r="O60" s="47" t="s">
        <v>45</v>
      </c>
      <c r="P60" s="13">
        <f t="shared" si="31"/>
        <v>3.53</v>
      </c>
      <c r="Q60" s="1" t="str">
        <f t="shared" si="33"/>
        <v>500-990 шт - 3,53 руб / шт с НДС</v>
      </c>
      <c r="R60" s="235"/>
      <c r="S60" s="239"/>
      <c r="T60" s="226"/>
      <c r="U60" s="228"/>
      <c r="V60" s="222"/>
      <c r="W60" s="229"/>
      <c r="X60" s="227"/>
      <c r="Y60" s="229"/>
      <c r="Z60" s="236"/>
      <c r="AA60" s="237"/>
      <c r="AB60" s="238"/>
      <c r="AC60" s="223"/>
      <c r="AD60" s="222"/>
    </row>
    <row r="61" spans="1:30" x14ac:dyDescent="0.4">
      <c r="A61" s="230"/>
      <c r="B61" s="7">
        <v>13</v>
      </c>
      <c r="C61" s="14">
        <f t="shared" ca="1" si="11"/>
        <v>2.1800000000000002</v>
      </c>
      <c r="D61" s="20">
        <f t="shared" ca="1" si="19"/>
        <v>2.6160000000000001</v>
      </c>
      <c r="E61" s="225"/>
      <c r="F61" s="231"/>
      <c r="G61" s="172" t="str">
        <f t="shared" ca="1" si="4"/>
        <v/>
      </c>
      <c r="H61" s="93" t="str">
        <f t="shared" ca="1" si="5"/>
        <v/>
      </c>
      <c r="I61" s="21">
        <v>1000</v>
      </c>
      <c r="J61" s="68">
        <f t="shared" si="6"/>
        <v>2.8416666666666668</v>
      </c>
      <c r="K61" s="70">
        <v>3.41</v>
      </c>
      <c r="L61" s="72">
        <f t="shared" ca="1" si="2"/>
        <v>0.52933333333333332</v>
      </c>
      <c r="M61" s="73">
        <f t="shared" ca="1" si="3"/>
        <v>529.33333333333337</v>
      </c>
      <c r="N61" s="12" t="s">
        <v>44</v>
      </c>
      <c r="O61" s="47" t="s">
        <v>45</v>
      </c>
      <c r="P61" s="13">
        <f t="shared" si="31"/>
        <v>3.41</v>
      </c>
      <c r="Q61" s="1" t="str">
        <f t="shared" si="33"/>
        <v>1000 + шт - 3,41 руб / шт с НДС</v>
      </c>
      <c r="R61" s="235"/>
      <c r="S61" s="239"/>
      <c r="T61" s="226"/>
      <c r="U61" s="228"/>
      <c r="V61" s="222"/>
      <c r="W61" s="229"/>
      <c r="X61" s="227"/>
      <c r="Y61" s="229"/>
      <c r="Z61" s="236"/>
      <c r="AA61" s="237"/>
      <c r="AB61" s="238"/>
      <c r="AC61" s="223"/>
      <c r="AD61" s="222"/>
    </row>
    <row r="62" spans="1:30" x14ac:dyDescent="0.4">
      <c r="A62" s="230">
        <v>14</v>
      </c>
      <c r="B62" s="7">
        <v>14</v>
      </c>
      <c r="C62" s="14">
        <f t="shared" ca="1" si="11"/>
        <v>0.13</v>
      </c>
      <c r="D62" s="20">
        <f t="shared" ca="1" si="19"/>
        <v>0.156</v>
      </c>
      <c r="E62" s="224" t="str">
        <f ca="1">INDIRECT("'Закуп'!D" &amp; A62)</f>
        <v>У</v>
      </c>
      <c r="F62" s="231" t="str">
        <f t="shared" ref="F62" ca="1" si="38">INDIRECT("'Закуп'!E" &amp; B62)</f>
        <v>50х50х145</v>
      </c>
      <c r="G62" s="172" t="str">
        <f t="shared" ca="1" si="4"/>
        <v/>
      </c>
      <c r="H62" s="93" t="str">
        <f t="shared" ca="1" si="5"/>
        <v/>
      </c>
      <c r="I62" s="21">
        <v>50</v>
      </c>
      <c r="J62" s="68">
        <f t="shared" si="6"/>
        <v>0.85000000000000009</v>
      </c>
      <c r="K62" s="70">
        <v>1.02</v>
      </c>
      <c r="L62" s="72">
        <f t="shared" ca="1" si="2"/>
        <v>0.57600000000000007</v>
      </c>
      <c r="M62" s="73">
        <f t="shared" ca="1" si="3"/>
        <v>28.800000000000004</v>
      </c>
      <c r="N62" s="12" t="s">
        <v>40</v>
      </c>
      <c r="O62" s="47" t="s">
        <v>45</v>
      </c>
      <c r="P62" s="13">
        <f t="shared" si="31"/>
        <v>1.02</v>
      </c>
      <c r="Q62" s="1" t="str">
        <f t="shared" si="33"/>
        <v>50-90 шт - 1,02 руб / шт с НДС</v>
      </c>
      <c r="R62" s="235" t="str">
        <f ca="1">INDIRECT("'Закуп'!k" &amp; A62)</f>
        <v>K14</v>
      </c>
      <c r="S62" s="239">
        <f ca="1">INDIRECT("'Закуп'!o" &amp; A62)</f>
        <v>0.36</v>
      </c>
      <c r="T62" s="226" t="str">
        <f ca="1">INDIRECT("'Закуп'!p" &amp; A62)</f>
        <v>0,1-0,9 литров</v>
      </c>
      <c r="U62" s="228" t="str">
        <f ca="1">INDIRECT("'Закуп'!v" &amp; A62)</f>
        <v>Длинные</v>
      </c>
      <c r="V62" s="222" t="str">
        <f ca="1">INDIRECT("'Закуп'!w" &amp; A62)</f>
        <v/>
      </c>
      <c r="W62" s="229" t="str">
        <f ca="1">INDIRECT("'Закуп'!H" &amp; A62)</f>
        <v>0215</v>
      </c>
      <c r="X62" s="227" t="str">
        <f t="shared" ref="X62" ca="1" si="39">INDIRECT("'Закуп'!g" &amp; A62)</f>
        <v>С</v>
      </c>
      <c r="Y62" s="229" t="str">
        <f ca="1">INDIRECT("'Закуп'!i" &amp; A62)</f>
        <v>Е</v>
      </c>
      <c r="Z62" s="236" t="str">
        <f ca="1">INDIRECT("'Закуп'!x" &amp; A62)</f>
        <v>100-199 мм</v>
      </c>
      <c r="AA62" s="237" t="str">
        <f ca="1">INDIRECT("'Закуп'!y" &amp; A62)</f>
        <v>10-99 мм</v>
      </c>
      <c r="AB62" s="238" t="str">
        <f ca="1">INDIRECT("'Закуп'!z" &amp; A62)</f>
        <v>10-99 мм</v>
      </c>
      <c r="AC62" s="223" t="str">
        <f t="shared" ref="AC62" ca="1" si="40">SUBSTITUTE(INDEX(F:F, ROUNDUP((ROW(A61))/5,0)*5 - 3), "х", "x")</f>
        <v>50x50x145</v>
      </c>
      <c r="AD62" s="222" t="str">
        <f t="shared" ca="1" si="14"/>
        <v>50x50x145 - 50*50*145 мм</v>
      </c>
    </row>
    <row r="63" spans="1:30" x14ac:dyDescent="0.4">
      <c r="A63" s="230"/>
      <c r="B63" s="7">
        <v>14</v>
      </c>
      <c r="C63" s="14">
        <f t="shared" ca="1" si="11"/>
        <v>0.13</v>
      </c>
      <c r="D63" s="20">
        <f t="shared" ca="1" si="19"/>
        <v>0.156</v>
      </c>
      <c r="E63" s="225"/>
      <c r="F63" s="231"/>
      <c r="G63" s="172" t="str">
        <f t="shared" ca="1" si="4"/>
        <v/>
      </c>
      <c r="H63" s="93" t="str">
        <f t="shared" ca="1" si="5"/>
        <v/>
      </c>
      <c r="I63" s="21">
        <v>100</v>
      </c>
      <c r="J63" s="68">
        <f t="shared" si="6"/>
        <v>0.71666666666666667</v>
      </c>
      <c r="K63" s="70">
        <v>0.86</v>
      </c>
      <c r="L63" s="72">
        <f t="shared" ca="1" si="2"/>
        <v>0.46933333333333332</v>
      </c>
      <c r="M63" s="73">
        <f t="shared" ca="1" si="3"/>
        <v>46.93333333333333</v>
      </c>
      <c r="N63" s="12" t="s">
        <v>41</v>
      </c>
      <c r="O63" s="47" t="s">
        <v>45</v>
      </c>
      <c r="P63" s="13">
        <f t="shared" si="31"/>
        <v>0.86</v>
      </c>
      <c r="Q63" s="1" t="str">
        <f t="shared" si="33"/>
        <v>100-290 шт - 0,86 руб / шт с НДС</v>
      </c>
      <c r="R63" s="235"/>
      <c r="S63" s="239"/>
      <c r="T63" s="226"/>
      <c r="U63" s="228"/>
      <c r="V63" s="222"/>
      <c r="W63" s="229"/>
      <c r="X63" s="227"/>
      <c r="Y63" s="229"/>
      <c r="Z63" s="236"/>
      <c r="AA63" s="237"/>
      <c r="AB63" s="238"/>
      <c r="AC63" s="223"/>
      <c r="AD63" s="222"/>
    </row>
    <row r="64" spans="1:30" x14ac:dyDescent="0.4">
      <c r="A64" s="230"/>
      <c r="B64" s="7">
        <v>14</v>
      </c>
      <c r="C64" s="14">
        <f t="shared" ca="1" si="11"/>
        <v>0.13</v>
      </c>
      <c r="D64" s="20">
        <f t="shared" ca="1" si="19"/>
        <v>0.156</v>
      </c>
      <c r="E64" s="225"/>
      <c r="F64" s="231"/>
      <c r="G64" s="172" t="str">
        <f t="shared" ca="1" si="4"/>
        <v/>
      </c>
      <c r="H64" s="93" t="str">
        <f t="shared" ca="1" si="5"/>
        <v/>
      </c>
      <c r="I64" s="21">
        <v>300</v>
      </c>
      <c r="J64" s="68">
        <f t="shared" si="6"/>
        <v>0.625</v>
      </c>
      <c r="K64" s="70">
        <v>0.75</v>
      </c>
      <c r="L64" s="72">
        <f t="shared" ca="1" si="2"/>
        <v>0.39600000000000002</v>
      </c>
      <c r="M64" s="73">
        <f t="shared" ca="1" si="3"/>
        <v>118.80000000000001</v>
      </c>
      <c r="N64" s="12" t="s">
        <v>42</v>
      </c>
      <c r="O64" s="47" t="s">
        <v>45</v>
      </c>
      <c r="P64" s="13">
        <f t="shared" si="31"/>
        <v>0.75</v>
      </c>
      <c r="Q64" s="1" t="str">
        <f t="shared" si="33"/>
        <v>300-490 шт - 0,75 руб / шт с НДС</v>
      </c>
      <c r="R64" s="235"/>
      <c r="S64" s="239"/>
      <c r="T64" s="226"/>
      <c r="U64" s="228"/>
      <c r="V64" s="222"/>
      <c r="W64" s="229"/>
      <c r="X64" s="227"/>
      <c r="Y64" s="229"/>
      <c r="Z64" s="236"/>
      <c r="AA64" s="237"/>
      <c r="AB64" s="238"/>
      <c r="AC64" s="223"/>
      <c r="AD64" s="222"/>
    </row>
    <row r="65" spans="1:30" x14ac:dyDescent="0.4">
      <c r="A65" s="230"/>
      <c r="B65" s="7">
        <v>14</v>
      </c>
      <c r="C65" s="14">
        <f t="shared" ca="1" si="11"/>
        <v>0.13</v>
      </c>
      <c r="D65" s="20">
        <f t="shared" ca="1" si="19"/>
        <v>0.156</v>
      </c>
      <c r="E65" s="225"/>
      <c r="F65" s="231"/>
      <c r="G65" s="172" t="str">
        <f t="shared" ca="1" si="4"/>
        <v/>
      </c>
      <c r="H65" s="93" t="str">
        <f t="shared" ca="1" si="5"/>
        <v/>
      </c>
      <c r="I65" s="21">
        <v>500</v>
      </c>
      <c r="J65" s="68">
        <f t="shared" si="6"/>
        <v>0.49166666666666664</v>
      </c>
      <c r="K65" s="70">
        <v>0.59</v>
      </c>
      <c r="L65" s="72">
        <f t="shared" ca="1" si="2"/>
        <v>0.28933333333333333</v>
      </c>
      <c r="M65" s="73">
        <f t="shared" ca="1" si="3"/>
        <v>144.66666666666666</v>
      </c>
      <c r="N65" s="12" t="s">
        <v>43</v>
      </c>
      <c r="O65" s="47" t="s">
        <v>45</v>
      </c>
      <c r="P65" s="13">
        <f t="shared" si="31"/>
        <v>0.59</v>
      </c>
      <c r="Q65" s="1" t="str">
        <f t="shared" si="33"/>
        <v>500-990 шт - 0,59 руб / шт с НДС</v>
      </c>
      <c r="R65" s="235"/>
      <c r="S65" s="239"/>
      <c r="T65" s="226"/>
      <c r="U65" s="228"/>
      <c r="V65" s="222"/>
      <c r="W65" s="229"/>
      <c r="X65" s="227"/>
      <c r="Y65" s="229"/>
      <c r="Z65" s="236"/>
      <c r="AA65" s="237"/>
      <c r="AB65" s="238"/>
      <c r="AC65" s="223"/>
      <c r="AD65" s="222"/>
    </row>
    <row r="66" spans="1:30" x14ac:dyDescent="0.4">
      <c r="A66" s="230"/>
      <c r="B66" s="7">
        <v>14</v>
      </c>
      <c r="C66" s="14">
        <f t="shared" ca="1" si="11"/>
        <v>0.13</v>
      </c>
      <c r="D66" s="20">
        <f t="shared" ca="1" si="19"/>
        <v>0.156</v>
      </c>
      <c r="E66" s="225"/>
      <c r="F66" s="231"/>
      <c r="G66" s="172" t="str">
        <f t="shared" ca="1" si="4"/>
        <v/>
      </c>
      <c r="H66" s="93" t="str">
        <f t="shared" ca="1" si="5"/>
        <v/>
      </c>
      <c r="I66" s="21">
        <v>1000</v>
      </c>
      <c r="J66" s="68">
        <f t="shared" si="6"/>
        <v>0.45000000000000007</v>
      </c>
      <c r="K66" s="70">
        <v>0.54</v>
      </c>
      <c r="L66" s="72">
        <f t="shared" ref="L66:L129" ca="1" si="41">J66-C66-(J66-C66)*0.2</f>
        <v>0.25600000000000006</v>
      </c>
      <c r="M66" s="73">
        <f t="shared" ref="M66:M129" ca="1" si="42">L66*I66</f>
        <v>256.00000000000006</v>
      </c>
      <c r="N66" s="12" t="s">
        <v>44</v>
      </c>
      <c r="O66" s="47" t="s">
        <v>45</v>
      </c>
      <c r="P66" s="13">
        <f t="shared" si="31"/>
        <v>0.54</v>
      </c>
      <c r="Q66" s="1" t="str">
        <f t="shared" si="33"/>
        <v>1000 + шт - 0,54 руб / шт с НДС</v>
      </c>
      <c r="R66" s="235"/>
      <c r="S66" s="239"/>
      <c r="T66" s="226"/>
      <c r="U66" s="228"/>
      <c r="V66" s="222"/>
      <c r="W66" s="229"/>
      <c r="X66" s="227"/>
      <c r="Y66" s="229"/>
      <c r="Z66" s="236"/>
      <c r="AA66" s="237"/>
      <c r="AB66" s="238"/>
      <c r="AC66" s="223"/>
      <c r="AD66" s="222"/>
    </row>
    <row r="67" spans="1:30" x14ac:dyDescent="0.4">
      <c r="A67" s="230">
        <v>15</v>
      </c>
      <c r="B67" s="7">
        <v>15</v>
      </c>
      <c r="C67" s="14">
        <f t="shared" ca="1" si="11"/>
        <v>0.17</v>
      </c>
      <c r="D67" s="20">
        <f t="shared" ca="1" si="19"/>
        <v>0.20400000000000001</v>
      </c>
      <c r="E67" s="224" t="str">
        <f ca="1">INDIRECT("'Закуп'!D" &amp; A67)</f>
        <v>У</v>
      </c>
      <c r="F67" s="231" t="str">
        <f t="shared" ref="F67" ca="1" si="43">INDIRECT("'Закуп'!E" &amp; B67)</f>
        <v>200х90х25</v>
      </c>
      <c r="G67" s="172" t="str">
        <f t="shared" ref="G67:G130" ca="1" si="44">IF(INDIRECT("'Закуп'!L" &amp; B67)="Sale","Sale","")</f>
        <v/>
      </c>
      <c r="H67" s="93" t="str">
        <f t="shared" ref="H67:H130" ca="1" si="45">IF(INDIRECT("'Закуп'!F" &amp; B67)=0,"",INDIRECT("'Закуп'!F" &amp; B67))</f>
        <v/>
      </c>
      <c r="I67" s="21">
        <v>50</v>
      </c>
      <c r="J67" s="68">
        <f t="shared" ref="J67:J130" si="46">K67/1.2</f>
        <v>0.98333333333333328</v>
      </c>
      <c r="K67" s="70">
        <v>1.18</v>
      </c>
      <c r="L67" s="72">
        <f t="shared" ca="1" si="41"/>
        <v>0.65066666666666662</v>
      </c>
      <c r="M67" s="73">
        <f t="shared" ca="1" si="42"/>
        <v>32.533333333333331</v>
      </c>
      <c r="N67" s="12" t="s">
        <v>40</v>
      </c>
      <c r="O67" s="47" t="s">
        <v>45</v>
      </c>
      <c r="P67" s="13">
        <f t="shared" si="31"/>
        <v>1.18</v>
      </c>
      <c r="Q67" s="1" t="str">
        <f t="shared" si="33"/>
        <v>50-90 шт - 1,18 руб / шт с НДС</v>
      </c>
      <c r="R67" s="235" t="str">
        <f ca="1">INDIRECT("'Закуп'!k" &amp; A67)</f>
        <v>K15</v>
      </c>
      <c r="S67" s="239">
        <f ca="1">INDIRECT("'Закуп'!o" &amp; A67)</f>
        <v>0.45</v>
      </c>
      <c r="T67" s="226" t="str">
        <f ca="1">INDIRECT("'Закуп'!p" &amp; A67)</f>
        <v>0,1-0,9 литров</v>
      </c>
      <c r="U67" s="228" t="str">
        <f ca="1">INDIRECT("'Закуп'!v" &amp; A67)</f>
        <v>Длинные</v>
      </c>
      <c r="V67" s="222" t="str">
        <f ca="1">INDIRECT("'Закуп'!w" &amp; A67)</f>
        <v>Плоские</v>
      </c>
      <c r="W67" s="229" t="str">
        <f ca="1">INDIRECT("'Закуп'!H" &amp; A67)</f>
        <v>0427</v>
      </c>
      <c r="X67" s="227" t="str">
        <f t="shared" ref="X67" ca="1" si="47">INDIRECT("'Закуп'!g" &amp; A67)</f>
        <v>С</v>
      </c>
      <c r="Y67" s="229" t="str">
        <f ca="1">INDIRECT("'Закуп'!i" &amp; A67)</f>
        <v>Е</v>
      </c>
      <c r="Z67" s="236" t="str">
        <f ca="1">INDIRECT("'Закуп'!x" &amp; A67)</f>
        <v>200-299 мм</v>
      </c>
      <c r="AA67" s="237" t="str">
        <f ca="1">INDIRECT("'Закуп'!y" &amp; A67)</f>
        <v>10-99 мм</v>
      </c>
      <c r="AB67" s="238" t="str">
        <f ca="1">INDIRECT("'Закуп'!z" &amp; A67)</f>
        <v>10-99 мм</v>
      </c>
      <c r="AC67" s="223" t="str">
        <f t="shared" ref="AC67" ca="1" si="48">SUBSTITUTE(INDEX(F:F, ROUNDUP((ROW(A66))/5,0)*5 - 3), "х", "x")</f>
        <v>200x90x25</v>
      </c>
      <c r="AD67" s="222" t="str">
        <f t="shared" ca="1" si="14"/>
        <v>200x90x25 - 200*90*25 мм</v>
      </c>
    </row>
    <row r="68" spans="1:30" x14ac:dyDescent="0.4">
      <c r="A68" s="230"/>
      <c r="B68" s="7">
        <v>15</v>
      </c>
      <c r="C68" s="14">
        <f t="shared" ca="1" si="11"/>
        <v>0.17</v>
      </c>
      <c r="D68" s="20">
        <f t="shared" ca="1" si="19"/>
        <v>0.20400000000000001</v>
      </c>
      <c r="E68" s="225"/>
      <c r="F68" s="231"/>
      <c r="G68" s="172" t="str">
        <f t="shared" ca="1" si="44"/>
        <v/>
      </c>
      <c r="H68" s="93" t="str">
        <f t="shared" ca="1" si="45"/>
        <v/>
      </c>
      <c r="I68" s="21">
        <v>100</v>
      </c>
      <c r="J68" s="68">
        <f t="shared" si="46"/>
        <v>0.89166666666666672</v>
      </c>
      <c r="K68" s="70">
        <v>1.07</v>
      </c>
      <c r="L68" s="72">
        <f t="shared" ca="1" si="41"/>
        <v>0.57733333333333337</v>
      </c>
      <c r="M68" s="73">
        <f t="shared" ca="1" si="42"/>
        <v>57.733333333333334</v>
      </c>
      <c r="N68" s="12" t="s">
        <v>41</v>
      </c>
      <c r="O68" s="47" t="s">
        <v>45</v>
      </c>
      <c r="P68" s="13">
        <f t="shared" si="31"/>
        <v>1.07</v>
      </c>
      <c r="Q68" s="1" t="str">
        <f t="shared" si="33"/>
        <v>100-290 шт - 1,07 руб / шт с НДС</v>
      </c>
      <c r="R68" s="235"/>
      <c r="S68" s="239"/>
      <c r="T68" s="226"/>
      <c r="U68" s="228"/>
      <c r="V68" s="222"/>
      <c r="W68" s="229"/>
      <c r="X68" s="227"/>
      <c r="Y68" s="229"/>
      <c r="Z68" s="236"/>
      <c r="AA68" s="237"/>
      <c r="AB68" s="238"/>
      <c r="AC68" s="223"/>
      <c r="AD68" s="222"/>
    </row>
    <row r="69" spans="1:30" x14ac:dyDescent="0.4">
      <c r="A69" s="230"/>
      <c r="B69" s="7">
        <v>15</v>
      </c>
      <c r="C69" s="14">
        <f t="shared" ca="1" si="11"/>
        <v>0.17</v>
      </c>
      <c r="D69" s="20">
        <f t="shared" ca="1" si="19"/>
        <v>0.20400000000000001</v>
      </c>
      <c r="E69" s="225"/>
      <c r="F69" s="231"/>
      <c r="G69" s="172" t="str">
        <f t="shared" ca="1" si="44"/>
        <v/>
      </c>
      <c r="H69" s="93" t="str">
        <f t="shared" ca="1" si="45"/>
        <v/>
      </c>
      <c r="I69" s="21">
        <v>300</v>
      </c>
      <c r="J69" s="68">
        <f t="shared" si="46"/>
        <v>0.71666666666666667</v>
      </c>
      <c r="K69" s="70">
        <v>0.86</v>
      </c>
      <c r="L69" s="72">
        <f t="shared" ca="1" si="41"/>
        <v>0.4373333333333333</v>
      </c>
      <c r="M69" s="73">
        <f t="shared" ca="1" si="42"/>
        <v>131.19999999999999</v>
      </c>
      <c r="N69" s="12" t="s">
        <v>42</v>
      </c>
      <c r="O69" s="47" t="s">
        <v>45</v>
      </c>
      <c r="P69" s="13">
        <f t="shared" si="31"/>
        <v>0.86</v>
      </c>
      <c r="Q69" s="1" t="str">
        <f t="shared" si="33"/>
        <v>300-490 шт - 0,86 руб / шт с НДС</v>
      </c>
      <c r="R69" s="235"/>
      <c r="S69" s="239"/>
      <c r="T69" s="226"/>
      <c r="U69" s="228"/>
      <c r="V69" s="222"/>
      <c r="W69" s="229"/>
      <c r="X69" s="227"/>
      <c r="Y69" s="229"/>
      <c r="Z69" s="236"/>
      <c r="AA69" s="237"/>
      <c r="AB69" s="238"/>
      <c r="AC69" s="223"/>
      <c r="AD69" s="222"/>
    </row>
    <row r="70" spans="1:30" x14ac:dyDescent="0.4">
      <c r="A70" s="230"/>
      <c r="B70" s="7">
        <v>15</v>
      </c>
      <c r="C70" s="14">
        <f t="shared" ca="1" si="11"/>
        <v>0.17</v>
      </c>
      <c r="D70" s="20">
        <f t="shared" ca="1" si="19"/>
        <v>0.20400000000000001</v>
      </c>
      <c r="E70" s="225"/>
      <c r="F70" s="231"/>
      <c r="G70" s="172" t="str">
        <f t="shared" ca="1" si="44"/>
        <v/>
      </c>
      <c r="H70" s="93" t="str">
        <f t="shared" ca="1" si="45"/>
        <v/>
      </c>
      <c r="I70" s="21">
        <v>500</v>
      </c>
      <c r="J70" s="68">
        <f t="shared" si="46"/>
        <v>0.63333333333333341</v>
      </c>
      <c r="K70" s="70">
        <v>0.76</v>
      </c>
      <c r="L70" s="72">
        <f t="shared" ca="1" si="41"/>
        <v>0.3706666666666667</v>
      </c>
      <c r="M70" s="73">
        <f t="shared" ca="1" si="42"/>
        <v>185.33333333333334</v>
      </c>
      <c r="N70" s="12" t="s">
        <v>43</v>
      </c>
      <c r="O70" s="47" t="s">
        <v>45</v>
      </c>
      <c r="P70" s="13">
        <f t="shared" si="31"/>
        <v>0.76</v>
      </c>
      <c r="Q70" s="1" t="str">
        <f t="shared" si="33"/>
        <v>500-990 шт - 0,76 руб / шт с НДС</v>
      </c>
      <c r="R70" s="235"/>
      <c r="S70" s="239"/>
      <c r="T70" s="226"/>
      <c r="U70" s="228"/>
      <c r="V70" s="222"/>
      <c r="W70" s="229"/>
      <c r="X70" s="227"/>
      <c r="Y70" s="229"/>
      <c r="Z70" s="236"/>
      <c r="AA70" s="237"/>
      <c r="AB70" s="238"/>
      <c r="AC70" s="223"/>
      <c r="AD70" s="222"/>
    </row>
    <row r="71" spans="1:30" x14ac:dyDescent="0.4">
      <c r="A71" s="230"/>
      <c r="B71" s="7">
        <v>15</v>
      </c>
      <c r="C71" s="14">
        <f t="shared" ca="1" si="11"/>
        <v>0.17</v>
      </c>
      <c r="D71" s="20">
        <f t="shared" ca="1" si="19"/>
        <v>0.20400000000000001</v>
      </c>
      <c r="E71" s="225"/>
      <c r="F71" s="231"/>
      <c r="G71" s="172" t="str">
        <f t="shared" ca="1" si="44"/>
        <v/>
      </c>
      <c r="H71" s="93" t="str">
        <f t="shared" ca="1" si="45"/>
        <v/>
      </c>
      <c r="I71" s="21">
        <v>1000</v>
      </c>
      <c r="J71" s="68">
        <f t="shared" si="46"/>
        <v>0.49166666666666664</v>
      </c>
      <c r="K71" s="70">
        <v>0.59</v>
      </c>
      <c r="L71" s="72">
        <f t="shared" ca="1" si="41"/>
        <v>0.2573333333333333</v>
      </c>
      <c r="M71" s="73">
        <f t="shared" ca="1" si="42"/>
        <v>257.33333333333331</v>
      </c>
      <c r="N71" s="12" t="s">
        <v>44</v>
      </c>
      <c r="O71" s="47" t="s">
        <v>45</v>
      </c>
      <c r="P71" s="13">
        <f t="shared" si="31"/>
        <v>0.59</v>
      </c>
      <c r="Q71" s="1" t="str">
        <f t="shared" si="33"/>
        <v>1000 + шт - 0,59 руб / шт с НДС</v>
      </c>
      <c r="R71" s="235"/>
      <c r="S71" s="239"/>
      <c r="T71" s="226"/>
      <c r="U71" s="228"/>
      <c r="V71" s="222"/>
      <c r="W71" s="229"/>
      <c r="X71" s="227"/>
      <c r="Y71" s="229"/>
      <c r="Z71" s="236"/>
      <c r="AA71" s="237"/>
      <c r="AB71" s="238"/>
      <c r="AC71" s="223"/>
      <c r="AD71" s="222"/>
    </row>
    <row r="72" spans="1:30" x14ac:dyDescent="0.4">
      <c r="A72" s="230">
        <v>16</v>
      </c>
      <c r="B72" s="7">
        <v>16</v>
      </c>
      <c r="C72" s="14">
        <f t="shared" ca="1" si="11"/>
        <v>0.54</v>
      </c>
      <c r="D72" s="20">
        <f t="shared" ref="D72:D86" ca="1" si="49">C72*1.2</f>
        <v>0.64800000000000002</v>
      </c>
      <c r="E72" s="224" t="str">
        <f ca="1">INDIRECT("'Закуп'!D" &amp; A72)</f>
        <v>У</v>
      </c>
      <c r="F72" s="231" t="str">
        <f t="shared" ref="F72" ca="1" si="50">INDIRECT("'Закуп'!E" &amp; B72)</f>
        <v>250х100х320</v>
      </c>
      <c r="G72" s="172" t="str">
        <f t="shared" ca="1" si="44"/>
        <v/>
      </c>
      <c r="H72" s="93" t="str">
        <f t="shared" ca="1" si="45"/>
        <v/>
      </c>
      <c r="I72" s="21">
        <v>50</v>
      </c>
      <c r="J72" s="68">
        <f t="shared" si="46"/>
        <v>1.2750000000000001</v>
      </c>
      <c r="K72" s="70">
        <v>1.53</v>
      </c>
      <c r="L72" s="72">
        <f t="shared" ca="1" si="41"/>
        <v>0.58800000000000008</v>
      </c>
      <c r="M72" s="73">
        <f t="shared" ca="1" si="42"/>
        <v>29.400000000000006</v>
      </c>
      <c r="N72" s="12" t="s">
        <v>40</v>
      </c>
      <c r="O72" s="47" t="s">
        <v>45</v>
      </c>
      <c r="P72" s="13">
        <f t="shared" si="31"/>
        <v>1.53</v>
      </c>
      <c r="Q72" s="1" t="str">
        <f t="shared" si="33"/>
        <v>50-90 шт - 1,53 руб / шт с НДС</v>
      </c>
      <c r="R72" s="235" t="str">
        <f ca="1">INDIRECT("'Закуп'!k" &amp; A72)</f>
        <v>K16</v>
      </c>
      <c r="S72" s="239">
        <f ca="1">INDIRECT("'Закуп'!o" &amp; A72)</f>
        <v>8</v>
      </c>
      <c r="T72" s="226" t="str">
        <f ca="1">INDIRECT("'Закуп'!p" &amp; A72)</f>
        <v>8-9,9 литров</v>
      </c>
      <c r="U72" s="228" t="str">
        <f ca="1">INDIRECT("'Закуп'!v" &amp; A72)</f>
        <v/>
      </c>
      <c r="V72" s="222" t="str">
        <f ca="1">INDIRECT("'Закуп'!w" &amp; A72)</f>
        <v>Плоские</v>
      </c>
      <c r="W72" s="229" t="str">
        <f ca="1">INDIRECT("'Закуп'!H" &amp; A72)</f>
        <v>0201</v>
      </c>
      <c r="X72" s="227" t="str">
        <f t="shared" ref="X72" ca="1" si="51">INDIRECT("'Закуп'!g" &amp; A72)</f>
        <v>Ч</v>
      </c>
      <c r="Y72" s="229" t="str">
        <f ca="1">INDIRECT("'Закуп'!i" &amp; A72)</f>
        <v>В</v>
      </c>
      <c r="Z72" s="236" t="str">
        <f ca="1">INDIRECT("'Закуп'!x" &amp; A72)</f>
        <v>300-399 мм</v>
      </c>
      <c r="AA72" s="237" t="str">
        <f ca="1">INDIRECT("'Закуп'!y" &amp; A72)</f>
        <v>200-299 мм</v>
      </c>
      <c r="AB72" s="238" t="str">
        <f ca="1">INDIRECT("'Закуп'!z" &amp; A72)</f>
        <v>100-199 мм</v>
      </c>
      <c r="AC72" s="223" t="str">
        <f t="shared" ref="AC72" ca="1" si="52">SUBSTITUTE(INDEX(F:F, ROUNDUP((ROW(A71))/5,0)*5 - 3), "х", "x")</f>
        <v>250x100x320</v>
      </c>
      <c r="AD72" s="222" t="str">
        <f t="shared" ca="1" si="14"/>
        <v>250x100x320 - 250*100*320 мм</v>
      </c>
    </row>
    <row r="73" spans="1:30" x14ac:dyDescent="0.4">
      <c r="A73" s="230"/>
      <c r="B73" s="7">
        <v>16</v>
      </c>
      <c r="C73" s="14">
        <f t="shared" ref="C73:C136" ca="1" si="53">INDIRECT("'Закуп'!A" &amp; B73)</f>
        <v>0.54</v>
      </c>
      <c r="D73" s="20">
        <f t="shared" ca="1" si="49"/>
        <v>0.64800000000000002</v>
      </c>
      <c r="E73" s="225"/>
      <c r="F73" s="231"/>
      <c r="G73" s="172" t="str">
        <f t="shared" ca="1" si="44"/>
        <v/>
      </c>
      <c r="H73" s="93" t="str">
        <f t="shared" ca="1" si="45"/>
        <v/>
      </c>
      <c r="I73" s="21">
        <v>100</v>
      </c>
      <c r="J73" s="68">
        <f t="shared" si="46"/>
        <v>1.1583333333333332</v>
      </c>
      <c r="K73" s="70">
        <v>1.39</v>
      </c>
      <c r="L73" s="72">
        <f t="shared" ca="1" si="41"/>
        <v>0.49466666666666653</v>
      </c>
      <c r="M73" s="73">
        <f t="shared" ca="1" si="42"/>
        <v>49.466666666666654</v>
      </c>
      <c r="N73" s="12" t="s">
        <v>41</v>
      </c>
      <c r="O73" s="47" t="s">
        <v>45</v>
      </c>
      <c r="P73" s="13">
        <f t="shared" si="31"/>
        <v>1.39</v>
      </c>
      <c r="Q73" s="1" t="str">
        <f t="shared" si="33"/>
        <v>100-290 шт - 1,39 руб / шт с НДС</v>
      </c>
      <c r="R73" s="235"/>
      <c r="S73" s="239"/>
      <c r="T73" s="226"/>
      <c r="U73" s="228"/>
      <c r="V73" s="222"/>
      <c r="W73" s="229"/>
      <c r="X73" s="227"/>
      <c r="Y73" s="229"/>
      <c r="Z73" s="236"/>
      <c r="AA73" s="237"/>
      <c r="AB73" s="238"/>
      <c r="AC73" s="223"/>
      <c r="AD73" s="222"/>
    </row>
    <row r="74" spans="1:30" x14ac:dyDescent="0.4">
      <c r="A74" s="230"/>
      <c r="B74" s="7">
        <v>16</v>
      </c>
      <c r="C74" s="14">
        <f t="shared" ca="1" si="53"/>
        <v>0.54</v>
      </c>
      <c r="D74" s="20">
        <f t="shared" ca="1" si="49"/>
        <v>0.64800000000000002</v>
      </c>
      <c r="E74" s="225"/>
      <c r="F74" s="231"/>
      <c r="G74" s="172" t="str">
        <f t="shared" ca="1" si="44"/>
        <v/>
      </c>
      <c r="H74" s="93" t="str">
        <f t="shared" ca="1" si="45"/>
        <v/>
      </c>
      <c r="I74" s="21">
        <v>300</v>
      </c>
      <c r="J74" s="68">
        <f t="shared" si="46"/>
        <v>0.90833333333333344</v>
      </c>
      <c r="K74" s="70">
        <v>1.0900000000000001</v>
      </c>
      <c r="L74" s="72">
        <f t="shared" ca="1" si="41"/>
        <v>0.29466666666666674</v>
      </c>
      <c r="M74" s="73">
        <f t="shared" ca="1" si="42"/>
        <v>88.40000000000002</v>
      </c>
      <c r="N74" s="12" t="s">
        <v>42</v>
      </c>
      <c r="O74" s="47" t="s">
        <v>45</v>
      </c>
      <c r="P74" s="13">
        <f t="shared" si="31"/>
        <v>1.0900000000000001</v>
      </c>
      <c r="Q74" s="1" t="str">
        <f t="shared" si="33"/>
        <v>300-490 шт - 1,09 руб / шт с НДС</v>
      </c>
      <c r="R74" s="235"/>
      <c r="S74" s="239"/>
      <c r="T74" s="226"/>
      <c r="U74" s="228"/>
      <c r="V74" s="222"/>
      <c r="W74" s="229"/>
      <c r="X74" s="227"/>
      <c r="Y74" s="229"/>
      <c r="Z74" s="236"/>
      <c r="AA74" s="237"/>
      <c r="AB74" s="238"/>
      <c r="AC74" s="223"/>
      <c r="AD74" s="222"/>
    </row>
    <row r="75" spans="1:30" x14ac:dyDescent="0.4">
      <c r="A75" s="230"/>
      <c r="B75" s="7">
        <v>16</v>
      </c>
      <c r="C75" s="14">
        <f t="shared" ca="1" si="53"/>
        <v>0.54</v>
      </c>
      <c r="D75" s="20">
        <f t="shared" ca="1" si="49"/>
        <v>0.64800000000000002</v>
      </c>
      <c r="E75" s="225"/>
      <c r="F75" s="231"/>
      <c r="G75" s="172" t="str">
        <f t="shared" ca="1" si="44"/>
        <v/>
      </c>
      <c r="H75" s="93" t="str">
        <f t="shared" ca="1" si="45"/>
        <v/>
      </c>
      <c r="I75" s="21">
        <v>500</v>
      </c>
      <c r="J75" s="68">
        <f t="shared" si="46"/>
        <v>0.85833333333333339</v>
      </c>
      <c r="K75" s="70">
        <v>1.03</v>
      </c>
      <c r="L75" s="72">
        <f t="shared" ca="1" si="41"/>
        <v>0.25466666666666671</v>
      </c>
      <c r="M75" s="73">
        <f t="shared" ca="1" si="42"/>
        <v>127.33333333333336</v>
      </c>
      <c r="N75" s="12" t="s">
        <v>43</v>
      </c>
      <c r="O75" s="47" t="s">
        <v>45</v>
      </c>
      <c r="P75" s="13">
        <f t="shared" si="31"/>
        <v>1.03</v>
      </c>
      <c r="Q75" s="1" t="str">
        <f t="shared" si="33"/>
        <v>500-990 шт - 1,03 руб / шт с НДС</v>
      </c>
      <c r="R75" s="235"/>
      <c r="S75" s="239"/>
      <c r="T75" s="226"/>
      <c r="U75" s="228"/>
      <c r="V75" s="222"/>
      <c r="W75" s="229"/>
      <c r="X75" s="227"/>
      <c r="Y75" s="229"/>
      <c r="Z75" s="236"/>
      <c r="AA75" s="237"/>
      <c r="AB75" s="238"/>
      <c r="AC75" s="223"/>
      <c r="AD75" s="222"/>
    </row>
    <row r="76" spans="1:30" x14ac:dyDescent="0.4">
      <c r="A76" s="230"/>
      <c r="B76" s="7">
        <v>16</v>
      </c>
      <c r="C76" s="14">
        <f t="shared" ca="1" si="53"/>
        <v>0.54</v>
      </c>
      <c r="D76" s="20">
        <f t="shared" ca="1" si="49"/>
        <v>0.64800000000000002</v>
      </c>
      <c r="E76" s="225"/>
      <c r="F76" s="231"/>
      <c r="G76" s="172" t="str">
        <f t="shared" ca="1" si="44"/>
        <v/>
      </c>
      <c r="H76" s="93" t="str">
        <f t="shared" ca="1" si="45"/>
        <v/>
      </c>
      <c r="I76" s="21">
        <v>1000</v>
      </c>
      <c r="J76" s="68">
        <f t="shared" si="46"/>
        <v>0.80833333333333335</v>
      </c>
      <c r="K76" s="70">
        <v>0.97</v>
      </c>
      <c r="L76" s="72">
        <f t="shared" ca="1" si="41"/>
        <v>0.21466666666666664</v>
      </c>
      <c r="M76" s="73">
        <f t="shared" ca="1" si="42"/>
        <v>214.66666666666666</v>
      </c>
      <c r="N76" s="12" t="s">
        <v>44</v>
      </c>
      <c r="O76" s="47" t="s">
        <v>45</v>
      </c>
      <c r="P76" s="13">
        <f t="shared" si="31"/>
        <v>0.97</v>
      </c>
      <c r="Q76" s="1" t="str">
        <f t="shared" si="33"/>
        <v>1000 + шт - 0,97 руб / шт с НДС</v>
      </c>
      <c r="R76" s="235"/>
      <c r="S76" s="239"/>
      <c r="T76" s="226"/>
      <c r="U76" s="228"/>
      <c r="V76" s="222"/>
      <c r="W76" s="229"/>
      <c r="X76" s="227"/>
      <c r="Y76" s="229"/>
      <c r="Z76" s="236"/>
      <c r="AA76" s="237"/>
      <c r="AB76" s="238"/>
      <c r="AC76" s="223"/>
      <c r="AD76" s="222"/>
    </row>
    <row r="77" spans="1:30" x14ac:dyDescent="0.4">
      <c r="A77" s="230">
        <v>17</v>
      </c>
      <c r="B77" s="7">
        <v>17</v>
      </c>
      <c r="C77" s="14">
        <f t="shared" ca="1" si="53"/>
        <v>0.15</v>
      </c>
      <c r="D77" s="20">
        <f t="shared" ca="1" si="49"/>
        <v>0.18</v>
      </c>
      <c r="E77" s="224" t="str">
        <f ca="1">INDIRECT("'Закуп'!D" &amp; A77)</f>
        <v>У</v>
      </c>
      <c r="F77" s="231" t="str">
        <f t="shared" ref="F77" ca="1" si="54">INDIRECT("'Закуп'!E" &amp; B77)</f>
        <v>90х80х30</v>
      </c>
      <c r="G77" s="172" t="str">
        <f t="shared" ca="1" si="44"/>
        <v/>
      </c>
      <c r="H77" s="93" t="str">
        <f t="shared" ca="1" si="45"/>
        <v/>
      </c>
      <c r="I77" s="21">
        <v>50</v>
      </c>
      <c r="J77" s="68">
        <f t="shared" si="46"/>
        <v>0.8</v>
      </c>
      <c r="K77" s="70">
        <v>0.96</v>
      </c>
      <c r="L77" s="72">
        <f t="shared" ca="1" si="41"/>
        <v>0.52</v>
      </c>
      <c r="M77" s="73">
        <f t="shared" ca="1" si="42"/>
        <v>26</v>
      </c>
      <c r="N77" s="12" t="s">
        <v>40</v>
      </c>
      <c r="O77" s="47" t="s">
        <v>45</v>
      </c>
      <c r="P77" s="13">
        <f t="shared" si="31"/>
        <v>0.96</v>
      </c>
      <c r="Q77" s="1" t="str">
        <f t="shared" si="33"/>
        <v>50-90 шт - 0,96 руб / шт с НДС</v>
      </c>
      <c r="R77" s="235" t="str">
        <f ca="1">INDIRECT("'Закуп'!k" &amp; A77)</f>
        <v>K17</v>
      </c>
      <c r="S77" s="239">
        <f ca="1">INDIRECT("'Закуп'!o" &amp; A77)</f>
        <v>0.22</v>
      </c>
      <c r="T77" s="226" t="str">
        <f ca="1">INDIRECT("'Закуп'!p" &amp; A77)</f>
        <v>0,1-0,9 литров</v>
      </c>
      <c r="U77" s="228" t="str">
        <f ca="1">INDIRECT("'Закуп'!v" &amp; A77)</f>
        <v/>
      </c>
      <c r="V77" s="222" t="str">
        <f ca="1">INDIRECT("'Закуп'!w" &amp; A77)</f>
        <v>Плоские</v>
      </c>
      <c r="W77" s="229" t="str">
        <f ca="1">INDIRECT("'Закуп'!H" &amp; A77)</f>
        <v>0427</v>
      </c>
      <c r="X77" s="227" t="str">
        <f t="shared" ref="X77" ca="1" si="55">INDIRECT("'Закуп'!g" &amp; A77)</f>
        <v>С</v>
      </c>
      <c r="Y77" s="229" t="str">
        <f ca="1">INDIRECT("'Закуп'!i" &amp; A77)</f>
        <v>Е</v>
      </c>
      <c r="Z77" s="236" t="str">
        <f ca="1">INDIRECT("'Закуп'!x" &amp; A77)</f>
        <v>10-99 мм</v>
      </c>
      <c r="AA77" s="237" t="str">
        <f ca="1">INDIRECT("'Закуп'!y" &amp; A77)</f>
        <v>10-99 мм</v>
      </c>
      <c r="AB77" s="238" t="str">
        <f ca="1">INDIRECT("'Закуп'!z" &amp; A77)</f>
        <v>10-99 мм</v>
      </c>
      <c r="AC77" s="223" t="str">
        <f t="shared" ref="AC77" ca="1" si="56">SUBSTITUTE(INDEX(F:F, ROUNDUP((ROW(A76))/5,0)*5 - 3), "х", "x")</f>
        <v>90x80x30</v>
      </c>
      <c r="AD77" s="222" t="str">
        <f t="shared" ref="AD77:AD137" ca="1" si="57">SUBSTITUTE(INDEX(F:F, ROUNDUP((ROW(A76))/5,0)*5 - 3), "х", "x") &amp; " - " &amp; SUBSTITUTE(SUBSTITUTE(INDEX(F:F, ROUNDUP((ROW(A76))/5,0)*5 - 3), "х", "*"), "x", "*") &amp; " мм"</f>
        <v>90x80x30 - 90*80*30 мм</v>
      </c>
    </row>
    <row r="78" spans="1:30" x14ac:dyDescent="0.4">
      <c r="A78" s="230"/>
      <c r="B78" s="7">
        <v>17</v>
      </c>
      <c r="C78" s="14">
        <f t="shared" ca="1" si="53"/>
        <v>0.15</v>
      </c>
      <c r="D78" s="20">
        <f t="shared" ca="1" si="49"/>
        <v>0.18</v>
      </c>
      <c r="E78" s="225"/>
      <c r="F78" s="231"/>
      <c r="G78" s="172" t="str">
        <f t="shared" ca="1" si="44"/>
        <v/>
      </c>
      <c r="H78" s="93" t="str">
        <f t="shared" ca="1" si="45"/>
        <v/>
      </c>
      <c r="I78" s="21">
        <v>100</v>
      </c>
      <c r="J78" s="68">
        <f t="shared" si="46"/>
        <v>0.625</v>
      </c>
      <c r="K78" s="70">
        <v>0.75</v>
      </c>
      <c r="L78" s="72">
        <f t="shared" ca="1" si="41"/>
        <v>0.38</v>
      </c>
      <c r="M78" s="73">
        <f t="shared" ca="1" si="42"/>
        <v>38</v>
      </c>
      <c r="N78" s="12" t="s">
        <v>41</v>
      </c>
      <c r="O78" s="47" t="s">
        <v>45</v>
      </c>
      <c r="P78" s="13">
        <f t="shared" si="31"/>
        <v>0.75</v>
      </c>
      <c r="Q78" s="1" t="str">
        <f t="shared" si="33"/>
        <v>100-290 шт - 0,75 руб / шт с НДС</v>
      </c>
      <c r="R78" s="235"/>
      <c r="S78" s="239"/>
      <c r="T78" s="226"/>
      <c r="U78" s="228"/>
      <c r="V78" s="222"/>
      <c r="W78" s="229"/>
      <c r="X78" s="227"/>
      <c r="Y78" s="229"/>
      <c r="Z78" s="236"/>
      <c r="AA78" s="237"/>
      <c r="AB78" s="238"/>
      <c r="AC78" s="223"/>
      <c r="AD78" s="222"/>
    </row>
    <row r="79" spans="1:30" x14ac:dyDescent="0.4">
      <c r="A79" s="230"/>
      <c r="B79" s="7">
        <v>17</v>
      </c>
      <c r="C79" s="14">
        <f t="shared" ca="1" si="53"/>
        <v>0.15</v>
      </c>
      <c r="D79" s="20">
        <f t="shared" ca="1" si="49"/>
        <v>0.18</v>
      </c>
      <c r="E79" s="225"/>
      <c r="F79" s="231"/>
      <c r="G79" s="172" t="str">
        <f t="shared" ca="1" si="44"/>
        <v/>
      </c>
      <c r="H79" s="93" t="str">
        <f t="shared" ca="1" si="45"/>
        <v/>
      </c>
      <c r="I79" s="21">
        <v>300</v>
      </c>
      <c r="J79" s="68">
        <f t="shared" si="46"/>
        <v>0.53333333333333333</v>
      </c>
      <c r="K79" s="70">
        <v>0.64</v>
      </c>
      <c r="L79" s="72">
        <f t="shared" ca="1" si="41"/>
        <v>0.30666666666666664</v>
      </c>
      <c r="M79" s="73">
        <f t="shared" ca="1" si="42"/>
        <v>92</v>
      </c>
      <c r="N79" s="12" t="s">
        <v>42</v>
      </c>
      <c r="O79" s="47" t="s">
        <v>45</v>
      </c>
      <c r="P79" s="13">
        <f t="shared" si="31"/>
        <v>0.64</v>
      </c>
      <c r="Q79" s="1" t="str">
        <f t="shared" si="33"/>
        <v>300-490 шт - 0,64 руб / шт с НДС</v>
      </c>
      <c r="R79" s="235"/>
      <c r="S79" s="239"/>
      <c r="T79" s="226"/>
      <c r="U79" s="228"/>
      <c r="V79" s="222"/>
      <c r="W79" s="229"/>
      <c r="X79" s="227"/>
      <c r="Y79" s="229"/>
      <c r="Z79" s="236"/>
      <c r="AA79" s="237"/>
      <c r="AB79" s="238"/>
      <c r="AC79" s="223"/>
      <c r="AD79" s="222"/>
    </row>
    <row r="80" spans="1:30" x14ac:dyDescent="0.4">
      <c r="A80" s="230"/>
      <c r="B80" s="7">
        <v>17</v>
      </c>
      <c r="C80" s="14">
        <f t="shared" ca="1" si="53"/>
        <v>0.15</v>
      </c>
      <c r="D80" s="20">
        <f t="shared" ca="1" si="49"/>
        <v>0.18</v>
      </c>
      <c r="E80" s="225"/>
      <c r="F80" s="231"/>
      <c r="G80" s="172" t="str">
        <f t="shared" ca="1" si="44"/>
        <v/>
      </c>
      <c r="H80" s="93" t="str">
        <f t="shared" ca="1" si="45"/>
        <v/>
      </c>
      <c r="I80" s="21">
        <v>500</v>
      </c>
      <c r="J80" s="68">
        <f t="shared" si="46"/>
        <v>0.49166666666666664</v>
      </c>
      <c r="K80" s="70">
        <v>0.59</v>
      </c>
      <c r="L80" s="72">
        <f t="shared" ca="1" si="41"/>
        <v>0.27333333333333332</v>
      </c>
      <c r="M80" s="73">
        <f t="shared" ca="1" si="42"/>
        <v>136.66666666666666</v>
      </c>
      <c r="N80" s="12" t="s">
        <v>43</v>
      </c>
      <c r="O80" s="47" t="s">
        <v>45</v>
      </c>
      <c r="P80" s="13">
        <f t="shared" si="31"/>
        <v>0.59</v>
      </c>
      <c r="Q80" s="1" t="str">
        <f t="shared" si="33"/>
        <v>500-990 шт - 0,59 руб / шт с НДС</v>
      </c>
      <c r="R80" s="235"/>
      <c r="S80" s="239"/>
      <c r="T80" s="226"/>
      <c r="U80" s="228"/>
      <c r="V80" s="222"/>
      <c r="W80" s="229"/>
      <c r="X80" s="227"/>
      <c r="Y80" s="229"/>
      <c r="Z80" s="236"/>
      <c r="AA80" s="237"/>
      <c r="AB80" s="238"/>
      <c r="AC80" s="223"/>
      <c r="AD80" s="222"/>
    </row>
    <row r="81" spans="1:30" x14ac:dyDescent="0.4">
      <c r="A81" s="230"/>
      <c r="B81" s="7">
        <v>17</v>
      </c>
      <c r="C81" s="14">
        <f t="shared" ca="1" si="53"/>
        <v>0.15</v>
      </c>
      <c r="D81" s="20">
        <f t="shared" ca="1" si="49"/>
        <v>0.18</v>
      </c>
      <c r="E81" s="225"/>
      <c r="F81" s="231"/>
      <c r="G81" s="172" t="str">
        <f t="shared" ca="1" si="44"/>
        <v/>
      </c>
      <c r="H81" s="93" t="str">
        <f t="shared" ca="1" si="45"/>
        <v/>
      </c>
      <c r="I81" s="21">
        <v>1000</v>
      </c>
      <c r="J81" s="68">
        <f t="shared" si="46"/>
        <v>0.45000000000000007</v>
      </c>
      <c r="K81" s="70">
        <v>0.54</v>
      </c>
      <c r="L81" s="72">
        <f t="shared" ca="1" si="41"/>
        <v>0.24000000000000005</v>
      </c>
      <c r="M81" s="73">
        <f t="shared" ca="1" si="42"/>
        <v>240.00000000000006</v>
      </c>
      <c r="N81" s="12" t="s">
        <v>44</v>
      </c>
      <c r="O81" s="47" t="s">
        <v>45</v>
      </c>
      <c r="P81" s="13">
        <f t="shared" si="31"/>
        <v>0.54</v>
      </c>
      <c r="Q81" s="1" t="str">
        <f t="shared" si="33"/>
        <v>1000 + шт - 0,54 руб / шт с НДС</v>
      </c>
      <c r="R81" s="235"/>
      <c r="S81" s="239"/>
      <c r="T81" s="226"/>
      <c r="U81" s="228"/>
      <c r="V81" s="222"/>
      <c r="W81" s="229"/>
      <c r="X81" s="227"/>
      <c r="Y81" s="229"/>
      <c r="Z81" s="236"/>
      <c r="AA81" s="237"/>
      <c r="AB81" s="238"/>
      <c r="AC81" s="223"/>
      <c r="AD81" s="222"/>
    </row>
    <row r="82" spans="1:30" x14ac:dyDescent="0.4">
      <c r="A82" s="230">
        <v>18</v>
      </c>
      <c r="B82" s="7">
        <v>18</v>
      </c>
      <c r="C82" s="14">
        <f t="shared" ca="1" si="53"/>
        <v>0.28000000000000003</v>
      </c>
      <c r="D82" s="20">
        <f t="shared" ca="1" si="49"/>
        <v>0.33600000000000002</v>
      </c>
      <c r="E82" s="224" t="str">
        <f ca="1">INDIRECT("'Закуп'!D" &amp; A82)</f>
        <v>У</v>
      </c>
      <c r="F82" s="231" t="str">
        <f t="shared" ref="F82" ca="1" si="58">INDIRECT("'Закуп'!E" &amp; B82)</f>
        <v>65х65х40</v>
      </c>
      <c r="G82" s="172" t="str">
        <f t="shared" ca="1" si="44"/>
        <v/>
      </c>
      <c r="H82" s="93" t="str">
        <f t="shared" ca="1" si="45"/>
        <v/>
      </c>
      <c r="I82" s="21">
        <v>50</v>
      </c>
      <c r="J82" s="68">
        <f t="shared" si="46"/>
        <v>0.8</v>
      </c>
      <c r="K82" s="70">
        <v>0.96</v>
      </c>
      <c r="L82" s="72">
        <f t="shared" ca="1" si="41"/>
        <v>0.41600000000000004</v>
      </c>
      <c r="M82" s="73">
        <f t="shared" ca="1" si="42"/>
        <v>20.8</v>
      </c>
      <c r="N82" s="12" t="s">
        <v>40</v>
      </c>
      <c r="O82" s="47" t="s">
        <v>45</v>
      </c>
      <c r="P82" s="13">
        <f t="shared" si="31"/>
        <v>0.96</v>
      </c>
      <c r="Q82" s="1" t="str">
        <f t="shared" si="33"/>
        <v>50-90 шт - 0,96 руб / шт с НДС</v>
      </c>
      <c r="R82" s="235" t="str">
        <f ca="1">INDIRECT("'Закуп'!k" &amp; A82)</f>
        <v>K18</v>
      </c>
      <c r="S82" s="239">
        <f ca="1">INDIRECT("'Закуп'!o" &amp; A82)</f>
        <v>0.17</v>
      </c>
      <c r="T82" s="226" t="str">
        <f ca="1">INDIRECT("'Закуп'!p" &amp; A82)</f>
        <v>0,1-0,9 литров</v>
      </c>
      <c r="U82" s="228" t="str">
        <f ca="1">INDIRECT("'Закуп'!v" &amp; A82)</f>
        <v/>
      </c>
      <c r="V82" s="222" t="str">
        <f ca="1">INDIRECT("'Закуп'!w" &amp; A82)</f>
        <v/>
      </c>
      <c r="W82" s="229" t="str">
        <f ca="1">INDIRECT("'Закуп'!H" &amp; A82)</f>
        <v>0215</v>
      </c>
      <c r="X82" s="227" t="str">
        <f t="shared" ref="X82" ca="1" si="59">INDIRECT("'Закуп'!g" &amp; A82)</f>
        <v>С</v>
      </c>
      <c r="Y82" s="229" t="str">
        <f ca="1">INDIRECT("'Закуп'!i" &amp; A82)</f>
        <v>Е</v>
      </c>
      <c r="Z82" s="236" t="str">
        <f ca="1">INDIRECT("'Закуп'!x" &amp; A82)</f>
        <v>10-99 мм</v>
      </c>
      <c r="AA82" s="237" t="str">
        <f ca="1">INDIRECT("'Закуп'!y" &amp; A82)</f>
        <v>10-99 мм</v>
      </c>
      <c r="AB82" s="238" t="str">
        <f ca="1">INDIRECT("'Закуп'!z" &amp; A82)</f>
        <v>10-99 мм</v>
      </c>
      <c r="AC82" s="223" t="str">
        <f t="shared" ref="AC82" ca="1" si="60">SUBSTITUTE(INDEX(F:F, ROUNDUP((ROW(A81))/5,0)*5 - 3), "х", "x")</f>
        <v>65x65x40</v>
      </c>
      <c r="AD82" s="222" t="str">
        <f t="shared" ca="1" si="57"/>
        <v>65x65x40 - 65*65*40 мм</v>
      </c>
    </row>
    <row r="83" spans="1:30" x14ac:dyDescent="0.4">
      <c r="A83" s="230"/>
      <c r="B83" s="7">
        <v>18</v>
      </c>
      <c r="C83" s="14">
        <f t="shared" ca="1" si="53"/>
        <v>0.28000000000000003</v>
      </c>
      <c r="D83" s="20">
        <f t="shared" ca="1" si="49"/>
        <v>0.33600000000000002</v>
      </c>
      <c r="E83" s="225"/>
      <c r="F83" s="231"/>
      <c r="G83" s="172" t="str">
        <f t="shared" ca="1" si="44"/>
        <v/>
      </c>
      <c r="H83" s="93" t="str">
        <f t="shared" ca="1" si="45"/>
        <v/>
      </c>
      <c r="I83" s="21">
        <v>100</v>
      </c>
      <c r="J83" s="68">
        <f t="shared" si="46"/>
        <v>0.625</v>
      </c>
      <c r="K83" s="70">
        <v>0.75</v>
      </c>
      <c r="L83" s="72">
        <f t="shared" ca="1" si="41"/>
        <v>0.27599999999999997</v>
      </c>
      <c r="M83" s="73">
        <f t="shared" ca="1" si="42"/>
        <v>27.599999999999998</v>
      </c>
      <c r="N83" s="12" t="s">
        <v>41</v>
      </c>
      <c r="O83" s="47" t="s">
        <v>45</v>
      </c>
      <c r="P83" s="13">
        <f t="shared" si="31"/>
        <v>0.75</v>
      </c>
      <c r="Q83" s="1" t="str">
        <f t="shared" si="33"/>
        <v>100-290 шт - 0,75 руб / шт с НДС</v>
      </c>
      <c r="R83" s="235"/>
      <c r="S83" s="239"/>
      <c r="T83" s="226"/>
      <c r="U83" s="228"/>
      <c r="V83" s="222"/>
      <c r="W83" s="229"/>
      <c r="X83" s="227"/>
      <c r="Y83" s="229"/>
      <c r="Z83" s="236"/>
      <c r="AA83" s="237"/>
      <c r="AB83" s="238"/>
      <c r="AC83" s="223"/>
      <c r="AD83" s="222"/>
    </row>
    <row r="84" spans="1:30" x14ac:dyDescent="0.4">
      <c r="A84" s="230"/>
      <c r="B84" s="7">
        <v>18</v>
      </c>
      <c r="C84" s="14">
        <f t="shared" ca="1" si="53"/>
        <v>0.28000000000000003</v>
      </c>
      <c r="D84" s="20">
        <f t="shared" ca="1" si="49"/>
        <v>0.33600000000000002</v>
      </c>
      <c r="E84" s="225"/>
      <c r="F84" s="231"/>
      <c r="G84" s="172" t="str">
        <f t="shared" ca="1" si="44"/>
        <v/>
      </c>
      <c r="H84" s="93" t="str">
        <f t="shared" ca="1" si="45"/>
        <v/>
      </c>
      <c r="I84" s="21">
        <v>300</v>
      </c>
      <c r="J84" s="68">
        <f t="shared" si="46"/>
        <v>0.53333333333333333</v>
      </c>
      <c r="K84" s="70">
        <v>0.64</v>
      </c>
      <c r="L84" s="72">
        <f t="shared" ca="1" si="41"/>
        <v>0.20266666666666663</v>
      </c>
      <c r="M84" s="73">
        <f t="shared" ca="1" si="42"/>
        <v>60.79999999999999</v>
      </c>
      <c r="N84" s="12" t="s">
        <v>42</v>
      </c>
      <c r="O84" s="47" t="s">
        <v>45</v>
      </c>
      <c r="P84" s="13">
        <f t="shared" si="31"/>
        <v>0.64</v>
      </c>
      <c r="Q84" s="1" t="str">
        <f t="shared" si="33"/>
        <v>300-490 шт - 0,64 руб / шт с НДС</v>
      </c>
      <c r="R84" s="235"/>
      <c r="S84" s="239"/>
      <c r="T84" s="226"/>
      <c r="U84" s="228"/>
      <c r="V84" s="222"/>
      <c r="W84" s="229"/>
      <c r="X84" s="227"/>
      <c r="Y84" s="229"/>
      <c r="Z84" s="236"/>
      <c r="AA84" s="237"/>
      <c r="AB84" s="238"/>
      <c r="AC84" s="223"/>
      <c r="AD84" s="222"/>
    </row>
    <row r="85" spans="1:30" x14ac:dyDescent="0.4">
      <c r="A85" s="230"/>
      <c r="B85" s="7">
        <v>18</v>
      </c>
      <c r="C85" s="14">
        <f t="shared" ca="1" si="53"/>
        <v>0.28000000000000003</v>
      </c>
      <c r="D85" s="20">
        <f t="shared" ca="1" si="49"/>
        <v>0.33600000000000002</v>
      </c>
      <c r="E85" s="225"/>
      <c r="F85" s="231"/>
      <c r="G85" s="172" t="str">
        <f t="shared" ca="1" si="44"/>
        <v/>
      </c>
      <c r="H85" s="93" t="str">
        <f t="shared" ca="1" si="45"/>
        <v/>
      </c>
      <c r="I85" s="21">
        <v>500</v>
      </c>
      <c r="J85" s="68">
        <f t="shared" si="46"/>
        <v>0.49166666666666664</v>
      </c>
      <c r="K85" s="70">
        <v>0.59</v>
      </c>
      <c r="L85" s="72">
        <f t="shared" ca="1" si="41"/>
        <v>0.16933333333333328</v>
      </c>
      <c r="M85" s="73">
        <f t="shared" ca="1" si="42"/>
        <v>84.666666666666643</v>
      </c>
      <c r="N85" s="12" t="s">
        <v>43</v>
      </c>
      <c r="O85" s="47" t="s">
        <v>45</v>
      </c>
      <c r="P85" s="13">
        <f t="shared" si="31"/>
        <v>0.59</v>
      </c>
      <c r="Q85" s="1" t="str">
        <f t="shared" si="33"/>
        <v>500-990 шт - 0,59 руб / шт с НДС</v>
      </c>
      <c r="R85" s="235"/>
      <c r="S85" s="239"/>
      <c r="T85" s="226"/>
      <c r="U85" s="228"/>
      <c r="V85" s="222"/>
      <c r="W85" s="229"/>
      <c r="X85" s="227"/>
      <c r="Y85" s="229"/>
      <c r="Z85" s="236"/>
      <c r="AA85" s="237"/>
      <c r="AB85" s="238"/>
      <c r="AC85" s="223"/>
      <c r="AD85" s="222"/>
    </row>
    <row r="86" spans="1:30" x14ac:dyDescent="0.4">
      <c r="A86" s="230"/>
      <c r="B86" s="7">
        <v>18</v>
      </c>
      <c r="C86" s="14">
        <f t="shared" ca="1" si="53"/>
        <v>0.28000000000000003</v>
      </c>
      <c r="D86" s="20">
        <f t="shared" ca="1" si="49"/>
        <v>0.33600000000000002</v>
      </c>
      <c r="E86" s="225"/>
      <c r="F86" s="231"/>
      <c r="G86" s="172" t="str">
        <f t="shared" ca="1" si="44"/>
        <v/>
      </c>
      <c r="H86" s="93" t="str">
        <f t="shared" ca="1" si="45"/>
        <v/>
      </c>
      <c r="I86" s="21">
        <v>1000</v>
      </c>
      <c r="J86" s="68">
        <f t="shared" si="46"/>
        <v>0.45000000000000007</v>
      </c>
      <c r="K86" s="70">
        <v>0.54</v>
      </c>
      <c r="L86" s="72">
        <f t="shared" ca="1" si="41"/>
        <v>0.13600000000000004</v>
      </c>
      <c r="M86" s="73">
        <f t="shared" ca="1" si="42"/>
        <v>136.00000000000003</v>
      </c>
      <c r="N86" s="12" t="s">
        <v>44</v>
      </c>
      <c r="O86" s="47" t="s">
        <v>45</v>
      </c>
      <c r="P86" s="13">
        <f t="shared" si="31"/>
        <v>0.54</v>
      </c>
      <c r="Q86" s="1" t="str">
        <f t="shared" si="33"/>
        <v>1000 + шт - 0,54 руб / шт с НДС</v>
      </c>
      <c r="R86" s="235"/>
      <c r="S86" s="239"/>
      <c r="T86" s="226"/>
      <c r="U86" s="228"/>
      <c r="V86" s="222"/>
      <c r="W86" s="229"/>
      <c r="X86" s="227"/>
      <c r="Y86" s="229"/>
      <c r="Z86" s="236"/>
      <c r="AA86" s="237"/>
      <c r="AB86" s="238"/>
      <c r="AC86" s="223"/>
      <c r="AD86" s="222"/>
    </row>
    <row r="87" spans="1:30" x14ac:dyDescent="0.4">
      <c r="A87" s="230">
        <v>19</v>
      </c>
      <c r="B87" s="7">
        <v>19</v>
      </c>
      <c r="C87" s="14">
        <f t="shared" ca="1" si="53"/>
        <v>0.28000000000000003</v>
      </c>
      <c r="D87" s="20">
        <f t="shared" ref="D87:D96" ca="1" si="61">C87*1.2</f>
        <v>0.33600000000000002</v>
      </c>
      <c r="E87" s="224" t="str">
        <f ca="1">INDIRECT("'Закуп'!D" &amp; A87)</f>
        <v>У</v>
      </c>
      <c r="F87" s="231" t="str">
        <f t="shared" ref="F87" ca="1" si="62">INDIRECT("'Закуп'!E" &amp; B87)</f>
        <v>178х120х46</v>
      </c>
      <c r="G87" s="172" t="str">
        <f t="shared" ca="1" si="44"/>
        <v/>
      </c>
      <c r="H87" s="93" t="str">
        <f t="shared" ca="1" si="45"/>
        <v/>
      </c>
      <c r="I87" s="21">
        <v>50</v>
      </c>
      <c r="J87" s="68">
        <f t="shared" si="46"/>
        <v>0.83333333333333337</v>
      </c>
      <c r="K87" s="70">
        <v>1</v>
      </c>
      <c r="L87" s="72">
        <f t="shared" ca="1" si="41"/>
        <v>0.44266666666666665</v>
      </c>
      <c r="M87" s="73">
        <f t="shared" ca="1" si="42"/>
        <v>22.133333333333333</v>
      </c>
      <c r="N87" s="12" t="s">
        <v>40</v>
      </c>
      <c r="O87" s="47" t="s">
        <v>45</v>
      </c>
      <c r="P87" s="13">
        <f t="shared" si="31"/>
        <v>1</v>
      </c>
      <c r="Q87" s="1" t="str">
        <f t="shared" si="33"/>
        <v>50-90 шт - 1 руб / шт с НДС</v>
      </c>
      <c r="R87" s="235" t="str">
        <f ca="1">INDIRECT("'Закуп'!k" &amp; A87)</f>
        <v>K19</v>
      </c>
      <c r="S87" s="239">
        <f ca="1">INDIRECT("'Закуп'!o" &amp; A87)</f>
        <v>0.98</v>
      </c>
      <c r="T87" s="226" t="str">
        <f ca="1">INDIRECT("'Закуп'!p" &amp; A87)</f>
        <v>0,1-0,9 литров</v>
      </c>
      <c r="U87" s="228" t="str">
        <f ca="1">INDIRECT("'Закуп'!v" &amp; A87)</f>
        <v/>
      </c>
      <c r="V87" s="222" t="str">
        <f ca="1">INDIRECT("'Закуп'!w" &amp; A87)</f>
        <v>Плоские</v>
      </c>
      <c r="W87" s="229" t="str">
        <f ca="1">INDIRECT("'Закуп'!H" &amp; A87)</f>
        <v>0426</v>
      </c>
      <c r="X87" s="227" t="str">
        <f t="shared" ref="X87" ca="1" si="63">INDIRECT("'Закуп'!g" &amp; A87)</f>
        <v>С</v>
      </c>
      <c r="Y87" s="229" t="str">
        <f ca="1">INDIRECT("'Закуп'!i" &amp; A87)</f>
        <v>Е</v>
      </c>
      <c r="Z87" s="236" t="str">
        <f ca="1">INDIRECT("'Закуп'!x" &amp; A87)</f>
        <v>100-199 мм</v>
      </c>
      <c r="AA87" s="237" t="str">
        <f ca="1">INDIRECT("'Закуп'!y" &amp; A87)</f>
        <v>100-199 мм</v>
      </c>
      <c r="AB87" s="238" t="str">
        <f ca="1">INDIRECT("'Закуп'!z" &amp; A87)</f>
        <v>10-99 мм</v>
      </c>
      <c r="AC87" s="223" t="str">
        <f t="shared" ref="AC87" ca="1" si="64">SUBSTITUTE(INDEX(F:F, ROUNDUP((ROW(A86))/5,0)*5 - 3), "х", "x")</f>
        <v>178x120x46</v>
      </c>
      <c r="AD87" s="222" t="str">
        <f t="shared" ca="1" si="57"/>
        <v>178x120x46 - 178*120*46 мм</v>
      </c>
    </row>
    <row r="88" spans="1:30" x14ac:dyDescent="0.4">
      <c r="A88" s="230"/>
      <c r="B88" s="7">
        <v>19</v>
      </c>
      <c r="C88" s="14">
        <f t="shared" ca="1" si="53"/>
        <v>0.28000000000000003</v>
      </c>
      <c r="D88" s="20">
        <f t="shared" ca="1" si="61"/>
        <v>0.33600000000000002</v>
      </c>
      <c r="E88" s="225"/>
      <c r="F88" s="231"/>
      <c r="G88" s="172" t="str">
        <f t="shared" ca="1" si="44"/>
        <v/>
      </c>
      <c r="H88" s="93" t="str">
        <f t="shared" ca="1" si="45"/>
        <v/>
      </c>
      <c r="I88" s="21">
        <v>100</v>
      </c>
      <c r="J88" s="68">
        <f t="shared" si="46"/>
        <v>0.71666666666666667</v>
      </c>
      <c r="K88" s="70">
        <v>0.86</v>
      </c>
      <c r="L88" s="72">
        <f t="shared" ca="1" si="41"/>
        <v>0.34933333333333333</v>
      </c>
      <c r="M88" s="73">
        <f t="shared" ca="1" si="42"/>
        <v>34.93333333333333</v>
      </c>
      <c r="N88" s="12" t="s">
        <v>41</v>
      </c>
      <c r="O88" s="47" t="s">
        <v>45</v>
      </c>
      <c r="P88" s="13">
        <f t="shared" si="31"/>
        <v>0.86</v>
      </c>
      <c r="Q88" s="1" t="str">
        <f t="shared" si="33"/>
        <v>100-290 шт - 0,86 руб / шт с НДС</v>
      </c>
      <c r="R88" s="235"/>
      <c r="S88" s="239"/>
      <c r="T88" s="226"/>
      <c r="U88" s="228"/>
      <c r="V88" s="222"/>
      <c r="W88" s="229"/>
      <c r="X88" s="227"/>
      <c r="Y88" s="229"/>
      <c r="Z88" s="236"/>
      <c r="AA88" s="237"/>
      <c r="AB88" s="238"/>
      <c r="AC88" s="223"/>
      <c r="AD88" s="222"/>
    </row>
    <row r="89" spans="1:30" x14ac:dyDescent="0.4">
      <c r="A89" s="230"/>
      <c r="B89" s="7">
        <v>19</v>
      </c>
      <c r="C89" s="14">
        <f t="shared" ca="1" si="53"/>
        <v>0.28000000000000003</v>
      </c>
      <c r="D89" s="20">
        <f t="shared" ca="1" si="61"/>
        <v>0.33600000000000002</v>
      </c>
      <c r="E89" s="225"/>
      <c r="F89" s="231"/>
      <c r="G89" s="172" t="str">
        <f t="shared" ca="1" si="44"/>
        <v/>
      </c>
      <c r="H89" s="93" t="str">
        <f t="shared" ca="1" si="45"/>
        <v/>
      </c>
      <c r="I89" s="21">
        <v>300</v>
      </c>
      <c r="J89" s="68">
        <f t="shared" si="46"/>
        <v>0.56666666666666676</v>
      </c>
      <c r="K89" s="70">
        <v>0.68</v>
      </c>
      <c r="L89" s="72">
        <f t="shared" ca="1" si="41"/>
        <v>0.22933333333333339</v>
      </c>
      <c r="M89" s="73">
        <f t="shared" ca="1" si="42"/>
        <v>68.800000000000011</v>
      </c>
      <c r="N89" s="12" t="s">
        <v>42</v>
      </c>
      <c r="O89" s="47" t="s">
        <v>45</v>
      </c>
      <c r="P89" s="13">
        <f t="shared" si="31"/>
        <v>0.68</v>
      </c>
      <c r="Q89" s="1" t="str">
        <f t="shared" si="33"/>
        <v>300-490 шт - 0,68 руб / шт с НДС</v>
      </c>
      <c r="R89" s="235"/>
      <c r="S89" s="239"/>
      <c r="T89" s="226"/>
      <c r="U89" s="228"/>
      <c r="V89" s="222"/>
      <c r="W89" s="229"/>
      <c r="X89" s="227"/>
      <c r="Y89" s="229"/>
      <c r="Z89" s="236"/>
      <c r="AA89" s="237"/>
      <c r="AB89" s="238"/>
      <c r="AC89" s="223"/>
      <c r="AD89" s="222"/>
    </row>
    <row r="90" spans="1:30" x14ac:dyDescent="0.4">
      <c r="A90" s="230"/>
      <c r="B90" s="7">
        <v>19</v>
      </c>
      <c r="C90" s="14">
        <f t="shared" ca="1" si="53"/>
        <v>0.28000000000000003</v>
      </c>
      <c r="D90" s="20">
        <f t="shared" ca="1" si="61"/>
        <v>0.33600000000000002</v>
      </c>
      <c r="E90" s="225"/>
      <c r="F90" s="231"/>
      <c r="G90" s="172" t="str">
        <f t="shared" ca="1" si="44"/>
        <v/>
      </c>
      <c r="H90" s="93" t="str">
        <f t="shared" ca="1" si="45"/>
        <v/>
      </c>
      <c r="I90" s="21">
        <v>500</v>
      </c>
      <c r="J90" s="68">
        <f t="shared" si="46"/>
        <v>0.52500000000000002</v>
      </c>
      <c r="K90" s="70">
        <v>0.63</v>
      </c>
      <c r="L90" s="72">
        <f t="shared" ca="1" si="41"/>
        <v>0.19600000000000001</v>
      </c>
      <c r="M90" s="73">
        <f t="shared" ca="1" si="42"/>
        <v>98</v>
      </c>
      <c r="N90" s="12" t="s">
        <v>43</v>
      </c>
      <c r="O90" s="47" t="s">
        <v>45</v>
      </c>
      <c r="P90" s="13">
        <f t="shared" si="31"/>
        <v>0.63</v>
      </c>
      <c r="Q90" s="1" t="str">
        <f t="shared" si="33"/>
        <v>500-990 шт - 0,63 руб / шт с НДС</v>
      </c>
      <c r="R90" s="235"/>
      <c r="S90" s="239"/>
      <c r="T90" s="226"/>
      <c r="U90" s="228"/>
      <c r="V90" s="222"/>
      <c r="W90" s="229"/>
      <c r="X90" s="227"/>
      <c r="Y90" s="229"/>
      <c r="Z90" s="236"/>
      <c r="AA90" s="237"/>
      <c r="AB90" s="238"/>
      <c r="AC90" s="223"/>
      <c r="AD90" s="222"/>
    </row>
    <row r="91" spans="1:30" x14ac:dyDescent="0.4">
      <c r="A91" s="230"/>
      <c r="B91" s="7">
        <v>19</v>
      </c>
      <c r="C91" s="14">
        <f t="shared" ca="1" si="53"/>
        <v>0.28000000000000003</v>
      </c>
      <c r="D91" s="20">
        <f t="shared" ca="1" si="61"/>
        <v>0.33600000000000002</v>
      </c>
      <c r="E91" s="225"/>
      <c r="F91" s="231"/>
      <c r="G91" s="172" t="str">
        <f t="shared" ca="1" si="44"/>
        <v/>
      </c>
      <c r="H91" s="93" t="str">
        <f t="shared" ca="1" si="45"/>
        <v/>
      </c>
      <c r="I91" s="21">
        <v>1000</v>
      </c>
      <c r="J91" s="68">
        <f t="shared" si="46"/>
        <v>0.45000000000000007</v>
      </c>
      <c r="K91" s="70">
        <v>0.54</v>
      </c>
      <c r="L91" s="72">
        <f t="shared" ca="1" si="41"/>
        <v>0.13600000000000004</v>
      </c>
      <c r="M91" s="73">
        <f t="shared" ca="1" si="42"/>
        <v>136.00000000000003</v>
      </c>
      <c r="N91" s="12" t="s">
        <v>44</v>
      </c>
      <c r="O91" s="47" t="s">
        <v>45</v>
      </c>
      <c r="P91" s="13">
        <f t="shared" si="31"/>
        <v>0.54</v>
      </c>
      <c r="Q91" s="1" t="str">
        <f t="shared" si="33"/>
        <v>1000 + шт - 0,54 руб / шт с НДС</v>
      </c>
      <c r="R91" s="235"/>
      <c r="S91" s="239"/>
      <c r="T91" s="226"/>
      <c r="U91" s="228"/>
      <c r="V91" s="222"/>
      <c r="W91" s="229"/>
      <c r="X91" s="227"/>
      <c r="Y91" s="229"/>
      <c r="Z91" s="236"/>
      <c r="AA91" s="237"/>
      <c r="AB91" s="238"/>
      <c r="AC91" s="223"/>
      <c r="AD91" s="222"/>
    </row>
    <row r="92" spans="1:30" x14ac:dyDescent="0.4">
      <c r="A92" s="230">
        <v>20</v>
      </c>
      <c r="B92" s="7">
        <v>20</v>
      </c>
      <c r="C92" s="14">
        <f t="shared" ca="1" si="53"/>
        <v>0.28000000000000003</v>
      </c>
      <c r="D92" s="20">
        <f t="shared" ca="1" si="61"/>
        <v>0.33600000000000002</v>
      </c>
      <c r="E92" s="224" t="str">
        <f ca="1">INDIRECT("'Закуп'!D" &amp; A92)</f>
        <v>У</v>
      </c>
      <c r="F92" s="231" t="str">
        <f t="shared" ref="F92" ca="1" si="65">INDIRECT("'Закуп'!E" &amp; B92)</f>
        <v>110х110х87</v>
      </c>
      <c r="G92" s="172" t="str">
        <f t="shared" ca="1" si="44"/>
        <v/>
      </c>
      <c r="H92" s="93" t="str">
        <f t="shared" ca="1" si="45"/>
        <v/>
      </c>
      <c r="I92" s="21">
        <v>50</v>
      </c>
      <c r="J92" s="68">
        <f t="shared" si="46"/>
        <v>0.89166666666666672</v>
      </c>
      <c r="K92" s="70">
        <v>1.07</v>
      </c>
      <c r="L92" s="72">
        <f t="shared" ca="1" si="41"/>
        <v>0.48933333333333334</v>
      </c>
      <c r="M92" s="73">
        <f t="shared" ca="1" si="42"/>
        <v>24.466666666666669</v>
      </c>
      <c r="N92" s="12" t="s">
        <v>40</v>
      </c>
      <c r="O92" s="47" t="s">
        <v>45</v>
      </c>
      <c r="P92" s="13">
        <f t="shared" si="31"/>
        <v>1.07</v>
      </c>
      <c r="Q92" s="1" t="str">
        <f t="shared" si="33"/>
        <v>50-90 шт - 1,07 руб / шт с НДС</v>
      </c>
      <c r="R92" s="235" t="str">
        <f ca="1">INDIRECT("'Закуп'!k" &amp; A92)</f>
        <v>K20</v>
      </c>
      <c r="S92" s="239">
        <f ca="1">INDIRECT("'Закуп'!o" &amp; A92)</f>
        <v>1.05</v>
      </c>
      <c r="T92" s="226" t="str">
        <f ca="1">INDIRECT("'Закуп'!p" &amp; A92)</f>
        <v>1-1,9 литра</v>
      </c>
      <c r="U92" s="228" t="str">
        <f ca="1">INDIRECT("'Закуп'!v" &amp; A92)</f>
        <v/>
      </c>
      <c r="V92" s="222" t="str">
        <f ca="1">INDIRECT("'Закуп'!w" &amp; A92)</f>
        <v/>
      </c>
      <c r="W92" s="229" t="str">
        <f ca="1">INDIRECT("'Закуп'!H" &amp; A92)</f>
        <v>0215</v>
      </c>
      <c r="X92" s="227" t="str">
        <f t="shared" ref="X92" ca="1" si="66">INDIRECT("'Закуп'!g" &amp; A92)</f>
        <v>С</v>
      </c>
      <c r="Y92" s="229" t="str">
        <f ca="1">INDIRECT("'Закуп'!i" &amp; A92)</f>
        <v>В</v>
      </c>
      <c r="Z92" s="236" t="str">
        <f ca="1">INDIRECT("'Закуп'!x" &amp; A92)</f>
        <v>100-199 мм</v>
      </c>
      <c r="AA92" s="237" t="str">
        <f ca="1">INDIRECT("'Закуп'!y" &amp; A92)</f>
        <v>100-199 мм</v>
      </c>
      <c r="AB92" s="238" t="str">
        <f ca="1">INDIRECT("'Закуп'!z" &amp; A92)</f>
        <v>10-99 мм</v>
      </c>
      <c r="AC92" s="223" t="str">
        <f t="shared" ref="AC92" ca="1" si="67">SUBSTITUTE(INDEX(F:F, ROUNDUP((ROW(A91))/5,0)*5 - 3), "х", "x")</f>
        <v>110x110x87</v>
      </c>
      <c r="AD92" s="222" t="str">
        <f t="shared" ca="1" si="57"/>
        <v>110x110x87 - 110*110*87 мм</v>
      </c>
    </row>
    <row r="93" spans="1:30" x14ac:dyDescent="0.4">
      <c r="A93" s="230"/>
      <c r="B93" s="7">
        <v>20</v>
      </c>
      <c r="C93" s="14">
        <f t="shared" ca="1" si="53"/>
        <v>0.28000000000000003</v>
      </c>
      <c r="D93" s="20">
        <f t="shared" ca="1" si="61"/>
        <v>0.33600000000000002</v>
      </c>
      <c r="E93" s="225"/>
      <c r="F93" s="231"/>
      <c r="G93" s="172" t="str">
        <f t="shared" ca="1" si="44"/>
        <v/>
      </c>
      <c r="H93" s="93" t="str">
        <f t="shared" ca="1" si="45"/>
        <v/>
      </c>
      <c r="I93" s="21">
        <v>100</v>
      </c>
      <c r="J93" s="68">
        <f t="shared" si="46"/>
        <v>0.75833333333333341</v>
      </c>
      <c r="K93" s="70">
        <v>0.91</v>
      </c>
      <c r="L93" s="72">
        <f t="shared" ca="1" si="41"/>
        <v>0.38266666666666671</v>
      </c>
      <c r="M93" s="73">
        <f t="shared" ca="1" si="42"/>
        <v>38.266666666666673</v>
      </c>
      <c r="N93" s="12" t="s">
        <v>41</v>
      </c>
      <c r="O93" s="47" t="s">
        <v>45</v>
      </c>
      <c r="P93" s="13">
        <f t="shared" si="31"/>
        <v>0.91</v>
      </c>
      <c r="Q93" s="1" t="str">
        <f t="shared" si="33"/>
        <v>100-290 шт - 0,91 руб / шт с НДС</v>
      </c>
      <c r="R93" s="235"/>
      <c r="S93" s="239"/>
      <c r="T93" s="226"/>
      <c r="U93" s="228"/>
      <c r="V93" s="222"/>
      <c r="W93" s="229"/>
      <c r="X93" s="227"/>
      <c r="Y93" s="229"/>
      <c r="Z93" s="236"/>
      <c r="AA93" s="237"/>
      <c r="AB93" s="238"/>
      <c r="AC93" s="223"/>
      <c r="AD93" s="222"/>
    </row>
    <row r="94" spans="1:30" x14ac:dyDescent="0.4">
      <c r="A94" s="230"/>
      <c r="B94" s="7">
        <v>20</v>
      </c>
      <c r="C94" s="14">
        <f t="shared" ca="1" si="53"/>
        <v>0.28000000000000003</v>
      </c>
      <c r="D94" s="20">
        <f t="shared" ca="1" si="61"/>
        <v>0.33600000000000002</v>
      </c>
      <c r="E94" s="225"/>
      <c r="F94" s="231"/>
      <c r="G94" s="172" t="str">
        <f t="shared" ca="1" si="44"/>
        <v/>
      </c>
      <c r="H94" s="93" t="str">
        <f t="shared" ca="1" si="45"/>
        <v/>
      </c>
      <c r="I94" s="21">
        <v>300</v>
      </c>
      <c r="J94" s="68">
        <f t="shared" si="46"/>
        <v>0.56666666666666676</v>
      </c>
      <c r="K94" s="70">
        <v>0.68</v>
      </c>
      <c r="L94" s="72">
        <f t="shared" ca="1" si="41"/>
        <v>0.22933333333333339</v>
      </c>
      <c r="M94" s="73">
        <f t="shared" ca="1" si="42"/>
        <v>68.800000000000011</v>
      </c>
      <c r="N94" s="12" t="s">
        <v>42</v>
      </c>
      <c r="O94" s="47" t="s">
        <v>45</v>
      </c>
      <c r="P94" s="13">
        <f t="shared" si="31"/>
        <v>0.68</v>
      </c>
      <c r="Q94" s="1" t="str">
        <f t="shared" si="33"/>
        <v>300-490 шт - 0,68 руб / шт с НДС</v>
      </c>
      <c r="R94" s="235"/>
      <c r="S94" s="239"/>
      <c r="T94" s="226"/>
      <c r="U94" s="228"/>
      <c r="V94" s="222"/>
      <c r="W94" s="229"/>
      <c r="X94" s="227"/>
      <c r="Y94" s="229"/>
      <c r="Z94" s="236"/>
      <c r="AA94" s="237"/>
      <c r="AB94" s="238"/>
      <c r="AC94" s="223"/>
      <c r="AD94" s="222"/>
    </row>
    <row r="95" spans="1:30" x14ac:dyDescent="0.4">
      <c r="A95" s="230"/>
      <c r="B95" s="7">
        <v>20</v>
      </c>
      <c r="C95" s="14">
        <f t="shared" ca="1" si="53"/>
        <v>0.28000000000000003</v>
      </c>
      <c r="D95" s="20">
        <f t="shared" ca="1" si="61"/>
        <v>0.33600000000000002</v>
      </c>
      <c r="E95" s="225"/>
      <c r="F95" s="231"/>
      <c r="G95" s="172" t="str">
        <f t="shared" ca="1" si="44"/>
        <v/>
      </c>
      <c r="H95" s="93" t="str">
        <f t="shared" ca="1" si="45"/>
        <v/>
      </c>
      <c r="I95" s="21">
        <v>500</v>
      </c>
      <c r="J95" s="68">
        <f t="shared" si="46"/>
        <v>0.52500000000000002</v>
      </c>
      <c r="K95" s="70">
        <v>0.63</v>
      </c>
      <c r="L95" s="72">
        <f t="shared" ca="1" si="41"/>
        <v>0.19600000000000001</v>
      </c>
      <c r="M95" s="73">
        <f t="shared" ca="1" si="42"/>
        <v>98</v>
      </c>
      <c r="N95" s="12" t="s">
        <v>43</v>
      </c>
      <c r="O95" s="47" t="s">
        <v>45</v>
      </c>
      <c r="P95" s="13">
        <f t="shared" si="31"/>
        <v>0.63</v>
      </c>
      <c r="Q95" s="1" t="str">
        <f t="shared" si="33"/>
        <v>500-990 шт - 0,63 руб / шт с НДС</v>
      </c>
      <c r="R95" s="235"/>
      <c r="S95" s="239"/>
      <c r="T95" s="226"/>
      <c r="U95" s="228"/>
      <c r="V95" s="222"/>
      <c r="W95" s="229"/>
      <c r="X95" s="227"/>
      <c r="Y95" s="229"/>
      <c r="Z95" s="236"/>
      <c r="AA95" s="237"/>
      <c r="AB95" s="238"/>
      <c r="AC95" s="223"/>
      <c r="AD95" s="222"/>
    </row>
    <row r="96" spans="1:30" x14ac:dyDescent="0.4">
      <c r="A96" s="230"/>
      <c r="B96" s="7">
        <v>20</v>
      </c>
      <c r="C96" s="14">
        <f t="shared" ca="1" si="53"/>
        <v>0.28000000000000003</v>
      </c>
      <c r="D96" s="20">
        <f t="shared" ca="1" si="61"/>
        <v>0.33600000000000002</v>
      </c>
      <c r="E96" s="225"/>
      <c r="F96" s="231"/>
      <c r="G96" s="172" t="str">
        <f t="shared" ca="1" si="44"/>
        <v/>
      </c>
      <c r="H96" s="93" t="str">
        <f t="shared" ca="1" si="45"/>
        <v/>
      </c>
      <c r="I96" s="21">
        <v>1000</v>
      </c>
      <c r="J96" s="68">
        <f t="shared" si="46"/>
        <v>0.49166666666666664</v>
      </c>
      <c r="K96" s="70">
        <v>0.59</v>
      </c>
      <c r="L96" s="72">
        <f t="shared" ca="1" si="41"/>
        <v>0.16933333333333328</v>
      </c>
      <c r="M96" s="73">
        <f t="shared" ca="1" si="42"/>
        <v>169.33333333333329</v>
      </c>
      <c r="N96" s="12" t="s">
        <v>44</v>
      </c>
      <c r="O96" s="47" t="s">
        <v>45</v>
      </c>
      <c r="P96" s="13">
        <f t="shared" si="31"/>
        <v>0.59</v>
      </c>
      <c r="Q96" s="1" t="str">
        <f t="shared" si="33"/>
        <v>1000 + шт - 0,59 руб / шт с НДС</v>
      </c>
      <c r="R96" s="235"/>
      <c r="S96" s="239"/>
      <c r="T96" s="226"/>
      <c r="U96" s="228"/>
      <c r="V96" s="222"/>
      <c r="W96" s="229"/>
      <c r="X96" s="227"/>
      <c r="Y96" s="229"/>
      <c r="Z96" s="236"/>
      <c r="AA96" s="237"/>
      <c r="AB96" s="238"/>
      <c r="AC96" s="223"/>
      <c r="AD96" s="222"/>
    </row>
    <row r="97" spans="1:30" x14ac:dyDescent="0.4">
      <c r="A97" s="230">
        <v>21</v>
      </c>
      <c r="B97" s="8">
        <v>21</v>
      </c>
      <c r="C97" s="14">
        <f t="shared" ca="1" si="53"/>
        <v>0.17</v>
      </c>
      <c r="D97" s="20">
        <f t="shared" ref="D97:D160" ca="1" si="68">C97*1.2</f>
        <v>0.20400000000000001</v>
      </c>
      <c r="E97" s="224" t="str">
        <f ca="1">INDIRECT("'Закуп'!D" &amp; A97)</f>
        <v>У</v>
      </c>
      <c r="F97" s="231" t="str">
        <f t="shared" ref="F97" ca="1" si="69">INDIRECT("'Закуп'!E" &amp; B97)</f>
        <v>50х50х170</v>
      </c>
      <c r="G97" s="172" t="str">
        <f t="shared" ca="1" si="44"/>
        <v/>
      </c>
      <c r="H97" s="93" t="str">
        <f t="shared" ca="1" si="45"/>
        <v/>
      </c>
      <c r="I97" s="21">
        <v>50</v>
      </c>
      <c r="J97" s="68">
        <f t="shared" si="46"/>
        <v>0.93333333333333346</v>
      </c>
      <c r="K97" s="70">
        <v>1.1200000000000001</v>
      </c>
      <c r="L97" s="72">
        <f t="shared" ca="1" si="41"/>
        <v>0.61066666666666669</v>
      </c>
      <c r="M97" s="73">
        <f t="shared" ca="1" si="42"/>
        <v>30.533333333333335</v>
      </c>
      <c r="N97" s="12" t="s">
        <v>40</v>
      </c>
      <c r="O97" s="47" t="s">
        <v>45</v>
      </c>
      <c r="P97" s="13">
        <f t="shared" si="31"/>
        <v>1.1200000000000001</v>
      </c>
      <c r="Q97" s="1" t="str">
        <f t="shared" si="33"/>
        <v>50-90 шт - 1,12 руб / шт с НДС</v>
      </c>
      <c r="R97" s="235" t="str">
        <f ca="1">INDIRECT("'Закуп'!k" &amp; A97)</f>
        <v>K21</v>
      </c>
      <c r="S97" s="239">
        <f ca="1">INDIRECT("'Закуп'!o" &amp; A97)</f>
        <v>0.43</v>
      </c>
      <c r="T97" s="226" t="str">
        <f ca="1">INDIRECT("'Закуп'!p" &amp; A97)</f>
        <v>0,1-0,9 литров</v>
      </c>
      <c r="U97" s="228" t="str">
        <f ca="1">INDIRECT("'Закуп'!v" &amp; A97)</f>
        <v>Длинные</v>
      </c>
      <c r="V97" s="222" t="str">
        <f ca="1">INDIRECT("'Закуп'!w" &amp; A97)</f>
        <v/>
      </c>
      <c r="W97" s="229" t="str">
        <f ca="1">INDIRECT("'Закуп'!H" &amp; A97)</f>
        <v>0215</v>
      </c>
      <c r="X97" s="227" t="str">
        <f t="shared" ref="X97" ca="1" si="70">INDIRECT("'Закуп'!g" &amp; A97)</f>
        <v>С</v>
      </c>
      <c r="Y97" s="229" t="str">
        <f ca="1">INDIRECT("'Закуп'!i" &amp; A97)</f>
        <v>Е</v>
      </c>
      <c r="Z97" s="236" t="str">
        <f ca="1">INDIRECT("'Закуп'!x" &amp; A97)</f>
        <v>100-199 мм</v>
      </c>
      <c r="AA97" s="237" t="str">
        <f ca="1">INDIRECT("'Закуп'!y" &amp; A97)</f>
        <v>10-99 мм</v>
      </c>
      <c r="AB97" s="238" t="str">
        <f ca="1">INDIRECT("'Закуп'!z" &amp; A97)</f>
        <v>10-99 мм</v>
      </c>
      <c r="AC97" s="223" t="str">
        <f t="shared" ref="AC97" ca="1" si="71">SUBSTITUTE(INDEX(F:F, ROUNDUP((ROW(A96))/5,0)*5 - 3), "х", "x")</f>
        <v>50x50x170</v>
      </c>
      <c r="AD97" s="222" t="str">
        <f t="shared" ca="1" si="57"/>
        <v>50x50x170 - 50*50*170 мм</v>
      </c>
    </row>
    <row r="98" spans="1:30" x14ac:dyDescent="0.4">
      <c r="A98" s="230"/>
      <c r="B98" s="8">
        <v>21</v>
      </c>
      <c r="C98" s="14">
        <f t="shared" ca="1" si="53"/>
        <v>0.17</v>
      </c>
      <c r="D98" s="20">
        <f t="shared" ca="1" si="68"/>
        <v>0.20400000000000001</v>
      </c>
      <c r="E98" s="225"/>
      <c r="F98" s="231"/>
      <c r="G98" s="172" t="str">
        <f t="shared" ca="1" si="44"/>
        <v/>
      </c>
      <c r="H98" s="93" t="str">
        <f t="shared" ca="1" si="45"/>
        <v/>
      </c>
      <c r="I98" s="21">
        <v>100</v>
      </c>
      <c r="J98" s="68">
        <f t="shared" si="46"/>
        <v>0.8</v>
      </c>
      <c r="K98" s="70">
        <v>0.96</v>
      </c>
      <c r="L98" s="72">
        <f t="shared" ca="1" si="41"/>
        <v>0.504</v>
      </c>
      <c r="M98" s="73">
        <f t="shared" ca="1" si="42"/>
        <v>50.4</v>
      </c>
      <c r="N98" s="12" t="s">
        <v>41</v>
      </c>
      <c r="O98" s="47" t="s">
        <v>45</v>
      </c>
      <c r="P98" s="13">
        <f t="shared" si="31"/>
        <v>0.96</v>
      </c>
      <c r="Q98" s="1" t="str">
        <f t="shared" si="33"/>
        <v>100-290 шт - 0,96 руб / шт с НДС</v>
      </c>
      <c r="R98" s="235"/>
      <c r="S98" s="239"/>
      <c r="T98" s="226"/>
      <c r="U98" s="228"/>
      <c r="V98" s="222"/>
      <c r="W98" s="229"/>
      <c r="X98" s="227"/>
      <c r="Y98" s="229"/>
      <c r="Z98" s="236"/>
      <c r="AA98" s="237"/>
      <c r="AB98" s="238"/>
      <c r="AC98" s="223"/>
      <c r="AD98" s="222"/>
    </row>
    <row r="99" spans="1:30" x14ac:dyDescent="0.4">
      <c r="A99" s="230"/>
      <c r="B99" s="8">
        <v>21</v>
      </c>
      <c r="C99" s="14">
        <f t="shared" ca="1" si="53"/>
        <v>0.17</v>
      </c>
      <c r="D99" s="20">
        <f t="shared" ca="1" si="68"/>
        <v>0.20400000000000001</v>
      </c>
      <c r="E99" s="225"/>
      <c r="F99" s="231"/>
      <c r="G99" s="172" t="str">
        <f t="shared" ca="1" si="44"/>
        <v/>
      </c>
      <c r="H99" s="93" t="str">
        <f t="shared" ca="1" si="45"/>
        <v/>
      </c>
      <c r="I99" s="21">
        <v>300</v>
      </c>
      <c r="J99" s="68">
        <f t="shared" si="46"/>
        <v>0.70833333333333337</v>
      </c>
      <c r="K99" s="70">
        <v>0.85</v>
      </c>
      <c r="L99" s="72">
        <f t="shared" ca="1" si="41"/>
        <v>0.43066666666666664</v>
      </c>
      <c r="M99" s="73">
        <f t="shared" ca="1" si="42"/>
        <v>129.19999999999999</v>
      </c>
      <c r="N99" s="12" t="s">
        <v>42</v>
      </c>
      <c r="O99" s="47" t="s">
        <v>45</v>
      </c>
      <c r="P99" s="13">
        <f t="shared" si="31"/>
        <v>0.85</v>
      </c>
      <c r="Q99" s="1" t="str">
        <f t="shared" si="33"/>
        <v>300-490 шт - 0,85 руб / шт с НДС</v>
      </c>
      <c r="R99" s="235"/>
      <c r="S99" s="239"/>
      <c r="T99" s="226"/>
      <c r="U99" s="228"/>
      <c r="V99" s="222"/>
      <c r="W99" s="229"/>
      <c r="X99" s="227"/>
      <c r="Y99" s="229"/>
      <c r="Z99" s="236"/>
      <c r="AA99" s="237"/>
      <c r="AB99" s="238"/>
      <c r="AC99" s="223"/>
      <c r="AD99" s="222"/>
    </row>
    <row r="100" spans="1:30" x14ac:dyDescent="0.4">
      <c r="A100" s="230"/>
      <c r="B100" s="8">
        <v>21</v>
      </c>
      <c r="C100" s="14">
        <f t="shared" ca="1" si="53"/>
        <v>0.17</v>
      </c>
      <c r="D100" s="20">
        <f t="shared" ca="1" si="68"/>
        <v>0.20400000000000001</v>
      </c>
      <c r="E100" s="225"/>
      <c r="F100" s="231"/>
      <c r="G100" s="172" t="str">
        <f t="shared" ca="1" si="44"/>
        <v/>
      </c>
      <c r="H100" s="93" t="str">
        <f t="shared" ca="1" si="45"/>
        <v/>
      </c>
      <c r="I100" s="21">
        <v>500</v>
      </c>
      <c r="J100" s="68">
        <f t="shared" si="46"/>
        <v>0.58333333333333337</v>
      </c>
      <c r="K100" s="70">
        <v>0.7</v>
      </c>
      <c r="L100" s="72">
        <f t="shared" ca="1" si="41"/>
        <v>0.33066666666666666</v>
      </c>
      <c r="M100" s="73">
        <f t="shared" ca="1" si="42"/>
        <v>165.33333333333334</v>
      </c>
      <c r="N100" s="12" t="s">
        <v>43</v>
      </c>
      <c r="O100" s="47" t="s">
        <v>45</v>
      </c>
      <c r="P100" s="13">
        <f t="shared" si="31"/>
        <v>0.7</v>
      </c>
      <c r="Q100" s="1" t="str">
        <f t="shared" si="33"/>
        <v>500-990 шт - 0,7 руб / шт с НДС</v>
      </c>
      <c r="R100" s="235"/>
      <c r="S100" s="239"/>
      <c r="T100" s="226"/>
      <c r="U100" s="228"/>
      <c r="V100" s="222"/>
      <c r="W100" s="229"/>
      <c r="X100" s="227"/>
      <c r="Y100" s="229"/>
      <c r="Z100" s="236"/>
      <c r="AA100" s="237"/>
      <c r="AB100" s="238"/>
      <c r="AC100" s="223"/>
      <c r="AD100" s="222"/>
    </row>
    <row r="101" spans="1:30" x14ac:dyDescent="0.4">
      <c r="A101" s="230"/>
      <c r="B101" s="8">
        <v>21</v>
      </c>
      <c r="C101" s="14">
        <f t="shared" ca="1" si="53"/>
        <v>0.17</v>
      </c>
      <c r="D101" s="20">
        <f t="shared" ca="1" si="68"/>
        <v>0.20400000000000001</v>
      </c>
      <c r="E101" s="225"/>
      <c r="F101" s="231"/>
      <c r="G101" s="172" t="str">
        <f t="shared" ca="1" si="44"/>
        <v/>
      </c>
      <c r="H101" s="93" t="str">
        <f t="shared" ca="1" si="45"/>
        <v/>
      </c>
      <c r="I101" s="21">
        <v>1000</v>
      </c>
      <c r="J101" s="68">
        <f t="shared" si="46"/>
        <v>0.45833333333333337</v>
      </c>
      <c r="K101" s="70">
        <v>0.55000000000000004</v>
      </c>
      <c r="L101" s="72">
        <f t="shared" ca="1" si="41"/>
        <v>0.23066666666666666</v>
      </c>
      <c r="M101" s="73">
        <f t="shared" ca="1" si="42"/>
        <v>230.66666666666666</v>
      </c>
      <c r="N101" s="12" t="s">
        <v>44</v>
      </c>
      <c r="O101" s="47" t="s">
        <v>45</v>
      </c>
      <c r="P101" s="13">
        <f t="shared" si="31"/>
        <v>0.55000000000000004</v>
      </c>
      <c r="Q101" s="1" t="str">
        <f t="shared" si="33"/>
        <v>1000 + шт - 0,55 руб / шт с НДС</v>
      </c>
      <c r="R101" s="235"/>
      <c r="S101" s="239"/>
      <c r="T101" s="226"/>
      <c r="U101" s="228"/>
      <c r="V101" s="222"/>
      <c r="W101" s="229"/>
      <c r="X101" s="227"/>
      <c r="Y101" s="229"/>
      <c r="Z101" s="236"/>
      <c r="AA101" s="237"/>
      <c r="AB101" s="238"/>
      <c r="AC101" s="223"/>
      <c r="AD101" s="222"/>
    </row>
    <row r="102" spans="1:30" x14ac:dyDescent="0.4">
      <c r="A102" s="230">
        <v>22</v>
      </c>
      <c r="B102" s="8">
        <v>22</v>
      </c>
      <c r="C102" s="14">
        <f t="shared" ca="1" si="53"/>
        <v>0.35</v>
      </c>
      <c r="D102" s="20">
        <f t="shared" ca="1" si="68"/>
        <v>0.42</v>
      </c>
      <c r="E102" s="224" t="str">
        <f ca="1">INDIRECT("'Закуп'!D" &amp; A102)</f>
        <v>У</v>
      </c>
      <c r="F102" s="231" t="str">
        <f t="shared" ref="F102" ca="1" si="72">INDIRECT("'Закуп'!E" &amp; B102)</f>
        <v>80х80х330</v>
      </c>
      <c r="G102" s="172" t="str">
        <f t="shared" ca="1" si="44"/>
        <v/>
      </c>
      <c r="H102" s="93" t="str">
        <f t="shared" ca="1" si="45"/>
        <v/>
      </c>
      <c r="I102" s="21">
        <v>50</v>
      </c>
      <c r="J102" s="68">
        <f t="shared" si="46"/>
        <v>0.89166666666666672</v>
      </c>
      <c r="K102" s="70">
        <v>1.07</v>
      </c>
      <c r="L102" s="72">
        <f t="shared" ca="1" si="41"/>
        <v>0.4333333333333334</v>
      </c>
      <c r="M102" s="73">
        <f t="shared" ca="1" si="42"/>
        <v>21.666666666666671</v>
      </c>
      <c r="N102" s="12" t="s">
        <v>40</v>
      </c>
      <c r="O102" s="47" t="s">
        <v>45</v>
      </c>
      <c r="P102" s="13">
        <f t="shared" si="31"/>
        <v>1.07</v>
      </c>
      <c r="Q102" s="1" t="str">
        <f t="shared" si="33"/>
        <v>50-90 шт - 1,07 руб / шт с НДС</v>
      </c>
      <c r="R102" s="235" t="str">
        <f ca="1">INDIRECT("'Закуп'!k" &amp; A102)</f>
        <v>K22</v>
      </c>
      <c r="S102" s="239">
        <f ca="1">INDIRECT("'Закуп'!o" &amp; A102)</f>
        <v>2.11</v>
      </c>
      <c r="T102" s="226" t="str">
        <f ca="1">INDIRECT("'Закуп'!p" &amp; A102)</f>
        <v>2-2,9 литра</v>
      </c>
      <c r="U102" s="228" t="str">
        <f ca="1">INDIRECT("'Закуп'!v" &amp; A102)</f>
        <v>Длинные</v>
      </c>
      <c r="V102" s="222" t="str">
        <f ca="1">INDIRECT("'Закуп'!w" &amp; A102)</f>
        <v/>
      </c>
      <c r="W102" s="229" t="str">
        <f ca="1">INDIRECT("'Закуп'!H" &amp; A102)</f>
        <v>0215</v>
      </c>
      <c r="X102" s="227" t="str">
        <f t="shared" ref="X102" ca="1" si="73">INDIRECT("'Закуп'!g" &amp; A102)</f>
        <v>С</v>
      </c>
      <c r="Y102" s="229" t="str">
        <f ca="1">INDIRECT("'Закуп'!i" &amp; A102)</f>
        <v>В</v>
      </c>
      <c r="Z102" s="236" t="str">
        <f ca="1">INDIRECT("'Закуп'!x" &amp; A102)</f>
        <v>300-399 мм</v>
      </c>
      <c r="AA102" s="237" t="str">
        <f ca="1">INDIRECT("'Закуп'!y" &amp; A102)</f>
        <v>10-99 мм</v>
      </c>
      <c r="AB102" s="238" t="str">
        <f ca="1">INDIRECT("'Закуп'!z" &amp; A102)</f>
        <v>10-99 мм</v>
      </c>
      <c r="AC102" s="223" t="str">
        <f t="shared" ref="AC102:AC162" ca="1" si="74">SUBSTITUTE(INDEX(F:F, ROUNDUP((ROW(A101))/5,0)*5 - 3), "х", "x")</f>
        <v>80x80x330</v>
      </c>
      <c r="AD102" s="222" t="str">
        <f t="shared" ca="1" si="57"/>
        <v>80x80x330 - 80*80*330 мм</v>
      </c>
    </row>
    <row r="103" spans="1:30" x14ac:dyDescent="0.4">
      <c r="A103" s="230"/>
      <c r="B103" s="8">
        <v>22</v>
      </c>
      <c r="C103" s="14">
        <f t="shared" ca="1" si="53"/>
        <v>0.35</v>
      </c>
      <c r="D103" s="20">
        <f t="shared" ca="1" si="68"/>
        <v>0.42</v>
      </c>
      <c r="E103" s="225"/>
      <c r="F103" s="231"/>
      <c r="G103" s="172" t="str">
        <f t="shared" ca="1" si="44"/>
        <v/>
      </c>
      <c r="H103" s="93" t="str">
        <f t="shared" ca="1" si="45"/>
        <v/>
      </c>
      <c r="I103" s="21">
        <v>100</v>
      </c>
      <c r="J103" s="68">
        <f t="shared" si="46"/>
        <v>0.75</v>
      </c>
      <c r="K103" s="70">
        <v>0.9</v>
      </c>
      <c r="L103" s="72">
        <f t="shared" ca="1" si="41"/>
        <v>0.32</v>
      </c>
      <c r="M103" s="73">
        <f t="shared" ca="1" si="42"/>
        <v>32</v>
      </c>
      <c r="N103" s="12" t="s">
        <v>41</v>
      </c>
      <c r="O103" s="47" t="s">
        <v>45</v>
      </c>
      <c r="P103" s="13">
        <f t="shared" si="31"/>
        <v>0.9</v>
      </c>
      <c r="Q103" s="1" t="str">
        <f t="shared" si="33"/>
        <v>100-290 шт - 0,9 руб / шт с НДС</v>
      </c>
      <c r="R103" s="235"/>
      <c r="S103" s="239"/>
      <c r="T103" s="226"/>
      <c r="U103" s="228"/>
      <c r="V103" s="222"/>
      <c r="W103" s="229"/>
      <c r="X103" s="227"/>
      <c r="Y103" s="229"/>
      <c r="Z103" s="236"/>
      <c r="AA103" s="237"/>
      <c r="AB103" s="238"/>
      <c r="AC103" s="223"/>
      <c r="AD103" s="222"/>
    </row>
    <row r="104" spans="1:30" x14ac:dyDescent="0.4">
      <c r="A104" s="230"/>
      <c r="B104" s="8">
        <v>22</v>
      </c>
      <c r="C104" s="14">
        <f t="shared" ca="1" si="53"/>
        <v>0.35</v>
      </c>
      <c r="D104" s="20">
        <f t="shared" ca="1" si="68"/>
        <v>0.42</v>
      </c>
      <c r="E104" s="225"/>
      <c r="F104" s="231"/>
      <c r="G104" s="172" t="str">
        <f t="shared" ca="1" si="44"/>
        <v/>
      </c>
      <c r="H104" s="93" t="str">
        <f t="shared" ca="1" si="45"/>
        <v/>
      </c>
      <c r="I104" s="21">
        <v>300</v>
      </c>
      <c r="J104" s="68">
        <f t="shared" si="46"/>
        <v>0.68333333333333335</v>
      </c>
      <c r="K104" s="70">
        <v>0.82</v>
      </c>
      <c r="L104" s="72">
        <f t="shared" ca="1" si="41"/>
        <v>0.26666666666666672</v>
      </c>
      <c r="M104" s="73">
        <f t="shared" ca="1" si="42"/>
        <v>80.000000000000014</v>
      </c>
      <c r="N104" s="12" t="s">
        <v>42</v>
      </c>
      <c r="O104" s="47" t="s">
        <v>45</v>
      </c>
      <c r="P104" s="13">
        <f t="shared" si="31"/>
        <v>0.82</v>
      </c>
      <c r="Q104" s="1" t="str">
        <f t="shared" si="33"/>
        <v>300-490 шт - 0,82 руб / шт с НДС</v>
      </c>
      <c r="R104" s="235"/>
      <c r="S104" s="239"/>
      <c r="T104" s="226"/>
      <c r="U104" s="228"/>
      <c r="V104" s="222"/>
      <c r="W104" s="229"/>
      <c r="X104" s="227"/>
      <c r="Y104" s="229"/>
      <c r="Z104" s="236"/>
      <c r="AA104" s="237"/>
      <c r="AB104" s="238"/>
      <c r="AC104" s="223"/>
      <c r="AD104" s="222"/>
    </row>
    <row r="105" spans="1:30" x14ac:dyDescent="0.4">
      <c r="A105" s="230"/>
      <c r="B105" s="8">
        <v>22</v>
      </c>
      <c r="C105" s="14">
        <f t="shared" ca="1" si="53"/>
        <v>0.35</v>
      </c>
      <c r="D105" s="20">
        <f t="shared" ca="1" si="68"/>
        <v>0.42</v>
      </c>
      <c r="E105" s="225"/>
      <c r="F105" s="231"/>
      <c r="G105" s="172" t="str">
        <f t="shared" ca="1" si="44"/>
        <v/>
      </c>
      <c r="H105" s="93" t="str">
        <f t="shared" ca="1" si="45"/>
        <v/>
      </c>
      <c r="I105" s="21">
        <v>500</v>
      </c>
      <c r="J105" s="68">
        <f t="shared" si="46"/>
        <v>0.625</v>
      </c>
      <c r="K105" s="70">
        <v>0.75</v>
      </c>
      <c r="L105" s="72">
        <f t="shared" ca="1" si="41"/>
        <v>0.22000000000000003</v>
      </c>
      <c r="M105" s="73">
        <f t="shared" ca="1" si="42"/>
        <v>110.00000000000001</v>
      </c>
      <c r="N105" s="12" t="s">
        <v>43</v>
      </c>
      <c r="O105" s="47" t="s">
        <v>45</v>
      </c>
      <c r="P105" s="13">
        <f t="shared" si="31"/>
        <v>0.75</v>
      </c>
      <c r="Q105" s="1" t="str">
        <f t="shared" si="33"/>
        <v>500-990 шт - 0,75 руб / шт с НДС</v>
      </c>
      <c r="R105" s="235"/>
      <c r="S105" s="239"/>
      <c r="T105" s="226"/>
      <c r="U105" s="228"/>
      <c r="V105" s="222"/>
      <c r="W105" s="229"/>
      <c r="X105" s="227"/>
      <c r="Y105" s="229"/>
      <c r="Z105" s="236"/>
      <c r="AA105" s="237"/>
      <c r="AB105" s="238"/>
      <c r="AC105" s="223"/>
      <c r="AD105" s="222"/>
    </row>
    <row r="106" spans="1:30" x14ac:dyDescent="0.4">
      <c r="A106" s="230"/>
      <c r="B106" s="8">
        <v>22</v>
      </c>
      <c r="C106" s="14">
        <f t="shared" ca="1" si="53"/>
        <v>0.35</v>
      </c>
      <c r="D106" s="20">
        <f t="shared" ca="1" si="68"/>
        <v>0.42</v>
      </c>
      <c r="E106" s="225"/>
      <c r="F106" s="231"/>
      <c r="G106" s="172" t="str">
        <f t="shared" ca="1" si="44"/>
        <v/>
      </c>
      <c r="H106" s="93" t="str">
        <f t="shared" ca="1" si="45"/>
        <v/>
      </c>
      <c r="I106" s="21">
        <v>1000</v>
      </c>
      <c r="J106" s="68">
        <f t="shared" si="46"/>
        <v>0.58333333333333337</v>
      </c>
      <c r="K106" s="70">
        <v>0.7</v>
      </c>
      <c r="L106" s="72">
        <f t="shared" ca="1" si="41"/>
        <v>0.1866666666666667</v>
      </c>
      <c r="M106" s="73">
        <f t="shared" ca="1" si="42"/>
        <v>186.66666666666671</v>
      </c>
      <c r="N106" s="12" t="s">
        <v>44</v>
      </c>
      <c r="O106" s="47" t="s">
        <v>45</v>
      </c>
      <c r="P106" s="13">
        <f t="shared" si="31"/>
        <v>0.7</v>
      </c>
      <c r="Q106" s="1" t="str">
        <f t="shared" si="33"/>
        <v>1000 + шт - 0,7 руб / шт с НДС</v>
      </c>
      <c r="R106" s="235"/>
      <c r="S106" s="239"/>
      <c r="T106" s="226"/>
      <c r="U106" s="228"/>
      <c r="V106" s="222"/>
      <c r="W106" s="229"/>
      <c r="X106" s="227"/>
      <c r="Y106" s="229"/>
      <c r="Z106" s="236"/>
      <c r="AA106" s="237"/>
      <c r="AB106" s="238"/>
      <c r="AC106" s="223"/>
      <c r="AD106" s="222"/>
    </row>
    <row r="107" spans="1:30" x14ac:dyDescent="0.4">
      <c r="A107" s="230">
        <v>23</v>
      </c>
      <c r="B107" s="8">
        <v>23</v>
      </c>
      <c r="C107" s="14">
        <f t="shared" ca="1" si="53"/>
        <v>0.2</v>
      </c>
      <c r="D107" s="20">
        <f t="shared" ca="1" si="68"/>
        <v>0.24</v>
      </c>
      <c r="E107" s="224" t="str">
        <f ca="1">INDIRECT("'Закуп'!D" &amp; A107)</f>
        <v>У</v>
      </c>
      <c r="F107" s="231" t="str">
        <f t="shared" ref="F107" ca="1" si="75">INDIRECT("'Закуп'!E" &amp; B107)</f>
        <v>92х92х54</v>
      </c>
      <c r="G107" s="172" t="str">
        <f t="shared" ca="1" si="44"/>
        <v/>
      </c>
      <c r="H107" s="93" t="str">
        <f t="shared" ca="1" si="45"/>
        <v/>
      </c>
      <c r="I107" s="21">
        <v>50</v>
      </c>
      <c r="J107" s="68">
        <f t="shared" si="46"/>
        <v>0.89166666666666672</v>
      </c>
      <c r="K107" s="70">
        <v>1.07</v>
      </c>
      <c r="L107" s="72">
        <f t="shared" ca="1" si="41"/>
        <v>0.55333333333333334</v>
      </c>
      <c r="M107" s="73">
        <f t="shared" ca="1" si="42"/>
        <v>27.666666666666668</v>
      </c>
      <c r="N107" s="12" t="s">
        <v>40</v>
      </c>
      <c r="O107" s="47" t="s">
        <v>45</v>
      </c>
      <c r="P107" s="13">
        <f t="shared" si="31"/>
        <v>1.07</v>
      </c>
      <c r="Q107" s="1" t="str">
        <f t="shared" si="33"/>
        <v>50-90 шт - 1,07 руб / шт с НДС</v>
      </c>
      <c r="R107" s="235" t="str">
        <f ca="1">INDIRECT("'Закуп'!k" &amp; A107)</f>
        <v>K23</v>
      </c>
      <c r="S107" s="239">
        <f ca="1">INDIRECT("'Закуп'!o" &amp; A107)</f>
        <v>0.46</v>
      </c>
      <c r="T107" s="226" t="str">
        <f ca="1">INDIRECT("'Закуп'!p" &amp; A107)</f>
        <v>0,1-0,9 литров</v>
      </c>
      <c r="U107" s="228" t="str">
        <f ca="1">INDIRECT("'Закуп'!v" &amp; A107)</f>
        <v/>
      </c>
      <c r="V107" s="222" t="str">
        <f ca="1">INDIRECT("'Закуп'!w" &amp; A107)</f>
        <v/>
      </c>
      <c r="W107" s="229" t="str">
        <f ca="1">INDIRECT("'Закуп'!H" &amp; A107)</f>
        <v>0215</v>
      </c>
      <c r="X107" s="227" t="str">
        <f t="shared" ref="X107" ca="1" si="76">INDIRECT("'Закуп'!g" &amp; A107)</f>
        <v>С</v>
      </c>
      <c r="Y107" s="229" t="str">
        <f ca="1">INDIRECT("'Закуп'!i" &amp; A107)</f>
        <v>В</v>
      </c>
      <c r="Z107" s="236" t="str">
        <f ca="1">INDIRECT("'Закуп'!x" &amp; A107)</f>
        <v>10-99 мм</v>
      </c>
      <c r="AA107" s="237" t="str">
        <f ca="1">INDIRECT("'Закуп'!y" &amp; A107)</f>
        <v>10-99 мм</v>
      </c>
      <c r="AB107" s="238" t="str">
        <f ca="1">INDIRECT("'Закуп'!z" &amp; A107)</f>
        <v>10-99 мм</v>
      </c>
      <c r="AC107" s="223" t="str">
        <f t="shared" ca="1" si="74"/>
        <v>92x92x54</v>
      </c>
      <c r="AD107" s="222" t="str">
        <f t="shared" ca="1" si="57"/>
        <v>92x92x54 - 92*92*54 мм</v>
      </c>
    </row>
    <row r="108" spans="1:30" x14ac:dyDescent="0.4">
      <c r="A108" s="230"/>
      <c r="B108" s="8">
        <v>23</v>
      </c>
      <c r="C108" s="14">
        <f t="shared" ca="1" si="53"/>
        <v>0.2</v>
      </c>
      <c r="D108" s="20">
        <f t="shared" ca="1" si="68"/>
        <v>0.24</v>
      </c>
      <c r="E108" s="225"/>
      <c r="F108" s="231"/>
      <c r="G108" s="172" t="str">
        <f t="shared" ca="1" si="44"/>
        <v/>
      </c>
      <c r="H108" s="93" t="str">
        <f t="shared" ca="1" si="45"/>
        <v/>
      </c>
      <c r="I108" s="21">
        <v>100</v>
      </c>
      <c r="J108" s="68">
        <f t="shared" si="46"/>
        <v>0.8</v>
      </c>
      <c r="K108" s="70">
        <v>0.96</v>
      </c>
      <c r="L108" s="72">
        <f t="shared" ca="1" si="41"/>
        <v>0.48000000000000009</v>
      </c>
      <c r="M108" s="73">
        <f t="shared" ca="1" si="42"/>
        <v>48.000000000000007</v>
      </c>
      <c r="N108" s="12" t="s">
        <v>41</v>
      </c>
      <c r="O108" s="47" t="s">
        <v>45</v>
      </c>
      <c r="P108" s="13">
        <f t="shared" si="31"/>
        <v>0.96</v>
      </c>
      <c r="Q108" s="1" t="str">
        <f t="shared" si="33"/>
        <v>100-290 шт - 0,96 руб / шт с НДС</v>
      </c>
      <c r="R108" s="235"/>
      <c r="S108" s="239"/>
      <c r="T108" s="226"/>
      <c r="U108" s="228"/>
      <c r="V108" s="222"/>
      <c r="W108" s="229"/>
      <c r="X108" s="227"/>
      <c r="Y108" s="229"/>
      <c r="Z108" s="236"/>
      <c r="AA108" s="237"/>
      <c r="AB108" s="238"/>
      <c r="AC108" s="223"/>
      <c r="AD108" s="222"/>
    </row>
    <row r="109" spans="1:30" x14ac:dyDescent="0.4">
      <c r="A109" s="230"/>
      <c r="B109" s="8">
        <v>23</v>
      </c>
      <c r="C109" s="14">
        <f t="shared" ca="1" si="53"/>
        <v>0.2</v>
      </c>
      <c r="D109" s="20">
        <f t="shared" ca="1" si="68"/>
        <v>0.24</v>
      </c>
      <c r="E109" s="225"/>
      <c r="F109" s="231"/>
      <c r="G109" s="172" t="str">
        <f t="shared" ca="1" si="44"/>
        <v/>
      </c>
      <c r="H109" s="93" t="str">
        <f t="shared" ca="1" si="45"/>
        <v/>
      </c>
      <c r="I109" s="21">
        <v>300</v>
      </c>
      <c r="J109" s="68">
        <f t="shared" si="46"/>
        <v>0.71666666666666667</v>
      </c>
      <c r="K109" s="70">
        <v>0.86</v>
      </c>
      <c r="L109" s="72">
        <f t="shared" ca="1" si="41"/>
        <v>0.41333333333333327</v>
      </c>
      <c r="M109" s="73">
        <f t="shared" ca="1" si="42"/>
        <v>123.99999999999999</v>
      </c>
      <c r="N109" s="12" t="s">
        <v>42</v>
      </c>
      <c r="O109" s="47" t="s">
        <v>45</v>
      </c>
      <c r="P109" s="13">
        <f t="shared" si="31"/>
        <v>0.86</v>
      </c>
      <c r="Q109" s="1" t="str">
        <f t="shared" si="33"/>
        <v>300-490 шт - 0,86 руб / шт с НДС</v>
      </c>
      <c r="R109" s="235"/>
      <c r="S109" s="239"/>
      <c r="T109" s="226"/>
      <c r="U109" s="228"/>
      <c r="V109" s="222"/>
      <c r="W109" s="229"/>
      <c r="X109" s="227"/>
      <c r="Y109" s="229"/>
      <c r="Z109" s="236"/>
      <c r="AA109" s="237"/>
      <c r="AB109" s="238"/>
      <c r="AC109" s="223"/>
      <c r="AD109" s="222"/>
    </row>
    <row r="110" spans="1:30" x14ac:dyDescent="0.4">
      <c r="A110" s="230"/>
      <c r="B110" s="8">
        <v>23</v>
      </c>
      <c r="C110" s="14">
        <f t="shared" ca="1" si="53"/>
        <v>0.2</v>
      </c>
      <c r="D110" s="20">
        <f t="shared" ca="1" si="68"/>
        <v>0.24</v>
      </c>
      <c r="E110" s="225"/>
      <c r="F110" s="231"/>
      <c r="G110" s="172" t="str">
        <f t="shared" ca="1" si="44"/>
        <v/>
      </c>
      <c r="H110" s="93" t="str">
        <f t="shared" ca="1" si="45"/>
        <v/>
      </c>
      <c r="I110" s="21">
        <v>500</v>
      </c>
      <c r="J110" s="68">
        <f t="shared" si="46"/>
        <v>0.58333333333333337</v>
      </c>
      <c r="K110" s="70">
        <v>0.7</v>
      </c>
      <c r="L110" s="72">
        <f t="shared" ca="1" si="41"/>
        <v>0.3066666666666667</v>
      </c>
      <c r="M110" s="73">
        <f t="shared" ca="1" si="42"/>
        <v>153.33333333333334</v>
      </c>
      <c r="N110" s="12" t="s">
        <v>43</v>
      </c>
      <c r="O110" s="47" t="s">
        <v>45</v>
      </c>
      <c r="P110" s="13">
        <f t="shared" si="31"/>
        <v>0.7</v>
      </c>
      <c r="Q110" s="1" t="str">
        <f t="shared" si="33"/>
        <v>500-990 шт - 0,7 руб / шт с НДС</v>
      </c>
      <c r="R110" s="235"/>
      <c r="S110" s="239"/>
      <c r="T110" s="226"/>
      <c r="U110" s="228"/>
      <c r="V110" s="222"/>
      <c r="W110" s="229"/>
      <c r="X110" s="227"/>
      <c r="Y110" s="229"/>
      <c r="Z110" s="236"/>
      <c r="AA110" s="237"/>
      <c r="AB110" s="238"/>
      <c r="AC110" s="223"/>
      <c r="AD110" s="222"/>
    </row>
    <row r="111" spans="1:30" x14ac:dyDescent="0.4">
      <c r="A111" s="230"/>
      <c r="B111" s="8">
        <v>23</v>
      </c>
      <c r="C111" s="14">
        <f t="shared" ca="1" si="53"/>
        <v>0.2</v>
      </c>
      <c r="D111" s="20">
        <f t="shared" ca="1" si="68"/>
        <v>0.24</v>
      </c>
      <c r="E111" s="225"/>
      <c r="F111" s="231"/>
      <c r="G111" s="172" t="str">
        <f t="shared" ca="1" si="44"/>
        <v/>
      </c>
      <c r="H111" s="93" t="str">
        <f t="shared" ca="1" si="45"/>
        <v/>
      </c>
      <c r="I111" s="21">
        <v>1000</v>
      </c>
      <c r="J111" s="68">
        <f t="shared" si="46"/>
        <v>0.45000000000000007</v>
      </c>
      <c r="K111" s="70">
        <v>0.54</v>
      </c>
      <c r="L111" s="72">
        <f t="shared" ca="1" si="41"/>
        <v>0.20000000000000004</v>
      </c>
      <c r="M111" s="73">
        <f t="shared" ca="1" si="42"/>
        <v>200.00000000000003</v>
      </c>
      <c r="N111" s="12" t="s">
        <v>44</v>
      </c>
      <c r="O111" s="47" t="s">
        <v>45</v>
      </c>
      <c r="P111" s="13">
        <f t="shared" ref="P111:P174" si="77">ROUND(K111,2)</f>
        <v>0.54</v>
      </c>
      <c r="Q111" s="1" t="str">
        <f t="shared" si="33"/>
        <v>1000 + шт - 0,54 руб / шт с НДС</v>
      </c>
      <c r="R111" s="235"/>
      <c r="S111" s="239"/>
      <c r="T111" s="226"/>
      <c r="U111" s="228"/>
      <c r="V111" s="222"/>
      <c r="W111" s="229"/>
      <c r="X111" s="227"/>
      <c r="Y111" s="229"/>
      <c r="Z111" s="236"/>
      <c r="AA111" s="237"/>
      <c r="AB111" s="238"/>
      <c r="AC111" s="223"/>
      <c r="AD111" s="222"/>
    </row>
    <row r="112" spans="1:30" x14ac:dyDescent="0.4">
      <c r="A112" s="230">
        <v>24</v>
      </c>
      <c r="B112" s="8">
        <v>24</v>
      </c>
      <c r="C112" s="14">
        <f t="shared" ca="1" si="53"/>
        <v>0.5</v>
      </c>
      <c r="D112" s="20">
        <f t="shared" ca="1" si="68"/>
        <v>0.6</v>
      </c>
      <c r="E112" s="224" t="str">
        <f ca="1">INDIRECT("'Закуп'!D" &amp; A112)</f>
        <v>У</v>
      </c>
      <c r="F112" s="231" t="str">
        <f t="shared" ref="F112" ca="1" si="78">INDIRECT("'Закуп'!E" &amp; B112)</f>
        <v>309х307х37</v>
      </c>
      <c r="G112" s="172" t="str">
        <f t="shared" ca="1" si="44"/>
        <v/>
      </c>
      <c r="H112" s="93" t="str">
        <f t="shared" ca="1" si="45"/>
        <v/>
      </c>
      <c r="I112" s="21">
        <v>50</v>
      </c>
      <c r="J112" s="68">
        <f t="shared" si="46"/>
        <v>1.175</v>
      </c>
      <c r="K112" s="70">
        <v>1.41</v>
      </c>
      <c r="L112" s="72">
        <f t="shared" ca="1" si="41"/>
        <v>0.54</v>
      </c>
      <c r="M112" s="73">
        <f t="shared" ca="1" si="42"/>
        <v>27</v>
      </c>
      <c r="N112" s="12" t="s">
        <v>40</v>
      </c>
      <c r="O112" s="47" t="s">
        <v>45</v>
      </c>
      <c r="P112" s="13">
        <f t="shared" si="77"/>
        <v>1.41</v>
      </c>
      <c r="Q112" s="1" t="str">
        <f t="shared" ref="Q112:Q175" si="79">CONCATENATE(N112,P112,O112,)</f>
        <v>50-90 шт - 1,41 руб / шт с НДС</v>
      </c>
      <c r="R112" s="235" t="str">
        <f ca="1">INDIRECT("'Закуп'!k" &amp; A112)</f>
        <v>K24</v>
      </c>
      <c r="S112" s="239">
        <f ca="1">INDIRECT("'Закуп'!o" &amp; A112)</f>
        <v>3.51</v>
      </c>
      <c r="T112" s="226" t="str">
        <f ca="1">INDIRECT("'Закуп'!p" &amp; A112)</f>
        <v>3-3,9 литра</v>
      </c>
      <c r="U112" s="228" t="str">
        <f ca="1">INDIRECT("'Закуп'!v" &amp; A112)</f>
        <v/>
      </c>
      <c r="V112" s="222" t="str">
        <f ca="1">INDIRECT("'Закуп'!w" &amp; A112)</f>
        <v>Плоские</v>
      </c>
      <c r="W112" s="229" t="str">
        <f ca="1">INDIRECT("'Закуп'!H" &amp; A112)</f>
        <v>0215</v>
      </c>
      <c r="X112" s="227" t="str">
        <f t="shared" ref="X112" ca="1" si="80">INDIRECT("'Закуп'!g" &amp; A112)</f>
        <v>С</v>
      </c>
      <c r="Y112" s="229" t="str">
        <f ca="1">INDIRECT("'Закуп'!i" &amp; A112)</f>
        <v>В</v>
      </c>
      <c r="Z112" s="236" t="str">
        <f ca="1">INDIRECT("'Закуп'!x" &amp; A112)</f>
        <v>300-399 мм</v>
      </c>
      <c r="AA112" s="237" t="str">
        <f ca="1">INDIRECT("'Закуп'!y" &amp; A112)</f>
        <v>300-399 мм</v>
      </c>
      <c r="AB112" s="238" t="str">
        <f ca="1">INDIRECT("'Закуп'!z" &amp; A112)</f>
        <v>10-99 мм</v>
      </c>
      <c r="AC112" s="223" t="str">
        <f t="shared" ca="1" si="74"/>
        <v>309x307x37</v>
      </c>
      <c r="AD112" s="222" t="str">
        <f t="shared" ca="1" si="57"/>
        <v>309x307x37 - 309*307*37 мм</v>
      </c>
    </row>
    <row r="113" spans="1:30" x14ac:dyDescent="0.4">
      <c r="A113" s="230"/>
      <c r="B113" s="8">
        <v>24</v>
      </c>
      <c r="C113" s="14">
        <f t="shared" ca="1" si="53"/>
        <v>0.5</v>
      </c>
      <c r="D113" s="20">
        <f t="shared" ca="1" si="68"/>
        <v>0.6</v>
      </c>
      <c r="E113" s="225"/>
      <c r="F113" s="231"/>
      <c r="G113" s="172" t="str">
        <f t="shared" ca="1" si="44"/>
        <v/>
      </c>
      <c r="H113" s="93" t="str">
        <f t="shared" ca="1" si="45"/>
        <v/>
      </c>
      <c r="I113" s="21">
        <v>100</v>
      </c>
      <c r="J113" s="68">
        <f t="shared" si="46"/>
        <v>1.0666666666666667</v>
      </c>
      <c r="K113" s="70">
        <v>1.28</v>
      </c>
      <c r="L113" s="72">
        <f t="shared" ca="1" si="41"/>
        <v>0.45333333333333331</v>
      </c>
      <c r="M113" s="73">
        <f t="shared" ca="1" si="42"/>
        <v>45.333333333333329</v>
      </c>
      <c r="N113" s="12" t="s">
        <v>41</v>
      </c>
      <c r="O113" s="47" t="s">
        <v>45</v>
      </c>
      <c r="P113" s="13">
        <f t="shared" si="77"/>
        <v>1.28</v>
      </c>
      <c r="Q113" s="1" t="str">
        <f t="shared" si="79"/>
        <v>100-290 шт - 1,28 руб / шт с НДС</v>
      </c>
      <c r="R113" s="235"/>
      <c r="S113" s="239"/>
      <c r="T113" s="226"/>
      <c r="U113" s="228"/>
      <c r="V113" s="222"/>
      <c r="W113" s="229"/>
      <c r="X113" s="227"/>
      <c r="Y113" s="229"/>
      <c r="Z113" s="236"/>
      <c r="AA113" s="237"/>
      <c r="AB113" s="238"/>
      <c r="AC113" s="223"/>
      <c r="AD113" s="222"/>
    </row>
    <row r="114" spans="1:30" x14ac:dyDescent="0.4">
      <c r="A114" s="230"/>
      <c r="B114" s="8">
        <v>24</v>
      </c>
      <c r="C114" s="14">
        <f t="shared" ca="1" si="53"/>
        <v>0.5</v>
      </c>
      <c r="D114" s="20">
        <f t="shared" ca="1" si="68"/>
        <v>0.6</v>
      </c>
      <c r="E114" s="225"/>
      <c r="F114" s="231"/>
      <c r="G114" s="172" t="str">
        <f t="shared" ca="1" si="44"/>
        <v/>
      </c>
      <c r="H114" s="93" t="str">
        <f t="shared" ca="1" si="45"/>
        <v/>
      </c>
      <c r="I114" s="21">
        <v>300</v>
      </c>
      <c r="J114" s="68">
        <f t="shared" si="46"/>
        <v>0.85000000000000009</v>
      </c>
      <c r="K114" s="70">
        <v>1.02</v>
      </c>
      <c r="L114" s="72">
        <f t="shared" ca="1" si="41"/>
        <v>0.28000000000000008</v>
      </c>
      <c r="M114" s="73">
        <f t="shared" ca="1" si="42"/>
        <v>84.000000000000028</v>
      </c>
      <c r="N114" s="12" t="s">
        <v>42</v>
      </c>
      <c r="O114" s="47" t="s">
        <v>45</v>
      </c>
      <c r="P114" s="13">
        <f t="shared" si="77"/>
        <v>1.02</v>
      </c>
      <c r="Q114" s="1" t="str">
        <f t="shared" si="79"/>
        <v>300-490 шт - 1,02 руб / шт с НДС</v>
      </c>
      <c r="R114" s="235"/>
      <c r="S114" s="239"/>
      <c r="T114" s="226"/>
      <c r="U114" s="228"/>
      <c r="V114" s="222"/>
      <c r="W114" s="229"/>
      <c r="X114" s="227"/>
      <c r="Y114" s="229"/>
      <c r="Z114" s="236"/>
      <c r="AA114" s="237"/>
      <c r="AB114" s="238"/>
      <c r="AC114" s="223"/>
      <c r="AD114" s="222"/>
    </row>
    <row r="115" spans="1:30" x14ac:dyDescent="0.4">
      <c r="A115" s="230"/>
      <c r="B115" s="8">
        <v>24</v>
      </c>
      <c r="C115" s="14">
        <f t="shared" ca="1" si="53"/>
        <v>0.5</v>
      </c>
      <c r="D115" s="20">
        <f t="shared" ca="1" si="68"/>
        <v>0.6</v>
      </c>
      <c r="E115" s="225"/>
      <c r="F115" s="231"/>
      <c r="G115" s="172" t="str">
        <f t="shared" ca="1" si="44"/>
        <v/>
      </c>
      <c r="H115" s="93" t="str">
        <f t="shared" ca="1" si="45"/>
        <v/>
      </c>
      <c r="I115" s="21">
        <v>500</v>
      </c>
      <c r="J115" s="68">
        <f t="shared" si="46"/>
        <v>0.79166666666666663</v>
      </c>
      <c r="K115" s="70">
        <v>0.95</v>
      </c>
      <c r="L115" s="72">
        <f t="shared" ca="1" si="41"/>
        <v>0.23333333333333331</v>
      </c>
      <c r="M115" s="73">
        <f t="shared" ca="1" si="42"/>
        <v>116.66666666666666</v>
      </c>
      <c r="N115" s="12" t="s">
        <v>43</v>
      </c>
      <c r="O115" s="47" t="s">
        <v>45</v>
      </c>
      <c r="P115" s="13">
        <f t="shared" si="77"/>
        <v>0.95</v>
      </c>
      <c r="Q115" s="1" t="str">
        <f t="shared" si="79"/>
        <v>500-990 шт - 0,95 руб / шт с НДС</v>
      </c>
      <c r="R115" s="235"/>
      <c r="S115" s="239"/>
      <c r="T115" s="226"/>
      <c r="U115" s="228"/>
      <c r="V115" s="222"/>
      <c r="W115" s="229"/>
      <c r="X115" s="227"/>
      <c r="Y115" s="229"/>
      <c r="Z115" s="236"/>
      <c r="AA115" s="237"/>
      <c r="AB115" s="238"/>
      <c r="AC115" s="223"/>
      <c r="AD115" s="222"/>
    </row>
    <row r="116" spans="1:30" x14ac:dyDescent="0.4">
      <c r="A116" s="230"/>
      <c r="B116" s="8">
        <v>24</v>
      </c>
      <c r="C116" s="14">
        <f t="shared" ca="1" si="53"/>
        <v>0.5</v>
      </c>
      <c r="D116" s="20">
        <f t="shared" ca="1" si="68"/>
        <v>0.6</v>
      </c>
      <c r="E116" s="225"/>
      <c r="F116" s="231"/>
      <c r="G116" s="172" t="str">
        <f t="shared" ca="1" si="44"/>
        <v/>
      </c>
      <c r="H116" s="93" t="str">
        <f t="shared" ca="1" si="45"/>
        <v/>
      </c>
      <c r="I116" s="21">
        <v>1000</v>
      </c>
      <c r="J116" s="68">
        <f t="shared" si="46"/>
        <v>0.75</v>
      </c>
      <c r="K116" s="70">
        <v>0.9</v>
      </c>
      <c r="L116" s="72">
        <f t="shared" ca="1" si="41"/>
        <v>0.2</v>
      </c>
      <c r="M116" s="73">
        <f t="shared" ca="1" si="42"/>
        <v>200</v>
      </c>
      <c r="N116" s="12" t="s">
        <v>44</v>
      </c>
      <c r="O116" s="47" t="s">
        <v>45</v>
      </c>
      <c r="P116" s="13">
        <f t="shared" si="77"/>
        <v>0.9</v>
      </c>
      <c r="Q116" s="1" t="str">
        <f t="shared" si="79"/>
        <v>1000 + шт - 0,9 руб / шт с НДС</v>
      </c>
      <c r="R116" s="235"/>
      <c r="S116" s="239"/>
      <c r="T116" s="226"/>
      <c r="U116" s="228"/>
      <c r="V116" s="222"/>
      <c r="W116" s="229"/>
      <c r="X116" s="227"/>
      <c r="Y116" s="229"/>
      <c r="Z116" s="236"/>
      <c r="AA116" s="237"/>
      <c r="AB116" s="238"/>
      <c r="AC116" s="223"/>
      <c r="AD116" s="222"/>
    </row>
    <row r="117" spans="1:30" x14ac:dyDescent="0.4">
      <c r="A117" s="230">
        <v>25</v>
      </c>
      <c r="B117" s="8">
        <v>25</v>
      </c>
      <c r="C117" s="14">
        <f t="shared" ca="1" si="53"/>
        <v>0.6</v>
      </c>
      <c r="D117" s="20">
        <f t="shared" ca="1" si="68"/>
        <v>0.72</v>
      </c>
      <c r="E117" s="224" t="str">
        <f ca="1">INDIRECT("'Закуп'!D" &amp; A117)</f>
        <v>У</v>
      </c>
      <c r="F117" s="231" t="str">
        <f t="shared" ref="F117" ca="1" si="81">INDIRECT("'Закуп'!E" &amp; B117)</f>
        <v>130х90х620</v>
      </c>
      <c r="G117" s="172" t="str">
        <f t="shared" ca="1" si="44"/>
        <v/>
      </c>
      <c r="H117" s="93" t="str">
        <f t="shared" ca="1" si="45"/>
        <v/>
      </c>
      <c r="I117" s="21">
        <v>50</v>
      </c>
      <c r="J117" s="68">
        <f t="shared" si="46"/>
        <v>1.4083333333333334</v>
      </c>
      <c r="K117" s="70">
        <v>1.69</v>
      </c>
      <c r="L117" s="72">
        <f t="shared" ca="1" si="41"/>
        <v>0.64666666666666672</v>
      </c>
      <c r="M117" s="73">
        <f t="shared" ca="1" si="42"/>
        <v>32.333333333333336</v>
      </c>
      <c r="N117" s="12" t="s">
        <v>40</v>
      </c>
      <c r="O117" s="47" t="s">
        <v>45</v>
      </c>
      <c r="P117" s="13">
        <f t="shared" si="77"/>
        <v>1.69</v>
      </c>
      <c r="Q117" s="1" t="str">
        <f t="shared" si="79"/>
        <v>50-90 шт - 1,69 руб / шт с НДС</v>
      </c>
      <c r="R117" s="235" t="str">
        <f ca="1">INDIRECT("'Закуп'!k" &amp; A117)</f>
        <v>K25</v>
      </c>
      <c r="S117" s="239">
        <f ca="1">INDIRECT("'Закуп'!o" &amp; A117)</f>
        <v>7.25</v>
      </c>
      <c r="T117" s="226" t="str">
        <f ca="1">INDIRECT("'Закуп'!p" &amp; A117)</f>
        <v>6-7,9 литра</v>
      </c>
      <c r="U117" s="228" t="str">
        <f ca="1">INDIRECT("'Закуп'!v" &amp; A117)</f>
        <v>Длинные</v>
      </c>
      <c r="V117" s="222" t="str">
        <f ca="1">INDIRECT("'Закуп'!w" &amp; A117)</f>
        <v/>
      </c>
      <c r="W117" s="229" t="str">
        <f ca="1">INDIRECT("'Закуп'!H" &amp; A117)</f>
        <v>0201</v>
      </c>
      <c r="X117" s="227" t="str">
        <f t="shared" ref="X117" ca="1" si="82">INDIRECT("'Закуп'!g" &amp; A117)</f>
        <v>Ч</v>
      </c>
      <c r="Y117" s="229" t="str">
        <f ca="1">INDIRECT("'Закуп'!i" &amp; A117)</f>
        <v>В</v>
      </c>
      <c r="Z117" s="236" t="str">
        <f ca="1">INDIRECT("'Закуп'!x" &amp; A117)</f>
        <v>600-699 мм</v>
      </c>
      <c r="AA117" s="237" t="str">
        <f ca="1">INDIRECT("'Закуп'!y" &amp; A117)</f>
        <v>100-199 мм</v>
      </c>
      <c r="AB117" s="238" t="str">
        <f ca="1">INDIRECT("'Закуп'!z" &amp; A117)</f>
        <v>10-99 мм</v>
      </c>
      <c r="AC117" s="223" t="str">
        <f t="shared" ca="1" si="74"/>
        <v>130x90x620</v>
      </c>
      <c r="AD117" s="222" t="str">
        <f t="shared" ca="1" si="57"/>
        <v>130x90x620 - 130*90*620 мм</v>
      </c>
    </row>
    <row r="118" spans="1:30" x14ac:dyDescent="0.4">
      <c r="A118" s="230"/>
      <c r="B118" s="8">
        <v>25</v>
      </c>
      <c r="C118" s="14">
        <f t="shared" ca="1" si="53"/>
        <v>0.6</v>
      </c>
      <c r="D118" s="20">
        <f t="shared" ca="1" si="68"/>
        <v>0.72</v>
      </c>
      <c r="E118" s="225"/>
      <c r="F118" s="231"/>
      <c r="G118" s="172" t="str">
        <f t="shared" ca="1" si="44"/>
        <v/>
      </c>
      <c r="H118" s="93" t="str">
        <f t="shared" ca="1" si="45"/>
        <v/>
      </c>
      <c r="I118" s="21">
        <v>100</v>
      </c>
      <c r="J118" s="68">
        <f t="shared" si="46"/>
        <v>1.2833333333333334</v>
      </c>
      <c r="K118" s="70">
        <v>1.54</v>
      </c>
      <c r="L118" s="72">
        <f t="shared" ca="1" si="41"/>
        <v>0.54666666666666675</v>
      </c>
      <c r="M118" s="73">
        <f t="shared" ca="1" si="42"/>
        <v>54.666666666666671</v>
      </c>
      <c r="N118" s="12" t="s">
        <v>41</v>
      </c>
      <c r="O118" s="47" t="s">
        <v>45</v>
      </c>
      <c r="P118" s="13">
        <f t="shared" si="77"/>
        <v>1.54</v>
      </c>
      <c r="Q118" s="1" t="str">
        <f t="shared" si="79"/>
        <v>100-290 шт - 1,54 руб / шт с НДС</v>
      </c>
      <c r="R118" s="235"/>
      <c r="S118" s="239"/>
      <c r="T118" s="226"/>
      <c r="U118" s="228"/>
      <c r="V118" s="222"/>
      <c r="W118" s="229"/>
      <c r="X118" s="227"/>
      <c r="Y118" s="229"/>
      <c r="Z118" s="236"/>
      <c r="AA118" s="237"/>
      <c r="AB118" s="238"/>
      <c r="AC118" s="223"/>
      <c r="AD118" s="222"/>
    </row>
    <row r="119" spans="1:30" x14ac:dyDescent="0.4">
      <c r="A119" s="230"/>
      <c r="B119" s="8">
        <v>25</v>
      </c>
      <c r="C119" s="14">
        <f t="shared" ca="1" si="53"/>
        <v>0.6</v>
      </c>
      <c r="D119" s="20">
        <f t="shared" ca="1" si="68"/>
        <v>0.72</v>
      </c>
      <c r="E119" s="225"/>
      <c r="F119" s="231"/>
      <c r="G119" s="172" t="str">
        <f t="shared" ca="1" si="44"/>
        <v/>
      </c>
      <c r="H119" s="93" t="str">
        <f t="shared" ca="1" si="45"/>
        <v/>
      </c>
      <c r="I119" s="21">
        <v>300</v>
      </c>
      <c r="J119" s="68">
        <f t="shared" si="46"/>
        <v>1.0166666666666666</v>
      </c>
      <c r="K119" s="70">
        <v>1.22</v>
      </c>
      <c r="L119" s="72">
        <f t="shared" ca="1" si="41"/>
        <v>0.33333333333333331</v>
      </c>
      <c r="M119" s="73">
        <f t="shared" ca="1" si="42"/>
        <v>100</v>
      </c>
      <c r="N119" s="12" t="s">
        <v>42</v>
      </c>
      <c r="O119" s="47" t="s">
        <v>45</v>
      </c>
      <c r="P119" s="13">
        <f t="shared" si="77"/>
        <v>1.22</v>
      </c>
      <c r="Q119" s="1" t="str">
        <f t="shared" si="79"/>
        <v>300-490 шт - 1,22 руб / шт с НДС</v>
      </c>
      <c r="R119" s="235"/>
      <c r="S119" s="239"/>
      <c r="T119" s="226"/>
      <c r="U119" s="228"/>
      <c r="V119" s="222"/>
      <c r="W119" s="229"/>
      <c r="X119" s="227"/>
      <c r="Y119" s="229"/>
      <c r="Z119" s="236"/>
      <c r="AA119" s="237"/>
      <c r="AB119" s="238"/>
      <c r="AC119" s="223"/>
      <c r="AD119" s="222"/>
    </row>
    <row r="120" spans="1:30" x14ac:dyDescent="0.4">
      <c r="A120" s="230"/>
      <c r="B120" s="8">
        <v>25</v>
      </c>
      <c r="C120" s="14">
        <f t="shared" ca="1" si="53"/>
        <v>0.6</v>
      </c>
      <c r="D120" s="20">
        <f t="shared" ca="1" si="68"/>
        <v>0.72</v>
      </c>
      <c r="E120" s="225"/>
      <c r="F120" s="231"/>
      <c r="G120" s="172" t="str">
        <f t="shared" ca="1" si="44"/>
        <v/>
      </c>
      <c r="H120" s="93" t="str">
        <f t="shared" ca="1" si="45"/>
        <v/>
      </c>
      <c r="I120" s="21">
        <v>500</v>
      </c>
      <c r="J120" s="68">
        <f t="shared" si="46"/>
        <v>0.95</v>
      </c>
      <c r="K120" s="70">
        <v>1.1399999999999999</v>
      </c>
      <c r="L120" s="72">
        <f t="shared" ca="1" si="41"/>
        <v>0.27999999999999997</v>
      </c>
      <c r="M120" s="73">
        <f t="shared" ca="1" si="42"/>
        <v>139.99999999999997</v>
      </c>
      <c r="N120" s="12" t="s">
        <v>43</v>
      </c>
      <c r="O120" s="47" t="s">
        <v>45</v>
      </c>
      <c r="P120" s="13">
        <f t="shared" si="77"/>
        <v>1.1399999999999999</v>
      </c>
      <c r="Q120" s="1" t="str">
        <f t="shared" si="79"/>
        <v>500-990 шт - 1,14 руб / шт с НДС</v>
      </c>
      <c r="R120" s="235"/>
      <c r="S120" s="239"/>
      <c r="T120" s="226"/>
      <c r="U120" s="228"/>
      <c r="V120" s="222"/>
      <c r="W120" s="229"/>
      <c r="X120" s="227"/>
      <c r="Y120" s="229"/>
      <c r="Z120" s="236"/>
      <c r="AA120" s="237"/>
      <c r="AB120" s="238"/>
      <c r="AC120" s="223"/>
      <c r="AD120" s="222"/>
    </row>
    <row r="121" spans="1:30" x14ac:dyDescent="0.4">
      <c r="A121" s="230"/>
      <c r="B121" s="8">
        <v>25</v>
      </c>
      <c r="C121" s="14">
        <f t="shared" ca="1" si="53"/>
        <v>0.6</v>
      </c>
      <c r="D121" s="20">
        <f t="shared" ca="1" si="68"/>
        <v>0.72</v>
      </c>
      <c r="E121" s="225"/>
      <c r="F121" s="231"/>
      <c r="G121" s="172" t="str">
        <f t="shared" ca="1" si="44"/>
        <v/>
      </c>
      <c r="H121" s="93" t="str">
        <f t="shared" ca="1" si="45"/>
        <v/>
      </c>
      <c r="I121" s="21">
        <v>1000</v>
      </c>
      <c r="J121" s="68">
        <f t="shared" si="46"/>
        <v>0.84166666666666667</v>
      </c>
      <c r="K121" s="70">
        <v>1.01</v>
      </c>
      <c r="L121" s="72">
        <f t="shared" ca="1" si="41"/>
        <v>0.19333333333333336</v>
      </c>
      <c r="M121" s="73">
        <f t="shared" ca="1" si="42"/>
        <v>193.33333333333337</v>
      </c>
      <c r="N121" s="12" t="s">
        <v>44</v>
      </c>
      <c r="O121" s="47" t="s">
        <v>45</v>
      </c>
      <c r="P121" s="13">
        <f t="shared" si="77"/>
        <v>1.01</v>
      </c>
      <c r="Q121" s="1" t="str">
        <f t="shared" si="79"/>
        <v>1000 + шт - 1,01 руб / шт с НДС</v>
      </c>
      <c r="R121" s="235"/>
      <c r="S121" s="239"/>
      <c r="T121" s="226"/>
      <c r="U121" s="228"/>
      <c r="V121" s="222"/>
      <c r="W121" s="229"/>
      <c r="X121" s="227"/>
      <c r="Y121" s="229"/>
      <c r="Z121" s="236"/>
      <c r="AA121" s="237"/>
      <c r="AB121" s="238"/>
      <c r="AC121" s="223"/>
      <c r="AD121" s="222"/>
    </row>
    <row r="122" spans="1:30" x14ac:dyDescent="0.4">
      <c r="A122" s="230">
        <v>26</v>
      </c>
      <c r="B122" s="8">
        <v>26</v>
      </c>
      <c r="C122" s="14">
        <f t="shared" ca="1" si="53"/>
        <v>0.37</v>
      </c>
      <c r="D122" s="20">
        <f t="shared" ca="1" si="68"/>
        <v>0.44400000000000001</v>
      </c>
      <c r="E122" s="224" t="str">
        <f ca="1">INDIRECT("'Закуп'!D" &amp; A122)</f>
        <v>У</v>
      </c>
      <c r="F122" s="231" t="str">
        <f t="shared" ref="F122" ca="1" si="83">INDIRECT("'Закуп'!E" &amp; B122)</f>
        <v>215х125х45</v>
      </c>
      <c r="G122" s="172" t="str">
        <f t="shared" ca="1" si="44"/>
        <v/>
      </c>
      <c r="H122" s="93" t="str">
        <f t="shared" ca="1" si="45"/>
        <v/>
      </c>
      <c r="I122" s="21">
        <v>50</v>
      </c>
      <c r="J122" s="68">
        <f t="shared" si="46"/>
        <v>0.93333333333333346</v>
      </c>
      <c r="K122" s="70">
        <v>1.1200000000000001</v>
      </c>
      <c r="L122" s="72">
        <f t="shared" ca="1" si="41"/>
        <v>0.45066666666666677</v>
      </c>
      <c r="M122" s="73">
        <f t="shared" ca="1" si="42"/>
        <v>22.533333333333339</v>
      </c>
      <c r="N122" s="12" t="s">
        <v>40</v>
      </c>
      <c r="O122" s="47" t="s">
        <v>45</v>
      </c>
      <c r="P122" s="13">
        <f t="shared" si="77"/>
        <v>1.1200000000000001</v>
      </c>
      <c r="Q122" s="1" t="str">
        <f t="shared" si="79"/>
        <v>50-90 шт - 1,12 руб / шт с НДС</v>
      </c>
      <c r="R122" s="235" t="str">
        <f ca="1">INDIRECT("'Закуп'!k" &amp; A122)</f>
        <v>K26</v>
      </c>
      <c r="S122" s="239">
        <f ca="1">INDIRECT("'Закуп'!o" &amp; A122)</f>
        <v>1.21</v>
      </c>
      <c r="T122" s="226" t="str">
        <f ca="1">INDIRECT("'Закуп'!p" &amp; A122)</f>
        <v>1-1,9 литра</v>
      </c>
      <c r="U122" s="228" t="str">
        <f ca="1">INDIRECT("'Закуп'!v" &amp; A122)</f>
        <v/>
      </c>
      <c r="V122" s="222" t="str">
        <f ca="1">INDIRECT("'Закуп'!w" &amp; A122)</f>
        <v>Плоские</v>
      </c>
      <c r="W122" s="229" t="str">
        <f ca="1">INDIRECT("'Закуп'!H" &amp; A122)</f>
        <v>0427</v>
      </c>
      <c r="X122" s="227" t="str">
        <f t="shared" ref="X122" ca="1" si="84">INDIRECT("'Закуп'!g" &amp; A122)</f>
        <v>С</v>
      </c>
      <c r="Y122" s="229" t="str">
        <f ca="1">INDIRECT("'Закуп'!i" &amp; A122)</f>
        <v>В</v>
      </c>
      <c r="Z122" s="236" t="str">
        <f ca="1">INDIRECT("'Закуп'!x" &amp; A122)</f>
        <v>200-299 мм</v>
      </c>
      <c r="AA122" s="237" t="str">
        <f ca="1">INDIRECT("'Закуп'!y" &amp; A122)</f>
        <v>100-199 мм</v>
      </c>
      <c r="AB122" s="238" t="str">
        <f ca="1">INDIRECT("'Закуп'!z" &amp; A122)</f>
        <v>10-99 мм</v>
      </c>
      <c r="AC122" s="223" t="str">
        <f t="shared" ca="1" si="74"/>
        <v>215x125x45</v>
      </c>
      <c r="AD122" s="222" t="str">
        <f t="shared" ca="1" si="57"/>
        <v>215x125x45 - 215*125*45 мм</v>
      </c>
    </row>
    <row r="123" spans="1:30" x14ac:dyDescent="0.4">
      <c r="A123" s="230"/>
      <c r="B123" s="8">
        <v>26</v>
      </c>
      <c r="C123" s="14">
        <f t="shared" ca="1" si="53"/>
        <v>0.37</v>
      </c>
      <c r="D123" s="20">
        <f t="shared" ca="1" si="68"/>
        <v>0.44400000000000001</v>
      </c>
      <c r="E123" s="225"/>
      <c r="F123" s="231"/>
      <c r="G123" s="172" t="str">
        <f t="shared" ca="1" si="44"/>
        <v/>
      </c>
      <c r="H123" s="93" t="str">
        <f t="shared" ca="1" si="45"/>
        <v/>
      </c>
      <c r="I123" s="21">
        <v>100</v>
      </c>
      <c r="J123" s="68">
        <f t="shared" si="46"/>
        <v>0.77500000000000002</v>
      </c>
      <c r="K123" s="70">
        <v>0.93</v>
      </c>
      <c r="L123" s="72">
        <f t="shared" ca="1" si="41"/>
        <v>0.32400000000000001</v>
      </c>
      <c r="M123" s="73">
        <f t="shared" ca="1" si="42"/>
        <v>32.4</v>
      </c>
      <c r="N123" s="12" t="s">
        <v>41</v>
      </c>
      <c r="O123" s="47" t="s">
        <v>45</v>
      </c>
      <c r="P123" s="13">
        <f t="shared" si="77"/>
        <v>0.93</v>
      </c>
      <c r="Q123" s="1" t="str">
        <f t="shared" si="79"/>
        <v>100-290 шт - 0,93 руб / шт с НДС</v>
      </c>
      <c r="R123" s="235"/>
      <c r="S123" s="239"/>
      <c r="T123" s="226"/>
      <c r="U123" s="228"/>
      <c r="V123" s="222"/>
      <c r="W123" s="229"/>
      <c r="X123" s="227"/>
      <c r="Y123" s="229"/>
      <c r="Z123" s="236"/>
      <c r="AA123" s="237"/>
      <c r="AB123" s="238"/>
      <c r="AC123" s="223"/>
      <c r="AD123" s="222"/>
    </row>
    <row r="124" spans="1:30" x14ac:dyDescent="0.4">
      <c r="A124" s="230"/>
      <c r="B124" s="8">
        <v>26</v>
      </c>
      <c r="C124" s="14">
        <f t="shared" ca="1" si="53"/>
        <v>0.37</v>
      </c>
      <c r="D124" s="20">
        <f t="shared" ca="1" si="68"/>
        <v>0.44400000000000001</v>
      </c>
      <c r="E124" s="225"/>
      <c r="F124" s="231"/>
      <c r="G124" s="172" t="str">
        <f t="shared" ca="1" si="44"/>
        <v/>
      </c>
      <c r="H124" s="93" t="str">
        <f t="shared" ca="1" si="45"/>
        <v/>
      </c>
      <c r="I124" s="21">
        <v>300</v>
      </c>
      <c r="J124" s="68">
        <f t="shared" si="46"/>
        <v>0.67500000000000004</v>
      </c>
      <c r="K124" s="70">
        <v>0.81</v>
      </c>
      <c r="L124" s="72">
        <f t="shared" ca="1" si="41"/>
        <v>0.24400000000000005</v>
      </c>
      <c r="M124" s="73">
        <f t="shared" ca="1" si="42"/>
        <v>73.200000000000017</v>
      </c>
      <c r="N124" s="12" t="s">
        <v>42</v>
      </c>
      <c r="O124" s="47" t="s">
        <v>45</v>
      </c>
      <c r="P124" s="13">
        <f t="shared" si="77"/>
        <v>0.81</v>
      </c>
      <c r="Q124" s="1" t="str">
        <f t="shared" si="79"/>
        <v>300-490 шт - 0,81 руб / шт с НДС</v>
      </c>
      <c r="R124" s="235"/>
      <c r="S124" s="239"/>
      <c r="T124" s="226"/>
      <c r="U124" s="228"/>
      <c r="V124" s="222"/>
      <c r="W124" s="229"/>
      <c r="X124" s="227"/>
      <c r="Y124" s="229"/>
      <c r="Z124" s="236"/>
      <c r="AA124" s="237"/>
      <c r="AB124" s="238"/>
      <c r="AC124" s="223"/>
      <c r="AD124" s="222"/>
    </row>
    <row r="125" spans="1:30" x14ac:dyDescent="0.4">
      <c r="A125" s="230"/>
      <c r="B125" s="8">
        <v>26</v>
      </c>
      <c r="C125" s="14">
        <f t="shared" ca="1" si="53"/>
        <v>0.37</v>
      </c>
      <c r="D125" s="20">
        <f t="shared" ca="1" si="68"/>
        <v>0.44400000000000001</v>
      </c>
      <c r="E125" s="225"/>
      <c r="F125" s="231"/>
      <c r="G125" s="172" t="str">
        <f t="shared" ca="1" si="44"/>
        <v/>
      </c>
      <c r="H125" s="93" t="str">
        <f t="shared" ca="1" si="45"/>
        <v/>
      </c>
      <c r="I125" s="21">
        <v>500</v>
      </c>
      <c r="J125" s="68">
        <f t="shared" si="46"/>
        <v>0.60833333333333339</v>
      </c>
      <c r="K125" s="70">
        <v>0.73</v>
      </c>
      <c r="L125" s="72">
        <f t="shared" ca="1" si="41"/>
        <v>0.19066666666666671</v>
      </c>
      <c r="M125" s="73">
        <f t="shared" ca="1" si="42"/>
        <v>95.333333333333357</v>
      </c>
      <c r="N125" s="12" t="s">
        <v>43</v>
      </c>
      <c r="O125" s="47" t="s">
        <v>45</v>
      </c>
      <c r="P125" s="13">
        <f t="shared" si="77"/>
        <v>0.73</v>
      </c>
      <c r="Q125" s="1" t="str">
        <f t="shared" si="79"/>
        <v>500-990 шт - 0,73 руб / шт с НДС</v>
      </c>
      <c r="R125" s="235"/>
      <c r="S125" s="239"/>
      <c r="T125" s="226"/>
      <c r="U125" s="228"/>
      <c r="V125" s="222"/>
      <c r="W125" s="229"/>
      <c r="X125" s="227"/>
      <c r="Y125" s="229"/>
      <c r="Z125" s="236"/>
      <c r="AA125" s="237"/>
      <c r="AB125" s="238"/>
      <c r="AC125" s="223"/>
      <c r="AD125" s="222"/>
    </row>
    <row r="126" spans="1:30" x14ac:dyDescent="0.4">
      <c r="A126" s="230"/>
      <c r="B126" s="8">
        <v>26</v>
      </c>
      <c r="C126" s="14">
        <f t="shared" ca="1" si="53"/>
        <v>0.37</v>
      </c>
      <c r="D126" s="20">
        <f t="shared" ca="1" si="68"/>
        <v>0.44400000000000001</v>
      </c>
      <c r="E126" s="225"/>
      <c r="F126" s="231"/>
      <c r="G126" s="172" t="str">
        <f t="shared" ca="1" si="44"/>
        <v/>
      </c>
      <c r="H126" s="93" t="str">
        <f t="shared" ca="1" si="45"/>
        <v/>
      </c>
      <c r="I126" s="21">
        <v>1000</v>
      </c>
      <c r="J126" s="68">
        <f t="shared" si="46"/>
        <v>0.54166666666666674</v>
      </c>
      <c r="K126" s="70">
        <v>0.65</v>
      </c>
      <c r="L126" s="72">
        <f t="shared" ca="1" si="41"/>
        <v>0.13733333333333339</v>
      </c>
      <c r="M126" s="73">
        <f t="shared" ca="1" si="42"/>
        <v>137.3333333333334</v>
      </c>
      <c r="N126" s="12" t="s">
        <v>44</v>
      </c>
      <c r="O126" s="47" t="s">
        <v>45</v>
      </c>
      <c r="P126" s="13">
        <f t="shared" si="77"/>
        <v>0.65</v>
      </c>
      <c r="Q126" s="1" t="str">
        <f t="shared" si="79"/>
        <v>1000 + шт - 0,65 руб / шт с НДС</v>
      </c>
      <c r="R126" s="235"/>
      <c r="S126" s="239"/>
      <c r="T126" s="226"/>
      <c r="U126" s="228"/>
      <c r="V126" s="222"/>
      <c r="W126" s="229"/>
      <c r="X126" s="227"/>
      <c r="Y126" s="229"/>
      <c r="Z126" s="236"/>
      <c r="AA126" s="237"/>
      <c r="AB126" s="238"/>
      <c r="AC126" s="223"/>
      <c r="AD126" s="222"/>
    </row>
    <row r="127" spans="1:30" x14ac:dyDescent="0.4">
      <c r="A127" s="230">
        <v>27</v>
      </c>
      <c r="B127" s="8">
        <v>27</v>
      </c>
      <c r="C127" s="14">
        <f t="shared" ca="1" si="53"/>
        <v>0.61</v>
      </c>
      <c r="D127" s="20">
        <f t="shared" ca="1" si="68"/>
        <v>0.73199999999999998</v>
      </c>
      <c r="E127" s="224" t="str">
        <f ca="1">INDIRECT("'Закуп'!D" &amp; A127)</f>
        <v>У</v>
      </c>
      <c r="F127" s="231" t="str">
        <f t="shared" ref="F127" ca="1" si="85">INDIRECT("'Закуп'!E" &amp; B127)</f>
        <v>425х55х50</v>
      </c>
      <c r="G127" s="172" t="str">
        <f t="shared" ca="1" si="44"/>
        <v/>
      </c>
      <c r="H127" s="93" t="str">
        <f t="shared" ca="1" si="45"/>
        <v/>
      </c>
      <c r="I127" s="21">
        <v>50</v>
      </c>
      <c r="J127" s="68">
        <f t="shared" si="46"/>
        <v>1.4333333333333333</v>
      </c>
      <c r="K127" s="70">
        <v>1.72</v>
      </c>
      <c r="L127" s="72">
        <f t="shared" ca="1" si="41"/>
        <v>0.65866666666666673</v>
      </c>
      <c r="M127" s="73">
        <f t="shared" ca="1" si="42"/>
        <v>32.933333333333337</v>
      </c>
      <c r="N127" s="12" t="s">
        <v>40</v>
      </c>
      <c r="O127" s="47" t="s">
        <v>45</v>
      </c>
      <c r="P127" s="13">
        <f t="shared" si="77"/>
        <v>1.72</v>
      </c>
      <c r="Q127" s="1" t="str">
        <f t="shared" si="79"/>
        <v>50-90 шт - 1,72 руб / шт с НДС</v>
      </c>
      <c r="R127" s="235" t="str">
        <f ca="1">INDIRECT("'Закуп'!k" &amp; A127)</f>
        <v>K27</v>
      </c>
      <c r="S127" s="239">
        <f ca="1">INDIRECT("'Закуп'!o" &amp; A127)</f>
        <v>1.17</v>
      </c>
      <c r="T127" s="226" t="str">
        <f ca="1">INDIRECT("'Закуп'!p" &amp; A127)</f>
        <v>1-1,9 литра</v>
      </c>
      <c r="U127" s="228" t="str">
        <f ca="1">INDIRECT("'Закуп'!v" &amp; A127)</f>
        <v>Длинные</v>
      </c>
      <c r="V127" s="222" t="str">
        <f ca="1">INDIRECT("'Закуп'!w" &amp; A127)</f>
        <v/>
      </c>
      <c r="W127" s="229" t="str">
        <f ca="1">INDIRECT("'Закуп'!H" &amp; A127)</f>
        <v>0471</v>
      </c>
      <c r="X127" s="227" t="str">
        <f t="shared" ref="X127" ca="1" si="86">INDIRECT("'Закуп'!g" &amp; A127)</f>
        <v>С</v>
      </c>
      <c r="Y127" s="229" t="str">
        <f ca="1">INDIRECT("'Закуп'!i" &amp; A127)</f>
        <v>В</v>
      </c>
      <c r="Z127" s="236" t="str">
        <f ca="1">INDIRECT("'Закуп'!x" &amp; A127)</f>
        <v>400-499 мм</v>
      </c>
      <c r="AA127" s="237" t="str">
        <f ca="1">INDIRECT("'Закуп'!y" &amp; A127)</f>
        <v>10-99 мм</v>
      </c>
      <c r="AB127" s="238" t="str">
        <f ca="1">INDIRECT("'Закуп'!z" &amp; A127)</f>
        <v>10-99 мм</v>
      </c>
      <c r="AC127" s="223" t="str">
        <f t="shared" ca="1" si="74"/>
        <v>425x55x50</v>
      </c>
      <c r="AD127" s="222" t="str">
        <f t="shared" ca="1" si="57"/>
        <v>425x55x50 - 425*55*50 мм</v>
      </c>
    </row>
    <row r="128" spans="1:30" x14ac:dyDescent="0.4">
      <c r="A128" s="230"/>
      <c r="B128" s="8">
        <v>27</v>
      </c>
      <c r="C128" s="14">
        <f t="shared" ca="1" si="53"/>
        <v>0.61</v>
      </c>
      <c r="D128" s="20">
        <f t="shared" ca="1" si="68"/>
        <v>0.73199999999999998</v>
      </c>
      <c r="E128" s="225"/>
      <c r="F128" s="231"/>
      <c r="G128" s="172" t="str">
        <f t="shared" ca="1" si="44"/>
        <v/>
      </c>
      <c r="H128" s="93" t="str">
        <f t="shared" ca="1" si="45"/>
        <v/>
      </c>
      <c r="I128" s="21">
        <v>100</v>
      </c>
      <c r="J128" s="68">
        <f t="shared" si="46"/>
        <v>1.3</v>
      </c>
      <c r="K128" s="70">
        <v>1.56</v>
      </c>
      <c r="L128" s="72">
        <f t="shared" ca="1" si="41"/>
        <v>0.55200000000000005</v>
      </c>
      <c r="M128" s="73">
        <f t="shared" ca="1" si="42"/>
        <v>55.2</v>
      </c>
      <c r="N128" s="12" t="s">
        <v>41</v>
      </c>
      <c r="O128" s="47" t="s">
        <v>45</v>
      </c>
      <c r="P128" s="13">
        <f t="shared" si="77"/>
        <v>1.56</v>
      </c>
      <c r="Q128" s="1" t="str">
        <f t="shared" si="79"/>
        <v>100-290 шт - 1,56 руб / шт с НДС</v>
      </c>
      <c r="R128" s="235"/>
      <c r="S128" s="239"/>
      <c r="T128" s="226"/>
      <c r="U128" s="228"/>
      <c r="V128" s="222"/>
      <c r="W128" s="229"/>
      <c r="X128" s="227"/>
      <c r="Y128" s="229"/>
      <c r="Z128" s="236"/>
      <c r="AA128" s="237"/>
      <c r="AB128" s="238"/>
      <c r="AC128" s="223"/>
      <c r="AD128" s="222"/>
    </row>
    <row r="129" spans="1:30" x14ac:dyDescent="0.4">
      <c r="A129" s="230"/>
      <c r="B129" s="8">
        <v>27</v>
      </c>
      <c r="C129" s="14">
        <f t="shared" ca="1" si="53"/>
        <v>0.61</v>
      </c>
      <c r="D129" s="20">
        <f t="shared" ca="1" si="68"/>
        <v>0.73199999999999998</v>
      </c>
      <c r="E129" s="225"/>
      <c r="F129" s="231"/>
      <c r="G129" s="172" t="str">
        <f t="shared" ca="1" si="44"/>
        <v/>
      </c>
      <c r="H129" s="93" t="str">
        <f t="shared" ca="1" si="45"/>
        <v/>
      </c>
      <c r="I129" s="21">
        <v>300</v>
      </c>
      <c r="J129" s="68">
        <f t="shared" si="46"/>
        <v>1.0333333333333334</v>
      </c>
      <c r="K129" s="70">
        <v>1.24</v>
      </c>
      <c r="L129" s="72">
        <f t="shared" ca="1" si="41"/>
        <v>0.33866666666666678</v>
      </c>
      <c r="M129" s="73">
        <f t="shared" ca="1" si="42"/>
        <v>101.60000000000004</v>
      </c>
      <c r="N129" s="12" t="s">
        <v>42</v>
      </c>
      <c r="O129" s="47" t="s">
        <v>45</v>
      </c>
      <c r="P129" s="13">
        <f t="shared" si="77"/>
        <v>1.24</v>
      </c>
      <c r="Q129" s="1" t="str">
        <f t="shared" si="79"/>
        <v>300-490 шт - 1,24 руб / шт с НДС</v>
      </c>
      <c r="R129" s="235"/>
      <c r="S129" s="239"/>
      <c r="T129" s="226"/>
      <c r="U129" s="228"/>
      <c r="V129" s="222"/>
      <c r="W129" s="229"/>
      <c r="X129" s="227"/>
      <c r="Y129" s="229"/>
      <c r="Z129" s="236"/>
      <c r="AA129" s="237"/>
      <c r="AB129" s="238"/>
      <c r="AC129" s="223"/>
      <c r="AD129" s="222"/>
    </row>
    <row r="130" spans="1:30" x14ac:dyDescent="0.4">
      <c r="A130" s="230"/>
      <c r="B130" s="8">
        <v>27</v>
      </c>
      <c r="C130" s="14">
        <f t="shared" ca="1" si="53"/>
        <v>0.61</v>
      </c>
      <c r="D130" s="20">
        <f t="shared" ca="1" si="68"/>
        <v>0.73199999999999998</v>
      </c>
      <c r="E130" s="225"/>
      <c r="F130" s="231"/>
      <c r="G130" s="172" t="str">
        <f t="shared" ca="1" si="44"/>
        <v/>
      </c>
      <c r="H130" s="93" t="str">
        <f t="shared" ca="1" si="45"/>
        <v/>
      </c>
      <c r="I130" s="21">
        <v>500</v>
      </c>
      <c r="J130" s="68">
        <f t="shared" si="46"/>
        <v>0.96666666666666667</v>
      </c>
      <c r="K130" s="70">
        <v>1.1599999999999999</v>
      </c>
      <c r="L130" s="72">
        <f t="shared" ref="L130:L193" ca="1" si="87">J130-C130-(J130-C130)*0.2</f>
        <v>0.28533333333333333</v>
      </c>
      <c r="M130" s="73">
        <f t="shared" ref="M130:M193" ca="1" si="88">L130*I130</f>
        <v>142.66666666666666</v>
      </c>
      <c r="N130" s="12" t="s">
        <v>43</v>
      </c>
      <c r="O130" s="47" t="s">
        <v>45</v>
      </c>
      <c r="P130" s="13">
        <f t="shared" si="77"/>
        <v>1.1599999999999999</v>
      </c>
      <c r="Q130" s="1" t="str">
        <f t="shared" si="79"/>
        <v>500-990 шт - 1,16 руб / шт с НДС</v>
      </c>
      <c r="R130" s="235"/>
      <c r="S130" s="239"/>
      <c r="T130" s="226"/>
      <c r="U130" s="228"/>
      <c r="V130" s="222"/>
      <c r="W130" s="229"/>
      <c r="X130" s="227"/>
      <c r="Y130" s="229"/>
      <c r="Z130" s="236"/>
      <c r="AA130" s="237"/>
      <c r="AB130" s="238"/>
      <c r="AC130" s="223"/>
      <c r="AD130" s="222"/>
    </row>
    <row r="131" spans="1:30" x14ac:dyDescent="0.4">
      <c r="A131" s="230"/>
      <c r="B131" s="8">
        <v>27</v>
      </c>
      <c r="C131" s="14">
        <f t="shared" ca="1" si="53"/>
        <v>0.61</v>
      </c>
      <c r="D131" s="20">
        <f t="shared" ca="1" si="68"/>
        <v>0.73199999999999998</v>
      </c>
      <c r="E131" s="225"/>
      <c r="F131" s="231"/>
      <c r="G131" s="172" t="str">
        <f t="shared" ref="G131:G194" ca="1" si="89">IF(INDIRECT("'Закуп'!L" &amp; B131)="Sale","Sale","")</f>
        <v/>
      </c>
      <c r="H131" s="93" t="str">
        <f t="shared" ref="H131:H194" ca="1" si="90">IF(INDIRECT("'Закуп'!F" &amp; B131)=0,"",INDIRECT("'Закуп'!F" &amp; B131))</f>
        <v/>
      </c>
      <c r="I131" s="21">
        <v>1000</v>
      </c>
      <c r="J131" s="68">
        <f t="shared" ref="J131:J194" si="91">K131/1.2</f>
        <v>0.85000000000000009</v>
      </c>
      <c r="K131" s="70">
        <v>1.02</v>
      </c>
      <c r="L131" s="72">
        <f t="shared" ca="1" si="87"/>
        <v>0.19200000000000009</v>
      </c>
      <c r="M131" s="73">
        <f t="shared" ca="1" si="88"/>
        <v>192.00000000000009</v>
      </c>
      <c r="N131" s="12" t="s">
        <v>44</v>
      </c>
      <c r="O131" s="47" t="s">
        <v>45</v>
      </c>
      <c r="P131" s="13">
        <f t="shared" si="77"/>
        <v>1.02</v>
      </c>
      <c r="Q131" s="1" t="str">
        <f t="shared" si="79"/>
        <v>1000 + шт - 1,02 руб / шт с НДС</v>
      </c>
      <c r="R131" s="235"/>
      <c r="S131" s="239"/>
      <c r="T131" s="226"/>
      <c r="U131" s="228"/>
      <c r="V131" s="222"/>
      <c r="W131" s="229"/>
      <c r="X131" s="227"/>
      <c r="Y131" s="229"/>
      <c r="Z131" s="236"/>
      <c r="AA131" s="237"/>
      <c r="AB131" s="238"/>
      <c r="AC131" s="223"/>
      <c r="AD131" s="222"/>
    </row>
    <row r="132" spans="1:30" x14ac:dyDescent="0.4">
      <c r="A132" s="230">
        <v>28</v>
      </c>
      <c r="B132" s="8">
        <v>28</v>
      </c>
      <c r="C132" s="14">
        <f t="shared" ca="1" si="53"/>
        <v>0.61</v>
      </c>
      <c r="D132" s="20">
        <f t="shared" ca="1" si="68"/>
        <v>0.73199999999999998</v>
      </c>
      <c r="E132" s="224" t="str">
        <f ca="1">INDIRECT("'Закуп'!D" &amp; A132)</f>
        <v>У</v>
      </c>
      <c r="F132" s="231" t="str">
        <f t="shared" ref="F132" ca="1" si="92">INDIRECT("'Закуп'!E" &amp; B132)</f>
        <v>160х120х100</v>
      </c>
      <c r="G132" s="172" t="str">
        <f t="shared" ca="1" si="89"/>
        <v/>
      </c>
      <c r="H132" s="93" t="str">
        <f t="shared" ca="1" si="90"/>
        <v/>
      </c>
      <c r="I132" s="21">
        <v>50</v>
      </c>
      <c r="J132" s="68">
        <f t="shared" si="91"/>
        <v>1.4333333333333333</v>
      </c>
      <c r="K132" s="70">
        <v>1.72</v>
      </c>
      <c r="L132" s="72">
        <f t="shared" ca="1" si="87"/>
        <v>0.65866666666666673</v>
      </c>
      <c r="M132" s="73">
        <f t="shared" ca="1" si="88"/>
        <v>32.933333333333337</v>
      </c>
      <c r="N132" s="12" t="s">
        <v>40</v>
      </c>
      <c r="O132" s="47" t="s">
        <v>45</v>
      </c>
      <c r="P132" s="13">
        <f t="shared" si="77"/>
        <v>1.72</v>
      </c>
      <c r="Q132" s="1" t="str">
        <f t="shared" si="79"/>
        <v>50-90 шт - 1,72 руб / шт с НДС</v>
      </c>
      <c r="R132" s="235" t="str">
        <f ca="1">INDIRECT("'Закуп'!k" &amp; A132)</f>
        <v>K28</v>
      </c>
      <c r="S132" s="239">
        <f ca="1">INDIRECT("'Закуп'!o" &amp; A132)</f>
        <v>1.92</v>
      </c>
      <c r="T132" s="226" t="str">
        <f ca="1">INDIRECT("'Закуп'!p" &amp; A132)</f>
        <v>1-1,9 литра</v>
      </c>
      <c r="U132" s="228" t="str">
        <f ca="1">INDIRECT("'Закуп'!v" &amp; A132)</f>
        <v/>
      </c>
      <c r="V132" s="222" t="str">
        <f ca="1">INDIRECT("'Закуп'!w" &amp; A132)</f>
        <v/>
      </c>
      <c r="W132" s="229" t="str">
        <f ca="1">INDIRECT("'Закуп'!H" &amp; A132)</f>
        <v>0427</v>
      </c>
      <c r="X132" s="227" t="str">
        <f t="shared" ref="X132" ca="1" si="93">INDIRECT("'Закуп'!g" &amp; A132)</f>
        <v>С</v>
      </c>
      <c r="Y132" s="229" t="str">
        <f ca="1">INDIRECT("'Закуп'!i" &amp; A132)</f>
        <v>Е</v>
      </c>
      <c r="Z132" s="236" t="str">
        <f ca="1">INDIRECT("'Закуп'!x" &amp; A132)</f>
        <v>100-199 мм</v>
      </c>
      <c r="AA132" s="237" t="str">
        <f ca="1">INDIRECT("'Закуп'!y" &amp; A132)</f>
        <v>100-199 мм</v>
      </c>
      <c r="AB132" s="238" t="str">
        <f ca="1">INDIRECT("'Закуп'!z" &amp; A132)</f>
        <v>100-199 мм</v>
      </c>
      <c r="AC132" s="223" t="str">
        <f t="shared" ca="1" si="74"/>
        <v>160x120x100</v>
      </c>
      <c r="AD132" s="222" t="str">
        <f t="shared" ca="1" si="57"/>
        <v>160x120x100 - 160*120*100 мм</v>
      </c>
    </row>
    <row r="133" spans="1:30" x14ac:dyDescent="0.4">
      <c r="A133" s="230"/>
      <c r="B133" s="8">
        <v>28</v>
      </c>
      <c r="C133" s="14">
        <f t="shared" ca="1" si="53"/>
        <v>0.61</v>
      </c>
      <c r="D133" s="20">
        <f t="shared" ca="1" si="68"/>
        <v>0.73199999999999998</v>
      </c>
      <c r="E133" s="225"/>
      <c r="F133" s="231"/>
      <c r="G133" s="172" t="str">
        <f t="shared" ca="1" si="89"/>
        <v/>
      </c>
      <c r="H133" s="93" t="str">
        <f t="shared" ca="1" si="90"/>
        <v/>
      </c>
      <c r="I133" s="21">
        <v>100</v>
      </c>
      <c r="J133" s="68">
        <f t="shared" si="91"/>
        <v>1.3</v>
      </c>
      <c r="K133" s="70">
        <v>1.56</v>
      </c>
      <c r="L133" s="72">
        <f t="shared" ca="1" si="87"/>
        <v>0.55200000000000005</v>
      </c>
      <c r="M133" s="73">
        <f t="shared" ca="1" si="88"/>
        <v>55.2</v>
      </c>
      <c r="N133" s="12" t="s">
        <v>41</v>
      </c>
      <c r="O133" s="47" t="s">
        <v>45</v>
      </c>
      <c r="P133" s="13">
        <f t="shared" si="77"/>
        <v>1.56</v>
      </c>
      <c r="Q133" s="1" t="str">
        <f t="shared" si="79"/>
        <v>100-290 шт - 1,56 руб / шт с НДС</v>
      </c>
      <c r="R133" s="235"/>
      <c r="S133" s="239"/>
      <c r="T133" s="226"/>
      <c r="U133" s="228"/>
      <c r="V133" s="222"/>
      <c r="W133" s="229"/>
      <c r="X133" s="227"/>
      <c r="Y133" s="229"/>
      <c r="Z133" s="236"/>
      <c r="AA133" s="237"/>
      <c r="AB133" s="238"/>
      <c r="AC133" s="223"/>
      <c r="AD133" s="222"/>
    </row>
    <row r="134" spans="1:30" x14ac:dyDescent="0.4">
      <c r="A134" s="230"/>
      <c r="B134" s="8">
        <v>28</v>
      </c>
      <c r="C134" s="14">
        <f t="shared" ca="1" si="53"/>
        <v>0.61</v>
      </c>
      <c r="D134" s="20">
        <f t="shared" ca="1" si="68"/>
        <v>0.73199999999999998</v>
      </c>
      <c r="E134" s="225"/>
      <c r="F134" s="231"/>
      <c r="G134" s="172" t="str">
        <f t="shared" ca="1" si="89"/>
        <v/>
      </c>
      <c r="H134" s="93" t="str">
        <f t="shared" ca="1" si="90"/>
        <v/>
      </c>
      <c r="I134" s="21">
        <v>300</v>
      </c>
      <c r="J134" s="68">
        <f t="shared" si="91"/>
        <v>1.0333333333333334</v>
      </c>
      <c r="K134" s="70">
        <v>1.24</v>
      </c>
      <c r="L134" s="72">
        <f t="shared" ca="1" si="87"/>
        <v>0.33866666666666678</v>
      </c>
      <c r="M134" s="73">
        <f t="shared" ca="1" si="88"/>
        <v>101.60000000000004</v>
      </c>
      <c r="N134" s="12" t="s">
        <v>42</v>
      </c>
      <c r="O134" s="47" t="s">
        <v>45</v>
      </c>
      <c r="P134" s="13">
        <f t="shared" si="77"/>
        <v>1.24</v>
      </c>
      <c r="Q134" s="1" t="str">
        <f t="shared" si="79"/>
        <v>300-490 шт - 1,24 руб / шт с НДС</v>
      </c>
      <c r="R134" s="235"/>
      <c r="S134" s="239"/>
      <c r="T134" s="226"/>
      <c r="U134" s="228"/>
      <c r="V134" s="222"/>
      <c r="W134" s="229"/>
      <c r="X134" s="227"/>
      <c r="Y134" s="229"/>
      <c r="Z134" s="236"/>
      <c r="AA134" s="237"/>
      <c r="AB134" s="238"/>
      <c r="AC134" s="223"/>
      <c r="AD134" s="222"/>
    </row>
    <row r="135" spans="1:30" x14ac:dyDescent="0.4">
      <c r="A135" s="230"/>
      <c r="B135" s="8">
        <v>28</v>
      </c>
      <c r="C135" s="14">
        <f t="shared" ca="1" si="53"/>
        <v>0.61</v>
      </c>
      <c r="D135" s="20">
        <f t="shared" ca="1" si="68"/>
        <v>0.73199999999999998</v>
      </c>
      <c r="E135" s="225"/>
      <c r="F135" s="231"/>
      <c r="G135" s="172" t="str">
        <f t="shared" ca="1" si="89"/>
        <v/>
      </c>
      <c r="H135" s="93" t="str">
        <f t="shared" ca="1" si="90"/>
        <v/>
      </c>
      <c r="I135" s="21">
        <v>500</v>
      </c>
      <c r="J135" s="68">
        <f t="shared" si="91"/>
        <v>0.96666666666666667</v>
      </c>
      <c r="K135" s="70">
        <v>1.1599999999999999</v>
      </c>
      <c r="L135" s="72">
        <f t="shared" ca="1" si="87"/>
        <v>0.28533333333333333</v>
      </c>
      <c r="M135" s="73">
        <f t="shared" ca="1" si="88"/>
        <v>142.66666666666666</v>
      </c>
      <c r="N135" s="12" t="s">
        <v>43</v>
      </c>
      <c r="O135" s="47" t="s">
        <v>45</v>
      </c>
      <c r="P135" s="13">
        <f t="shared" si="77"/>
        <v>1.1599999999999999</v>
      </c>
      <c r="Q135" s="1" t="str">
        <f t="shared" si="79"/>
        <v>500-990 шт - 1,16 руб / шт с НДС</v>
      </c>
      <c r="R135" s="235"/>
      <c r="S135" s="239"/>
      <c r="T135" s="226"/>
      <c r="U135" s="228"/>
      <c r="V135" s="222"/>
      <c r="W135" s="229"/>
      <c r="X135" s="227"/>
      <c r="Y135" s="229"/>
      <c r="Z135" s="236"/>
      <c r="AA135" s="237"/>
      <c r="AB135" s="238"/>
      <c r="AC135" s="223"/>
      <c r="AD135" s="222"/>
    </row>
    <row r="136" spans="1:30" x14ac:dyDescent="0.4">
      <c r="A136" s="230"/>
      <c r="B136" s="8">
        <v>28</v>
      </c>
      <c r="C136" s="14">
        <f t="shared" ca="1" si="53"/>
        <v>0.61</v>
      </c>
      <c r="D136" s="20">
        <f t="shared" ca="1" si="68"/>
        <v>0.73199999999999998</v>
      </c>
      <c r="E136" s="225"/>
      <c r="F136" s="231"/>
      <c r="G136" s="172" t="str">
        <f t="shared" ca="1" si="89"/>
        <v/>
      </c>
      <c r="H136" s="93" t="str">
        <f t="shared" ca="1" si="90"/>
        <v/>
      </c>
      <c r="I136" s="21">
        <v>1000</v>
      </c>
      <c r="J136" s="68">
        <f t="shared" si="91"/>
        <v>0.85000000000000009</v>
      </c>
      <c r="K136" s="70">
        <v>1.02</v>
      </c>
      <c r="L136" s="72">
        <f t="shared" ca="1" si="87"/>
        <v>0.19200000000000009</v>
      </c>
      <c r="M136" s="73">
        <f t="shared" ca="1" si="88"/>
        <v>192.00000000000009</v>
      </c>
      <c r="N136" s="12" t="s">
        <v>44</v>
      </c>
      <c r="O136" s="47" t="s">
        <v>45</v>
      </c>
      <c r="P136" s="13">
        <f t="shared" si="77"/>
        <v>1.02</v>
      </c>
      <c r="Q136" s="1" t="str">
        <f t="shared" si="79"/>
        <v>1000 + шт - 1,02 руб / шт с НДС</v>
      </c>
      <c r="R136" s="235"/>
      <c r="S136" s="239"/>
      <c r="T136" s="226"/>
      <c r="U136" s="228"/>
      <c r="V136" s="222"/>
      <c r="W136" s="229"/>
      <c r="X136" s="227"/>
      <c r="Y136" s="229"/>
      <c r="Z136" s="236"/>
      <c r="AA136" s="237"/>
      <c r="AB136" s="238"/>
      <c r="AC136" s="223"/>
      <c r="AD136" s="222"/>
    </row>
    <row r="137" spans="1:30" x14ac:dyDescent="0.4">
      <c r="A137" s="230">
        <v>29</v>
      </c>
      <c r="B137" s="8">
        <v>29</v>
      </c>
      <c r="C137" s="14">
        <f t="shared" ref="C137:C200" ca="1" si="94">INDIRECT("'Закуп'!A" &amp; B137)</f>
        <v>0.61</v>
      </c>
      <c r="D137" s="20">
        <f t="shared" ca="1" si="68"/>
        <v>0.73199999999999998</v>
      </c>
      <c r="E137" s="224" t="str">
        <f ca="1">INDIRECT("'Закуп'!D" &amp; A137)</f>
        <v>У</v>
      </c>
      <c r="F137" s="231" t="str">
        <f t="shared" ref="F137" ca="1" si="95">INDIRECT("'Закуп'!E" &amp; B137)</f>
        <v>277х280х45</v>
      </c>
      <c r="G137" s="172" t="str">
        <f t="shared" ca="1" si="89"/>
        <v/>
      </c>
      <c r="H137" s="93" t="str">
        <f t="shared" ca="1" si="90"/>
        <v/>
      </c>
      <c r="I137" s="21">
        <v>50</v>
      </c>
      <c r="J137" s="68">
        <f t="shared" si="91"/>
        <v>1.4333333333333333</v>
      </c>
      <c r="K137" s="70">
        <v>1.72</v>
      </c>
      <c r="L137" s="72">
        <f t="shared" ca="1" si="87"/>
        <v>0.65866666666666673</v>
      </c>
      <c r="M137" s="73">
        <f t="shared" ca="1" si="88"/>
        <v>32.933333333333337</v>
      </c>
      <c r="N137" s="12" t="s">
        <v>40</v>
      </c>
      <c r="O137" s="47" t="s">
        <v>45</v>
      </c>
      <c r="P137" s="13">
        <f t="shared" si="77"/>
        <v>1.72</v>
      </c>
      <c r="Q137" s="1" t="str">
        <f t="shared" si="79"/>
        <v>50-90 шт - 1,72 руб / шт с НДС</v>
      </c>
      <c r="R137" s="235" t="str">
        <f ca="1">INDIRECT("'Закуп'!k" &amp; A137)</f>
        <v>K29</v>
      </c>
      <c r="S137" s="239">
        <f ca="1">INDIRECT("'Закуп'!o" &amp; A137)</f>
        <v>3.49</v>
      </c>
      <c r="T137" s="226" t="str">
        <f ca="1">INDIRECT("'Закуп'!p" &amp; A137)</f>
        <v>3-3,9 литра</v>
      </c>
      <c r="U137" s="228" t="str">
        <f ca="1">INDIRECT("'Закуп'!v" &amp; A137)</f>
        <v/>
      </c>
      <c r="V137" s="222" t="str">
        <f ca="1">INDIRECT("'Закуп'!w" &amp; A137)</f>
        <v>Плоские</v>
      </c>
      <c r="W137" s="229" t="str">
        <f ca="1">INDIRECT("'Закуп'!H" &amp; A137)</f>
        <v>0427</v>
      </c>
      <c r="X137" s="227" t="str">
        <f t="shared" ref="X137" ca="1" si="96">INDIRECT("'Закуп'!g" &amp; A137)</f>
        <v>С</v>
      </c>
      <c r="Y137" s="229" t="str">
        <f ca="1">INDIRECT("'Закуп'!i" &amp; A137)</f>
        <v>В</v>
      </c>
      <c r="Z137" s="236" t="str">
        <f ca="1">INDIRECT("'Закуп'!x" &amp; A137)</f>
        <v>200-299 мм</v>
      </c>
      <c r="AA137" s="237" t="str">
        <f ca="1">INDIRECT("'Закуп'!y" &amp; A137)</f>
        <v>200-299 мм</v>
      </c>
      <c r="AB137" s="238" t="str">
        <f ca="1">INDIRECT("'Закуп'!z" &amp; A137)</f>
        <v>10-99 мм</v>
      </c>
      <c r="AC137" s="223" t="str">
        <f t="shared" ca="1" si="74"/>
        <v>277x280x45</v>
      </c>
      <c r="AD137" s="222" t="str">
        <f t="shared" ca="1" si="57"/>
        <v>277x280x45 - 277*280*45 мм</v>
      </c>
    </row>
    <row r="138" spans="1:30" x14ac:dyDescent="0.4">
      <c r="A138" s="230"/>
      <c r="B138" s="8">
        <v>29</v>
      </c>
      <c r="C138" s="14">
        <f t="shared" ca="1" si="94"/>
        <v>0.61</v>
      </c>
      <c r="D138" s="20">
        <f t="shared" ca="1" si="68"/>
        <v>0.73199999999999998</v>
      </c>
      <c r="E138" s="225"/>
      <c r="F138" s="231"/>
      <c r="G138" s="172" t="str">
        <f t="shared" ca="1" si="89"/>
        <v/>
      </c>
      <c r="H138" s="93" t="str">
        <f t="shared" ca="1" si="90"/>
        <v/>
      </c>
      <c r="I138" s="21">
        <v>100</v>
      </c>
      <c r="J138" s="68">
        <f t="shared" si="91"/>
        <v>1.3</v>
      </c>
      <c r="K138" s="70">
        <v>1.56</v>
      </c>
      <c r="L138" s="72">
        <f t="shared" ca="1" si="87"/>
        <v>0.55200000000000005</v>
      </c>
      <c r="M138" s="73">
        <f t="shared" ca="1" si="88"/>
        <v>55.2</v>
      </c>
      <c r="N138" s="12" t="s">
        <v>41</v>
      </c>
      <c r="O138" s="47" t="s">
        <v>45</v>
      </c>
      <c r="P138" s="13">
        <f t="shared" si="77"/>
        <v>1.56</v>
      </c>
      <c r="Q138" s="1" t="str">
        <f t="shared" si="79"/>
        <v>100-290 шт - 1,56 руб / шт с НДС</v>
      </c>
      <c r="R138" s="235"/>
      <c r="S138" s="239"/>
      <c r="T138" s="226"/>
      <c r="U138" s="228"/>
      <c r="V138" s="222"/>
      <c r="W138" s="229"/>
      <c r="X138" s="227"/>
      <c r="Y138" s="229"/>
      <c r="Z138" s="236"/>
      <c r="AA138" s="237"/>
      <c r="AB138" s="238"/>
      <c r="AC138" s="223"/>
      <c r="AD138" s="222"/>
    </row>
    <row r="139" spans="1:30" x14ac:dyDescent="0.4">
      <c r="A139" s="230"/>
      <c r="B139" s="8">
        <v>29</v>
      </c>
      <c r="C139" s="14">
        <f t="shared" ca="1" si="94"/>
        <v>0.61</v>
      </c>
      <c r="D139" s="20">
        <f t="shared" ca="1" si="68"/>
        <v>0.73199999999999998</v>
      </c>
      <c r="E139" s="225"/>
      <c r="F139" s="231"/>
      <c r="G139" s="172" t="str">
        <f t="shared" ca="1" si="89"/>
        <v/>
      </c>
      <c r="H139" s="93" t="str">
        <f t="shared" ca="1" si="90"/>
        <v/>
      </c>
      <c r="I139" s="21">
        <v>300</v>
      </c>
      <c r="J139" s="68">
        <f t="shared" si="91"/>
        <v>1.0333333333333334</v>
      </c>
      <c r="K139" s="70">
        <v>1.24</v>
      </c>
      <c r="L139" s="72">
        <f t="shared" ca="1" si="87"/>
        <v>0.33866666666666678</v>
      </c>
      <c r="M139" s="73">
        <f t="shared" ca="1" si="88"/>
        <v>101.60000000000004</v>
      </c>
      <c r="N139" s="12" t="s">
        <v>42</v>
      </c>
      <c r="O139" s="47" t="s">
        <v>45</v>
      </c>
      <c r="P139" s="13">
        <f t="shared" si="77"/>
        <v>1.24</v>
      </c>
      <c r="Q139" s="1" t="str">
        <f t="shared" si="79"/>
        <v>300-490 шт - 1,24 руб / шт с НДС</v>
      </c>
      <c r="R139" s="235"/>
      <c r="S139" s="239"/>
      <c r="T139" s="226"/>
      <c r="U139" s="228"/>
      <c r="V139" s="222"/>
      <c r="W139" s="229"/>
      <c r="X139" s="227"/>
      <c r="Y139" s="229"/>
      <c r="Z139" s="236"/>
      <c r="AA139" s="237"/>
      <c r="AB139" s="238"/>
      <c r="AC139" s="223"/>
      <c r="AD139" s="222"/>
    </row>
    <row r="140" spans="1:30" x14ac:dyDescent="0.4">
      <c r="A140" s="230"/>
      <c r="B140" s="8">
        <v>29</v>
      </c>
      <c r="C140" s="14">
        <f t="shared" ca="1" si="94"/>
        <v>0.61</v>
      </c>
      <c r="D140" s="20">
        <f t="shared" ca="1" si="68"/>
        <v>0.73199999999999998</v>
      </c>
      <c r="E140" s="225"/>
      <c r="F140" s="231"/>
      <c r="G140" s="172" t="str">
        <f t="shared" ca="1" si="89"/>
        <v/>
      </c>
      <c r="H140" s="93" t="str">
        <f t="shared" ca="1" si="90"/>
        <v/>
      </c>
      <c r="I140" s="21">
        <v>500</v>
      </c>
      <c r="J140" s="68">
        <f t="shared" si="91"/>
        <v>0.96666666666666667</v>
      </c>
      <c r="K140" s="70">
        <v>1.1599999999999999</v>
      </c>
      <c r="L140" s="72">
        <f t="shared" ca="1" si="87"/>
        <v>0.28533333333333333</v>
      </c>
      <c r="M140" s="73">
        <f t="shared" ca="1" si="88"/>
        <v>142.66666666666666</v>
      </c>
      <c r="N140" s="12" t="s">
        <v>43</v>
      </c>
      <c r="O140" s="47" t="s">
        <v>45</v>
      </c>
      <c r="P140" s="13">
        <f t="shared" si="77"/>
        <v>1.1599999999999999</v>
      </c>
      <c r="Q140" s="1" t="str">
        <f t="shared" si="79"/>
        <v>500-990 шт - 1,16 руб / шт с НДС</v>
      </c>
      <c r="R140" s="235"/>
      <c r="S140" s="239"/>
      <c r="T140" s="226"/>
      <c r="U140" s="228"/>
      <c r="V140" s="222"/>
      <c r="W140" s="229"/>
      <c r="X140" s="227"/>
      <c r="Y140" s="229"/>
      <c r="Z140" s="236"/>
      <c r="AA140" s="237"/>
      <c r="AB140" s="238"/>
      <c r="AC140" s="223"/>
      <c r="AD140" s="222"/>
    </row>
    <row r="141" spans="1:30" x14ac:dyDescent="0.4">
      <c r="A141" s="230"/>
      <c r="B141" s="8">
        <v>29</v>
      </c>
      <c r="C141" s="14">
        <f t="shared" ca="1" si="94"/>
        <v>0.61</v>
      </c>
      <c r="D141" s="20">
        <f t="shared" ca="1" si="68"/>
        <v>0.73199999999999998</v>
      </c>
      <c r="E141" s="225"/>
      <c r="F141" s="231"/>
      <c r="G141" s="172" t="str">
        <f t="shared" ca="1" si="89"/>
        <v/>
      </c>
      <c r="H141" s="93" t="str">
        <f t="shared" ca="1" si="90"/>
        <v/>
      </c>
      <c r="I141" s="21">
        <v>1000</v>
      </c>
      <c r="J141" s="68">
        <f t="shared" si="91"/>
        <v>0.85000000000000009</v>
      </c>
      <c r="K141" s="70">
        <v>1.02</v>
      </c>
      <c r="L141" s="72">
        <f t="shared" ca="1" si="87"/>
        <v>0.19200000000000009</v>
      </c>
      <c r="M141" s="73">
        <f t="shared" ca="1" si="88"/>
        <v>192.00000000000009</v>
      </c>
      <c r="N141" s="12" t="s">
        <v>44</v>
      </c>
      <c r="O141" s="47" t="s">
        <v>45</v>
      </c>
      <c r="P141" s="13">
        <f t="shared" si="77"/>
        <v>1.02</v>
      </c>
      <c r="Q141" s="1" t="str">
        <f t="shared" si="79"/>
        <v>1000 + шт - 1,02 руб / шт с НДС</v>
      </c>
      <c r="R141" s="235"/>
      <c r="S141" s="239"/>
      <c r="T141" s="226"/>
      <c r="U141" s="228"/>
      <c r="V141" s="222"/>
      <c r="W141" s="229"/>
      <c r="X141" s="227"/>
      <c r="Y141" s="229"/>
      <c r="Z141" s="236"/>
      <c r="AA141" s="237"/>
      <c r="AB141" s="238"/>
      <c r="AC141" s="223"/>
      <c r="AD141" s="222"/>
    </row>
    <row r="142" spans="1:30" x14ac:dyDescent="0.4">
      <c r="A142" s="230">
        <v>30</v>
      </c>
      <c r="B142" s="8">
        <v>30</v>
      </c>
      <c r="C142" s="14">
        <f t="shared" ca="1" si="94"/>
        <v>0.19</v>
      </c>
      <c r="D142" s="20">
        <f t="shared" ca="1" si="68"/>
        <v>0.22799999999999998</v>
      </c>
      <c r="E142" s="224" t="str">
        <f ca="1">INDIRECT("'Закуп'!D" &amp; A142)</f>
        <v>У</v>
      </c>
      <c r="F142" s="231" t="str">
        <f t="shared" ref="F142" ca="1" si="97">INDIRECT("'Закуп'!E" &amp; B142)</f>
        <v>71х71х152</v>
      </c>
      <c r="G142" s="172" t="str">
        <f t="shared" ca="1" si="89"/>
        <v/>
      </c>
      <c r="H142" s="93" t="str">
        <f t="shared" ca="1" si="90"/>
        <v/>
      </c>
      <c r="I142" s="21">
        <v>50</v>
      </c>
      <c r="J142" s="68">
        <f t="shared" si="91"/>
        <v>1.1000000000000001</v>
      </c>
      <c r="K142" s="70">
        <v>1.32</v>
      </c>
      <c r="L142" s="72">
        <f t="shared" ca="1" si="87"/>
        <v>0.72800000000000009</v>
      </c>
      <c r="M142" s="73">
        <f t="shared" ca="1" si="88"/>
        <v>36.400000000000006</v>
      </c>
      <c r="N142" s="12" t="s">
        <v>40</v>
      </c>
      <c r="O142" s="47" t="s">
        <v>45</v>
      </c>
      <c r="P142" s="13">
        <f t="shared" si="77"/>
        <v>1.32</v>
      </c>
      <c r="Q142" s="1" t="str">
        <f t="shared" si="79"/>
        <v>50-90 шт - 1,32 руб / шт с НДС</v>
      </c>
      <c r="R142" s="235" t="str">
        <f ca="1">INDIRECT("'Закуп'!k" &amp; A142)</f>
        <v>K30</v>
      </c>
      <c r="S142" s="239">
        <f ca="1">INDIRECT("'Закуп'!o" &amp; A142)</f>
        <v>0.77</v>
      </c>
      <c r="T142" s="226" t="str">
        <f ca="1">INDIRECT("'Закуп'!p" &amp; A142)</f>
        <v>0,1-0,9 литров</v>
      </c>
      <c r="U142" s="228" t="str">
        <f ca="1">INDIRECT("'Закуп'!v" &amp; A142)</f>
        <v>Длинные</v>
      </c>
      <c r="V142" s="222" t="str">
        <f ca="1">INDIRECT("'Закуп'!w" &amp; A142)</f>
        <v/>
      </c>
      <c r="W142" s="229" t="str">
        <f ca="1">INDIRECT("'Закуп'!H" &amp; A142)</f>
        <v>0215</v>
      </c>
      <c r="X142" s="227" t="str">
        <f t="shared" ref="X142" ca="1" si="98">INDIRECT("'Закуп'!g" &amp; A142)</f>
        <v>С</v>
      </c>
      <c r="Y142" s="229" t="str">
        <f ca="1">INDIRECT("'Закуп'!i" &amp; A142)</f>
        <v>Е</v>
      </c>
      <c r="Z142" s="236" t="str">
        <f ca="1">INDIRECT("'Закуп'!x" &amp; A142)</f>
        <v>100-199 мм</v>
      </c>
      <c r="AA142" s="237" t="str">
        <f ca="1">INDIRECT("'Закуп'!y" &amp; A142)</f>
        <v>10-99 мм</v>
      </c>
      <c r="AB142" s="238" t="str">
        <f ca="1">INDIRECT("'Закуп'!z" &amp; A142)</f>
        <v>10-99 мм</v>
      </c>
      <c r="AC142" s="223" t="str">
        <f t="shared" ca="1" si="74"/>
        <v>71x71x152</v>
      </c>
      <c r="AD142" s="222" t="str">
        <f t="shared" ref="AD142:AD202" ca="1" si="99">SUBSTITUTE(INDEX(F:F, ROUNDUP((ROW(A141))/5,0)*5 - 3), "х", "x") &amp; " - " &amp; SUBSTITUTE(SUBSTITUTE(INDEX(F:F, ROUNDUP((ROW(A141))/5,0)*5 - 3), "х", "*"), "x", "*") &amp; " мм"</f>
        <v>71x71x152 - 71*71*152 мм</v>
      </c>
    </row>
    <row r="143" spans="1:30" x14ac:dyDescent="0.4">
      <c r="A143" s="230"/>
      <c r="B143" s="8">
        <v>30</v>
      </c>
      <c r="C143" s="14">
        <f t="shared" ca="1" si="94"/>
        <v>0.19</v>
      </c>
      <c r="D143" s="20">
        <f t="shared" ca="1" si="68"/>
        <v>0.22799999999999998</v>
      </c>
      <c r="E143" s="225"/>
      <c r="F143" s="231"/>
      <c r="G143" s="172" t="str">
        <f t="shared" ca="1" si="89"/>
        <v/>
      </c>
      <c r="H143" s="93" t="str">
        <f t="shared" ca="1" si="90"/>
        <v/>
      </c>
      <c r="I143" s="21">
        <v>100</v>
      </c>
      <c r="J143" s="68">
        <f t="shared" si="91"/>
        <v>1</v>
      </c>
      <c r="K143" s="70">
        <v>1.2</v>
      </c>
      <c r="L143" s="72">
        <f t="shared" ca="1" si="87"/>
        <v>0.64800000000000002</v>
      </c>
      <c r="M143" s="73">
        <f t="shared" ca="1" si="88"/>
        <v>64.8</v>
      </c>
      <c r="N143" s="12" t="s">
        <v>41</v>
      </c>
      <c r="O143" s="47" t="s">
        <v>45</v>
      </c>
      <c r="P143" s="13">
        <f t="shared" si="77"/>
        <v>1.2</v>
      </c>
      <c r="Q143" s="1" t="str">
        <f t="shared" si="79"/>
        <v>100-290 шт - 1,2 руб / шт с НДС</v>
      </c>
      <c r="R143" s="235"/>
      <c r="S143" s="239"/>
      <c r="T143" s="226"/>
      <c r="U143" s="228"/>
      <c r="V143" s="222"/>
      <c r="W143" s="229"/>
      <c r="X143" s="227"/>
      <c r="Y143" s="229"/>
      <c r="Z143" s="236"/>
      <c r="AA143" s="237"/>
      <c r="AB143" s="238"/>
      <c r="AC143" s="223"/>
      <c r="AD143" s="222"/>
    </row>
    <row r="144" spans="1:30" x14ac:dyDescent="0.4">
      <c r="A144" s="230"/>
      <c r="B144" s="8">
        <v>30</v>
      </c>
      <c r="C144" s="14">
        <f t="shared" ca="1" si="94"/>
        <v>0.19</v>
      </c>
      <c r="D144" s="20">
        <f t="shared" ca="1" si="68"/>
        <v>0.22799999999999998</v>
      </c>
      <c r="E144" s="225"/>
      <c r="F144" s="231"/>
      <c r="G144" s="172" t="str">
        <f t="shared" ca="1" si="89"/>
        <v/>
      </c>
      <c r="H144" s="93" t="str">
        <f t="shared" ca="1" si="90"/>
        <v/>
      </c>
      <c r="I144" s="21">
        <v>300</v>
      </c>
      <c r="J144" s="68">
        <f t="shared" si="91"/>
        <v>0.79166666666666663</v>
      </c>
      <c r="K144" s="70">
        <v>0.95</v>
      </c>
      <c r="L144" s="72">
        <f t="shared" ca="1" si="87"/>
        <v>0.48133333333333328</v>
      </c>
      <c r="M144" s="73">
        <f t="shared" ca="1" si="88"/>
        <v>144.39999999999998</v>
      </c>
      <c r="N144" s="12" t="s">
        <v>42</v>
      </c>
      <c r="O144" s="47" t="s">
        <v>45</v>
      </c>
      <c r="P144" s="13">
        <f t="shared" si="77"/>
        <v>0.95</v>
      </c>
      <c r="Q144" s="1" t="str">
        <f t="shared" si="79"/>
        <v>300-490 шт - 0,95 руб / шт с НДС</v>
      </c>
      <c r="R144" s="235"/>
      <c r="S144" s="239"/>
      <c r="T144" s="226"/>
      <c r="U144" s="228"/>
      <c r="V144" s="222"/>
      <c r="W144" s="229"/>
      <c r="X144" s="227"/>
      <c r="Y144" s="229"/>
      <c r="Z144" s="236"/>
      <c r="AA144" s="237"/>
      <c r="AB144" s="238"/>
      <c r="AC144" s="223"/>
      <c r="AD144" s="222"/>
    </row>
    <row r="145" spans="1:30" x14ac:dyDescent="0.4">
      <c r="A145" s="230"/>
      <c r="B145" s="8">
        <v>30</v>
      </c>
      <c r="C145" s="14">
        <f t="shared" ca="1" si="94"/>
        <v>0.19</v>
      </c>
      <c r="D145" s="20">
        <f t="shared" ca="1" si="68"/>
        <v>0.22799999999999998</v>
      </c>
      <c r="E145" s="225"/>
      <c r="F145" s="231"/>
      <c r="G145" s="172" t="str">
        <f t="shared" ca="1" si="89"/>
        <v/>
      </c>
      <c r="H145" s="93" t="str">
        <f t="shared" ca="1" si="90"/>
        <v/>
      </c>
      <c r="I145" s="21">
        <v>500</v>
      </c>
      <c r="J145" s="68">
        <f t="shared" si="91"/>
        <v>0.71666666666666667</v>
      </c>
      <c r="K145" s="70">
        <v>0.86</v>
      </c>
      <c r="L145" s="72">
        <f t="shared" ca="1" si="87"/>
        <v>0.42133333333333328</v>
      </c>
      <c r="M145" s="73">
        <f t="shared" ca="1" si="88"/>
        <v>210.66666666666663</v>
      </c>
      <c r="N145" s="12" t="s">
        <v>43</v>
      </c>
      <c r="O145" s="47" t="s">
        <v>45</v>
      </c>
      <c r="P145" s="13">
        <f t="shared" si="77"/>
        <v>0.86</v>
      </c>
      <c r="Q145" s="1" t="str">
        <f t="shared" si="79"/>
        <v>500-990 шт - 0,86 руб / шт с НДС</v>
      </c>
      <c r="R145" s="235"/>
      <c r="S145" s="239"/>
      <c r="T145" s="226"/>
      <c r="U145" s="228"/>
      <c r="V145" s="222"/>
      <c r="W145" s="229"/>
      <c r="X145" s="227"/>
      <c r="Y145" s="229"/>
      <c r="Z145" s="236"/>
      <c r="AA145" s="237"/>
      <c r="AB145" s="238"/>
      <c r="AC145" s="223"/>
      <c r="AD145" s="222"/>
    </row>
    <row r="146" spans="1:30" x14ac:dyDescent="0.4">
      <c r="A146" s="230"/>
      <c r="B146" s="8">
        <v>30</v>
      </c>
      <c r="C146" s="14">
        <f t="shared" ca="1" si="94"/>
        <v>0.19</v>
      </c>
      <c r="D146" s="20">
        <f t="shared" ca="1" si="68"/>
        <v>0.22799999999999998</v>
      </c>
      <c r="E146" s="225"/>
      <c r="F146" s="231"/>
      <c r="G146" s="172" t="str">
        <f t="shared" ca="1" si="89"/>
        <v/>
      </c>
      <c r="H146" s="93" t="str">
        <f t="shared" ca="1" si="90"/>
        <v/>
      </c>
      <c r="I146" s="21">
        <v>1000</v>
      </c>
      <c r="J146" s="68">
        <f t="shared" si="91"/>
        <v>0.55000000000000004</v>
      </c>
      <c r="K146" s="70">
        <v>0.66</v>
      </c>
      <c r="L146" s="72">
        <f t="shared" ca="1" si="87"/>
        <v>0.28800000000000003</v>
      </c>
      <c r="M146" s="73">
        <f t="shared" ca="1" si="88"/>
        <v>288.00000000000006</v>
      </c>
      <c r="N146" s="12" t="s">
        <v>44</v>
      </c>
      <c r="O146" s="47" t="s">
        <v>45</v>
      </c>
      <c r="P146" s="13">
        <f t="shared" si="77"/>
        <v>0.66</v>
      </c>
      <c r="Q146" s="1" t="str">
        <f t="shared" si="79"/>
        <v>1000 + шт - 0,66 руб / шт с НДС</v>
      </c>
      <c r="R146" s="235"/>
      <c r="S146" s="239"/>
      <c r="T146" s="226"/>
      <c r="U146" s="228"/>
      <c r="V146" s="222"/>
      <c r="W146" s="229"/>
      <c r="X146" s="227"/>
      <c r="Y146" s="229"/>
      <c r="Z146" s="236"/>
      <c r="AA146" s="237"/>
      <c r="AB146" s="238"/>
      <c r="AC146" s="223"/>
      <c r="AD146" s="222"/>
    </row>
    <row r="147" spans="1:30" x14ac:dyDescent="0.4">
      <c r="A147" s="230">
        <v>31</v>
      </c>
      <c r="B147" s="8">
        <v>31</v>
      </c>
      <c r="C147" s="14">
        <f t="shared" ca="1" si="94"/>
        <v>0.19</v>
      </c>
      <c r="D147" s="20">
        <f t="shared" ca="1" si="68"/>
        <v>0.22799999999999998</v>
      </c>
      <c r="E147" s="224" t="str">
        <f ca="1">INDIRECT("'Закуп'!D" &amp; A147)</f>
        <v>У</v>
      </c>
      <c r="F147" s="231" t="str">
        <f t="shared" ref="F147" ca="1" si="100">INDIRECT("'Закуп'!E" &amp; B147)</f>
        <v>110х110х110</v>
      </c>
      <c r="G147" s="172" t="str">
        <f t="shared" ca="1" si="89"/>
        <v/>
      </c>
      <c r="H147" s="93" t="str">
        <f t="shared" ca="1" si="90"/>
        <v/>
      </c>
      <c r="I147" s="21">
        <v>50</v>
      </c>
      <c r="J147" s="68">
        <f t="shared" si="91"/>
        <v>0.79166666666666663</v>
      </c>
      <c r="K147" s="70">
        <v>0.95</v>
      </c>
      <c r="L147" s="72">
        <f t="shared" ca="1" si="87"/>
        <v>0.48133333333333328</v>
      </c>
      <c r="M147" s="73">
        <f t="shared" ca="1" si="88"/>
        <v>24.066666666666663</v>
      </c>
      <c r="N147" s="12" t="s">
        <v>40</v>
      </c>
      <c r="O147" s="47" t="s">
        <v>45</v>
      </c>
      <c r="P147" s="13">
        <f t="shared" si="77"/>
        <v>0.95</v>
      </c>
      <c r="Q147" s="1" t="str">
        <f t="shared" si="79"/>
        <v>50-90 шт - 0,95 руб / шт с НДС</v>
      </c>
      <c r="R147" s="235" t="str">
        <f ca="1">INDIRECT("'Закуп'!k" &amp; A147)</f>
        <v>K31</v>
      </c>
      <c r="S147" s="239">
        <f ca="1">INDIRECT("'Закуп'!o" &amp; A147)</f>
        <v>1.33</v>
      </c>
      <c r="T147" s="226" t="str">
        <f ca="1">INDIRECT("'Закуп'!p" &amp; A147)</f>
        <v>1-1,9 литра</v>
      </c>
      <c r="U147" s="228" t="str">
        <f ca="1">INDIRECT("'Закуп'!v" &amp; A147)</f>
        <v/>
      </c>
      <c r="V147" s="222" t="str">
        <f ca="1">INDIRECT("'Закуп'!w" &amp; A147)</f>
        <v/>
      </c>
      <c r="W147" s="229" t="str">
        <f ca="1">INDIRECT("'Закуп'!H" &amp; A147)</f>
        <v>0201</v>
      </c>
      <c r="X147" s="227" t="str">
        <f t="shared" ref="X147" ca="1" si="101">INDIRECT("'Закуп'!g" &amp; A147)</f>
        <v>Ч</v>
      </c>
      <c r="Y147" s="229" t="str">
        <f ca="1">INDIRECT("'Закуп'!i" &amp; A147)</f>
        <v>В</v>
      </c>
      <c r="Z147" s="236" t="str">
        <f ca="1">INDIRECT("'Закуп'!x" &amp; A147)</f>
        <v>100-199 мм</v>
      </c>
      <c r="AA147" s="237" t="str">
        <f ca="1">INDIRECT("'Закуп'!y" &amp; A147)</f>
        <v>100-199 мм</v>
      </c>
      <c r="AB147" s="238" t="str">
        <f ca="1">INDIRECT("'Закуп'!z" &amp; A147)</f>
        <v>100-199 мм</v>
      </c>
      <c r="AC147" s="223" t="str">
        <f t="shared" ca="1" si="74"/>
        <v>110x110x110</v>
      </c>
      <c r="AD147" s="222" t="str">
        <f t="shared" ca="1" si="99"/>
        <v>110x110x110 - 110*110*110 мм</v>
      </c>
    </row>
    <row r="148" spans="1:30" x14ac:dyDescent="0.4">
      <c r="A148" s="230"/>
      <c r="B148" s="8">
        <v>31</v>
      </c>
      <c r="C148" s="14">
        <f t="shared" ca="1" si="94"/>
        <v>0.19</v>
      </c>
      <c r="D148" s="20">
        <f t="shared" ca="1" si="68"/>
        <v>0.22799999999999998</v>
      </c>
      <c r="E148" s="225"/>
      <c r="F148" s="231"/>
      <c r="G148" s="172" t="str">
        <f t="shared" ca="1" si="89"/>
        <v/>
      </c>
      <c r="H148" s="93" t="str">
        <f t="shared" ca="1" si="90"/>
        <v/>
      </c>
      <c r="I148" s="21">
        <v>100</v>
      </c>
      <c r="J148" s="68">
        <f t="shared" si="91"/>
        <v>0.70833333333333337</v>
      </c>
      <c r="K148" s="70">
        <v>0.85</v>
      </c>
      <c r="L148" s="72">
        <f t="shared" ca="1" si="87"/>
        <v>0.41466666666666663</v>
      </c>
      <c r="M148" s="73">
        <f t="shared" ca="1" si="88"/>
        <v>41.466666666666661</v>
      </c>
      <c r="N148" s="12" t="s">
        <v>41</v>
      </c>
      <c r="O148" s="47" t="s">
        <v>45</v>
      </c>
      <c r="P148" s="13">
        <f t="shared" si="77"/>
        <v>0.85</v>
      </c>
      <c r="Q148" s="1" t="str">
        <f t="shared" si="79"/>
        <v>100-290 шт - 0,85 руб / шт с НДС</v>
      </c>
      <c r="R148" s="235"/>
      <c r="S148" s="239"/>
      <c r="T148" s="226"/>
      <c r="U148" s="228"/>
      <c r="V148" s="222"/>
      <c r="W148" s="229"/>
      <c r="X148" s="227"/>
      <c r="Y148" s="229"/>
      <c r="Z148" s="236"/>
      <c r="AA148" s="237"/>
      <c r="AB148" s="238"/>
      <c r="AC148" s="223"/>
      <c r="AD148" s="222"/>
    </row>
    <row r="149" spans="1:30" x14ac:dyDescent="0.4">
      <c r="A149" s="230"/>
      <c r="B149" s="8">
        <v>31</v>
      </c>
      <c r="C149" s="14">
        <f t="shared" ca="1" si="94"/>
        <v>0.19</v>
      </c>
      <c r="D149" s="20">
        <f t="shared" ca="1" si="68"/>
        <v>0.22799999999999998</v>
      </c>
      <c r="E149" s="225"/>
      <c r="F149" s="231"/>
      <c r="G149" s="172" t="str">
        <f t="shared" ca="1" si="89"/>
        <v/>
      </c>
      <c r="H149" s="93" t="str">
        <f t="shared" ca="1" si="90"/>
        <v/>
      </c>
      <c r="I149" s="21">
        <v>300</v>
      </c>
      <c r="J149" s="68">
        <f t="shared" si="91"/>
        <v>0.625</v>
      </c>
      <c r="K149" s="70">
        <v>0.75</v>
      </c>
      <c r="L149" s="72">
        <f t="shared" ca="1" si="87"/>
        <v>0.34799999999999998</v>
      </c>
      <c r="M149" s="73">
        <f t="shared" ca="1" si="88"/>
        <v>104.39999999999999</v>
      </c>
      <c r="N149" s="12" t="s">
        <v>42</v>
      </c>
      <c r="O149" s="47" t="s">
        <v>45</v>
      </c>
      <c r="P149" s="13">
        <f t="shared" si="77"/>
        <v>0.75</v>
      </c>
      <c r="Q149" s="1" t="str">
        <f t="shared" si="79"/>
        <v>300-490 шт - 0,75 руб / шт с НДС</v>
      </c>
      <c r="R149" s="235"/>
      <c r="S149" s="239"/>
      <c r="T149" s="226"/>
      <c r="U149" s="228"/>
      <c r="V149" s="222"/>
      <c r="W149" s="229"/>
      <c r="X149" s="227"/>
      <c r="Y149" s="229"/>
      <c r="Z149" s="236"/>
      <c r="AA149" s="237"/>
      <c r="AB149" s="238"/>
      <c r="AC149" s="223"/>
      <c r="AD149" s="222"/>
    </row>
    <row r="150" spans="1:30" x14ac:dyDescent="0.4">
      <c r="A150" s="230"/>
      <c r="B150" s="8">
        <v>31</v>
      </c>
      <c r="C150" s="14">
        <f t="shared" ca="1" si="94"/>
        <v>0.19</v>
      </c>
      <c r="D150" s="20">
        <f t="shared" ca="1" si="68"/>
        <v>0.22799999999999998</v>
      </c>
      <c r="E150" s="225"/>
      <c r="F150" s="231"/>
      <c r="G150" s="172" t="str">
        <f t="shared" ca="1" si="89"/>
        <v/>
      </c>
      <c r="H150" s="93" t="str">
        <f t="shared" ca="1" si="90"/>
        <v/>
      </c>
      <c r="I150" s="21">
        <v>500</v>
      </c>
      <c r="J150" s="68">
        <f t="shared" si="91"/>
        <v>0.54166666666666674</v>
      </c>
      <c r="K150" s="70">
        <v>0.65</v>
      </c>
      <c r="L150" s="72">
        <f t="shared" ca="1" si="87"/>
        <v>0.28133333333333338</v>
      </c>
      <c r="M150" s="73">
        <f t="shared" ca="1" si="88"/>
        <v>140.66666666666669</v>
      </c>
      <c r="N150" s="12" t="s">
        <v>43</v>
      </c>
      <c r="O150" s="47" t="s">
        <v>45</v>
      </c>
      <c r="P150" s="13">
        <f t="shared" si="77"/>
        <v>0.65</v>
      </c>
      <c r="Q150" s="1" t="str">
        <f t="shared" si="79"/>
        <v>500-990 шт - 0,65 руб / шт с НДС</v>
      </c>
      <c r="R150" s="235"/>
      <c r="S150" s="239"/>
      <c r="T150" s="226"/>
      <c r="U150" s="228"/>
      <c r="V150" s="222"/>
      <c r="W150" s="229"/>
      <c r="X150" s="227"/>
      <c r="Y150" s="229"/>
      <c r="Z150" s="236"/>
      <c r="AA150" s="237"/>
      <c r="AB150" s="238"/>
      <c r="AC150" s="223"/>
      <c r="AD150" s="222"/>
    </row>
    <row r="151" spans="1:30" x14ac:dyDescent="0.4">
      <c r="A151" s="230"/>
      <c r="B151" s="8">
        <v>31</v>
      </c>
      <c r="C151" s="14">
        <f t="shared" ca="1" si="94"/>
        <v>0.19</v>
      </c>
      <c r="D151" s="20">
        <f t="shared" ca="1" si="68"/>
        <v>0.22799999999999998</v>
      </c>
      <c r="E151" s="225"/>
      <c r="F151" s="231"/>
      <c r="G151" s="172" t="str">
        <f t="shared" ca="1" si="89"/>
        <v/>
      </c>
      <c r="H151" s="93" t="str">
        <f t="shared" ca="1" si="90"/>
        <v/>
      </c>
      <c r="I151" s="21">
        <v>1000</v>
      </c>
      <c r="J151" s="68">
        <f t="shared" si="91"/>
        <v>0.45833333333333337</v>
      </c>
      <c r="K151" s="70">
        <v>0.55000000000000004</v>
      </c>
      <c r="L151" s="72">
        <f t="shared" ca="1" si="87"/>
        <v>0.2146666666666667</v>
      </c>
      <c r="M151" s="73">
        <f t="shared" ca="1" si="88"/>
        <v>214.66666666666671</v>
      </c>
      <c r="N151" s="12" t="s">
        <v>44</v>
      </c>
      <c r="O151" s="47" t="s">
        <v>45</v>
      </c>
      <c r="P151" s="13">
        <f t="shared" si="77"/>
        <v>0.55000000000000004</v>
      </c>
      <c r="Q151" s="1" t="str">
        <f t="shared" si="79"/>
        <v>1000 + шт - 0,55 руб / шт с НДС</v>
      </c>
      <c r="R151" s="235"/>
      <c r="S151" s="239"/>
      <c r="T151" s="226"/>
      <c r="U151" s="228"/>
      <c r="V151" s="222"/>
      <c r="W151" s="229"/>
      <c r="X151" s="227"/>
      <c r="Y151" s="229"/>
      <c r="Z151" s="236"/>
      <c r="AA151" s="237"/>
      <c r="AB151" s="238"/>
      <c r="AC151" s="223"/>
      <c r="AD151" s="222"/>
    </row>
    <row r="152" spans="1:30" x14ac:dyDescent="0.4">
      <c r="A152" s="230">
        <v>32</v>
      </c>
      <c r="B152" s="8">
        <v>32</v>
      </c>
      <c r="C152" s="14">
        <f t="shared" ca="1" si="94"/>
        <v>0.41</v>
      </c>
      <c r="D152" s="20">
        <f t="shared" ca="1" si="68"/>
        <v>0.49199999999999994</v>
      </c>
      <c r="E152" s="224" t="str">
        <f ca="1">INDIRECT("'Закуп'!D" &amp; A152)</f>
        <v>У</v>
      </c>
      <c r="F152" s="231" t="str">
        <f t="shared" ref="F152" ca="1" si="102">INDIRECT("'Закуп'!E" &amp; B152)</f>
        <v>130х80х100</v>
      </c>
      <c r="G152" s="172" t="str">
        <f t="shared" ca="1" si="89"/>
        <v/>
      </c>
      <c r="H152" s="93" t="str">
        <f t="shared" ca="1" si="90"/>
        <v/>
      </c>
      <c r="I152" s="21">
        <v>50</v>
      </c>
      <c r="J152" s="68">
        <f t="shared" si="91"/>
        <v>1.0083333333333333</v>
      </c>
      <c r="K152" s="70">
        <v>1.21</v>
      </c>
      <c r="L152" s="72">
        <f t="shared" ca="1" si="87"/>
        <v>0.47866666666666668</v>
      </c>
      <c r="M152" s="73">
        <f t="shared" ca="1" si="88"/>
        <v>23.933333333333334</v>
      </c>
      <c r="N152" s="12" t="s">
        <v>40</v>
      </c>
      <c r="O152" s="47" t="s">
        <v>45</v>
      </c>
      <c r="P152" s="13">
        <f t="shared" si="77"/>
        <v>1.21</v>
      </c>
      <c r="Q152" s="1" t="str">
        <f t="shared" si="79"/>
        <v>50-90 шт - 1,21 руб / шт с НДС</v>
      </c>
      <c r="R152" s="235" t="str">
        <f ca="1">INDIRECT("'Закуп'!k" &amp; A152)</f>
        <v>K32</v>
      </c>
      <c r="S152" s="239">
        <f ca="1">INDIRECT("'Закуп'!o" &amp; A152)</f>
        <v>1.04</v>
      </c>
      <c r="T152" s="226" t="str">
        <f ca="1">INDIRECT("'Закуп'!p" &amp; A152)</f>
        <v>1-1,9 литра</v>
      </c>
      <c r="U152" s="228" t="str">
        <f ca="1">INDIRECT("'Закуп'!v" &amp; A152)</f>
        <v/>
      </c>
      <c r="V152" s="222" t="str">
        <f ca="1">INDIRECT("'Закуп'!w" &amp; A152)</f>
        <v/>
      </c>
      <c r="W152" s="229" t="str">
        <f ca="1">INDIRECT("'Закуп'!H" &amp; A152)</f>
        <v>0215</v>
      </c>
      <c r="X152" s="227" t="str">
        <f t="shared" ref="X152" ca="1" si="103">INDIRECT("'Закуп'!g" &amp; A152)</f>
        <v>С</v>
      </c>
      <c r="Y152" s="229" t="str">
        <f ca="1">INDIRECT("'Закуп'!i" &amp; A152)</f>
        <v>В</v>
      </c>
      <c r="Z152" s="236" t="str">
        <f ca="1">INDIRECT("'Закуп'!x" &amp; A152)</f>
        <v>100-199 мм</v>
      </c>
      <c r="AA152" s="237" t="str">
        <f ca="1">INDIRECT("'Закуп'!y" &amp; A152)</f>
        <v>100-199 мм</v>
      </c>
      <c r="AB152" s="238" t="str">
        <f ca="1">INDIRECT("'Закуп'!z" &amp; A152)</f>
        <v>10-99 мм</v>
      </c>
      <c r="AC152" s="223" t="str">
        <f t="shared" ca="1" si="74"/>
        <v>130x80x100</v>
      </c>
      <c r="AD152" s="222" t="str">
        <f t="shared" ca="1" si="99"/>
        <v>130x80x100 - 130*80*100 мм</v>
      </c>
    </row>
    <row r="153" spans="1:30" x14ac:dyDescent="0.4">
      <c r="A153" s="230"/>
      <c r="B153" s="8">
        <v>32</v>
      </c>
      <c r="C153" s="14">
        <f t="shared" ca="1" si="94"/>
        <v>0.41</v>
      </c>
      <c r="D153" s="20">
        <f t="shared" ca="1" si="68"/>
        <v>0.49199999999999994</v>
      </c>
      <c r="E153" s="225"/>
      <c r="F153" s="231"/>
      <c r="G153" s="172" t="str">
        <f t="shared" ca="1" si="89"/>
        <v/>
      </c>
      <c r="H153" s="93" t="str">
        <f t="shared" ca="1" si="90"/>
        <v/>
      </c>
      <c r="I153" s="21">
        <v>100</v>
      </c>
      <c r="J153" s="68">
        <f t="shared" si="91"/>
        <v>0.87500000000000011</v>
      </c>
      <c r="K153" s="70">
        <v>1.05</v>
      </c>
      <c r="L153" s="72">
        <f t="shared" ca="1" si="87"/>
        <v>0.37200000000000011</v>
      </c>
      <c r="M153" s="73">
        <f t="shared" ca="1" si="88"/>
        <v>37.20000000000001</v>
      </c>
      <c r="N153" s="12" t="s">
        <v>41</v>
      </c>
      <c r="O153" s="47" t="s">
        <v>45</v>
      </c>
      <c r="P153" s="13">
        <f t="shared" si="77"/>
        <v>1.05</v>
      </c>
      <c r="Q153" s="1" t="str">
        <f t="shared" si="79"/>
        <v>100-290 шт - 1,05 руб / шт с НДС</v>
      </c>
      <c r="R153" s="235"/>
      <c r="S153" s="239"/>
      <c r="T153" s="226"/>
      <c r="U153" s="228"/>
      <c r="V153" s="222"/>
      <c r="W153" s="229"/>
      <c r="X153" s="227"/>
      <c r="Y153" s="229"/>
      <c r="Z153" s="236"/>
      <c r="AA153" s="237"/>
      <c r="AB153" s="238"/>
      <c r="AC153" s="223"/>
      <c r="AD153" s="222"/>
    </row>
    <row r="154" spans="1:30" x14ac:dyDescent="0.4">
      <c r="A154" s="230"/>
      <c r="B154" s="8">
        <v>32</v>
      </c>
      <c r="C154" s="14">
        <f t="shared" ca="1" si="94"/>
        <v>0.41</v>
      </c>
      <c r="D154" s="20">
        <f t="shared" ca="1" si="68"/>
        <v>0.49199999999999994</v>
      </c>
      <c r="E154" s="225"/>
      <c r="F154" s="231"/>
      <c r="G154" s="172" t="str">
        <f t="shared" ca="1" si="89"/>
        <v/>
      </c>
      <c r="H154" s="93" t="str">
        <f t="shared" ca="1" si="90"/>
        <v/>
      </c>
      <c r="I154" s="21">
        <v>300</v>
      </c>
      <c r="J154" s="68">
        <f t="shared" si="91"/>
        <v>0.75</v>
      </c>
      <c r="K154" s="70">
        <v>0.9</v>
      </c>
      <c r="L154" s="72">
        <f t="shared" ca="1" si="87"/>
        <v>0.27200000000000002</v>
      </c>
      <c r="M154" s="73">
        <f t="shared" ca="1" si="88"/>
        <v>81.600000000000009</v>
      </c>
      <c r="N154" s="12" t="s">
        <v>42</v>
      </c>
      <c r="O154" s="47" t="s">
        <v>45</v>
      </c>
      <c r="P154" s="13">
        <f t="shared" si="77"/>
        <v>0.9</v>
      </c>
      <c r="Q154" s="1" t="str">
        <f t="shared" si="79"/>
        <v>300-490 шт - 0,9 руб / шт с НДС</v>
      </c>
      <c r="R154" s="235"/>
      <c r="S154" s="239"/>
      <c r="T154" s="226"/>
      <c r="U154" s="228"/>
      <c r="V154" s="222"/>
      <c r="W154" s="229"/>
      <c r="X154" s="227"/>
      <c r="Y154" s="229"/>
      <c r="Z154" s="236"/>
      <c r="AA154" s="237"/>
      <c r="AB154" s="238"/>
      <c r="AC154" s="223"/>
      <c r="AD154" s="222"/>
    </row>
    <row r="155" spans="1:30" x14ac:dyDescent="0.4">
      <c r="A155" s="230"/>
      <c r="B155" s="8">
        <v>32</v>
      </c>
      <c r="C155" s="14">
        <f t="shared" ca="1" si="94"/>
        <v>0.41</v>
      </c>
      <c r="D155" s="20">
        <f t="shared" ca="1" si="68"/>
        <v>0.49199999999999994</v>
      </c>
      <c r="E155" s="225"/>
      <c r="F155" s="231"/>
      <c r="G155" s="172" t="str">
        <f t="shared" ca="1" si="89"/>
        <v/>
      </c>
      <c r="H155" s="93" t="str">
        <f t="shared" ca="1" si="90"/>
        <v/>
      </c>
      <c r="I155" s="21">
        <v>500</v>
      </c>
      <c r="J155" s="68">
        <f t="shared" si="91"/>
        <v>0.70833333333333337</v>
      </c>
      <c r="K155" s="70">
        <v>0.85</v>
      </c>
      <c r="L155" s="72">
        <f t="shared" ca="1" si="87"/>
        <v>0.23866666666666672</v>
      </c>
      <c r="M155" s="73">
        <f t="shared" ca="1" si="88"/>
        <v>119.33333333333336</v>
      </c>
      <c r="N155" s="12" t="s">
        <v>43</v>
      </c>
      <c r="O155" s="47" t="s">
        <v>45</v>
      </c>
      <c r="P155" s="13">
        <f t="shared" si="77"/>
        <v>0.85</v>
      </c>
      <c r="Q155" s="1" t="str">
        <f t="shared" si="79"/>
        <v>500-990 шт - 0,85 руб / шт с НДС</v>
      </c>
      <c r="R155" s="235"/>
      <c r="S155" s="239"/>
      <c r="T155" s="226"/>
      <c r="U155" s="228"/>
      <c r="V155" s="222"/>
      <c r="W155" s="229"/>
      <c r="X155" s="227"/>
      <c r="Y155" s="229"/>
      <c r="Z155" s="236"/>
      <c r="AA155" s="237"/>
      <c r="AB155" s="238"/>
      <c r="AC155" s="223"/>
      <c r="AD155" s="222"/>
    </row>
    <row r="156" spans="1:30" x14ac:dyDescent="0.4">
      <c r="A156" s="230"/>
      <c r="B156" s="8">
        <v>32</v>
      </c>
      <c r="C156" s="14">
        <f t="shared" ca="1" si="94"/>
        <v>0.41</v>
      </c>
      <c r="D156" s="20">
        <f t="shared" ca="1" si="68"/>
        <v>0.49199999999999994</v>
      </c>
      <c r="E156" s="225"/>
      <c r="F156" s="231"/>
      <c r="G156" s="172" t="str">
        <f t="shared" ca="1" si="89"/>
        <v/>
      </c>
      <c r="H156" s="93" t="str">
        <f t="shared" ca="1" si="90"/>
        <v/>
      </c>
      <c r="I156" s="21">
        <v>1000</v>
      </c>
      <c r="J156" s="68">
        <f t="shared" si="91"/>
        <v>0.65</v>
      </c>
      <c r="K156" s="70">
        <v>0.78</v>
      </c>
      <c r="L156" s="72">
        <f t="shared" ca="1" si="87"/>
        <v>0.19200000000000003</v>
      </c>
      <c r="M156" s="73">
        <f t="shared" ca="1" si="88"/>
        <v>192.00000000000003</v>
      </c>
      <c r="N156" s="12" t="s">
        <v>44</v>
      </c>
      <c r="O156" s="47" t="s">
        <v>45</v>
      </c>
      <c r="P156" s="13">
        <f t="shared" si="77"/>
        <v>0.78</v>
      </c>
      <c r="Q156" s="1" t="str">
        <f t="shared" si="79"/>
        <v>1000 + шт - 0,78 руб / шт с НДС</v>
      </c>
      <c r="R156" s="235"/>
      <c r="S156" s="239"/>
      <c r="T156" s="226"/>
      <c r="U156" s="228"/>
      <c r="V156" s="222"/>
      <c r="W156" s="229"/>
      <c r="X156" s="227"/>
      <c r="Y156" s="229"/>
      <c r="Z156" s="236"/>
      <c r="AA156" s="237"/>
      <c r="AB156" s="238"/>
      <c r="AC156" s="223"/>
      <c r="AD156" s="222"/>
    </row>
    <row r="157" spans="1:30" ht="32.15" x14ac:dyDescent="0.4">
      <c r="A157" s="230">
        <v>33</v>
      </c>
      <c r="B157" s="8">
        <v>33</v>
      </c>
      <c r="C157" s="14">
        <f t="shared" ca="1" si="94"/>
        <v>0.77</v>
      </c>
      <c r="D157" s="20">
        <f t="shared" ca="1" si="68"/>
        <v>0.92399999999999993</v>
      </c>
      <c r="E157" s="224" t="str">
        <f ca="1">INDIRECT("'Закуп'!D" &amp; A157)</f>
        <v>У</v>
      </c>
      <c r="F157" s="231" t="str">
        <f ca="1">INDIRECT("'Закуп'!E" &amp; B157)</f>
        <v>250х170х90</v>
      </c>
      <c r="G157" s="172" t="str">
        <f t="shared" ca="1" si="89"/>
        <v>Sale</v>
      </c>
      <c r="H157" s="93" t="str">
        <f t="shared" ca="1" si="90"/>
        <v>временная расспродажа</v>
      </c>
      <c r="I157" s="21">
        <v>50</v>
      </c>
      <c r="J157" s="68">
        <f t="shared" si="91"/>
        <v>0.91666666666666674</v>
      </c>
      <c r="K157" s="70">
        <v>1.1000000000000001</v>
      </c>
      <c r="L157" s="72">
        <f t="shared" ca="1" si="87"/>
        <v>0.11733333333333337</v>
      </c>
      <c r="M157" s="73">
        <f t="shared" ca="1" si="88"/>
        <v>5.8666666666666689</v>
      </c>
      <c r="N157" s="12" t="s">
        <v>40</v>
      </c>
      <c r="O157" s="47" t="s">
        <v>45</v>
      </c>
      <c r="P157" s="13">
        <f t="shared" si="77"/>
        <v>1.1000000000000001</v>
      </c>
      <c r="Q157" s="1" t="str">
        <f t="shared" si="79"/>
        <v>50-90 шт - 1,1 руб / шт с НДС</v>
      </c>
      <c r="R157" s="235" t="str">
        <f ca="1">INDIRECT("'Закуп'!k" &amp; A157)</f>
        <v>K33</v>
      </c>
      <c r="S157" s="239">
        <f ca="1">INDIRECT("'Закуп'!o" &amp; A157)</f>
        <v>3.83</v>
      </c>
      <c r="T157" s="226" t="str">
        <f ca="1">INDIRECT("'Закуп'!p" &amp; A157)</f>
        <v>3-3,9 литра</v>
      </c>
      <c r="U157" s="228" t="str">
        <f ca="1">INDIRECT("'Закуп'!v" &amp; A157)</f>
        <v/>
      </c>
      <c r="V157" s="222" t="str">
        <f ca="1">INDIRECT("'Закуп'!w" &amp; A157)</f>
        <v/>
      </c>
      <c r="W157" s="229" t="str">
        <f ca="1">INDIRECT("'Закуп'!H" &amp; A157)</f>
        <v>0427</v>
      </c>
      <c r="X157" s="227" t="str">
        <f t="shared" ref="X157" ca="1" si="104">INDIRECT("'Закуп'!g" &amp; A157)</f>
        <v>С</v>
      </c>
      <c r="Y157" s="229" t="str">
        <f ca="1">INDIRECT("'Закуп'!i" &amp; A157)</f>
        <v>В</v>
      </c>
      <c r="Z157" s="236" t="str">
        <f ca="1">INDIRECT("'Закуп'!x" &amp; A157)</f>
        <v>200-299 мм</v>
      </c>
      <c r="AA157" s="237" t="str">
        <f ca="1">INDIRECT("'Закуп'!y" &amp; A157)</f>
        <v>100-199 мм</v>
      </c>
      <c r="AB157" s="238" t="str">
        <f ca="1">INDIRECT("'Закуп'!z" &amp; A157)</f>
        <v>10-99 мм</v>
      </c>
      <c r="AC157" s="223" t="str">
        <f t="shared" ca="1" si="74"/>
        <v>250x170x90</v>
      </c>
      <c r="AD157" s="222" t="str">
        <f t="shared" ca="1" si="99"/>
        <v>250x170x90 - 250*170*90 мм</v>
      </c>
    </row>
    <row r="158" spans="1:30" ht="32.15" x14ac:dyDescent="0.4">
      <c r="A158" s="230"/>
      <c r="B158" s="8">
        <v>33</v>
      </c>
      <c r="C158" s="14">
        <f t="shared" ca="1" si="94"/>
        <v>0.77</v>
      </c>
      <c r="D158" s="20">
        <f t="shared" ca="1" si="68"/>
        <v>0.92399999999999993</v>
      </c>
      <c r="E158" s="225"/>
      <c r="F158" s="231"/>
      <c r="G158" s="172" t="str">
        <f t="shared" ca="1" si="89"/>
        <v>Sale</v>
      </c>
      <c r="H158" s="93" t="str">
        <f t="shared" ca="1" si="90"/>
        <v>временная расспродажа</v>
      </c>
      <c r="I158" s="21">
        <v>100</v>
      </c>
      <c r="J158" s="68">
        <f t="shared" si="91"/>
        <v>0.91666666666666674</v>
      </c>
      <c r="K158" s="70">
        <v>1.1000000000000001</v>
      </c>
      <c r="L158" s="72">
        <f t="shared" ca="1" si="87"/>
        <v>0.11733333333333337</v>
      </c>
      <c r="M158" s="73">
        <f t="shared" ca="1" si="88"/>
        <v>11.733333333333338</v>
      </c>
      <c r="N158" s="12" t="s">
        <v>41</v>
      </c>
      <c r="O158" s="47" t="s">
        <v>45</v>
      </c>
      <c r="P158" s="13">
        <f t="shared" si="77"/>
        <v>1.1000000000000001</v>
      </c>
      <c r="Q158" s="1" t="str">
        <f t="shared" si="79"/>
        <v>100-290 шт - 1,1 руб / шт с НДС</v>
      </c>
      <c r="R158" s="235"/>
      <c r="S158" s="239"/>
      <c r="T158" s="226"/>
      <c r="U158" s="228"/>
      <c r="V158" s="222"/>
      <c r="W158" s="229"/>
      <c r="X158" s="227"/>
      <c r="Y158" s="229"/>
      <c r="Z158" s="236"/>
      <c r="AA158" s="237"/>
      <c r="AB158" s="238"/>
      <c r="AC158" s="223"/>
      <c r="AD158" s="222"/>
    </row>
    <row r="159" spans="1:30" ht="32.15" x14ac:dyDescent="0.4">
      <c r="A159" s="230"/>
      <c r="B159" s="8">
        <v>33</v>
      </c>
      <c r="C159" s="14">
        <f t="shared" ca="1" si="94"/>
        <v>0.77</v>
      </c>
      <c r="D159" s="20">
        <f t="shared" ca="1" si="68"/>
        <v>0.92399999999999993</v>
      </c>
      <c r="E159" s="225"/>
      <c r="F159" s="231"/>
      <c r="G159" s="172" t="str">
        <f t="shared" ca="1" si="89"/>
        <v>Sale</v>
      </c>
      <c r="H159" s="93" t="str">
        <f t="shared" ca="1" si="90"/>
        <v>временная расспродажа</v>
      </c>
      <c r="I159" s="21">
        <v>300</v>
      </c>
      <c r="J159" s="68">
        <f t="shared" si="91"/>
        <v>0.91666666666666674</v>
      </c>
      <c r="K159" s="70">
        <v>1.1000000000000001</v>
      </c>
      <c r="L159" s="72">
        <f t="shared" ca="1" si="87"/>
        <v>0.11733333333333337</v>
      </c>
      <c r="M159" s="73">
        <f t="shared" ca="1" si="88"/>
        <v>35.20000000000001</v>
      </c>
      <c r="N159" s="12" t="s">
        <v>42</v>
      </c>
      <c r="O159" s="47" t="s">
        <v>45</v>
      </c>
      <c r="P159" s="13">
        <f t="shared" si="77"/>
        <v>1.1000000000000001</v>
      </c>
      <c r="Q159" s="1" t="str">
        <f t="shared" si="79"/>
        <v>300-490 шт - 1,1 руб / шт с НДС</v>
      </c>
      <c r="R159" s="235"/>
      <c r="S159" s="239"/>
      <c r="T159" s="226"/>
      <c r="U159" s="228"/>
      <c r="V159" s="222"/>
      <c r="W159" s="229"/>
      <c r="X159" s="227"/>
      <c r="Y159" s="229"/>
      <c r="Z159" s="236"/>
      <c r="AA159" s="237"/>
      <c r="AB159" s="238"/>
      <c r="AC159" s="223"/>
      <c r="AD159" s="222"/>
    </row>
    <row r="160" spans="1:30" ht="32.15" x14ac:dyDescent="0.4">
      <c r="A160" s="230"/>
      <c r="B160" s="8">
        <v>33</v>
      </c>
      <c r="C160" s="14">
        <f t="shared" ca="1" si="94"/>
        <v>0.77</v>
      </c>
      <c r="D160" s="20">
        <f t="shared" ca="1" si="68"/>
        <v>0.92399999999999993</v>
      </c>
      <c r="E160" s="225"/>
      <c r="F160" s="231"/>
      <c r="G160" s="172" t="str">
        <f t="shared" ca="1" si="89"/>
        <v>Sale</v>
      </c>
      <c r="H160" s="93" t="str">
        <f t="shared" ca="1" si="90"/>
        <v>временная расспродажа</v>
      </c>
      <c r="I160" s="21">
        <v>500</v>
      </c>
      <c r="J160" s="68">
        <f t="shared" si="91"/>
        <v>0.91666666666666674</v>
      </c>
      <c r="K160" s="70">
        <v>1.1000000000000001</v>
      </c>
      <c r="L160" s="72">
        <f t="shared" ca="1" si="87"/>
        <v>0.11733333333333337</v>
      </c>
      <c r="M160" s="73">
        <f t="shared" ca="1" si="88"/>
        <v>58.666666666666686</v>
      </c>
      <c r="N160" s="12" t="s">
        <v>43</v>
      </c>
      <c r="O160" s="47" t="s">
        <v>45</v>
      </c>
      <c r="P160" s="13">
        <f t="shared" si="77"/>
        <v>1.1000000000000001</v>
      </c>
      <c r="Q160" s="1" t="str">
        <f t="shared" si="79"/>
        <v>500-990 шт - 1,1 руб / шт с НДС</v>
      </c>
      <c r="R160" s="235"/>
      <c r="S160" s="239"/>
      <c r="T160" s="226"/>
      <c r="U160" s="228"/>
      <c r="V160" s="222"/>
      <c r="W160" s="229"/>
      <c r="X160" s="227"/>
      <c r="Y160" s="229"/>
      <c r="Z160" s="236"/>
      <c r="AA160" s="237"/>
      <c r="AB160" s="238"/>
      <c r="AC160" s="223"/>
      <c r="AD160" s="222"/>
    </row>
    <row r="161" spans="1:30" ht="32.15" x14ac:dyDescent="0.4">
      <c r="A161" s="230"/>
      <c r="B161" s="8">
        <v>33</v>
      </c>
      <c r="C161" s="14">
        <f t="shared" ca="1" si="94"/>
        <v>0.77</v>
      </c>
      <c r="D161" s="20">
        <f t="shared" ref="D161:D224" ca="1" si="105">C161*1.2</f>
        <v>0.92399999999999993</v>
      </c>
      <c r="E161" s="225"/>
      <c r="F161" s="231"/>
      <c r="G161" s="172" t="str">
        <f t="shared" ca="1" si="89"/>
        <v>Sale</v>
      </c>
      <c r="H161" s="93" t="str">
        <f t="shared" ca="1" si="90"/>
        <v>временная расспродажа</v>
      </c>
      <c r="I161" s="21">
        <v>1000</v>
      </c>
      <c r="J161" s="68">
        <f t="shared" si="91"/>
        <v>0.91666666666666674</v>
      </c>
      <c r="K161" s="70">
        <v>1.1000000000000001</v>
      </c>
      <c r="L161" s="72">
        <f t="shared" ca="1" si="87"/>
        <v>0.11733333333333337</v>
      </c>
      <c r="M161" s="73">
        <f t="shared" ca="1" si="88"/>
        <v>117.33333333333337</v>
      </c>
      <c r="N161" s="12" t="s">
        <v>44</v>
      </c>
      <c r="O161" s="47" t="s">
        <v>45</v>
      </c>
      <c r="P161" s="13">
        <f t="shared" si="77"/>
        <v>1.1000000000000001</v>
      </c>
      <c r="Q161" s="1" t="str">
        <f t="shared" si="79"/>
        <v>1000 + шт - 1,1 руб / шт с НДС</v>
      </c>
      <c r="R161" s="235"/>
      <c r="S161" s="239"/>
      <c r="T161" s="226"/>
      <c r="U161" s="228"/>
      <c r="V161" s="222"/>
      <c r="W161" s="229"/>
      <c r="X161" s="227"/>
      <c r="Y161" s="229"/>
      <c r="Z161" s="236"/>
      <c r="AA161" s="237"/>
      <c r="AB161" s="238"/>
      <c r="AC161" s="223"/>
      <c r="AD161" s="222"/>
    </row>
    <row r="162" spans="1:30" x14ac:dyDescent="0.4">
      <c r="A162" s="230">
        <v>34</v>
      </c>
      <c r="B162" s="8">
        <v>34</v>
      </c>
      <c r="C162" s="14">
        <f t="shared" ca="1" si="94"/>
        <v>0.31</v>
      </c>
      <c r="D162" s="20">
        <f t="shared" ca="1" si="105"/>
        <v>0.372</v>
      </c>
      <c r="E162" s="224" t="str">
        <f ca="1">INDIRECT("'Закуп'!D" &amp; A162)</f>
        <v>У</v>
      </c>
      <c r="F162" s="231" t="str">
        <f t="shared" ref="F162" ca="1" si="106">INDIRECT("'Закуп'!E" &amp; B162)</f>
        <v>200х80х80</v>
      </c>
      <c r="G162" s="172" t="str">
        <f t="shared" ca="1" si="89"/>
        <v/>
      </c>
      <c r="H162" s="93" t="str">
        <f t="shared" ca="1" si="90"/>
        <v/>
      </c>
      <c r="I162" s="21">
        <v>50</v>
      </c>
      <c r="J162" s="68">
        <f t="shared" si="91"/>
        <v>0.89166666666666672</v>
      </c>
      <c r="K162" s="70">
        <v>1.07</v>
      </c>
      <c r="L162" s="72">
        <f t="shared" ca="1" si="87"/>
        <v>0.46533333333333343</v>
      </c>
      <c r="M162" s="73">
        <f t="shared" ca="1" si="88"/>
        <v>23.266666666666673</v>
      </c>
      <c r="N162" s="12" t="s">
        <v>40</v>
      </c>
      <c r="O162" s="47" t="s">
        <v>45</v>
      </c>
      <c r="P162" s="13">
        <f t="shared" si="77"/>
        <v>1.07</v>
      </c>
      <c r="Q162" s="1" t="str">
        <f t="shared" si="79"/>
        <v>50-90 шт - 1,07 руб / шт с НДС</v>
      </c>
      <c r="R162" s="235" t="str">
        <f ca="1">INDIRECT("'Закуп'!k" &amp; A162)</f>
        <v>K34</v>
      </c>
      <c r="S162" s="239">
        <f ca="1">INDIRECT("'Закуп'!o" &amp; A162)</f>
        <v>1.28</v>
      </c>
      <c r="T162" s="226" t="str">
        <f ca="1">INDIRECT("'Закуп'!p" &amp; A162)</f>
        <v>1-1,9 литра</v>
      </c>
      <c r="U162" s="228" t="str">
        <f ca="1">INDIRECT("'Закуп'!v" &amp; A162)</f>
        <v>Длинные</v>
      </c>
      <c r="V162" s="222" t="str">
        <f ca="1">INDIRECT("'Закуп'!w" &amp; A162)</f>
        <v/>
      </c>
      <c r="W162" s="229" t="str">
        <f ca="1">INDIRECT("'Закуп'!H" &amp; A162)</f>
        <v>0471</v>
      </c>
      <c r="X162" s="227" t="str">
        <f t="shared" ref="X162" ca="1" si="107">INDIRECT("'Закуп'!g" &amp; A162)</f>
        <v>С</v>
      </c>
      <c r="Y162" s="229" t="str">
        <f ca="1">INDIRECT("'Закуп'!i" &amp; A162)</f>
        <v>В</v>
      </c>
      <c r="Z162" s="236" t="str">
        <f ca="1">INDIRECT("'Закуп'!x" &amp; A162)</f>
        <v>200-299 мм</v>
      </c>
      <c r="AA162" s="237" t="str">
        <f ca="1">INDIRECT("'Закуп'!y" &amp; A162)</f>
        <v>10-99 мм</v>
      </c>
      <c r="AB162" s="238" t="str">
        <f ca="1">INDIRECT("'Закуп'!z" &amp; A162)</f>
        <v>10-99 мм</v>
      </c>
      <c r="AC162" s="223" t="str">
        <f t="shared" ca="1" si="74"/>
        <v>200x80x80</v>
      </c>
      <c r="AD162" s="222" t="str">
        <f t="shared" ca="1" si="99"/>
        <v>200x80x80 - 200*80*80 мм</v>
      </c>
    </row>
    <row r="163" spans="1:30" x14ac:dyDescent="0.4">
      <c r="A163" s="230"/>
      <c r="B163" s="8">
        <v>34</v>
      </c>
      <c r="C163" s="14">
        <f t="shared" ca="1" si="94"/>
        <v>0.31</v>
      </c>
      <c r="D163" s="20">
        <f t="shared" ca="1" si="105"/>
        <v>0.372</v>
      </c>
      <c r="E163" s="225"/>
      <c r="F163" s="231"/>
      <c r="G163" s="172" t="str">
        <f t="shared" ca="1" si="89"/>
        <v/>
      </c>
      <c r="H163" s="93" t="str">
        <f t="shared" ca="1" si="90"/>
        <v/>
      </c>
      <c r="I163" s="21">
        <v>100</v>
      </c>
      <c r="J163" s="68">
        <f t="shared" si="91"/>
        <v>0.8</v>
      </c>
      <c r="K163" s="70">
        <v>0.96</v>
      </c>
      <c r="L163" s="72">
        <f t="shared" ca="1" si="87"/>
        <v>0.39200000000000002</v>
      </c>
      <c r="M163" s="73">
        <f t="shared" ca="1" si="88"/>
        <v>39.200000000000003</v>
      </c>
      <c r="N163" s="12" t="s">
        <v>41</v>
      </c>
      <c r="O163" s="47" t="s">
        <v>45</v>
      </c>
      <c r="P163" s="13">
        <f t="shared" si="77"/>
        <v>0.96</v>
      </c>
      <c r="Q163" s="1" t="str">
        <f t="shared" si="79"/>
        <v>100-290 шт - 0,96 руб / шт с НДС</v>
      </c>
      <c r="R163" s="235"/>
      <c r="S163" s="239"/>
      <c r="T163" s="226"/>
      <c r="U163" s="228"/>
      <c r="V163" s="222"/>
      <c r="W163" s="229"/>
      <c r="X163" s="227"/>
      <c r="Y163" s="229"/>
      <c r="Z163" s="236"/>
      <c r="AA163" s="237"/>
      <c r="AB163" s="238"/>
      <c r="AC163" s="223"/>
      <c r="AD163" s="222"/>
    </row>
    <row r="164" spans="1:30" x14ac:dyDescent="0.4">
      <c r="A164" s="230"/>
      <c r="B164" s="8">
        <v>34</v>
      </c>
      <c r="C164" s="14">
        <f t="shared" ca="1" si="94"/>
        <v>0.31</v>
      </c>
      <c r="D164" s="20">
        <f t="shared" ca="1" si="105"/>
        <v>0.372</v>
      </c>
      <c r="E164" s="225"/>
      <c r="F164" s="231"/>
      <c r="G164" s="172" t="str">
        <f t="shared" ca="1" si="89"/>
        <v/>
      </c>
      <c r="H164" s="93" t="str">
        <f t="shared" ca="1" si="90"/>
        <v/>
      </c>
      <c r="I164" s="21">
        <v>300</v>
      </c>
      <c r="J164" s="68">
        <f t="shared" si="91"/>
        <v>0.71666666666666667</v>
      </c>
      <c r="K164" s="70">
        <v>0.86</v>
      </c>
      <c r="L164" s="72">
        <f t="shared" ca="1" si="87"/>
        <v>0.32533333333333336</v>
      </c>
      <c r="M164" s="73">
        <f t="shared" ca="1" si="88"/>
        <v>97.600000000000009</v>
      </c>
      <c r="N164" s="12" t="s">
        <v>42</v>
      </c>
      <c r="O164" s="47" t="s">
        <v>45</v>
      </c>
      <c r="P164" s="13">
        <f t="shared" si="77"/>
        <v>0.86</v>
      </c>
      <c r="Q164" s="1" t="str">
        <f t="shared" si="79"/>
        <v>300-490 шт - 0,86 руб / шт с НДС</v>
      </c>
      <c r="R164" s="235"/>
      <c r="S164" s="239"/>
      <c r="T164" s="226"/>
      <c r="U164" s="228"/>
      <c r="V164" s="222"/>
      <c r="W164" s="229"/>
      <c r="X164" s="227"/>
      <c r="Y164" s="229"/>
      <c r="Z164" s="236"/>
      <c r="AA164" s="237"/>
      <c r="AB164" s="238"/>
      <c r="AC164" s="223"/>
      <c r="AD164" s="222"/>
    </row>
    <row r="165" spans="1:30" x14ac:dyDescent="0.4">
      <c r="A165" s="230"/>
      <c r="B165" s="8">
        <v>34</v>
      </c>
      <c r="C165" s="14">
        <f t="shared" ca="1" si="94"/>
        <v>0.31</v>
      </c>
      <c r="D165" s="20">
        <f t="shared" ca="1" si="105"/>
        <v>0.372</v>
      </c>
      <c r="E165" s="225"/>
      <c r="F165" s="231"/>
      <c r="G165" s="172" t="str">
        <f t="shared" ca="1" si="89"/>
        <v/>
      </c>
      <c r="H165" s="93" t="str">
        <f t="shared" ca="1" si="90"/>
        <v/>
      </c>
      <c r="I165" s="21">
        <v>500</v>
      </c>
      <c r="J165" s="68">
        <f t="shared" si="91"/>
        <v>0.625</v>
      </c>
      <c r="K165" s="70">
        <v>0.75</v>
      </c>
      <c r="L165" s="72">
        <f t="shared" ca="1" si="87"/>
        <v>0.252</v>
      </c>
      <c r="M165" s="73">
        <f t="shared" ca="1" si="88"/>
        <v>126</v>
      </c>
      <c r="N165" s="12" t="s">
        <v>43</v>
      </c>
      <c r="O165" s="47" t="s">
        <v>45</v>
      </c>
      <c r="P165" s="13">
        <f t="shared" si="77"/>
        <v>0.75</v>
      </c>
      <c r="Q165" s="1" t="str">
        <f t="shared" si="79"/>
        <v>500-990 шт - 0,75 руб / шт с НДС</v>
      </c>
      <c r="R165" s="235"/>
      <c r="S165" s="239"/>
      <c r="T165" s="226"/>
      <c r="U165" s="228"/>
      <c r="V165" s="222"/>
      <c r="W165" s="229"/>
      <c r="X165" s="227"/>
      <c r="Y165" s="229"/>
      <c r="Z165" s="236"/>
      <c r="AA165" s="237"/>
      <c r="AB165" s="238"/>
      <c r="AC165" s="223"/>
      <c r="AD165" s="222"/>
    </row>
    <row r="166" spans="1:30" x14ac:dyDescent="0.4">
      <c r="A166" s="230"/>
      <c r="B166" s="8">
        <v>34</v>
      </c>
      <c r="C166" s="14">
        <f t="shared" ca="1" si="94"/>
        <v>0.31</v>
      </c>
      <c r="D166" s="20">
        <f t="shared" ca="1" si="105"/>
        <v>0.372</v>
      </c>
      <c r="E166" s="225"/>
      <c r="F166" s="231"/>
      <c r="G166" s="172" t="str">
        <f t="shared" ca="1" si="89"/>
        <v/>
      </c>
      <c r="H166" s="93" t="str">
        <f t="shared" ca="1" si="90"/>
        <v/>
      </c>
      <c r="I166" s="21">
        <v>1000</v>
      </c>
      <c r="J166" s="68">
        <f t="shared" si="91"/>
        <v>0.53333333333333333</v>
      </c>
      <c r="K166" s="70">
        <v>0.64</v>
      </c>
      <c r="L166" s="72">
        <f t="shared" ca="1" si="87"/>
        <v>0.17866666666666667</v>
      </c>
      <c r="M166" s="73">
        <f t="shared" ca="1" si="88"/>
        <v>178.66666666666666</v>
      </c>
      <c r="N166" s="12" t="s">
        <v>44</v>
      </c>
      <c r="O166" s="47" t="s">
        <v>45</v>
      </c>
      <c r="P166" s="13">
        <f t="shared" si="77"/>
        <v>0.64</v>
      </c>
      <c r="Q166" s="1" t="str">
        <f t="shared" si="79"/>
        <v>1000 + шт - 0,64 руб / шт с НДС</v>
      </c>
      <c r="R166" s="235"/>
      <c r="S166" s="239"/>
      <c r="T166" s="226"/>
      <c r="U166" s="228"/>
      <c r="V166" s="222"/>
      <c r="W166" s="229"/>
      <c r="X166" s="227"/>
      <c r="Y166" s="229"/>
      <c r="Z166" s="236"/>
      <c r="AA166" s="237"/>
      <c r="AB166" s="238"/>
      <c r="AC166" s="223"/>
      <c r="AD166" s="222"/>
    </row>
    <row r="167" spans="1:30" x14ac:dyDescent="0.4">
      <c r="A167" s="230">
        <v>35</v>
      </c>
      <c r="B167" s="8">
        <v>35</v>
      </c>
      <c r="C167" s="14">
        <f t="shared" ca="1" si="94"/>
        <v>0.83</v>
      </c>
      <c r="D167" s="20">
        <f t="shared" ca="1" si="105"/>
        <v>0.99599999999999989</v>
      </c>
      <c r="E167" s="224" t="str">
        <f ca="1">INDIRECT("'Закуп'!D" &amp; A167)</f>
        <v>У</v>
      </c>
      <c r="F167" s="231" t="str">
        <f t="shared" ref="F167" ca="1" si="108">INDIRECT("'Закуп'!E" &amp; B167)</f>
        <v>690х170х55</v>
      </c>
      <c r="G167" s="172" t="str">
        <f t="shared" ca="1" si="89"/>
        <v/>
      </c>
      <c r="H167" s="93" t="str">
        <f t="shared" ca="1" si="90"/>
        <v/>
      </c>
      <c r="I167" s="21">
        <v>50</v>
      </c>
      <c r="J167" s="68">
        <f t="shared" si="91"/>
        <v>1.95</v>
      </c>
      <c r="K167" s="70">
        <v>2.34</v>
      </c>
      <c r="L167" s="72">
        <f t="shared" ca="1" si="87"/>
        <v>0.89600000000000013</v>
      </c>
      <c r="M167" s="73">
        <f t="shared" ca="1" si="88"/>
        <v>44.800000000000004</v>
      </c>
      <c r="N167" s="12" t="s">
        <v>40</v>
      </c>
      <c r="O167" s="47" t="s">
        <v>45</v>
      </c>
      <c r="P167" s="13">
        <f t="shared" si="77"/>
        <v>2.34</v>
      </c>
      <c r="Q167" s="1" t="str">
        <f t="shared" si="79"/>
        <v>50-90 шт - 2,34 руб / шт с НДС</v>
      </c>
      <c r="R167" s="235" t="str">
        <f ca="1">INDIRECT("'Закуп'!k" &amp; A167)</f>
        <v>K35</v>
      </c>
      <c r="S167" s="239">
        <f ca="1">INDIRECT("'Закуп'!o" &amp; A167)</f>
        <v>6.45</v>
      </c>
      <c r="T167" s="226" t="str">
        <f ca="1">INDIRECT("'Закуп'!p" &amp; A167)</f>
        <v>6-7,9 литра</v>
      </c>
      <c r="U167" s="228" t="str">
        <f ca="1">INDIRECT("'Закуп'!v" &amp; A167)</f>
        <v>Длинные</v>
      </c>
      <c r="V167" s="222" t="str">
        <f ca="1">INDIRECT("'Закуп'!w" &amp; A167)</f>
        <v>Плоские</v>
      </c>
      <c r="W167" s="229" t="str">
        <f ca="1">INDIRECT("'Закуп'!H" &amp; A167)</f>
        <v>0427</v>
      </c>
      <c r="X167" s="227" t="str">
        <f t="shared" ref="X167" ca="1" si="109">INDIRECT("'Закуп'!g" &amp; A167)</f>
        <v>С</v>
      </c>
      <c r="Y167" s="229" t="str">
        <f ca="1">INDIRECT("'Закуп'!i" &amp; A167)</f>
        <v>В</v>
      </c>
      <c r="Z167" s="236" t="str">
        <f ca="1">INDIRECT("'Закуп'!x" &amp; A167)</f>
        <v>600-699 мм</v>
      </c>
      <c r="AA167" s="237" t="str">
        <f ca="1">INDIRECT("'Закуп'!y" &amp; A167)</f>
        <v>100-199 мм</v>
      </c>
      <c r="AB167" s="238" t="str">
        <f ca="1">INDIRECT("'Закуп'!z" &amp; A167)</f>
        <v>10-99 мм</v>
      </c>
      <c r="AC167" s="223" t="str">
        <f t="shared" ref="AC167:AC227" ca="1" si="110">SUBSTITUTE(INDEX(F:F, ROUNDUP((ROW(A166))/5,0)*5 - 3), "х", "x")</f>
        <v>690x170x55</v>
      </c>
      <c r="AD167" s="222" t="str">
        <f t="shared" ca="1" si="99"/>
        <v>690x170x55 - 690*170*55 мм</v>
      </c>
    </row>
    <row r="168" spans="1:30" x14ac:dyDescent="0.4">
      <c r="A168" s="230"/>
      <c r="B168" s="8">
        <v>35</v>
      </c>
      <c r="C168" s="14">
        <f t="shared" ca="1" si="94"/>
        <v>0.83</v>
      </c>
      <c r="D168" s="20">
        <f t="shared" ca="1" si="105"/>
        <v>0.99599999999999989</v>
      </c>
      <c r="E168" s="225"/>
      <c r="F168" s="231"/>
      <c r="G168" s="172" t="str">
        <f t="shared" ca="1" si="89"/>
        <v/>
      </c>
      <c r="H168" s="93" t="str">
        <f t="shared" ca="1" si="90"/>
        <v/>
      </c>
      <c r="I168" s="21">
        <v>100</v>
      </c>
      <c r="J168" s="68">
        <f t="shared" si="91"/>
        <v>1.7749999999999999</v>
      </c>
      <c r="K168" s="70">
        <v>2.13</v>
      </c>
      <c r="L168" s="72">
        <f t="shared" ca="1" si="87"/>
        <v>0.75600000000000001</v>
      </c>
      <c r="M168" s="73">
        <f t="shared" ca="1" si="88"/>
        <v>75.599999999999994</v>
      </c>
      <c r="N168" s="12" t="s">
        <v>41</v>
      </c>
      <c r="O168" s="47" t="s">
        <v>45</v>
      </c>
      <c r="P168" s="13">
        <f t="shared" si="77"/>
        <v>2.13</v>
      </c>
      <c r="Q168" s="1" t="str">
        <f t="shared" si="79"/>
        <v>100-290 шт - 2,13 руб / шт с НДС</v>
      </c>
      <c r="R168" s="235"/>
      <c r="S168" s="239"/>
      <c r="T168" s="226"/>
      <c r="U168" s="228"/>
      <c r="V168" s="222"/>
      <c r="W168" s="229"/>
      <c r="X168" s="227"/>
      <c r="Y168" s="229"/>
      <c r="Z168" s="236"/>
      <c r="AA168" s="237"/>
      <c r="AB168" s="238"/>
      <c r="AC168" s="223"/>
      <c r="AD168" s="222"/>
    </row>
    <row r="169" spans="1:30" x14ac:dyDescent="0.4">
      <c r="A169" s="230"/>
      <c r="B169" s="8">
        <v>35</v>
      </c>
      <c r="C169" s="14">
        <f t="shared" ca="1" si="94"/>
        <v>0.83</v>
      </c>
      <c r="D169" s="20">
        <f t="shared" ca="1" si="105"/>
        <v>0.99599999999999989</v>
      </c>
      <c r="E169" s="225"/>
      <c r="F169" s="231"/>
      <c r="G169" s="172" t="str">
        <f t="shared" ca="1" si="89"/>
        <v/>
      </c>
      <c r="H169" s="93" t="str">
        <f t="shared" ca="1" si="90"/>
        <v/>
      </c>
      <c r="I169" s="21">
        <v>300</v>
      </c>
      <c r="J169" s="68">
        <f t="shared" si="91"/>
        <v>1.3833333333333333</v>
      </c>
      <c r="K169" s="70">
        <v>1.66</v>
      </c>
      <c r="L169" s="72">
        <f t="shared" ca="1" si="87"/>
        <v>0.44266666666666665</v>
      </c>
      <c r="M169" s="73">
        <f t="shared" ca="1" si="88"/>
        <v>132.79999999999998</v>
      </c>
      <c r="N169" s="12" t="s">
        <v>42</v>
      </c>
      <c r="O169" s="47" t="s">
        <v>45</v>
      </c>
      <c r="P169" s="13">
        <f t="shared" si="77"/>
        <v>1.66</v>
      </c>
      <c r="Q169" s="1" t="str">
        <f t="shared" si="79"/>
        <v>300-490 шт - 1,66 руб / шт с НДС</v>
      </c>
      <c r="R169" s="235"/>
      <c r="S169" s="239"/>
      <c r="T169" s="226"/>
      <c r="U169" s="228"/>
      <c r="V169" s="222"/>
      <c r="W169" s="229"/>
      <c r="X169" s="227"/>
      <c r="Y169" s="229"/>
      <c r="Z169" s="236"/>
      <c r="AA169" s="237"/>
      <c r="AB169" s="238"/>
      <c r="AC169" s="223"/>
      <c r="AD169" s="222"/>
    </row>
    <row r="170" spans="1:30" x14ac:dyDescent="0.4">
      <c r="A170" s="230"/>
      <c r="B170" s="8">
        <v>35</v>
      </c>
      <c r="C170" s="14">
        <f t="shared" ca="1" si="94"/>
        <v>0.83</v>
      </c>
      <c r="D170" s="20">
        <f t="shared" ca="1" si="105"/>
        <v>0.99599999999999989</v>
      </c>
      <c r="E170" s="225"/>
      <c r="F170" s="231"/>
      <c r="G170" s="172" t="str">
        <f t="shared" ca="1" si="89"/>
        <v/>
      </c>
      <c r="H170" s="93" t="str">
        <f t="shared" ca="1" si="90"/>
        <v/>
      </c>
      <c r="I170" s="21">
        <v>500</v>
      </c>
      <c r="J170" s="68">
        <f t="shared" si="91"/>
        <v>1.1916666666666667</v>
      </c>
      <c r="K170" s="70">
        <v>1.43</v>
      </c>
      <c r="L170" s="72">
        <f t="shared" ca="1" si="87"/>
        <v>0.28933333333333333</v>
      </c>
      <c r="M170" s="73">
        <f t="shared" ca="1" si="88"/>
        <v>144.66666666666666</v>
      </c>
      <c r="N170" s="12" t="s">
        <v>43</v>
      </c>
      <c r="O170" s="47" t="s">
        <v>45</v>
      </c>
      <c r="P170" s="13">
        <f t="shared" si="77"/>
        <v>1.43</v>
      </c>
      <c r="Q170" s="1" t="str">
        <f t="shared" si="79"/>
        <v>500-990 шт - 1,43 руб / шт с НДС</v>
      </c>
      <c r="R170" s="235"/>
      <c r="S170" s="239"/>
      <c r="T170" s="226"/>
      <c r="U170" s="228"/>
      <c r="V170" s="222"/>
      <c r="W170" s="229"/>
      <c r="X170" s="227"/>
      <c r="Y170" s="229"/>
      <c r="Z170" s="236"/>
      <c r="AA170" s="237"/>
      <c r="AB170" s="238"/>
      <c r="AC170" s="223"/>
      <c r="AD170" s="222"/>
    </row>
    <row r="171" spans="1:30" x14ac:dyDescent="0.4">
      <c r="A171" s="230"/>
      <c r="B171" s="8">
        <v>35</v>
      </c>
      <c r="C171" s="14">
        <f t="shared" ca="1" si="94"/>
        <v>0.83</v>
      </c>
      <c r="D171" s="20">
        <f t="shared" ca="1" si="105"/>
        <v>0.99599999999999989</v>
      </c>
      <c r="E171" s="225"/>
      <c r="F171" s="231"/>
      <c r="G171" s="172" t="str">
        <f t="shared" ca="1" si="89"/>
        <v/>
      </c>
      <c r="H171" s="93" t="str">
        <f t="shared" ca="1" si="90"/>
        <v/>
      </c>
      <c r="I171" s="21">
        <v>1000</v>
      </c>
      <c r="J171" s="68">
        <f t="shared" si="91"/>
        <v>1.1166666666666667</v>
      </c>
      <c r="K171" s="70">
        <v>1.34</v>
      </c>
      <c r="L171" s="72">
        <f t="shared" ca="1" si="87"/>
        <v>0.22933333333333339</v>
      </c>
      <c r="M171" s="73">
        <f t="shared" ca="1" si="88"/>
        <v>229.3333333333334</v>
      </c>
      <c r="N171" s="12" t="s">
        <v>44</v>
      </c>
      <c r="O171" s="47" t="s">
        <v>45</v>
      </c>
      <c r="P171" s="13">
        <f t="shared" si="77"/>
        <v>1.34</v>
      </c>
      <c r="Q171" s="1" t="str">
        <f t="shared" si="79"/>
        <v>1000 + шт - 1,34 руб / шт с НДС</v>
      </c>
      <c r="R171" s="235"/>
      <c r="S171" s="239"/>
      <c r="T171" s="226"/>
      <c r="U171" s="228"/>
      <c r="V171" s="222"/>
      <c r="W171" s="229"/>
      <c r="X171" s="227"/>
      <c r="Y171" s="229"/>
      <c r="Z171" s="236"/>
      <c r="AA171" s="237"/>
      <c r="AB171" s="238"/>
      <c r="AC171" s="223"/>
      <c r="AD171" s="222"/>
    </row>
    <row r="172" spans="1:30" x14ac:dyDescent="0.4">
      <c r="A172" s="230">
        <v>36</v>
      </c>
      <c r="B172" s="8">
        <v>36</v>
      </c>
      <c r="C172" s="14">
        <f t="shared" ca="1" si="94"/>
        <v>1.46</v>
      </c>
      <c r="D172" s="20">
        <f t="shared" ca="1" si="105"/>
        <v>1.752</v>
      </c>
      <c r="E172" s="224" t="str">
        <f ca="1">INDIRECT("'Закуп'!D" &amp; A172)</f>
        <v>У</v>
      </c>
      <c r="F172" s="231" t="str">
        <f t="shared" ref="F172" ca="1" si="111">INDIRECT("'Закуп'!E" &amp; B172)</f>
        <v>1110х115х105</v>
      </c>
      <c r="G172" s="172" t="str">
        <f t="shared" ca="1" si="89"/>
        <v/>
      </c>
      <c r="H172" s="93" t="str">
        <f t="shared" ca="1" si="90"/>
        <v/>
      </c>
      <c r="I172" s="21">
        <v>50</v>
      </c>
      <c r="J172" s="68">
        <f t="shared" si="91"/>
        <v>2.9583333333333335</v>
      </c>
      <c r="K172" s="70">
        <v>3.55</v>
      </c>
      <c r="L172" s="72">
        <f t="shared" ca="1" si="87"/>
        <v>1.1986666666666668</v>
      </c>
      <c r="M172" s="73">
        <f t="shared" ca="1" si="88"/>
        <v>59.933333333333337</v>
      </c>
      <c r="N172" s="12" t="s">
        <v>40</v>
      </c>
      <c r="O172" s="47" t="s">
        <v>45</v>
      </c>
      <c r="P172" s="13">
        <f t="shared" si="77"/>
        <v>3.55</v>
      </c>
      <c r="Q172" s="1" t="str">
        <f t="shared" si="79"/>
        <v>50-90 шт - 3,55 руб / шт с НДС</v>
      </c>
      <c r="R172" s="235" t="str">
        <f ca="1">INDIRECT("'Закуп'!k" &amp; A172)</f>
        <v>K36</v>
      </c>
      <c r="S172" s="239">
        <f ca="1">INDIRECT("'Закуп'!o" &amp; A172)</f>
        <v>13.4</v>
      </c>
      <c r="T172" s="226" t="str">
        <f ca="1">INDIRECT("'Закуп'!p" &amp; A172)</f>
        <v>10-14,9 литров</v>
      </c>
      <c r="U172" s="228" t="str">
        <f ca="1">INDIRECT("'Закуп'!v" &amp; A172)</f>
        <v>Длинные</v>
      </c>
      <c r="V172" s="222" t="str">
        <f ca="1">INDIRECT("'Закуп'!w" &amp; A172)</f>
        <v/>
      </c>
      <c r="W172" s="229" t="str">
        <f ca="1">INDIRECT("'Закуп'!H" &amp; A172)</f>
        <v>0427</v>
      </c>
      <c r="X172" s="227" t="str">
        <f t="shared" ref="X172" ca="1" si="112">INDIRECT("'Закуп'!g" &amp; A172)</f>
        <v>С</v>
      </c>
      <c r="Y172" s="229" t="str">
        <f ca="1">INDIRECT("'Закуп'!i" &amp; A172)</f>
        <v>В</v>
      </c>
      <c r="Z172" s="236" t="str">
        <f ca="1">INDIRECT("'Закуп'!x" &amp; A172)</f>
        <v>1000+ мм</v>
      </c>
      <c r="AA172" s="237" t="str">
        <f ca="1">INDIRECT("'Закуп'!y" &amp; A172)</f>
        <v>100-199 мм</v>
      </c>
      <c r="AB172" s="238" t="str">
        <f ca="1">INDIRECT("'Закуп'!z" &amp; A172)</f>
        <v>100-199 мм</v>
      </c>
      <c r="AC172" s="223" t="str">
        <f t="shared" ca="1" si="110"/>
        <v>1110x115x105</v>
      </c>
      <c r="AD172" s="222" t="str">
        <f t="shared" ca="1" si="99"/>
        <v>1110x115x105 - 1110*115*105 мм</v>
      </c>
    </row>
    <row r="173" spans="1:30" x14ac:dyDescent="0.4">
      <c r="A173" s="230"/>
      <c r="B173" s="8">
        <v>36</v>
      </c>
      <c r="C173" s="14">
        <f t="shared" ca="1" si="94"/>
        <v>1.46</v>
      </c>
      <c r="D173" s="20">
        <f t="shared" ca="1" si="105"/>
        <v>1.752</v>
      </c>
      <c r="E173" s="225"/>
      <c r="F173" s="231"/>
      <c r="G173" s="172" t="str">
        <f t="shared" ca="1" si="89"/>
        <v/>
      </c>
      <c r="H173" s="93" t="str">
        <f t="shared" ca="1" si="90"/>
        <v/>
      </c>
      <c r="I173" s="21">
        <v>100</v>
      </c>
      <c r="J173" s="68">
        <f t="shared" si="91"/>
        <v>2.6833333333333336</v>
      </c>
      <c r="K173" s="70">
        <v>3.22</v>
      </c>
      <c r="L173" s="72">
        <f t="shared" ca="1" si="87"/>
        <v>0.97866666666666691</v>
      </c>
      <c r="M173" s="73">
        <f t="shared" ca="1" si="88"/>
        <v>97.866666666666688</v>
      </c>
      <c r="N173" s="12" t="s">
        <v>41</v>
      </c>
      <c r="O173" s="47" t="s">
        <v>45</v>
      </c>
      <c r="P173" s="13">
        <f t="shared" si="77"/>
        <v>3.22</v>
      </c>
      <c r="Q173" s="1" t="str">
        <f t="shared" si="79"/>
        <v>100-290 шт - 3,22 руб / шт с НДС</v>
      </c>
      <c r="R173" s="235"/>
      <c r="S173" s="239"/>
      <c r="T173" s="226"/>
      <c r="U173" s="228"/>
      <c r="V173" s="222"/>
      <c r="W173" s="229"/>
      <c r="X173" s="227"/>
      <c r="Y173" s="229"/>
      <c r="Z173" s="236"/>
      <c r="AA173" s="237"/>
      <c r="AB173" s="238"/>
      <c r="AC173" s="223"/>
      <c r="AD173" s="222"/>
    </row>
    <row r="174" spans="1:30" x14ac:dyDescent="0.4">
      <c r="A174" s="230"/>
      <c r="B174" s="8">
        <v>36</v>
      </c>
      <c r="C174" s="14">
        <f t="shared" ca="1" si="94"/>
        <v>1.46</v>
      </c>
      <c r="D174" s="20">
        <f t="shared" ca="1" si="105"/>
        <v>1.752</v>
      </c>
      <c r="E174" s="225"/>
      <c r="F174" s="231"/>
      <c r="G174" s="172" t="str">
        <f t="shared" ca="1" si="89"/>
        <v/>
      </c>
      <c r="H174" s="93" t="str">
        <f t="shared" ca="1" si="90"/>
        <v/>
      </c>
      <c r="I174" s="21">
        <v>300</v>
      </c>
      <c r="J174" s="68">
        <f t="shared" si="91"/>
        <v>2.4083333333333337</v>
      </c>
      <c r="K174" s="70">
        <v>2.89</v>
      </c>
      <c r="L174" s="72">
        <f t="shared" ca="1" si="87"/>
        <v>0.75866666666666693</v>
      </c>
      <c r="M174" s="73">
        <f t="shared" ca="1" si="88"/>
        <v>227.60000000000008</v>
      </c>
      <c r="N174" s="12" t="s">
        <v>42</v>
      </c>
      <c r="O174" s="47" t="s">
        <v>45</v>
      </c>
      <c r="P174" s="13">
        <f t="shared" si="77"/>
        <v>2.89</v>
      </c>
      <c r="Q174" s="1" t="str">
        <f t="shared" si="79"/>
        <v>300-490 шт - 2,89 руб / шт с НДС</v>
      </c>
      <c r="R174" s="235"/>
      <c r="S174" s="239"/>
      <c r="T174" s="226"/>
      <c r="U174" s="228"/>
      <c r="V174" s="222"/>
      <c r="W174" s="229"/>
      <c r="X174" s="227"/>
      <c r="Y174" s="229"/>
      <c r="Z174" s="236"/>
      <c r="AA174" s="237"/>
      <c r="AB174" s="238"/>
      <c r="AC174" s="223"/>
      <c r="AD174" s="222"/>
    </row>
    <row r="175" spans="1:30" x14ac:dyDescent="0.4">
      <c r="A175" s="230"/>
      <c r="B175" s="8">
        <v>36</v>
      </c>
      <c r="C175" s="14">
        <f t="shared" ca="1" si="94"/>
        <v>1.46</v>
      </c>
      <c r="D175" s="20">
        <f t="shared" ca="1" si="105"/>
        <v>1.752</v>
      </c>
      <c r="E175" s="225"/>
      <c r="F175" s="231"/>
      <c r="G175" s="172" t="str">
        <f t="shared" ca="1" si="89"/>
        <v/>
      </c>
      <c r="H175" s="93" t="str">
        <f t="shared" ca="1" si="90"/>
        <v/>
      </c>
      <c r="I175" s="21">
        <v>500</v>
      </c>
      <c r="J175" s="68">
        <f t="shared" si="91"/>
        <v>2.2583333333333333</v>
      </c>
      <c r="K175" s="70">
        <v>2.71</v>
      </c>
      <c r="L175" s="72">
        <f t="shared" ca="1" si="87"/>
        <v>0.63866666666666672</v>
      </c>
      <c r="M175" s="73">
        <f t="shared" ca="1" si="88"/>
        <v>319.33333333333337</v>
      </c>
      <c r="N175" s="12" t="s">
        <v>43</v>
      </c>
      <c r="O175" s="47" t="s">
        <v>45</v>
      </c>
      <c r="P175" s="13">
        <f t="shared" ref="P175:P238" si="113">ROUND(K175,2)</f>
        <v>2.71</v>
      </c>
      <c r="Q175" s="1" t="str">
        <f t="shared" si="79"/>
        <v>500-990 шт - 2,71 руб / шт с НДС</v>
      </c>
      <c r="R175" s="235"/>
      <c r="S175" s="239"/>
      <c r="T175" s="226"/>
      <c r="U175" s="228"/>
      <c r="V175" s="222"/>
      <c r="W175" s="229"/>
      <c r="X175" s="227"/>
      <c r="Y175" s="229"/>
      <c r="Z175" s="236"/>
      <c r="AA175" s="237"/>
      <c r="AB175" s="238"/>
      <c r="AC175" s="223"/>
      <c r="AD175" s="222"/>
    </row>
    <row r="176" spans="1:30" x14ac:dyDescent="0.4">
      <c r="A176" s="230"/>
      <c r="B176" s="8">
        <v>36</v>
      </c>
      <c r="C176" s="14">
        <f t="shared" ca="1" si="94"/>
        <v>1.46</v>
      </c>
      <c r="D176" s="20">
        <f t="shared" ca="1" si="105"/>
        <v>1.752</v>
      </c>
      <c r="E176" s="225"/>
      <c r="F176" s="231"/>
      <c r="G176" s="172" t="str">
        <f t="shared" ca="1" si="89"/>
        <v/>
      </c>
      <c r="H176" s="93" t="str">
        <f t="shared" ca="1" si="90"/>
        <v/>
      </c>
      <c r="I176" s="21">
        <v>1000</v>
      </c>
      <c r="J176" s="68">
        <f t="shared" si="91"/>
        <v>2.125</v>
      </c>
      <c r="K176" s="70">
        <v>2.5499999999999998</v>
      </c>
      <c r="L176" s="72">
        <f t="shared" ca="1" si="87"/>
        <v>0.53200000000000003</v>
      </c>
      <c r="M176" s="73">
        <f t="shared" ca="1" si="88"/>
        <v>532</v>
      </c>
      <c r="N176" s="12" t="s">
        <v>44</v>
      </c>
      <c r="O176" s="47" t="s">
        <v>45</v>
      </c>
      <c r="P176" s="13">
        <f t="shared" si="113"/>
        <v>2.5499999999999998</v>
      </c>
      <c r="Q176" s="1" t="str">
        <f t="shared" ref="Q176:Q239" si="114">CONCATENATE(N176,P176,O176,)</f>
        <v>1000 + шт - 2,55 руб / шт с НДС</v>
      </c>
      <c r="R176" s="235"/>
      <c r="S176" s="239"/>
      <c r="T176" s="226"/>
      <c r="U176" s="228"/>
      <c r="V176" s="222"/>
      <c r="W176" s="229"/>
      <c r="X176" s="227"/>
      <c r="Y176" s="229"/>
      <c r="Z176" s="236"/>
      <c r="AA176" s="237"/>
      <c r="AB176" s="238"/>
      <c r="AC176" s="223"/>
      <c r="AD176" s="222"/>
    </row>
    <row r="177" spans="1:30" x14ac:dyDescent="0.4">
      <c r="A177" s="230">
        <v>37</v>
      </c>
      <c r="B177" s="8">
        <v>37</v>
      </c>
      <c r="C177" s="14">
        <f t="shared" ca="1" si="94"/>
        <v>1.46</v>
      </c>
      <c r="D177" s="20">
        <f t="shared" ca="1" si="105"/>
        <v>1.752</v>
      </c>
      <c r="E177" s="224" t="str">
        <f ca="1">INDIRECT("'Закуп'!D" &amp; A177)</f>
        <v>У</v>
      </c>
      <c r="F177" s="231" t="str">
        <f t="shared" ref="F177" ca="1" si="115">INDIRECT("'Закуп'!E" &amp; B177)</f>
        <v>500х500х65</v>
      </c>
      <c r="G177" s="172" t="str">
        <f t="shared" ca="1" si="89"/>
        <v/>
      </c>
      <c r="H177" s="93" t="str">
        <f t="shared" ca="1" si="90"/>
        <v/>
      </c>
      <c r="I177" s="21">
        <v>50</v>
      </c>
      <c r="J177" s="68">
        <f t="shared" si="91"/>
        <v>2.8250000000000002</v>
      </c>
      <c r="K177" s="70">
        <v>3.39</v>
      </c>
      <c r="L177" s="72">
        <f t="shared" ca="1" si="87"/>
        <v>1.0920000000000001</v>
      </c>
      <c r="M177" s="73">
        <f t="shared" ca="1" si="88"/>
        <v>54.6</v>
      </c>
      <c r="N177" s="12" t="s">
        <v>40</v>
      </c>
      <c r="O177" s="47" t="s">
        <v>45</v>
      </c>
      <c r="P177" s="13">
        <f t="shared" si="113"/>
        <v>3.39</v>
      </c>
      <c r="Q177" s="1" t="str">
        <f t="shared" si="114"/>
        <v>50-90 шт - 3,39 руб / шт с НДС</v>
      </c>
      <c r="R177" s="235" t="str">
        <f ca="1">INDIRECT("'Закуп'!k" &amp; A177)</f>
        <v>K37</v>
      </c>
      <c r="S177" s="239">
        <f ca="1">INDIRECT("'Закуп'!o" &amp; A177)</f>
        <v>16.25</v>
      </c>
      <c r="T177" s="226" t="str">
        <f ca="1">INDIRECT("'Закуп'!p" &amp; A177)</f>
        <v>15-19,9 литров</v>
      </c>
      <c r="U177" s="228" t="str">
        <f ca="1">INDIRECT("'Закуп'!v" &amp; A177)</f>
        <v/>
      </c>
      <c r="V177" s="222" t="str">
        <f ca="1">INDIRECT("'Закуп'!w" &amp; A177)</f>
        <v>Плоские</v>
      </c>
      <c r="W177" s="229" t="str">
        <f ca="1">INDIRECT("'Закуп'!H" &amp; A177)</f>
        <v>0426</v>
      </c>
      <c r="X177" s="227" t="str">
        <f t="shared" ref="X177" ca="1" si="116">INDIRECT("'Закуп'!g" &amp; A177)</f>
        <v>С</v>
      </c>
      <c r="Y177" s="229" t="str">
        <f ca="1">INDIRECT("'Закуп'!i" &amp; A177)</f>
        <v>В</v>
      </c>
      <c r="Z177" s="236" t="str">
        <f ca="1">INDIRECT("'Закуп'!x" &amp; A177)</f>
        <v>500-599 мм</v>
      </c>
      <c r="AA177" s="237" t="str">
        <f ca="1">INDIRECT("'Закуп'!y" &amp; A177)</f>
        <v>500-599 мм</v>
      </c>
      <c r="AB177" s="238" t="str">
        <f ca="1">INDIRECT("'Закуп'!z" &amp; A177)</f>
        <v>10-99 мм</v>
      </c>
      <c r="AC177" s="223" t="str">
        <f t="shared" ca="1" si="110"/>
        <v>500x500x65</v>
      </c>
      <c r="AD177" s="222" t="str">
        <f t="shared" ca="1" si="99"/>
        <v>500x500x65 - 500*500*65 мм</v>
      </c>
    </row>
    <row r="178" spans="1:30" x14ac:dyDescent="0.4">
      <c r="A178" s="230"/>
      <c r="B178" s="8">
        <v>37</v>
      </c>
      <c r="C178" s="14">
        <f t="shared" ca="1" si="94"/>
        <v>1.46</v>
      </c>
      <c r="D178" s="20">
        <f t="shared" ca="1" si="105"/>
        <v>1.752</v>
      </c>
      <c r="E178" s="225"/>
      <c r="F178" s="231"/>
      <c r="G178" s="172" t="str">
        <f t="shared" ca="1" si="89"/>
        <v/>
      </c>
      <c r="H178" s="93" t="str">
        <f t="shared" ca="1" si="90"/>
        <v/>
      </c>
      <c r="I178" s="21">
        <v>100</v>
      </c>
      <c r="J178" s="68">
        <f t="shared" si="91"/>
        <v>2.5416666666666665</v>
      </c>
      <c r="K178" s="70">
        <v>3.05</v>
      </c>
      <c r="L178" s="72">
        <f t="shared" ca="1" si="87"/>
        <v>0.86533333333333329</v>
      </c>
      <c r="M178" s="73">
        <f t="shared" ca="1" si="88"/>
        <v>86.533333333333331</v>
      </c>
      <c r="N178" s="12" t="s">
        <v>41</v>
      </c>
      <c r="O178" s="47" t="s">
        <v>45</v>
      </c>
      <c r="P178" s="13">
        <f t="shared" si="113"/>
        <v>3.05</v>
      </c>
      <c r="Q178" s="1" t="str">
        <f t="shared" si="114"/>
        <v>100-290 шт - 3,05 руб / шт с НДС</v>
      </c>
      <c r="R178" s="235"/>
      <c r="S178" s="239"/>
      <c r="T178" s="226"/>
      <c r="U178" s="228"/>
      <c r="V178" s="222"/>
      <c r="W178" s="229"/>
      <c r="X178" s="227"/>
      <c r="Y178" s="229"/>
      <c r="Z178" s="236"/>
      <c r="AA178" s="237"/>
      <c r="AB178" s="238"/>
      <c r="AC178" s="223"/>
      <c r="AD178" s="222"/>
    </row>
    <row r="179" spans="1:30" x14ac:dyDescent="0.4">
      <c r="A179" s="230"/>
      <c r="B179" s="8">
        <v>37</v>
      </c>
      <c r="C179" s="14">
        <f t="shared" ca="1" si="94"/>
        <v>1.46</v>
      </c>
      <c r="D179" s="20">
        <f t="shared" ca="1" si="105"/>
        <v>1.752</v>
      </c>
      <c r="E179" s="225"/>
      <c r="F179" s="231"/>
      <c r="G179" s="172" t="str">
        <f t="shared" ca="1" si="89"/>
        <v/>
      </c>
      <c r="H179" s="93" t="str">
        <f t="shared" ca="1" si="90"/>
        <v/>
      </c>
      <c r="I179" s="21">
        <v>300</v>
      </c>
      <c r="J179" s="68">
        <f t="shared" si="91"/>
        <v>2.4083333333333337</v>
      </c>
      <c r="K179" s="70">
        <v>2.89</v>
      </c>
      <c r="L179" s="72">
        <f t="shared" ca="1" si="87"/>
        <v>0.75866666666666693</v>
      </c>
      <c r="M179" s="73">
        <f t="shared" ca="1" si="88"/>
        <v>227.60000000000008</v>
      </c>
      <c r="N179" s="12" t="s">
        <v>42</v>
      </c>
      <c r="O179" s="47" t="s">
        <v>45</v>
      </c>
      <c r="P179" s="13">
        <f t="shared" si="113"/>
        <v>2.89</v>
      </c>
      <c r="Q179" s="1" t="str">
        <f t="shared" si="114"/>
        <v>300-490 шт - 2,89 руб / шт с НДС</v>
      </c>
      <c r="R179" s="235"/>
      <c r="S179" s="239"/>
      <c r="T179" s="226"/>
      <c r="U179" s="228"/>
      <c r="V179" s="222"/>
      <c r="W179" s="229"/>
      <c r="X179" s="227"/>
      <c r="Y179" s="229"/>
      <c r="Z179" s="236"/>
      <c r="AA179" s="237"/>
      <c r="AB179" s="238"/>
      <c r="AC179" s="223"/>
      <c r="AD179" s="222"/>
    </row>
    <row r="180" spans="1:30" x14ac:dyDescent="0.4">
      <c r="A180" s="230"/>
      <c r="B180" s="8">
        <v>37</v>
      </c>
      <c r="C180" s="14">
        <f t="shared" ca="1" si="94"/>
        <v>1.46</v>
      </c>
      <c r="D180" s="20">
        <f t="shared" ca="1" si="105"/>
        <v>1.752</v>
      </c>
      <c r="E180" s="225"/>
      <c r="F180" s="231"/>
      <c r="G180" s="172" t="str">
        <f t="shared" ca="1" si="89"/>
        <v/>
      </c>
      <c r="H180" s="93" t="str">
        <f t="shared" ca="1" si="90"/>
        <v/>
      </c>
      <c r="I180" s="21">
        <v>500</v>
      </c>
      <c r="J180" s="68">
        <f t="shared" si="91"/>
        <v>2.2583333333333333</v>
      </c>
      <c r="K180" s="70">
        <v>2.71</v>
      </c>
      <c r="L180" s="72">
        <f t="shared" ca="1" si="87"/>
        <v>0.63866666666666672</v>
      </c>
      <c r="M180" s="73">
        <f t="shared" ca="1" si="88"/>
        <v>319.33333333333337</v>
      </c>
      <c r="N180" s="12" t="s">
        <v>43</v>
      </c>
      <c r="O180" s="47" t="s">
        <v>45</v>
      </c>
      <c r="P180" s="13">
        <f t="shared" si="113"/>
        <v>2.71</v>
      </c>
      <c r="Q180" s="1" t="str">
        <f t="shared" si="114"/>
        <v>500-990 шт - 2,71 руб / шт с НДС</v>
      </c>
      <c r="R180" s="235"/>
      <c r="S180" s="239"/>
      <c r="T180" s="226"/>
      <c r="U180" s="228"/>
      <c r="V180" s="222"/>
      <c r="W180" s="229"/>
      <c r="X180" s="227"/>
      <c r="Y180" s="229"/>
      <c r="Z180" s="236"/>
      <c r="AA180" s="237"/>
      <c r="AB180" s="238"/>
      <c r="AC180" s="223"/>
      <c r="AD180" s="222"/>
    </row>
    <row r="181" spans="1:30" x14ac:dyDescent="0.4">
      <c r="A181" s="230"/>
      <c r="B181" s="8">
        <v>37</v>
      </c>
      <c r="C181" s="14">
        <f t="shared" ca="1" si="94"/>
        <v>1.46</v>
      </c>
      <c r="D181" s="20">
        <f t="shared" ca="1" si="105"/>
        <v>1.752</v>
      </c>
      <c r="E181" s="225"/>
      <c r="F181" s="231"/>
      <c r="G181" s="172" t="str">
        <f t="shared" ca="1" si="89"/>
        <v/>
      </c>
      <c r="H181" s="93" t="str">
        <f t="shared" ca="1" si="90"/>
        <v/>
      </c>
      <c r="I181" s="21">
        <v>1000</v>
      </c>
      <c r="J181" s="68">
        <f t="shared" si="91"/>
        <v>2.125</v>
      </c>
      <c r="K181" s="70">
        <v>2.5499999999999998</v>
      </c>
      <c r="L181" s="72">
        <f t="shared" ca="1" si="87"/>
        <v>0.53200000000000003</v>
      </c>
      <c r="M181" s="73">
        <f t="shared" ca="1" si="88"/>
        <v>532</v>
      </c>
      <c r="N181" s="12" t="s">
        <v>44</v>
      </c>
      <c r="O181" s="47" t="s">
        <v>45</v>
      </c>
      <c r="P181" s="13">
        <f t="shared" si="113"/>
        <v>2.5499999999999998</v>
      </c>
      <c r="Q181" s="1" t="str">
        <f t="shared" si="114"/>
        <v>1000 + шт - 2,55 руб / шт с НДС</v>
      </c>
      <c r="R181" s="235"/>
      <c r="S181" s="239"/>
      <c r="T181" s="226"/>
      <c r="U181" s="228"/>
      <c r="V181" s="222"/>
      <c r="W181" s="229"/>
      <c r="X181" s="227"/>
      <c r="Y181" s="229"/>
      <c r="Z181" s="236"/>
      <c r="AA181" s="237"/>
      <c r="AB181" s="238"/>
      <c r="AC181" s="223"/>
      <c r="AD181" s="222"/>
    </row>
    <row r="182" spans="1:30" x14ac:dyDescent="0.4">
      <c r="A182" s="230">
        <v>38</v>
      </c>
      <c r="B182" s="8">
        <v>38</v>
      </c>
      <c r="C182" s="14">
        <f t="shared" ca="1" si="94"/>
        <v>0.73</v>
      </c>
      <c r="D182" s="20">
        <f t="shared" ca="1" si="105"/>
        <v>0.876</v>
      </c>
      <c r="E182" s="224" t="str">
        <f ca="1">INDIRECT("'Закуп'!D" &amp; A182)</f>
        <v>У</v>
      </c>
      <c r="F182" s="231" t="str">
        <f t="shared" ref="F182" ca="1" si="117">INDIRECT("'Закуп'!E" &amp; B182)</f>
        <v>300х215х65</v>
      </c>
      <c r="G182" s="172" t="str">
        <f t="shared" ca="1" si="89"/>
        <v/>
      </c>
      <c r="H182" s="93" t="str">
        <f t="shared" ca="1" si="90"/>
        <v/>
      </c>
      <c r="I182" s="21">
        <v>50</v>
      </c>
      <c r="J182" s="68">
        <f t="shared" si="91"/>
        <v>1.7416666666666667</v>
      </c>
      <c r="K182" s="70">
        <v>2.09</v>
      </c>
      <c r="L182" s="72">
        <f t="shared" ca="1" si="87"/>
        <v>0.80933333333333335</v>
      </c>
      <c r="M182" s="73">
        <f t="shared" ca="1" si="88"/>
        <v>40.466666666666669</v>
      </c>
      <c r="N182" s="12" t="s">
        <v>40</v>
      </c>
      <c r="O182" s="47" t="s">
        <v>45</v>
      </c>
      <c r="P182" s="13">
        <f t="shared" si="113"/>
        <v>2.09</v>
      </c>
      <c r="Q182" s="1" t="str">
        <f t="shared" si="114"/>
        <v>50-90 шт - 2,09 руб / шт с НДС</v>
      </c>
      <c r="R182" s="235" t="str">
        <f ca="1">INDIRECT("'Закуп'!k" &amp; A182)</f>
        <v>K38</v>
      </c>
      <c r="S182" s="239">
        <f ca="1">INDIRECT("'Закуп'!o" &amp; A182)</f>
        <v>4.1900000000000004</v>
      </c>
      <c r="T182" s="226" t="str">
        <f ca="1">INDIRECT("'Закуп'!p" &amp; A182)</f>
        <v>4-5,9 литра</v>
      </c>
      <c r="U182" s="228" t="str">
        <f ca="1">INDIRECT("'Закуп'!v" &amp; A182)</f>
        <v/>
      </c>
      <c r="V182" s="222" t="str">
        <f ca="1">INDIRECT("'Закуп'!w" &amp; A182)</f>
        <v>Плоские</v>
      </c>
      <c r="W182" s="229" t="str">
        <f ca="1">INDIRECT("'Закуп'!H" &amp; A182)</f>
        <v>0427</v>
      </c>
      <c r="X182" s="227" t="str">
        <f t="shared" ref="X182" ca="1" si="118">INDIRECT("'Закуп'!g" &amp; A182)</f>
        <v>С</v>
      </c>
      <c r="Y182" s="229" t="str">
        <f ca="1">INDIRECT("'Закуп'!i" &amp; A182)</f>
        <v>В</v>
      </c>
      <c r="Z182" s="236" t="str">
        <f ca="1">INDIRECT("'Закуп'!x" &amp; A182)</f>
        <v>300-399 мм</v>
      </c>
      <c r="AA182" s="237" t="str">
        <f ca="1">INDIRECT("'Закуп'!y" &amp; A182)</f>
        <v>200-299 мм</v>
      </c>
      <c r="AB182" s="238" t="str">
        <f ca="1">INDIRECT("'Закуп'!z" &amp; A182)</f>
        <v>10-99 мм</v>
      </c>
      <c r="AC182" s="223" t="str">
        <f t="shared" ca="1" si="110"/>
        <v>300x215x65</v>
      </c>
      <c r="AD182" s="222" t="str">
        <f t="shared" ca="1" si="99"/>
        <v>300x215x65 - 300*215*65 мм</v>
      </c>
    </row>
    <row r="183" spans="1:30" x14ac:dyDescent="0.4">
      <c r="A183" s="230"/>
      <c r="B183" s="8">
        <v>38</v>
      </c>
      <c r="C183" s="14">
        <f t="shared" ca="1" si="94"/>
        <v>0.73</v>
      </c>
      <c r="D183" s="20">
        <f t="shared" ca="1" si="105"/>
        <v>0.876</v>
      </c>
      <c r="E183" s="225"/>
      <c r="F183" s="231"/>
      <c r="G183" s="172" t="str">
        <f t="shared" ca="1" si="89"/>
        <v/>
      </c>
      <c r="H183" s="93" t="str">
        <f t="shared" ca="1" si="90"/>
        <v/>
      </c>
      <c r="I183" s="21">
        <v>100</v>
      </c>
      <c r="J183" s="68">
        <f t="shared" si="91"/>
        <v>1.5666666666666667</v>
      </c>
      <c r="K183" s="70">
        <v>1.88</v>
      </c>
      <c r="L183" s="72">
        <f t="shared" ca="1" si="87"/>
        <v>0.66933333333333334</v>
      </c>
      <c r="M183" s="73">
        <f t="shared" ca="1" si="88"/>
        <v>66.933333333333337</v>
      </c>
      <c r="N183" s="12" t="s">
        <v>41</v>
      </c>
      <c r="O183" s="47" t="s">
        <v>45</v>
      </c>
      <c r="P183" s="13">
        <f t="shared" si="113"/>
        <v>1.88</v>
      </c>
      <c r="Q183" s="1" t="str">
        <f t="shared" si="114"/>
        <v>100-290 шт - 1,88 руб / шт с НДС</v>
      </c>
      <c r="R183" s="235"/>
      <c r="S183" s="239"/>
      <c r="T183" s="226"/>
      <c r="U183" s="228"/>
      <c r="V183" s="222"/>
      <c r="W183" s="229"/>
      <c r="X183" s="227"/>
      <c r="Y183" s="229"/>
      <c r="Z183" s="236"/>
      <c r="AA183" s="237"/>
      <c r="AB183" s="238"/>
      <c r="AC183" s="223"/>
      <c r="AD183" s="222"/>
    </row>
    <row r="184" spans="1:30" x14ac:dyDescent="0.4">
      <c r="A184" s="230"/>
      <c r="B184" s="8">
        <v>38</v>
      </c>
      <c r="C184" s="14">
        <f t="shared" ca="1" si="94"/>
        <v>0.73</v>
      </c>
      <c r="D184" s="20">
        <f t="shared" ca="1" si="105"/>
        <v>0.876</v>
      </c>
      <c r="E184" s="225"/>
      <c r="F184" s="231"/>
      <c r="G184" s="172" t="str">
        <f t="shared" ca="1" si="89"/>
        <v/>
      </c>
      <c r="H184" s="93" t="str">
        <f t="shared" ca="1" si="90"/>
        <v/>
      </c>
      <c r="I184" s="21">
        <v>300</v>
      </c>
      <c r="J184" s="68">
        <f t="shared" si="91"/>
        <v>1.4</v>
      </c>
      <c r="K184" s="70">
        <v>1.68</v>
      </c>
      <c r="L184" s="72">
        <f t="shared" ca="1" si="87"/>
        <v>0.53599999999999992</v>
      </c>
      <c r="M184" s="73">
        <f t="shared" ca="1" si="88"/>
        <v>160.79999999999998</v>
      </c>
      <c r="N184" s="12" t="s">
        <v>42</v>
      </c>
      <c r="O184" s="47" t="s">
        <v>45</v>
      </c>
      <c r="P184" s="13">
        <f t="shared" si="113"/>
        <v>1.68</v>
      </c>
      <c r="Q184" s="1" t="str">
        <f t="shared" si="114"/>
        <v>300-490 шт - 1,68 руб / шт с НДС</v>
      </c>
      <c r="R184" s="235"/>
      <c r="S184" s="239"/>
      <c r="T184" s="226"/>
      <c r="U184" s="228"/>
      <c r="V184" s="222"/>
      <c r="W184" s="229"/>
      <c r="X184" s="227"/>
      <c r="Y184" s="229"/>
      <c r="Z184" s="236"/>
      <c r="AA184" s="237"/>
      <c r="AB184" s="238"/>
      <c r="AC184" s="223"/>
      <c r="AD184" s="222"/>
    </row>
    <row r="185" spans="1:30" x14ac:dyDescent="0.4">
      <c r="A185" s="230"/>
      <c r="B185" s="8">
        <v>38</v>
      </c>
      <c r="C185" s="14">
        <f t="shared" ca="1" si="94"/>
        <v>0.73</v>
      </c>
      <c r="D185" s="20">
        <f t="shared" ca="1" si="105"/>
        <v>0.876</v>
      </c>
      <c r="E185" s="225"/>
      <c r="F185" s="231"/>
      <c r="G185" s="172" t="str">
        <f t="shared" ca="1" si="89"/>
        <v/>
      </c>
      <c r="H185" s="93" t="str">
        <f t="shared" ca="1" si="90"/>
        <v/>
      </c>
      <c r="I185" s="21">
        <v>500</v>
      </c>
      <c r="J185" s="68">
        <f t="shared" si="91"/>
        <v>1.3250000000000002</v>
      </c>
      <c r="K185" s="70">
        <v>1.59</v>
      </c>
      <c r="L185" s="72">
        <f t="shared" ca="1" si="87"/>
        <v>0.47600000000000015</v>
      </c>
      <c r="M185" s="73">
        <f t="shared" ca="1" si="88"/>
        <v>238.00000000000009</v>
      </c>
      <c r="N185" s="12" t="s">
        <v>43</v>
      </c>
      <c r="O185" s="47" t="s">
        <v>45</v>
      </c>
      <c r="P185" s="13">
        <f t="shared" si="113"/>
        <v>1.59</v>
      </c>
      <c r="Q185" s="1" t="str">
        <f t="shared" si="114"/>
        <v>500-990 шт - 1,59 руб / шт с НДС</v>
      </c>
      <c r="R185" s="235"/>
      <c r="S185" s="239"/>
      <c r="T185" s="226"/>
      <c r="U185" s="228"/>
      <c r="V185" s="222"/>
      <c r="W185" s="229"/>
      <c r="X185" s="227"/>
      <c r="Y185" s="229"/>
      <c r="Z185" s="236"/>
      <c r="AA185" s="237"/>
      <c r="AB185" s="238"/>
      <c r="AC185" s="223"/>
      <c r="AD185" s="222"/>
    </row>
    <row r="186" spans="1:30" x14ac:dyDescent="0.4">
      <c r="A186" s="230"/>
      <c r="B186" s="8">
        <v>38</v>
      </c>
      <c r="C186" s="14">
        <f t="shared" ca="1" si="94"/>
        <v>0.73</v>
      </c>
      <c r="D186" s="20">
        <f t="shared" ca="1" si="105"/>
        <v>0.876</v>
      </c>
      <c r="E186" s="225"/>
      <c r="F186" s="231"/>
      <c r="G186" s="172" t="str">
        <f t="shared" ca="1" si="89"/>
        <v/>
      </c>
      <c r="H186" s="93" t="str">
        <f t="shared" ca="1" si="90"/>
        <v/>
      </c>
      <c r="I186" s="21">
        <v>1000</v>
      </c>
      <c r="J186" s="68">
        <f t="shared" si="91"/>
        <v>1.2416666666666667</v>
      </c>
      <c r="K186" s="70">
        <v>1.49</v>
      </c>
      <c r="L186" s="72">
        <f t="shared" ca="1" si="87"/>
        <v>0.40933333333333338</v>
      </c>
      <c r="M186" s="73">
        <f t="shared" ca="1" si="88"/>
        <v>409.33333333333337</v>
      </c>
      <c r="N186" s="12" t="s">
        <v>44</v>
      </c>
      <c r="O186" s="47" t="s">
        <v>45</v>
      </c>
      <c r="P186" s="13">
        <f t="shared" si="113"/>
        <v>1.49</v>
      </c>
      <c r="Q186" s="1" t="str">
        <f t="shared" si="114"/>
        <v>1000 + шт - 1,49 руб / шт с НДС</v>
      </c>
      <c r="R186" s="235"/>
      <c r="S186" s="239"/>
      <c r="T186" s="226"/>
      <c r="U186" s="228"/>
      <c r="V186" s="222"/>
      <c r="W186" s="229"/>
      <c r="X186" s="227"/>
      <c r="Y186" s="229"/>
      <c r="Z186" s="236"/>
      <c r="AA186" s="237"/>
      <c r="AB186" s="238"/>
      <c r="AC186" s="223"/>
      <c r="AD186" s="222"/>
    </row>
    <row r="187" spans="1:30" x14ac:dyDescent="0.4">
      <c r="A187" s="230">
        <v>39</v>
      </c>
      <c r="B187" s="8">
        <v>39</v>
      </c>
      <c r="C187" s="14">
        <f t="shared" ca="1" si="94"/>
        <v>0.94</v>
      </c>
      <c r="D187" s="20">
        <f t="shared" ca="1" si="105"/>
        <v>1.1279999999999999</v>
      </c>
      <c r="E187" s="224" t="str">
        <f ca="1">INDIRECT("'Закуп'!D" &amp; A187)</f>
        <v>У</v>
      </c>
      <c r="F187" s="231" t="str">
        <f t="shared" ref="F187" ca="1" si="119">INDIRECT("'Закуп'!E" &amp; B187)</f>
        <v>120х100х890</v>
      </c>
      <c r="G187" s="172" t="str">
        <f t="shared" ca="1" si="89"/>
        <v/>
      </c>
      <c r="H187" s="93" t="str">
        <f t="shared" ca="1" si="90"/>
        <v/>
      </c>
      <c r="I187" s="21">
        <v>50</v>
      </c>
      <c r="J187" s="68">
        <f t="shared" si="91"/>
        <v>2.0166666666666666</v>
      </c>
      <c r="K187" s="70">
        <v>2.42</v>
      </c>
      <c r="L187" s="72">
        <f t="shared" ca="1" si="87"/>
        <v>0.86133333333333328</v>
      </c>
      <c r="M187" s="73">
        <f t="shared" ca="1" si="88"/>
        <v>43.066666666666663</v>
      </c>
      <c r="N187" s="12" t="s">
        <v>40</v>
      </c>
      <c r="O187" s="47" t="s">
        <v>45</v>
      </c>
      <c r="P187" s="13">
        <f t="shared" si="113"/>
        <v>2.42</v>
      </c>
      <c r="Q187" s="1" t="str">
        <f t="shared" si="114"/>
        <v>50-90 шт - 2,42 руб / шт с НДС</v>
      </c>
      <c r="R187" s="235" t="str">
        <f ca="1">INDIRECT("'Закуп'!k" &amp; A187)</f>
        <v>K39</v>
      </c>
      <c r="S187" s="239">
        <f ca="1">INDIRECT("'Закуп'!o" &amp; A187)</f>
        <v>10.68</v>
      </c>
      <c r="T187" s="226" t="str">
        <f ca="1">INDIRECT("'Закуп'!p" &amp; A187)</f>
        <v>10-14,9 литров</v>
      </c>
      <c r="U187" s="228" t="str">
        <f ca="1">INDIRECT("'Закуп'!v" &amp; A187)</f>
        <v>Длинные</v>
      </c>
      <c r="V187" s="222" t="str">
        <f ca="1">INDIRECT("'Закуп'!w" &amp; A187)</f>
        <v/>
      </c>
      <c r="W187" s="229" t="str">
        <f ca="1">INDIRECT("'Закуп'!H" &amp; A187)</f>
        <v>0201</v>
      </c>
      <c r="X187" s="227" t="str">
        <f t="shared" ref="X187" ca="1" si="120">INDIRECT("'Закуп'!g" &amp; A187)</f>
        <v>С</v>
      </c>
      <c r="Y187" s="229" t="str">
        <f ca="1">INDIRECT("'Закуп'!i" &amp; A187)</f>
        <v>В</v>
      </c>
      <c r="Z187" s="236" t="str">
        <f ca="1">INDIRECT("'Закуп'!x" &amp; A187)</f>
        <v>700-999 мм</v>
      </c>
      <c r="AA187" s="237" t="str">
        <f ca="1">INDIRECT("'Закуп'!y" &amp; A187)</f>
        <v>100-199 мм</v>
      </c>
      <c r="AB187" s="238" t="str">
        <f ca="1">INDIRECT("'Закуп'!z" &amp; A187)</f>
        <v>100-199 мм</v>
      </c>
      <c r="AC187" s="223" t="str">
        <f t="shared" ca="1" si="110"/>
        <v>120x100x890</v>
      </c>
      <c r="AD187" s="222" t="str">
        <f t="shared" ca="1" si="99"/>
        <v>120x100x890 - 120*100*890 мм</v>
      </c>
    </row>
    <row r="188" spans="1:30" x14ac:dyDescent="0.4">
      <c r="A188" s="230"/>
      <c r="B188" s="8">
        <v>39</v>
      </c>
      <c r="C188" s="14">
        <f t="shared" ca="1" si="94"/>
        <v>0.94</v>
      </c>
      <c r="D188" s="20">
        <f t="shared" ca="1" si="105"/>
        <v>1.1279999999999999</v>
      </c>
      <c r="E188" s="225"/>
      <c r="F188" s="231"/>
      <c r="G188" s="172" t="str">
        <f t="shared" ca="1" si="89"/>
        <v/>
      </c>
      <c r="H188" s="93" t="str">
        <f t="shared" ca="1" si="90"/>
        <v/>
      </c>
      <c r="I188" s="21">
        <v>100</v>
      </c>
      <c r="J188" s="68">
        <f t="shared" si="91"/>
        <v>1.7083333333333333</v>
      </c>
      <c r="K188" s="70">
        <v>2.0499999999999998</v>
      </c>
      <c r="L188" s="72">
        <f t="shared" ca="1" si="87"/>
        <v>0.61466666666666669</v>
      </c>
      <c r="M188" s="73">
        <f t="shared" ca="1" si="88"/>
        <v>61.466666666666669</v>
      </c>
      <c r="N188" s="12" t="s">
        <v>41</v>
      </c>
      <c r="O188" s="47" t="s">
        <v>45</v>
      </c>
      <c r="P188" s="13">
        <f t="shared" si="113"/>
        <v>2.0499999999999998</v>
      </c>
      <c r="Q188" s="1" t="str">
        <f t="shared" si="114"/>
        <v>100-290 шт - 2,05 руб / шт с НДС</v>
      </c>
      <c r="R188" s="235"/>
      <c r="S188" s="239"/>
      <c r="T188" s="226"/>
      <c r="U188" s="228"/>
      <c r="V188" s="222"/>
      <c r="W188" s="229"/>
      <c r="X188" s="227"/>
      <c r="Y188" s="229"/>
      <c r="Z188" s="236"/>
      <c r="AA188" s="237"/>
      <c r="AB188" s="238"/>
      <c r="AC188" s="223"/>
      <c r="AD188" s="222"/>
    </row>
    <row r="189" spans="1:30" x14ac:dyDescent="0.4">
      <c r="A189" s="230"/>
      <c r="B189" s="8">
        <v>39</v>
      </c>
      <c r="C189" s="14">
        <f t="shared" ca="1" si="94"/>
        <v>0.94</v>
      </c>
      <c r="D189" s="20">
        <f t="shared" ca="1" si="105"/>
        <v>1.1279999999999999</v>
      </c>
      <c r="E189" s="225"/>
      <c r="F189" s="231"/>
      <c r="G189" s="172" t="str">
        <f t="shared" ca="1" si="89"/>
        <v/>
      </c>
      <c r="H189" s="93" t="str">
        <f t="shared" ca="1" si="90"/>
        <v/>
      </c>
      <c r="I189" s="21">
        <v>300</v>
      </c>
      <c r="J189" s="68">
        <f t="shared" si="91"/>
        <v>1.4916666666666667</v>
      </c>
      <c r="K189" s="70">
        <v>1.79</v>
      </c>
      <c r="L189" s="72">
        <f t="shared" ca="1" si="87"/>
        <v>0.44133333333333341</v>
      </c>
      <c r="M189" s="73">
        <f t="shared" ca="1" si="88"/>
        <v>132.40000000000003</v>
      </c>
      <c r="N189" s="12" t="s">
        <v>42</v>
      </c>
      <c r="O189" s="47" t="s">
        <v>45</v>
      </c>
      <c r="P189" s="13">
        <f t="shared" si="113"/>
        <v>1.79</v>
      </c>
      <c r="Q189" s="1" t="str">
        <f t="shared" si="114"/>
        <v>300-490 шт - 1,79 руб / шт с НДС</v>
      </c>
      <c r="R189" s="235"/>
      <c r="S189" s="239"/>
      <c r="T189" s="226"/>
      <c r="U189" s="228"/>
      <c r="V189" s="222"/>
      <c r="W189" s="229"/>
      <c r="X189" s="227"/>
      <c r="Y189" s="229"/>
      <c r="Z189" s="236"/>
      <c r="AA189" s="237"/>
      <c r="AB189" s="238"/>
      <c r="AC189" s="223"/>
      <c r="AD189" s="222"/>
    </row>
    <row r="190" spans="1:30" x14ac:dyDescent="0.4">
      <c r="A190" s="230"/>
      <c r="B190" s="8">
        <v>39</v>
      </c>
      <c r="C190" s="14">
        <f t="shared" ca="1" si="94"/>
        <v>0.94</v>
      </c>
      <c r="D190" s="20">
        <f t="shared" ca="1" si="105"/>
        <v>1.1279999999999999</v>
      </c>
      <c r="E190" s="225"/>
      <c r="F190" s="231"/>
      <c r="G190" s="172" t="str">
        <f t="shared" ca="1" si="89"/>
        <v/>
      </c>
      <c r="H190" s="93" t="str">
        <f t="shared" ca="1" si="90"/>
        <v/>
      </c>
      <c r="I190" s="21">
        <v>500</v>
      </c>
      <c r="J190" s="68">
        <f t="shared" si="91"/>
        <v>1.3416666666666668</v>
      </c>
      <c r="K190" s="70">
        <v>1.61</v>
      </c>
      <c r="L190" s="72">
        <f t="shared" ca="1" si="87"/>
        <v>0.32133333333333347</v>
      </c>
      <c r="M190" s="73">
        <f t="shared" ca="1" si="88"/>
        <v>160.66666666666674</v>
      </c>
      <c r="N190" s="12" t="s">
        <v>43</v>
      </c>
      <c r="O190" s="47" t="s">
        <v>45</v>
      </c>
      <c r="P190" s="13">
        <f t="shared" si="113"/>
        <v>1.61</v>
      </c>
      <c r="Q190" s="1" t="str">
        <f t="shared" si="114"/>
        <v>500-990 шт - 1,61 руб / шт с НДС</v>
      </c>
      <c r="R190" s="235"/>
      <c r="S190" s="239"/>
      <c r="T190" s="226"/>
      <c r="U190" s="228"/>
      <c r="V190" s="222"/>
      <c r="W190" s="229"/>
      <c r="X190" s="227"/>
      <c r="Y190" s="229"/>
      <c r="Z190" s="236"/>
      <c r="AA190" s="237"/>
      <c r="AB190" s="238"/>
      <c r="AC190" s="223"/>
      <c r="AD190" s="222"/>
    </row>
    <row r="191" spans="1:30" x14ac:dyDescent="0.4">
      <c r="A191" s="230"/>
      <c r="B191" s="8">
        <v>39</v>
      </c>
      <c r="C191" s="14">
        <f t="shared" ca="1" si="94"/>
        <v>0.94</v>
      </c>
      <c r="D191" s="20">
        <f t="shared" ca="1" si="105"/>
        <v>1.1279999999999999</v>
      </c>
      <c r="E191" s="225"/>
      <c r="F191" s="231"/>
      <c r="G191" s="172" t="str">
        <f t="shared" ca="1" si="89"/>
        <v/>
      </c>
      <c r="H191" s="93" t="str">
        <f t="shared" ca="1" si="90"/>
        <v/>
      </c>
      <c r="I191" s="21">
        <v>1000</v>
      </c>
      <c r="J191" s="68">
        <f t="shared" si="91"/>
        <v>1.2666666666666668</v>
      </c>
      <c r="K191" s="70">
        <v>1.52</v>
      </c>
      <c r="L191" s="72">
        <f t="shared" ca="1" si="87"/>
        <v>0.26133333333333353</v>
      </c>
      <c r="M191" s="73">
        <f t="shared" ca="1" si="88"/>
        <v>261.33333333333354</v>
      </c>
      <c r="N191" s="12" t="s">
        <v>44</v>
      </c>
      <c r="O191" s="47" t="s">
        <v>45</v>
      </c>
      <c r="P191" s="13">
        <f t="shared" si="113"/>
        <v>1.52</v>
      </c>
      <c r="Q191" s="1" t="str">
        <f t="shared" si="114"/>
        <v>1000 + шт - 1,52 руб / шт с НДС</v>
      </c>
      <c r="R191" s="235"/>
      <c r="S191" s="239"/>
      <c r="T191" s="226"/>
      <c r="U191" s="228"/>
      <c r="V191" s="222"/>
      <c r="W191" s="229"/>
      <c r="X191" s="227"/>
      <c r="Y191" s="229"/>
      <c r="Z191" s="236"/>
      <c r="AA191" s="237"/>
      <c r="AB191" s="238"/>
      <c r="AC191" s="223"/>
      <c r="AD191" s="222"/>
    </row>
    <row r="192" spans="1:30" x14ac:dyDescent="0.4">
      <c r="A192" s="230">
        <v>40</v>
      </c>
      <c r="B192" s="8">
        <v>40</v>
      </c>
      <c r="C192" s="14">
        <f t="shared" ca="1" si="94"/>
        <v>0.63</v>
      </c>
      <c r="D192" s="20">
        <f t="shared" ca="1" si="105"/>
        <v>0.75600000000000001</v>
      </c>
      <c r="E192" s="224" t="str">
        <f ca="1">INDIRECT("'Закуп'!D" &amp; A192)</f>
        <v>У</v>
      </c>
      <c r="F192" s="231" t="str">
        <f t="shared" ref="F192" ca="1" si="121">INDIRECT("'Закуп'!E" &amp; B192)</f>
        <v>55х55х425</v>
      </c>
      <c r="G192" s="172" t="str">
        <f t="shared" ca="1" si="89"/>
        <v/>
      </c>
      <c r="H192" s="93" t="str">
        <f t="shared" ca="1" si="90"/>
        <v/>
      </c>
      <c r="I192" s="21">
        <v>50</v>
      </c>
      <c r="J192" s="68">
        <f t="shared" si="91"/>
        <v>1.4833333333333334</v>
      </c>
      <c r="K192" s="70">
        <v>1.78</v>
      </c>
      <c r="L192" s="72">
        <f t="shared" ca="1" si="87"/>
        <v>0.68266666666666675</v>
      </c>
      <c r="M192" s="73">
        <f t="shared" ca="1" si="88"/>
        <v>34.13333333333334</v>
      </c>
      <c r="N192" s="12" t="s">
        <v>40</v>
      </c>
      <c r="O192" s="47" t="s">
        <v>45</v>
      </c>
      <c r="P192" s="13">
        <f t="shared" si="113"/>
        <v>1.78</v>
      </c>
      <c r="Q192" s="1" t="str">
        <f t="shared" si="114"/>
        <v>50-90 шт - 1,78 руб / шт с НДС</v>
      </c>
      <c r="R192" s="235" t="str">
        <f ca="1">INDIRECT("'Закуп'!k" &amp; A192)</f>
        <v>K40</v>
      </c>
      <c r="S192" s="239">
        <f ca="1">INDIRECT("'Закуп'!o" &amp; A192)</f>
        <v>1.29</v>
      </c>
      <c r="T192" s="226" t="str">
        <f ca="1">INDIRECT("'Закуп'!p" &amp; A192)</f>
        <v>1-1,9 литра</v>
      </c>
      <c r="U192" s="228" t="str">
        <f ca="1">INDIRECT("'Закуп'!v" &amp; A192)</f>
        <v>Длинные</v>
      </c>
      <c r="V192" s="222" t="str">
        <f ca="1">INDIRECT("'Закуп'!w" &amp; A192)</f>
        <v/>
      </c>
      <c r="W192" s="229" t="str">
        <f ca="1">INDIRECT("'Закуп'!H" &amp; A192)</f>
        <v>0215</v>
      </c>
      <c r="X192" s="227" t="str">
        <f t="shared" ref="X192" ca="1" si="122">INDIRECT("'Закуп'!g" &amp; A192)</f>
        <v>С</v>
      </c>
      <c r="Y192" s="229" t="str">
        <f ca="1">INDIRECT("'Закуп'!i" &amp; A192)</f>
        <v>В</v>
      </c>
      <c r="Z192" s="236" t="str">
        <f ca="1">INDIRECT("'Закуп'!x" &amp; A192)</f>
        <v>400-499 мм</v>
      </c>
      <c r="AA192" s="237" t="str">
        <f ca="1">INDIRECT("'Закуп'!y" &amp; A192)</f>
        <v>10-99 мм</v>
      </c>
      <c r="AB192" s="238" t="str">
        <f ca="1">INDIRECT("'Закуп'!z" &amp; A192)</f>
        <v>10-99 мм</v>
      </c>
      <c r="AC192" s="223" t="str">
        <f t="shared" ca="1" si="110"/>
        <v>55x55x425</v>
      </c>
      <c r="AD192" s="222" t="str">
        <f t="shared" ca="1" si="99"/>
        <v>55x55x425 - 55*55*425 мм</v>
      </c>
    </row>
    <row r="193" spans="1:30" x14ac:dyDescent="0.4">
      <c r="A193" s="230"/>
      <c r="B193" s="8">
        <v>40</v>
      </c>
      <c r="C193" s="14">
        <f t="shared" ca="1" si="94"/>
        <v>0.63</v>
      </c>
      <c r="D193" s="20">
        <f t="shared" ca="1" si="105"/>
        <v>0.75600000000000001</v>
      </c>
      <c r="E193" s="225"/>
      <c r="F193" s="231"/>
      <c r="G193" s="172" t="str">
        <f t="shared" ca="1" si="89"/>
        <v/>
      </c>
      <c r="H193" s="93" t="str">
        <f t="shared" ca="1" si="90"/>
        <v/>
      </c>
      <c r="I193" s="21">
        <v>100</v>
      </c>
      <c r="J193" s="68">
        <f t="shared" si="91"/>
        <v>1.35</v>
      </c>
      <c r="K193" s="70">
        <v>1.62</v>
      </c>
      <c r="L193" s="72">
        <f t="shared" ca="1" si="87"/>
        <v>0.57600000000000007</v>
      </c>
      <c r="M193" s="73">
        <f t="shared" ca="1" si="88"/>
        <v>57.600000000000009</v>
      </c>
      <c r="N193" s="12" t="s">
        <v>41</v>
      </c>
      <c r="O193" s="47" t="s">
        <v>45</v>
      </c>
      <c r="P193" s="13">
        <f t="shared" si="113"/>
        <v>1.62</v>
      </c>
      <c r="Q193" s="1" t="str">
        <f t="shared" si="114"/>
        <v>100-290 шт - 1,62 руб / шт с НДС</v>
      </c>
      <c r="R193" s="235"/>
      <c r="S193" s="239"/>
      <c r="T193" s="226"/>
      <c r="U193" s="228"/>
      <c r="V193" s="222"/>
      <c r="W193" s="229"/>
      <c r="X193" s="227"/>
      <c r="Y193" s="229"/>
      <c r="Z193" s="236"/>
      <c r="AA193" s="237"/>
      <c r="AB193" s="238"/>
      <c r="AC193" s="223"/>
      <c r="AD193" s="222"/>
    </row>
    <row r="194" spans="1:30" x14ac:dyDescent="0.4">
      <c r="A194" s="230"/>
      <c r="B194" s="8">
        <v>40</v>
      </c>
      <c r="C194" s="14">
        <f t="shared" ca="1" si="94"/>
        <v>0.63</v>
      </c>
      <c r="D194" s="20">
        <f t="shared" ca="1" si="105"/>
        <v>0.75600000000000001</v>
      </c>
      <c r="E194" s="225"/>
      <c r="F194" s="231"/>
      <c r="G194" s="172" t="str">
        <f t="shared" ca="1" si="89"/>
        <v/>
      </c>
      <c r="H194" s="93" t="str">
        <f t="shared" ca="1" si="90"/>
        <v/>
      </c>
      <c r="I194" s="21">
        <v>300</v>
      </c>
      <c r="J194" s="68">
        <f t="shared" si="91"/>
        <v>1.0583333333333333</v>
      </c>
      <c r="K194" s="70">
        <v>1.27</v>
      </c>
      <c r="L194" s="72">
        <f t="shared" ref="L194:L257" ca="1" si="123">J194-C194-(J194-C194)*0.2</f>
        <v>0.34266666666666667</v>
      </c>
      <c r="M194" s="73">
        <f t="shared" ref="M194:M257" ca="1" si="124">L194*I194</f>
        <v>102.8</v>
      </c>
      <c r="N194" s="12" t="s">
        <v>42</v>
      </c>
      <c r="O194" s="47" t="s">
        <v>45</v>
      </c>
      <c r="P194" s="13">
        <f t="shared" si="113"/>
        <v>1.27</v>
      </c>
      <c r="Q194" s="1" t="str">
        <f t="shared" si="114"/>
        <v>300-490 шт - 1,27 руб / шт с НДС</v>
      </c>
      <c r="R194" s="235"/>
      <c r="S194" s="239"/>
      <c r="T194" s="226"/>
      <c r="U194" s="228"/>
      <c r="V194" s="222"/>
      <c r="W194" s="229"/>
      <c r="X194" s="227"/>
      <c r="Y194" s="229"/>
      <c r="Z194" s="236"/>
      <c r="AA194" s="237"/>
      <c r="AB194" s="238"/>
      <c r="AC194" s="223"/>
      <c r="AD194" s="222"/>
    </row>
    <row r="195" spans="1:30" x14ac:dyDescent="0.4">
      <c r="A195" s="230"/>
      <c r="B195" s="8">
        <v>40</v>
      </c>
      <c r="C195" s="14">
        <f t="shared" ca="1" si="94"/>
        <v>0.63</v>
      </c>
      <c r="D195" s="20">
        <f t="shared" ca="1" si="105"/>
        <v>0.75600000000000001</v>
      </c>
      <c r="E195" s="225"/>
      <c r="F195" s="231"/>
      <c r="G195" s="172" t="str">
        <f t="shared" ref="G195:G258" ca="1" si="125">IF(INDIRECT("'Закуп'!L" &amp; B195)="Sale","Sale","")</f>
        <v/>
      </c>
      <c r="H195" s="93" t="str">
        <f t="shared" ref="H195:H258" ca="1" si="126">IF(INDIRECT("'Закуп'!F" &amp; B195)=0,"",INDIRECT("'Закуп'!F" &amp; B195))</f>
        <v/>
      </c>
      <c r="I195" s="21">
        <v>500</v>
      </c>
      <c r="J195" s="68">
        <f t="shared" ref="J195:J258" si="127">K195/1.2</f>
        <v>1</v>
      </c>
      <c r="K195" s="70">
        <v>1.2</v>
      </c>
      <c r="L195" s="72">
        <f t="shared" ca="1" si="123"/>
        <v>0.29599999999999999</v>
      </c>
      <c r="M195" s="73">
        <f t="shared" ca="1" si="124"/>
        <v>148</v>
      </c>
      <c r="N195" s="12" t="s">
        <v>43</v>
      </c>
      <c r="O195" s="47" t="s">
        <v>45</v>
      </c>
      <c r="P195" s="13">
        <f t="shared" si="113"/>
        <v>1.2</v>
      </c>
      <c r="Q195" s="1" t="str">
        <f t="shared" si="114"/>
        <v>500-990 шт - 1,2 руб / шт с НДС</v>
      </c>
      <c r="R195" s="235"/>
      <c r="S195" s="239"/>
      <c r="T195" s="226"/>
      <c r="U195" s="228"/>
      <c r="V195" s="222"/>
      <c r="W195" s="229"/>
      <c r="X195" s="227"/>
      <c r="Y195" s="229"/>
      <c r="Z195" s="236"/>
      <c r="AA195" s="237"/>
      <c r="AB195" s="238"/>
      <c r="AC195" s="223"/>
      <c r="AD195" s="222"/>
    </row>
    <row r="196" spans="1:30" x14ac:dyDescent="0.4">
      <c r="A196" s="230"/>
      <c r="B196" s="8">
        <v>40</v>
      </c>
      <c r="C196" s="14">
        <f t="shared" ca="1" si="94"/>
        <v>0.63</v>
      </c>
      <c r="D196" s="20">
        <f t="shared" ca="1" si="105"/>
        <v>0.75600000000000001</v>
      </c>
      <c r="E196" s="225"/>
      <c r="F196" s="231"/>
      <c r="G196" s="172" t="str">
        <f t="shared" ca="1" si="125"/>
        <v/>
      </c>
      <c r="H196" s="93" t="str">
        <f t="shared" ca="1" si="126"/>
        <v/>
      </c>
      <c r="I196" s="21">
        <v>1000</v>
      </c>
      <c r="J196" s="68">
        <f t="shared" si="127"/>
        <v>0.87500000000000011</v>
      </c>
      <c r="K196" s="70">
        <v>1.05</v>
      </c>
      <c r="L196" s="72">
        <f t="shared" ca="1" si="123"/>
        <v>0.19600000000000009</v>
      </c>
      <c r="M196" s="73">
        <f t="shared" ca="1" si="124"/>
        <v>196.00000000000009</v>
      </c>
      <c r="N196" s="12" t="s">
        <v>44</v>
      </c>
      <c r="O196" s="47" t="s">
        <v>45</v>
      </c>
      <c r="P196" s="13">
        <f t="shared" si="113"/>
        <v>1.05</v>
      </c>
      <c r="Q196" s="1" t="str">
        <f t="shared" si="114"/>
        <v>1000 + шт - 1,05 руб / шт с НДС</v>
      </c>
      <c r="R196" s="235"/>
      <c r="S196" s="239"/>
      <c r="T196" s="226"/>
      <c r="U196" s="228"/>
      <c r="V196" s="222"/>
      <c r="W196" s="229"/>
      <c r="X196" s="227"/>
      <c r="Y196" s="229"/>
      <c r="Z196" s="236"/>
      <c r="AA196" s="237"/>
      <c r="AB196" s="238"/>
      <c r="AC196" s="223"/>
      <c r="AD196" s="222"/>
    </row>
    <row r="197" spans="1:30" x14ac:dyDescent="0.4">
      <c r="A197" s="230">
        <v>41</v>
      </c>
      <c r="B197" s="8">
        <v>41</v>
      </c>
      <c r="C197" s="14">
        <f t="shared" ca="1" si="94"/>
        <v>0.6</v>
      </c>
      <c r="D197" s="20">
        <f t="shared" ca="1" si="105"/>
        <v>0.72</v>
      </c>
      <c r="E197" s="224" t="str">
        <f ca="1">INDIRECT("'Закуп'!D" &amp; A197)</f>
        <v>У</v>
      </c>
      <c r="F197" s="231" t="str">
        <f t="shared" ref="F197" ca="1" si="128">INDIRECT("'Закуп'!E" &amp; B197)</f>
        <v>245х140х110</v>
      </c>
      <c r="G197" s="172" t="str">
        <f t="shared" ca="1" si="125"/>
        <v/>
      </c>
      <c r="H197" s="93" t="str">
        <f t="shared" ca="1" si="126"/>
        <v/>
      </c>
      <c r="I197" s="21">
        <v>50</v>
      </c>
      <c r="J197" s="68">
        <f t="shared" si="127"/>
        <v>1.4083333333333334</v>
      </c>
      <c r="K197" s="70">
        <v>1.69</v>
      </c>
      <c r="L197" s="72">
        <f t="shared" ca="1" si="123"/>
        <v>0.64666666666666672</v>
      </c>
      <c r="M197" s="73">
        <f t="shared" ca="1" si="124"/>
        <v>32.333333333333336</v>
      </c>
      <c r="N197" s="12" t="s">
        <v>40</v>
      </c>
      <c r="O197" s="47" t="s">
        <v>45</v>
      </c>
      <c r="P197" s="13">
        <f t="shared" si="113"/>
        <v>1.69</v>
      </c>
      <c r="Q197" s="1" t="str">
        <f t="shared" si="114"/>
        <v>50-90 шт - 1,69 руб / шт с НДС</v>
      </c>
      <c r="R197" s="235" t="str">
        <f ca="1">INDIRECT("'Закуп'!k" &amp; A197)</f>
        <v>K41</v>
      </c>
      <c r="S197" s="239">
        <f ca="1">INDIRECT("'Закуп'!o" &amp; A197)</f>
        <v>3.77</v>
      </c>
      <c r="T197" s="226" t="str">
        <f ca="1">INDIRECT("'Закуп'!p" &amp; A197)</f>
        <v>3-3,9 литра</v>
      </c>
      <c r="U197" s="228" t="str">
        <f ca="1">INDIRECT("'Закуп'!v" &amp; A197)</f>
        <v/>
      </c>
      <c r="V197" s="222" t="str">
        <f ca="1">INDIRECT("'Закуп'!w" &amp; A197)</f>
        <v/>
      </c>
      <c r="W197" s="229" t="str">
        <f ca="1">INDIRECT("'Закуп'!H" &amp; A197)</f>
        <v>0427</v>
      </c>
      <c r="X197" s="227" t="str">
        <f t="shared" ref="X197" ca="1" si="129">INDIRECT("'Закуп'!g" &amp; A197)</f>
        <v>С</v>
      </c>
      <c r="Y197" s="229" t="str">
        <f ca="1">INDIRECT("'Закуп'!i" &amp; A197)</f>
        <v>В</v>
      </c>
      <c r="Z197" s="236" t="str">
        <f ca="1">INDIRECT("'Закуп'!x" &amp; A197)</f>
        <v>200-299 мм</v>
      </c>
      <c r="AA197" s="237" t="str">
        <f ca="1">INDIRECT("'Закуп'!y" &amp; A197)</f>
        <v>100-199 мм</v>
      </c>
      <c r="AB197" s="238" t="str">
        <f ca="1">INDIRECT("'Закуп'!z" &amp; A197)</f>
        <v>100-199 мм</v>
      </c>
      <c r="AC197" s="223" t="str">
        <f t="shared" ca="1" si="110"/>
        <v>245x140x110</v>
      </c>
      <c r="AD197" s="222" t="str">
        <f t="shared" ca="1" si="99"/>
        <v>245x140x110 - 245*140*110 мм</v>
      </c>
    </row>
    <row r="198" spans="1:30" x14ac:dyDescent="0.4">
      <c r="A198" s="230"/>
      <c r="B198" s="8">
        <v>41</v>
      </c>
      <c r="C198" s="14">
        <f t="shared" ca="1" si="94"/>
        <v>0.6</v>
      </c>
      <c r="D198" s="20">
        <f t="shared" ca="1" si="105"/>
        <v>0.72</v>
      </c>
      <c r="E198" s="225"/>
      <c r="F198" s="231"/>
      <c r="G198" s="172" t="str">
        <f t="shared" ca="1" si="125"/>
        <v/>
      </c>
      <c r="H198" s="93" t="str">
        <f t="shared" ca="1" si="126"/>
        <v/>
      </c>
      <c r="I198" s="21">
        <v>100</v>
      </c>
      <c r="J198" s="68">
        <f t="shared" si="127"/>
        <v>1.2833333333333334</v>
      </c>
      <c r="K198" s="70">
        <v>1.54</v>
      </c>
      <c r="L198" s="72">
        <f t="shared" ca="1" si="123"/>
        <v>0.54666666666666675</v>
      </c>
      <c r="M198" s="73">
        <f t="shared" ca="1" si="124"/>
        <v>54.666666666666671</v>
      </c>
      <c r="N198" s="12" t="s">
        <v>41</v>
      </c>
      <c r="O198" s="47" t="s">
        <v>45</v>
      </c>
      <c r="P198" s="13">
        <f t="shared" si="113"/>
        <v>1.54</v>
      </c>
      <c r="Q198" s="1" t="str">
        <f t="shared" si="114"/>
        <v>100-290 шт - 1,54 руб / шт с НДС</v>
      </c>
      <c r="R198" s="235"/>
      <c r="S198" s="239"/>
      <c r="T198" s="226"/>
      <c r="U198" s="228"/>
      <c r="V198" s="222"/>
      <c r="W198" s="229"/>
      <c r="X198" s="227"/>
      <c r="Y198" s="229"/>
      <c r="Z198" s="236"/>
      <c r="AA198" s="237"/>
      <c r="AB198" s="238"/>
      <c r="AC198" s="223"/>
      <c r="AD198" s="222"/>
    </row>
    <row r="199" spans="1:30" x14ac:dyDescent="0.4">
      <c r="A199" s="230"/>
      <c r="B199" s="8">
        <v>41</v>
      </c>
      <c r="C199" s="14">
        <f t="shared" ca="1" si="94"/>
        <v>0.6</v>
      </c>
      <c r="D199" s="20">
        <f t="shared" ca="1" si="105"/>
        <v>0.72</v>
      </c>
      <c r="E199" s="225"/>
      <c r="F199" s="231"/>
      <c r="G199" s="172" t="str">
        <f t="shared" ca="1" si="125"/>
        <v/>
      </c>
      <c r="H199" s="93" t="str">
        <f t="shared" ca="1" si="126"/>
        <v/>
      </c>
      <c r="I199" s="21">
        <v>300</v>
      </c>
      <c r="J199" s="68">
        <f t="shared" si="127"/>
        <v>1.0166666666666666</v>
      </c>
      <c r="K199" s="70">
        <v>1.22</v>
      </c>
      <c r="L199" s="72">
        <f t="shared" ca="1" si="123"/>
        <v>0.33333333333333331</v>
      </c>
      <c r="M199" s="73">
        <f t="shared" ca="1" si="124"/>
        <v>100</v>
      </c>
      <c r="N199" s="12" t="s">
        <v>42</v>
      </c>
      <c r="O199" s="47" t="s">
        <v>45</v>
      </c>
      <c r="P199" s="13">
        <f t="shared" si="113"/>
        <v>1.22</v>
      </c>
      <c r="Q199" s="1" t="str">
        <f t="shared" si="114"/>
        <v>300-490 шт - 1,22 руб / шт с НДС</v>
      </c>
      <c r="R199" s="235"/>
      <c r="S199" s="239"/>
      <c r="T199" s="226"/>
      <c r="U199" s="228"/>
      <c r="V199" s="222"/>
      <c r="W199" s="229"/>
      <c r="X199" s="227"/>
      <c r="Y199" s="229"/>
      <c r="Z199" s="236"/>
      <c r="AA199" s="237"/>
      <c r="AB199" s="238"/>
      <c r="AC199" s="223"/>
      <c r="AD199" s="222"/>
    </row>
    <row r="200" spans="1:30" x14ac:dyDescent="0.4">
      <c r="A200" s="230"/>
      <c r="B200" s="8">
        <v>41</v>
      </c>
      <c r="C200" s="14">
        <f t="shared" ca="1" si="94"/>
        <v>0.6</v>
      </c>
      <c r="D200" s="20">
        <f t="shared" ca="1" si="105"/>
        <v>0.72</v>
      </c>
      <c r="E200" s="225"/>
      <c r="F200" s="231"/>
      <c r="G200" s="172" t="str">
        <f t="shared" ca="1" si="125"/>
        <v/>
      </c>
      <c r="H200" s="93" t="str">
        <f t="shared" ca="1" si="126"/>
        <v/>
      </c>
      <c r="I200" s="21">
        <v>500</v>
      </c>
      <c r="J200" s="68">
        <f t="shared" si="127"/>
        <v>0.95</v>
      </c>
      <c r="K200" s="70">
        <v>1.1399999999999999</v>
      </c>
      <c r="L200" s="72">
        <f t="shared" ca="1" si="123"/>
        <v>0.27999999999999997</v>
      </c>
      <c r="M200" s="73">
        <f t="shared" ca="1" si="124"/>
        <v>139.99999999999997</v>
      </c>
      <c r="N200" s="12" t="s">
        <v>43</v>
      </c>
      <c r="O200" s="47" t="s">
        <v>45</v>
      </c>
      <c r="P200" s="13">
        <f t="shared" si="113"/>
        <v>1.1399999999999999</v>
      </c>
      <c r="Q200" s="1" t="str">
        <f t="shared" si="114"/>
        <v>500-990 шт - 1,14 руб / шт с НДС</v>
      </c>
      <c r="R200" s="235"/>
      <c r="S200" s="239"/>
      <c r="T200" s="226"/>
      <c r="U200" s="228"/>
      <c r="V200" s="222"/>
      <c r="W200" s="229"/>
      <c r="X200" s="227"/>
      <c r="Y200" s="229"/>
      <c r="Z200" s="236"/>
      <c r="AA200" s="237"/>
      <c r="AB200" s="238"/>
      <c r="AC200" s="223"/>
      <c r="AD200" s="222"/>
    </row>
    <row r="201" spans="1:30" x14ac:dyDescent="0.4">
      <c r="A201" s="230"/>
      <c r="B201" s="8">
        <v>41</v>
      </c>
      <c r="C201" s="14">
        <f t="shared" ref="C201:C264" ca="1" si="130">INDIRECT("'Закуп'!A" &amp; B201)</f>
        <v>0.6</v>
      </c>
      <c r="D201" s="20">
        <f t="shared" ca="1" si="105"/>
        <v>0.72</v>
      </c>
      <c r="E201" s="225"/>
      <c r="F201" s="231"/>
      <c r="G201" s="172" t="str">
        <f t="shared" ca="1" si="125"/>
        <v/>
      </c>
      <c r="H201" s="93" t="str">
        <f t="shared" ca="1" si="126"/>
        <v/>
      </c>
      <c r="I201" s="21">
        <v>1000</v>
      </c>
      <c r="J201" s="68">
        <f t="shared" si="127"/>
        <v>0.84166666666666667</v>
      </c>
      <c r="K201" s="70">
        <v>1.01</v>
      </c>
      <c r="L201" s="72">
        <f t="shared" ca="1" si="123"/>
        <v>0.19333333333333336</v>
      </c>
      <c r="M201" s="73">
        <f t="shared" ca="1" si="124"/>
        <v>193.33333333333337</v>
      </c>
      <c r="N201" s="12" t="s">
        <v>44</v>
      </c>
      <c r="O201" s="47" t="s">
        <v>45</v>
      </c>
      <c r="P201" s="13">
        <f t="shared" si="113"/>
        <v>1.01</v>
      </c>
      <c r="Q201" s="1" t="str">
        <f t="shared" si="114"/>
        <v>1000 + шт - 1,01 руб / шт с НДС</v>
      </c>
      <c r="R201" s="235"/>
      <c r="S201" s="239"/>
      <c r="T201" s="226"/>
      <c r="U201" s="228"/>
      <c r="V201" s="222"/>
      <c r="W201" s="229"/>
      <c r="X201" s="227"/>
      <c r="Y201" s="229"/>
      <c r="Z201" s="236"/>
      <c r="AA201" s="237"/>
      <c r="AB201" s="238"/>
      <c r="AC201" s="223"/>
      <c r="AD201" s="222"/>
    </row>
    <row r="202" spans="1:30" x14ac:dyDescent="0.4">
      <c r="A202" s="230">
        <v>42</v>
      </c>
      <c r="B202" s="8">
        <v>42</v>
      </c>
      <c r="C202" s="14">
        <f t="shared" ca="1" si="130"/>
        <v>1</v>
      </c>
      <c r="D202" s="20">
        <f t="shared" ca="1" si="105"/>
        <v>1.2</v>
      </c>
      <c r="E202" s="224" t="str">
        <f ca="1">INDIRECT("'Закуп'!D" &amp; A202)</f>
        <v>У</v>
      </c>
      <c r="F202" s="231" t="str">
        <f t="shared" ref="F202" ca="1" si="131">INDIRECT("'Закуп'!E" &amp; B202)</f>
        <v>450х220х192</v>
      </c>
      <c r="G202" s="172" t="str">
        <f t="shared" ca="1" si="125"/>
        <v/>
      </c>
      <c r="H202" s="93" t="str">
        <f t="shared" ca="1" si="126"/>
        <v/>
      </c>
      <c r="I202" s="21">
        <v>50</v>
      </c>
      <c r="J202" s="68">
        <f t="shared" si="127"/>
        <v>2.1416666666666666</v>
      </c>
      <c r="K202" s="70">
        <v>2.57</v>
      </c>
      <c r="L202" s="72">
        <f t="shared" ca="1" si="123"/>
        <v>0.91333333333333333</v>
      </c>
      <c r="M202" s="73">
        <f t="shared" ca="1" si="124"/>
        <v>45.666666666666664</v>
      </c>
      <c r="N202" s="12" t="s">
        <v>40</v>
      </c>
      <c r="O202" s="47" t="s">
        <v>45</v>
      </c>
      <c r="P202" s="13">
        <f t="shared" si="113"/>
        <v>2.57</v>
      </c>
      <c r="Q202" s="1" t="str">
        <f t="shared" si="114"/>
        <v>50-90 шт - 2,57 руб / шт с НДС</v>
      </c>
      <c r="R202" s="235" t="str">
        <f ca="1">INDIRECT("'Закуп'!k" &amp; A202)</f>
        <v>K42</v>
      </c>
      <c r="S202" s="239">
        <f ca="1">INDIRECT("'Закуп'!o" &amp; A202)</f>
        <v>19.010000000000002</v>
      </c>
      <c r="T202" s="226" t="str">
        <f ca="1">INDIRECT("'Закуп'!p" &amp; A202)</f>
        <v>15-19,9 литров</v>
      </c>
      <c r="U202" s="228" t="str">
        <f ca="1">INDIRECT("'Закуп'!v" &amp; A202)</f>
        <v>Длинные</v>
      </c>
      <c r="V202" s="222" t="str">
        <f ca="1">INDIRECT("'Закуп'!w" &amp; A202)</f>
        <v/>
      </c>
      <c r="W202" s="229" t="str">
        <f ca="1">INDIRECT("'Закуп'!H" &amp; A202)</f>
        <v>0201</v>
      </c>
      <c r="X202" s="227" t="str">
        <f t="shared" ref="X202" ca="1" si="132">INDIRECT("'Закуп'!g" &amp; A202)</f>
        <v>С</v>
      </c>
      <c r="Y202" s="229" t="str">
        <f ca="1">INDIRECT("'Закуп'!i" &amp; A202)</f>
        <v>В</v>
      </c>
      <c r="Z202" s="236" t="str">
        <f ca="1">INDIRECT("'Закуп'!x" &amp; A202)</f>
        <v>400-499 мм</v>
      </c>
      <c r="AA202" s="237" t="str">
        <f ca="1">INDIRECT("'Закуп'!y" &amp; A202)</f>
        <v>200-299 мм</v>
      </c>
      <c r="AB202" s="238" t="str">
        <f ca="1">INDIRECT("'Закуп'!z" &amp; A202)</f>
        <v>100-199 мм</v>
      </c>
      <c r="AC202" s="223" t="str">
        <f t="shared" ca="1" si="110"/>
        <v>450x220x192</v>
      </c>
      <c r="AD202" s="222" t="str">
        <f t="shared" ca="1" si="99"/>
        <v>450x220x192 - 450*220*192 мм</v>
      </c>
    </row>
    <row r="203" spans="1:30" x14ac:dyDescent="0.4">
      <c r="A203" s="230"/>
      <c r="B203" s="8">
        <v>42</v>
      </c>
      <c r="C203" s="14">
        <f t="shared" ca="1" si="130"/>
        <v>1</v>
      </c>
      <c r="D203" s="20">
        <f t="shared" ca="1" si="105"/>
        <v>1.2</v>
      </c>
      <c r="E203" s="225"/>
      <c r="F203" s="231"/>
      <c r="G203" s="172" t="str">
        <f t="shared" ca="1" si="125"/>
        <v/>
      </c>
      <c r="H203" s="93" t="str">
        <f t="shared" ca="1" si="126"/>
        <v/>
      </c>
      <c r="I203" s="21">
        <v>100</v>
      </c>
      <c r="J203" s="68">
        <f t="shared" si="127"/>
        <v>1.7083333333333333</v>
      </c>
      <c r="K203" s="70">
        <v>2.0499999999999998</v>
      </c>
      <c r="L203" s="72">
        <f t="shared" ca="1" si="123"/>
        <v>0.56666666666666665</v>
      </c>
      <c r="M203" s="73">
        <f t="shared" ca="1" si="124"/>
        <v>56.666666666666664</v>
      </c>
      <c r="N203" s="12" t="s">
        <v>41</v>
      </c>
      <c r="O203" s="47" t="s">
        <v>45</v>
      </c>
      <c r="P203" s="13">
        <f t="shared" si="113"/>
        <v>2.0499999999999998</v>
      </c>
      <c r="Q203" s="1" t="str">
        <f t="shared" si="114"/>
        <v>100-290 шт - 2,05 руб / шт с НДС</v>
      </c>
      <c r="R203" s="235"/>
      <c r="S203" s="239"/>
      <c r="T203" s="226"/>
      <c r="U203" s="228"/>
      <c r="V203" s="222"/>
      <c r="W203" s="229"/>
      <c r="X203" s="227"/>
      <c r="Y203" s="229"/>
      <c r="Z203" s="236"/>
      <c r="AA203" s="237"/>
      <c r="AB203" s="238"/>
      <c r="AC203" s="223"/>
      <c r="AD203" s="222"/>
    </row>
    <row r="204" spans="1:30" x14ac:dyDescent="0.4">
      <c r="A204" s="230"/>
      <c r="B204" s="8">
        <v>42</v>
      </c>
      <c r="C204" s="14">
        <f t="shared" ca="1" si="130"/>
        <v>1</v>
      </c>
      <c r="D204" s="20">
        <f t="shared" ca="1" si="105"/>
        <v>1.2</v>
      </c>
      <c r="E204" s="225"/>
      <c r="F204" s="231"/>
      <c r="G204" s="172" t="str">
        <f t="shared" ca="1" si="125"/>
        <v/>
      </c>
      <c r="H204" s="93" t="str">
        <f t="shared" ca="1" si="126"/>
        <v/>
      </c>
      <c r="I204" s="21">
        <v>300</v>
      </c>
      <c r="J204" s="68">
        <f t="shared" si="127"/>
        <v>1.5583333333333336</v>
      </c>
      <c r="K204" s="70">
        <v>1.87</v>
      </c>
      <c r="L204" s="72">
        <f t="shared" ca="1" si="123"/>
        <v>0.44666666666666688</v>
      </c>
      <c r="M204" s="73">
        <f t="shared" ca="1" si="124"/>
        <v>134.00000000000006</v>
      </c>
      <c r="N204" s="12" t="s">
        <v>42</v>
      </c>
      <c r="O204" s="47" t="s">
        <v>45</v>
      </c>
      <c r="P204" s="13">
        <f t="shared" si="113"/>
        <v>1.87</v>
      </c>
      <c r="Q204" s="1" t="str">
        <f t="shared" si="114"/>
        <v>300-490 шт - 1,87 руб / шт с НДС</v>
      </c>
      <c r="R204" s="235"/>
      <c r="S204" s="239"/>
      <c r="T204" s="226"/>
      <c r="U204" s="228"/>
      <c r="V204" s="222"/>
      <c r="W204" s="229"/>
      <c r="X204" s="227"/>
      <c r="Y204" s="229"/>
      <c r="Z204" s="236"/>
      <c r="AA204" s="237"/>
      <c r="AB204" s="238"/>
      <c r="AC204" s="223"/>
      <c r="AD204" s="222"/>
    </row>
    <row r="205" spans="1:30" x14ac:dyDescent="0.4">
      <c r="A205" s="230"/>
      <c r="B205" s="8">
        <v>42</v>
      </c>
      <c r="C205" s="14">
        <f t="shared" ca="1" si="130"/>
        <v>1</v>
      </c>
      <c r="D205" s="20">
        <f t="shared" ca="1" si="105"/>
        <v>1.2</v>
      </c>
      <c r="E205" s="225"/>
      <c r="F205" s="231"/>
      <c r="G205" s="172" t="str">
        <f t="shared" ca="1" si="125"/>
        <v/>
      </c>
      <c r="H205" s="93" t="str">
        <f t="shared" ca="1" si="126"/>
        <v/>
      </c>
      <c r="I205" s="21">
        <v>500</v>
      </c>
      <c r="J205" s="68">
        <f t="shared" si="127"/>
        <v>1.3916666666666666</v>
      </c>
      <c r="K205" s="70">
        <v>1.67</v>
      </c>
      <c r="L205" s="72">
        <f t="shared" ca="1" si="123"/>
        <v>0.3133333333333333</v>
      </c>
      <c r="M205" s="73">
        <f t="shared" ca="1" si="124"/>
        <v>156.66666666666666</v>
      </c>
      <c r="N205" s="12" t="s">
        <v>43</v>
      </c>
      <c r="O205" s="47" t="s">
        <v>45</v>
      </c>
      <c r="P205" s="13">
        <f t="shared" si="113"/>
        <v>1.67</v>
      </c>
      <c r="Q205" s="1" t="str">
        <f t="shared" si="114"/>
        <v>500-990 шт - 1,67 руб / шт с НДС</v>
      </c>
      <c r="R205" s="235"/>
      <c r="S205" s="239"/>
      <c r="T205" s="226"/>
      <c r="U205" s="228"/>
      <c r="V205" s="222"/>
      <c r="W205" s="229"/>
      <c r="X205" s="227"/>
      <c r="Y205" s="229"/>
      <c r="Z205" s="236"/>
      <c r="AA205" s="237"/>
      <c r="AB205" s="238"/>
      <c r="AC205" s="223"/>
      <c r="AD205" s="222"/>
    </row>
    <row r="206" spans="1:30" x14ac:dyDescent="0.4">
      <c r="A206" s="230"/>
      <c r="B206" s="8">
        <v>42</v>
      </c>
      <c r="C206" s="14">
        <f t="shared" ca="1" si="130"/>
        <v>1</v>
      </c>
      <c r="D206" s="20">
        <f t="shared" ca="1" si="105"/>
        <v>1.2</v>
      </c>
      <c r="E206" s="225"/>
      <c r="F206" s="231"/>
      <c r="G206" s="172" t="str">
        <f t="shared" ca="1" si="125"/>
        <v/>
      </c>
      <c r="H206" s="93" t="str">
        <f t="shared" ca="1" si="126"/>
        <v/>
      </c>
      <c r="I206" s="21">
        <v>1000</v>
      </c>
      <c r="J206" s="68">
        <f t="shared" si="127"/>
        <v>1.35</v>
      </c>
      <c r="K206" s="70">
        <v>1.62</v>
      </c>
      <c r="L206" s="72">
        <f t="shared" ca="1" si="123"/>
        <v>0.28000000000000008</v>
      </c>
      <c r="M206" s="73">
        <f t="shared" ca="1" si="124"/>
        <v>280.00000000000006</v>
      </c>
      <c r="N206" s="12" t="s">
        <v>44</v>
      </c>
      <c r="O206" s="47" t="s">
        <v>45</v>
      </c>
      <c r="P206" s="13">
        <f t="shared" si="113"/>
        <v>1.62</v>
      </c>
      <c r="Q206" s="1" t="str">
        <f t="shared" si="114"/>
        <v>1000 + шт - 1,62 руб / шт с НДС</v>
      </c>
      <c r="R206" s="235"/>
      <c r="S206" s="239"/>
      <c r="T206" s="226"/>
      <c r="U206" s="228"/>
      <c r="V206" s="222"/>
      <c r="W206" s="229"/>
      <c r="X206" s="227"/>
      <c r="Y206" s="229"/>
      <c r="Z206" s="236"/>
      <c r="AA206" s="237"/>
      <c r="AB206" s="238"/>
      <c r="AC206" s="223"/>
      <c r="AD206" s="222"/>
    </row>
    <row r="207" spans="1:30" x14ac:dyDescent="0.4">
      <c r="A207" s="230">
        <v>43</v>
      </c>
      <c r="B207" s="8">
        <v>43</v>
      </c>
      <c r="C207" s="14">
        <f t="shared" ca="1" si="130"/>
        <v>0.53</v>
      </c>
      <c r="D207" s="20">
        <f t="shared" ca="1" si="105"/>
        <v>0.63600000000000001</v>
      </c>
      <c r="E207" s="224" t="str">
        <f ca="1">INDIRECT("'Закуп'!D" &amp; A207)</f>
        <v>У</v>
      </c>
      <c r="F207" s="231" t="str">
        <f t="shared" ref="F207" ca="1" si="133">INDIRECT("'Закуп'!E" &amp; B207)</f>
        <v>200х80х100</v>
      </c>
      <c r="G207" s="172" t="str">
        <f t="shared" ca="1" si="125"/>
        <v/>
      </c>
      <c r="H207" s="93" t="str">
        <f t="shared" ca="1" si="126"/>
        <v/>
      </c>
      <c r="I207" s="21">
        <v>50</v>
      </c>
      <c r="J207" s="68">
        <f t="shared" si="127"/>
        <v>1.25</v>
      </c>
      <c r="K207" s="70">
        <v>1.5</v>
      </c>
      <c r="L207" s="72">
        <f t="shared" ca="1" si="123"/>
        <v>0.57599999999999996</v>
      </c>
      <c r="M207" s="73">
        <f t="shared" ca="1" si="124"/>
        <v>28.799999999999997</v>
      </c>
      <c r="N207" s="12" t="s">
        <v>40</v>
      </c>
      <c r="O207" s="47" t="s">
        <v>45</v>
      </c>
      <c r="P207" s="13">
        <f t="shared" si="113"/>
        <v>1.5</v>
      </c>
      <c r="Q207" s="1" t="str">
        <f t="shared" si="114"/>
        <v>50-90 шт - 1,5 руб / шт с НДС</v>
      </c>
      <c r="R207" s="235" t="str">
        <f ca="1">INDIRECT("'Закуп'!k" &amp; A207)</f>
        <v>K43</v>
      </c>
      <c r="S207" s="239">
        <f ca="1">INDIRECT("'Закуп'!o" &amp; A207)</f>
        <v>1.6</v>
      </c>
      <c r="T207" s="226" t="str">
        <f ca="1">INDIRECT("'Закуп'!p" &amp; A207)</f>
        <v>1-1,9 литра</v>
      </c>
      <c r="U207" s="228" t="str">
        <f ca="1">INDIRECT("'Закуп'!v" &amp; A207)</f>
        <v>Длинные</v>
      </c>
      <c r="V207" s="222" t="str">
        <f ca="1">INDIRECT("'Закуп'!w" &amp; A207)</f>
        <v/>
      </c>
      <c r="W207" s="229" t="str">
        <f ca="1">INDIRECT("'Закуп'!H" &amp; A207)</f>
        <v>0215</v>
      </c>
      <c r="X207" s="227" t="str">
        <f t="shared" ref="X207" ca="1" si="134">INDIRECT("'Закуп'!g" &amp; A207)</f>
        <v>С</v>
      </c>
      <c r="Y207" s="229" t="str">
        <f ca="1">INDIRECT("'Закуп'!i" &amp; A207)</f>
        <v>В</v>
      </c>
      <c r="Z207" s="236" t="str">
        <f ca="1">INDIRECT("'Закуп'!x" &amp; A207)</f>
        <v>200-299 мм</v>
      </c>
      <c r="AA207" s="237" t="str">
        <f ca="1">INDIRECT("'Закуп'!y" &amp; A207)</f>
        <v>100-199 мм</v>
      </c>
      <c r="AB207" s="238" t="str">
        <f ca="1">INDIRECT("'Закуп'!z" &amp; A207)</f>
        <v>10-99 мм</v>
      </c>
      <c r="AC207" s="223" t="str">
        <f t="shared" ca="1" si="110"/>
        <v>200x80x100</v>
      </c>
      <c r="AD207" s="222" t="str">
        <f t="shared" ref="AD207:AD267" ca="1" si="135">SUBSTITUTE(INDEX(F:F, ROUNDUP((ROW(A206))/5,0)*5 - 3), "х", "x") &amp; " - " &amp; SUBSTITUTE(SUBSTITUTE(INDEX(F:F, ROUNDUP((ROW(A206))/5,0)*5 - 3), "х", "*"), "x", "*") &amp; " мм"</f>
        <v>200x80x100 - 200*80*100 мм</v>
      </c>
    </row>
    <row r="208" spans="1:30" x14ac:dyDescent="0.4">
      <c r="A208" s="230"/>
      <c r="B208" s="8">
        <v>43</v>
      </c>
      <c r="C208" s="14">
        <f t="shared" ca="1" si="130"/>
        <v>0.53</v>
      </c>
      <c r="D208" s="20">
        <f t="shared" ca="1" si="105"/>
        <v>0.63600000000000001</v>
      </c>
      <c r="E208" s="225"/>
      <c r="F208" s="231"/>
      <c r="G208" s="172" t="str">
        <f t="shared" ca="1" si="125"/>
        <v/>
      </c>
      <c r="H208" s="93" t="str">
        <f t="shared" ca="1" si="126"/>
        <v/>
      </c>
      <c r="I208" s="21">
        <v>100</v>
      </c>
      <c r="J208" s="68">
        <f t="shared" si="127"/>
        <v>1.1333333333333335</v>
      </c>
      <c r="K208" s="70">
        <v>1.36</v>
      </c>
      <c r="L208" s="72">
        <f t="shared" ca="1" si="123"/>
        <v>0.4826666666666668</v>
      </c>
      <c r="M208" s="73">
        <f t="shared" ca="1" si="124"/>
        <v>48.26666666666668</v>
      </c>
      <c r="N208" s="12" t="s">
        <v>41</v>
      </c>
      <c r="O208" s="47" t="s">
        <v>45</v>
      </c>
      <c r="P208" s="13">
        <f t="shared" si="113"/>
        <v>1.36</v>
      </c>
      <c r="Q208" s="1" t="str">
        <f t="shared" si="114"/>
        <v>100-290 шт - 1,36 руб / шт с НДС</v>
      </c>
      <c r="R208" s="235"/>
      <c r="S208" s="239"/>
      <c r="T208" s="226"/>
      <c r="U208" s="228"/>
      <c r="V208" s="222"/>
      <c r="W208" s="229"/>
      <c r="X208" s="227"/>
      <c r="Y208" s="229"/>
      <c r="Z208" s="236"/>
      <c r="AA208" s="237"/>
      <c r="AB208" s="238"/>
      <c r="AC208" s="223"/>
      <c r="AD208" s="222"/>
    </row>
    <row r="209" spans="1:30" x14ac:dyDescent="0.4">
      <c r="A209" s="230"/>
      <c r="B209" s="8">
        <v>43</v>
      </c>
      <c r="C209" s="14">
        <f t="shared" ca="1" si="130"/>
        <v>0.53</v>
      </c>
      <c r="D209" s="20">
        <f t="shared" ca="1" si="105"/>
        <v>0.63600000000000001</v>
      </c>
      <c r="E209" s="225"/>
      <c r="F209" s="231"/>
      <c r="G209" s="172" t="str">
        <f t="shared" ca="1" si="125"/>
        <v/>
      </c>
      <c r="H209" s="93" t="str">
        <f t="shared" ca="1" si="126"/>
        <v/>
      </c>
      <c r="I209" s="21">
        <v>300</v>
      </c>
      <c r="J209" s="68">
        <f t="shared" si="127"/>
        <v>0.89166666666666672</v>
      </c>
      <c r="K209" s="70">
        <v>1.07</v>
      </c>
      <c r="L209" s="72">
        <f t="shared" ca="1" si="123"/>
        <v>0.28933333333333333</v>
      </c>
      <c r="M209" s="73">
        <f t="shared" ca="1" si="124"/>
        <v>86.8</v>
      </c>
      <c r="N209" s="12" t="s">
        <v>42</v>
      </c>
      <c r="O209" s="47" t="s">
        <v>45</v>
      </c>
      <c r="P209" s="13">
        <f t="shared" si="113"/>
        <v>1.07</v>
      </c>
      <c r="Q209" s="1" t="str">
        <f t="shared" si="114"/>
        <v>300-490 шт - 1,07 руб / шт с НДС</v>
      </c>
      <c r="R209" s="235"/>
      <c r="S209" s="239"/>
      <c r="T209" s="226"/>
      <c r="U209" s="228"/>
      <c r="V209" s="222"/>
      <c r="W209" s="229"/>
      <c r="X209" s="227"/>
      <c r="Y209" s="229"/>
      <c r="Z209" s="236"/>
      <c r="AA209" s="237"/>
      <c r="AB209" s="238"/>
      <c r="AC209" s="223"/>
      <c r="AD209" s="222"/>
    </row>
    <row r="210" spans="1:30" x14ac:dyDescent="0.4">
      <c r="A210" s="230"/>
      <c r="B210" s="8">
        <v>43</v>
      </c>
      <c r="C210" s="14">
        <f t="shared" ca="1" si="130"/>
        <v>0.53</v>
      </c>
      <c r="D210" s="20">
        <f t="shared" ca="1" si="105"/>
        <v>0.63600000000000001</v>
      </c>
      <c r="E210" s="225"/>
      <c r="F210" s="231"/>
      <c r="G210" s="172" t="str">
        <f t="shared" ca="1" si="125"/>
        <v/>
      </c>
      <c r="H210" s="93" t="str">
        <f t="shared" ca="1" si="126"/>
        <v/>
      </c>
      <c r="I210" s="21">
        <v>500</v>
      </c>
      <c r="J210" s="68">
        <f t="shared" si="127"/>
        <v>0.84166666666666667</v>
      </c>
      <c r="K210" s="70">
        <v>1.01</v>
      </c>
      <c r="L210" s="72">
        <f t="shared" ca="1" si="123"/>
        <v>0.24933333333333332</v>
      </c>
      <c r="M210" s="73">
        <f t="shared" ca="1" si="124"/>
        <v>124.66666666666666</v>
      </c>
      <c r="N210" s="12" t="s">
        <v>43</v>
      </c>
      <c r="O210" s="47" t="s">
        <v>45</v>
      </c>
      <c r="P210" s="13">
        <f t="shared" si="113"/>
        <v>1.01</v>
      </c>
      <c r="Q210" s="1" t="str">
        <f t="shared" si="114"/>
        <v>500-990 шт - 1,01 руб / шт с НДС</v>
      </c>
      <c r="R210" s="235"/>
      <c r="S210" s="239"/>
      <c r="T210" s="226"/>
      <c r="U210" s="228"/>
      <c r="V210" s="222"/>
      <c r="W210" s="229"/>
      <c r="X210" s="227"/>
      <c r="Y210" s="229"/>
      <c r="Z210" s="236"/>
      <c r="AA210" s="237"/>
      <c r="AB210" s="238"/>
      <c r="AC210" s="223"/>
      <c r="AD210" s="222"/>
    </row>
    <row r="211" spans="1:30" x14ac:dyDescent="0.4">
      <c r="A211" s="230"/>
      <c r="B211" s="8">
        <v>43</v>
      </c>
      <c r="C211" s="14">
        <f t="shared" ca="1" si="130"/>
        <v>0.53</v>
      </c>
      <c r="D211" s="20">
        <f t="shared" ca="1" si="105"/>
        <v>0.63600000000000001</v>
      </c>
      <c r="E211" s="225"/>
      <c r="F211" s="231"/>
      <c r="G211" s="172" t="str">
        <f t="shared" ca="1" si="125"/>
        <v/>
      </c>
      <c r="H211" s="93" t="str">
        <f t="shared" ca="1" si="126"/>
        <v/>
      </c>
      <c r="I211" s="21">
        <v>1000</v>
      </c>
      <c r="J211" s="68">
        <f t="shared" si="127"/>
        <v>0.79166666666666663</v>
      </c>
      <c r="K211" s="70">
        <v>0.95</v>
      </c>
      <c r="L211" s="72">
        <f t="shared" ca="1" si="123"/>
        <v>0.20933333333333329</v>
      </c>
      <c r="M211" s="73">
        <f t="shared" ca="1" si="124"/>
        <v>209.33333333333329</v>
      </c>
      <c r="N211" s="12" t="s">
        <v>44</v>
      </c>
      <c r="O211" s="47" t="s">
        <v>45</v>
      </c>
      <c r="P211" s="13">
        <f t="shared" si="113"/>
        <v>0.95</v>
      </c>
      <c r="Q211" s="1" t="str">
        <f t="shared" si="114"/>
        <v>1000 + шт - 0,95 руб / шт с НДС</v>
      </c>
      <c r="R211" s="235"/>
      <c r="S211" s="239"/>
      <c r="T211" s="226"/>
      <c r="U211" s="228"/>
      <c r="V211" s="222"/>
      <c r="W211" s="229"/>
      <c r="X211" s="227"/>
      <c r="Y211" s="229"/>
      <c r="Z211" s="236"/>
      <c r="AA211" s="237"/>
      <c r="AB211" s="238"/>
      <c r="AC211" s="223"/>
      <c r="AD211" s="222"/>
    </row>
    <row r="212" spans="1:30" x14ac:dyDescent="0.4">
      <c r="A212" s="230">
        <v>44</v>
      </c>
      <c r="B212" s="8">
        <v>44</v>
      </c>
      <c r="C212" s="14">
        <f t="shared" ca="1" si="130"/>
        <v>1.7</v>
      </c>
      <c r="D212" s="20">
        <f t="shared" ca="1" si="105"/>
        <v>2.04</v>
      </c>
      <c r="E212" s="224" t="str">
        <f ca="1">INDIRECT("'Закуп'!D" &amp; A212)</f>
        <v>У</v>
      </c>
      <c r="F212" s="231" t="str">
        <f t="shared" ref="F212" ca="1" si="136">INDIRECT("'Закуп'!E" &amp; B212)</f>
        <v>573х333х85</v>
      </c>
      <c r="G212" s="172" t="str">
        <f t="shared" ca="1" si="125"/>
        <v/>
      </c>
      <c r="H212" s="93" t="str">
        <f t="shared" ca="1" si="126"/>
        <v/>
      </c>
      <c r="I212" s="21">
        <v>50</v>
      </c>
      <c r="J212" s="68">
        <f t="shared" si="127"/>
        <v>3.3000000000000003</v>
      </c>
      <c r="K212" s="70">
        <v>3.96</v>
      </c>
      <c r="L212" s="72">
        <f t="shared" ca="1" si="123"/>
        <v>1.2800000000000002</v>
      </c>
      <c r="M212" s="73">
        <f t="shared" ca="1" si="124"/>
        <v>64.000000000000014</v>
      </c>
      <c r="N212" s="12" t="s">
        <v>40</v>
      </c>
      <c r="O212" s="47" t="s">
        <v>45</v>
      </c>
      <c r="P212" s="13">
        <f t="shared" si="113"/>
        <v>3.96</v>
      </c>
      <c r="Q212" s="1" t="str">
        <f t="shared" si="114"/>
        <v>50-90 шт - 3,96 руб / шт с НДС</v>
      </c>
      <c r="R212" s="235" t="str">
        <f ca="1">INDIRECT("'Закуп'!k" &amp; A212)</f>
        <v>K44</v>
      </c>
      <c r="S212" s="239">
        <f ca="1">INDIRECT("'Закуп'!o" &amp; A212)</f>
        <v>16.22</v>
      </c>
      <c r="T212" s="226" t="str">
        <f ca="1">INDIRECT("'Закуп'!p" &amp; A212)</f>
        <v>15-19,9 литров</v>
      </c>
      <c r="U212" s="228" t="str">
        <f ca="1">INDIRECT("'Закуп'!v" &amp; A212)</f>
        <v/>
      </c>
      <c r="V212" s="222" t="str">
        <f ca="1">INDIRECT("'Закуп'!w" &amp; A212)</f>
        <v>Плоские</v>
      </c>
      <c r="W212" s="229" t="str">
        <f ca="1">INDIRECT("'Закуп'!H" &amp; A212)</f>
        <v>0427</v>
      </c>
      <c r="X212" s="227" t="str">
        <f t="shared" ref="X212" ca="1" si="137">INDIRECT("'Закуп'!g" &amp; A212)</f>
        <v>С</v>
      </c>
      <c r="Y212" s="229" t="str">
        <f ca="1">INDIRECT("'Закуп'!i" &amp; A212)</f>
        <v>В</v>
      </c>
      <c r="Z212" s="236" t="str">
        <f ca="1">INDIRECT("'Закуп'!x" &amp; A212)</f>
        <v>500-599 мм</v>
      </c>
      <c r="AA212" s="237" t="str">
        <f ca="1">INDIRECT("'Закуп'!y" &amp; A212)</f>
        <v>300-399 мм</v>
      </c>
      <c r="AB212" s="238" t="str">
        <f ca="1">INDIRECT("'Закуп'!z" &amp; A212)</f>
        <v>10-99 мм</v>
      </c>
      <c r="AC212" s="223" t="str">
        <f t="shared" ca="1" si="110"/>
        <v>573x333x85</v>
      </c>
      <c r="AD212" s="222" t="str">
        <f t="shared" ca="1" si="135"/>
        <v>573x333x85 - 573*333*85 мм</v>
      </c>
    </row>
    <row r="213" spans="1:30" x14ac:dyDescent="0.4">
      <c r="A213" s="230"/>
      <c r="B213" s="8">
        <v>44</v>
      </c>
      <c r="C213" s="14">
        <f t="shared" ca="1" si="130"/>
        <v>1.7</v>
      </c>
      <c r="D213" s="20">
        <f t="shared" ca="1" si="105"/>
        <v>2.04</v>
      </c>
      <c r="E213" s="225"/>
      <c r="F213" s="231"/>
      <c r="G213" s="172" t="str">
        <f t="shared" ca="1" si="125"/>
        <v/>
      </c>
      <c r="H213" s="93" t="str">
        <f t="shared" ca="1" si="126"/>
        <v/>
      </c>
      <c r="I213" s="21">
        <v>100</v>
      </c>
      <c r="J213" s="68">
        <f t="shared" si="127"/>
        <v>2.9583333333333335</v>
      </c>
      <c r="K213" s="70">
        <v>3.55</v>
      </c>
      <c r="L213" s="72">
        <f t="shared" ca="1" si="123"/>
        <v>1.0066666666666668</v>
      </c>
      <c r="M213" s="73">
        <f t="shared" ca="1" si="124"/>
        <v>100.66666666666669</v>
      </c>
      <c r="N213" s="12" t="s">
        <v>41</v>
      </c>
      <c r="O213" s="47" t="s">
        <v>45</v>
      </c>
      <c r="P213" s="13">
        <f t="shared" si="113"/>
        <v>3.55</v>
      </c>
      <c r="Q213" s="1" t="str">
        <f t="shared" si="114"/>
        <v>100-290 шт - 3,55 руб / шт с НДС</v>
      </c>
      <c r="R213" s="235"/>
      <c r="S213" s="239"/>
      <c r="T213" s="226"/>
      <c r="U213" s="228"/>
      <c r="V213" s="222"/>
      <c r="W213" s="229"/>
      <c r="X213" s="227"/>
      <c r="Y213" s="229"/>
      <c r="Z213" s="236"/>
      <c r="AA213" s="237"/>
      <c r="AB213" s="238"/>
      <c r="AC213" s="223"/>
      <c r="AD213" s="222"/>
    </row>
    <row r="214" spans="1:30" x14ac:dyDescent="0.4">
      <c r="A214" s="230"/>
      <c r="B214" s="8">
        <v>44</v>
      </c>
      <c r="C214" s="14">
        <f t="shared" ca="1" si="130"/>
        <v>1.7</v>
      </c>
      <c r="D214" s="20">
        <f t="shared" ca="1" si="105"/>
        <v>2.04</v>
      </c>
      <c r="E214" s="225"/>
      <c r="F214" s="231"/>
      <c r="G214" s="172" t="str">
        <f t="shared" ca="1" si="125"/>
        <v/>
      </c>
      <c r="H214" s="93" t="str">
        <f t="shared" ca="1" si="126"/>
        <v/>
      </c>
      <c r="I214" s="21">
        <v>300</v>
      </c>
      <c r="J214" s="68">
        <f t="shared" si="127"/>
        <v>2.8083333333333336</v>
      </c>
      <c r="K214" s="70">
        <v>3.37</v>
      </c>
      <c r="L214" s="72">
        <f t="shared" ca="1" si="123"/>
        <v>0.88666666666666694</v>
      </c>
      <c r="M214" s="73">
        <f t="shared" ca="1" si="124"/>
        <v>266.00000000000006</v>
      </c>
      <c r="N214" s="12" t="s">
        <v>42</v>
      </c>
      <c r="O214" s="47" t="s">
        <v>45</v>
      </c>
      <c r="P214" s="13">
        <f t="shared" si="113"/>
        <v>3.37</v>
      </c>
      <c r="Q214" s="1" t="str">
        <f t="shared" si="114"/>
        <v>300-490 шт - 3,37 руб / шт с НДС</v>
      </c>
      <c r="R214" s="235"/>
      <c r="S214" s="239"/>
      <c r="T214" s="226"/>
      <c r="U214" s="228"/>
      <c r="V214" s="222"/>
      <c r="W214" s="229"/>
      <c r="X214" s="227"/>
      <c r="Y214" s="229"/>
      <c r="Z214" s="236"/>
      <c r="AA214" s="237"/>
      <c r="AB214" s="238"/>
      <c r="AC214" s="223"/>
      <c r="AD214" s="222"/>
    </row>
    <row r="215" spans="1:30" x14ac:dyDescent="0.4">
      <c r="A215" s="230"/>
      <c r="B215" s="8">
        <v>44</v>
      </c>
      <c r="C215" s="14">
        <f t="shared" ca="1" si="130"/>
        <v>1.7</v>
      </c>
      <c r="D215" s="20">
        <f t="shared" ca="1" si="105"/>
        <v>2.04</v>
      </c>
      <c r="E215" s="225"/>
      <c r="F215" s="231"/>
      <c r="G215" s="172" t="str">
        <f t="shared" ca="1" si="125"/>
        <v/>
      </c>
      <c r="H215" s="93" t="str">
        <f t="shared" ca="1" si="126"/>
        <v/>
      </c>
      <c r="I215" s="21">
        <v>500</v>
      </c>
      <c r="J215" s="68">
        <f t="shared" si="127"/>
        <v>2.6416666666666666</v>
      </c>
      <c r="K215" s="70">
        <v>3.17</v>
      </c>
      <c r="L215" s="72">
        <f t="shared" ca="1" si="123"/>
        <v>0.7533333333333333</v>
      </c>
      <c r="M215" s="73">
        <f t="shared" ca="1" si="124"/>
        <v>376.66666666666663</v>
      </c>
      <c r="N215" s="12" t="s">
        <v>43</v>
      </c>
      <c r="O215" s="47" t="s">
        <v>45</v>
      </c>
      <c r="P215" s="13">
        <f t="shared" si="113"/>
        <v>3.17</v>
      </c>
      <c r="Q215" s="1" t="str">
        <f t="shared" si="114"/>
        <v>500-990 шт - 3,17 руб / шт с НДС</v>
      </c>
      <c r="R215" s="235"/>
      <c r="S215" s="239"/>
      <c r="T215" s="226"/>
      <c r="U215" s="228"/>
      <c r="V215" s="222"/>
      <c r="W215" s="229"/>
      <c r="X215" s="227"/>
      <c r="Y215" s="229"/>
      <c r="Z215" s="236"/>
      <c r="AA215" s="237"/>
      <c r="AB215" s="238"/>
      <c r="AC215" s="223"/>
      <c r="AD215" s="222"/>
    </row>
    <row r="216" spans="1:30" x14ac:dyDescent="0.4">
      <c r="A216" s="230"/>
      <c r="B216" s="8">
        <v>44</v>
      </c>
      <c r="C216" s="14">
        <f t="shared" ca="1" si="130"/>
        <v>1.7</v>
      </c>
      <c r="D216" s="20">
        <f t="shared" ca="1" si="105"/>
        <v>2.04</v>
      </c>
      <c r="E216" s="225"/>
      <c r="F216" s="231"/>
      <c r="G216" s="172" t="str">
        <f t="shared" ca="1" si="125"/>
        <v/>
      </c>
      <c r="H216" s="93" t="str">
        <f t="shared" ca="1" si="126"/>
        <v/>
      </c>
      <c r="I216" s="21">
        <v>1000</v>
      </c>
      <c r="J216" s="68">
        <f t="shared" si="127"/>
        <v>2.4666666666666668</v>
      </c>
      <c r="K216" s="70">
        <v>2.96</v>
      </c>
      <c r="L216" s="72">
        <f t="shared" ca="1" si="123"/>
        <v>0.61333333333333351</v>
      </c>
      <c r="M216" s="73">
        <f t="shared" ca="1" si="124"/>
        <v>613.33333333333348</v>
      </c>
      <c r="N216" s="12" t="s">
        <v>44</v>
      </c>
      <c r="O216" s="47" t="s">
        <v>45</v>
      </c>
      <c r="P216" s="13">
        <f t="shared" si="113"/>
        <v>2.96</v>
      </c>
      <c r="Q216" s="1" t="str">
        <f t="shared" si="114"/>
        <v>1000 + шт - 2,96 руб / шт с НДС</v>
      </c>
      <c r="R216" s="235"/>
      <c r="S216" s="239"/>
      <c r="T216" s="226"/>
      <c r="U216" s="228"/>
      <c r="V216" s="222"/>
      <c r="W216" s="229"/>
      <c r="X216" s="227"/>
      <c r="Y216" s="229"/>
      <c r="Z216" s="236"/>
      <c r="AA216" s="237"/>
      <c r="AB216" s="238"/>
      <c r="AC216" s="223"/>
      <c r="AD216" s="222"/>
    </row>
    <row r="217" spans="1:30" x14ac:dyDescent="0.4">
      <c r="A217" s="230">
        <v>45</v>
      </c>
      <c r="B217" s="8">
        <v>45</v>
      </c>
      <c r="C217" s="14">
        <f t="shared" ca="1" si="130"/>
        <v>0.85</v>
      </c>
      <c r="D217" s="20">
        <f t="shared" ca="1" si="105"/>
        <v>1.02</v>
      </c>
      <c r="E217" s="224" t="str">
        <f ca="1">INDIRECT("'Закуп'!D" &amp; A217)</f>
        <v>У</v>
      </c>
      <c r="F217" s="231" t="str">
        <f t="shared" ref="F217" ca="1" si="138">INDIRECT("'Закуп'!E" &amp; B217)</f>
        <v>380х155х125</v>
      </c>
      <c r="G217" s="172" t="str">
        <f t="shared" ca="1" si="125"/>
        <v/>
      </c>
      <c r="H217" s="93" t="str">
        <f t="shared" ca="1" si="126"/>
        <v/>
      </c>
      <c r="I217" s="21">
        <v>50</v>
      </c>
      <c r="J217" s="68">
        <f t="shared" si="127"/>
        <v>2</v>
      </c>
      <c r="K217" s="70">
        <v>2.4</v>
      </c>
      <c r="L217" s="72">
        <f t="shared" ca="1" si="123"/>
        <v>0.91999999999999993</v>
      </c>
      <c r="M217" s="73">
        <f t="shared" ca="1" si="124"/>
        <v>46</v>
      </c>
      <c r="N217" s="12" t="s">
        <v>40</v>
      </c>
      <c r="O217" s="47" t="s">
        <v>45</v>
      </c>
      <c r="P217" s="13">
        <f t="shared" si="113"/>
        <v>2.4</v>
      </c>
      <c r="Q217" s="1" t="str">
        <f t="shared" si="114"/>
        <v>50-90 шт - 2,4 руб / шт с НДС</v>
      </c>
      <c r="R217" s="235" t="str">
        <f ca="1">INDIRECT("'Закуп'!k" &amp; A217)</f>
        <v>K45</v>
      </c>
      <c r="S217" s="239">
        <f ca="1">INDIRECT("'Закуп'!o" &amp; A217)</f>
        <v>7.36</v>
      </c>
      <c r="T217" s="226" t="str">
        <f ca="1">INDIRECT("'Закуп'!p" &amp; A217)</f>
        <v>6-7,9 литра</v>
      </c>
      <c r="U217" s="228" t="str">
        <f ca="1">INDIRECT("'Закуп'!v" &amp; A217)</f>
        <v>Длинные</v>
      </c>
      <c r="V217" s="222" t="str">
        <f ca="1">INDIRECT("'Закуп'!w" &amp; A217)</f>
        <v/>
      </c>
      <c r="W217" s="229" t="str">
        <f ca="1">INDIRECT("'Закуп'!H" &amp; A217)</f>
        <v>0215</v>
      </c>
      <c r="X217" s="227" t="str">
        <f t="shared" ref="X217" ca="1" si="139">INDIRECT("'Закуп'!g" &amp; A217)</f>
        <v>С</v>
      </c>
      <c r="Y217" s="229" t="str">
        <f ca="1">INDIRECT("'Закуп'!i" &amp; A217)</f>
        <v>В</v>
      </c>
      <c r="Z217" s="236" t="str">
        <f ca="1">INDIRECT("'Закуп'!x" &amp; A217)</f>
        <v>300-399 мм</v>
      </c>
      <c r="AA217" s="237" t="str">
        <f ca="1">INDIRECT("'Закуп'!y" &amp; A217)</f>
        <v>100-199 мм</v>
      </c>
      <c r="AB217" s="238" t="str">
        <f ca="1">INDIRECT("'Закуп'!z" &amp; A217)</f>
        <v>100-199 мм</v>
      </c>
      <c r="AC217" s="223" t="str">
        <f t="shared" ca="1" si="110"/>
        <v>380x155x125</v>
      </c>
      <c r="AD217" s="222" t="str">
        <f t="shared" ca="1" si="135"/>
        <v>380x155x125 - 380*155*125 мм</v>
      </c>
    </row>
    <row r="218" spans="1:30" x14ac:dyDescent="0.4">
      <c r="A218" s="230"/>
      <c r="B218" s="8">
        <v>45</v>
      </c>
      <c r="C218" s="14">
        <f t="shared" ca="1" si="130"/>
        <v>0.85</v>
      </c>
      <c r="D218" s="20">
        <f t="shared" ca="1" si="105"/>
        <v>1.02</v>
      </c>
      <c r="E218" s="225"/>
      <c r="F218" s="231"/>
      <c r="G218" s="172" t="str">
        <f t="shared" ca="1" si="125"/>
        <v/>
      </c>
      <c r="H218" s="93" t="str">
        <f t="shared" ca="1" si="126"/>
        <v/>
      </c>
      <c r="I218" s="21">
        <v>100</v>
      </c>
      <c r="J218" s="68">
        <f t="shared" si="127"/>
        <v>1.8166666666666669</v>
      </c>
      <c r="K218" s="70">
        <v>2.1800000000000002</v>
      </c>
      <c r="L218" s="72">
        <f t="shared" ca="1" si="123"/>
        <v>0.77333333333333354</v>
      </c>
      <c r="M218" s="73">
        <f t="shared" ca="1" si="124"/>
        <v>77.333333333333357</v>
      </c>
      <c r="N218" s="12" t="s">
        <v>41</v>
      </c>
      <c r="O218" s="47" t="s">
        <v>45</v>
      </c>
      <c r="P218" s="13">
        <f t="shared" si="113"/>
        <v>2.1800000000000002</v>
      </c>
      <c r="Q218" s="1" t="str">
        <f t="shared" si="114"/>
        <v>100-290 шт - 2,18 руб / шт с НДС</v>
      </c>
      <c r="R218" s="235"/>
      <c r="S218" s="239"/>
      <c r="T218" s="226"/>
      <c r="U218" s="228"/>
      <c r="V218" s="222"/>
      <c r="W218" s="229"/>
      <c r="X218" s="227"/>
      <c r="Y218" s="229"/>
      <c r="Z218" s="236"/>
      <c r="AA218" s="237"/>
      <c r="AB218" s="238"/>
      <c r="AC218" s="223"/>
      <c r="AD218" s="222"/>
    </row>
    <row r="219" spans="1:30" x14ac:dyDescent="0.4">
      <c r="A219" s="230"/>
      <c r="B219" s="8">
        <v>45</v>
      </c>
      <c r="C219" s="14">
        <f t="shared" ca="1" si="130"/>
        <v>0.85</v>
      </c>
      <c r="D219" s="20">
        <f t="shared" ca="1" si="105"/>
        <v>1.02</v>
      </c>
      <c r="E219" s="225"/>
      <c r="F219" s="231"/>
      <c r="G219" s="172" t="str">
        <f t="shared" ca="1" si="125"/>
        <v/>
      </c>
      <c r="H219" s="93" t="str">
        <f t="shared" ca="1" si="126"/>
        <v/>
      </c>
      <c r="I219" s="21">
        <v>300</v>
      </c>
      <c r="J219" s="68">
        <f t="shared" si="127"/>
        <v>1.4166666666666667</v>
      </c>
      <c r="K219" s="70">
        <v>1.7</v>
      </c>
      <c r="L219" s="72">
        <f t="shared" ca="1" si="123"/>
        <v>0.45333333333333342</v>
      </c>
      <c r="M219" s="73">
        <f t="shared" ca="1" si="124"/>
        <v>136.00000000000003</v>
      </c>
      <c r="N219" s="12" t="s">
        <v>42</v>
      </c>
      <c r="O219" s="47" t="s">
        <v>45</v>
      </c>
      <c r="P219" s="13">
        <f t="shared" si="113"/>
        <v>1.7</v>
      </c>
      <c r="Q219" s="1" t="str">
        <f t="shared" si="114"/>
        <v>300-490 шт - 1,7 руб / шт с НДС</v>
      </c>
      <c r="R219" s="235"/>
      <c r="S219" s="239"/>
      <c r="T219" s="226"/>
      <c r="U219" s="228"/>
      <c r="V219" s="222"/>
      <c r="W219" s="229"/>
      <c r="X219" s="227"/>
      <c r="Y219" s="229"/>
      <c r="Z219" s="236"/>
      <c r="AA219" s="237"/>
      <c r="AB219" s="238"/>
      <c r="AC219" s="223"/>
      <c r="AD219" s="222"/>
    </row>
    <row r="220" spans="1:30" x14ac:dyDescent="0.4">
      <c r="A220" s="230"/>
      <c r="B220" s="8">
        <v>45</v>
      </c>
      <c r="C220" s="14">
        <f t="shared" ca="1" si="130"/>
        <v>0.85</v>
      </c>
      <c r="D220" s="20">
        <f t="shared" ca="1" si="105"/>
        <v>1.02</v>
      </c>
      <c r="E220" s="225"/>
      <c r="F220" s="231"/>
      <c r="G220" s="172" t="str">
        <f t="shared" ca="1" si="125"/>
        <v/>
      </c>
      <c r="H220" s="93" t="str">
        <f t="shared" ca="1" si="126"/>
        <v/>
      </c>
      <c r="I220" s="21">
        <v>500</v>
      </c>
      <c r="J220" s="68">
        <f t="shared" si="127"/>
        <v>1.2333333333333334</v>
      </c>
      <c r="K220" s="70">
        <v>1.48</v>
      </c>
      <c r="L220" s="72">
        <f t="shared" ca="1" si="123"/>
        <v>0.30666666666666675</v>
      </c>
      <c r="M220" s="73">
        <f t="shared" ca="1" si="124"/>
        <v>153.33333333333337</v>
      </c>
      <c r="N220" s="12" t="s">
        <v>43</v>
      </c>
      <c r="O220" s="47" t="s">
        <v>45</v>
      </c>
      <c r="P220" s="13">
        <f t="shared" si="113"/>
        <v>1.48</v>
      </c>
      <c r="Q220" s="1" t="str">
        <f t="shared" si="114"/>
        <v>500-990 шт - 1,48 руб / шт с НДС</v>
      </c>
      <c r="R220" s="235"/>
      <c r="S220" s="239"/>
      <c r="T220" s="226"/>
      <c r="U220" s="228"/>
      <c r="V220" s="222"/>
      <c r="W220" s="229"/>
      <c r="X220" s="227"/>
      <c r="Y220" s="229"/>
      <c r="Z220" s="236"/>
      <c r="AA220" s="237"/>
      <c r="AB220" s="238"/>
      <c r="AC220" s="223"/>
      <c r="AD220" s="222"/>
    </row>
    <row r="221" spans="1:30" x14ac:dyDescent="0.4">
      <c r="A221" s="230"/>
      <c r="B221" s="8">
        <v>45</v>
      </c>
      <c r="C221" s="14">
        <f t="shared" ca="1" si="130"/>
        <v>0.85</v>
      </c>
      <c r="D221" s="20">
        <f t="shared" ca="1" si="105"/>
        <v>1.02</v>
      </c>
      <c r="E221" s="225"/>
      <c r="F221" s="231"/>
      <c r="G221" s="172" t="str">
        <f t="shared" ca="1" si="125"/>
        <v/>
      </c>
      <c r="H221" s="93" t="str">
        <f t="shared" ca="1" si="126"/>
        <v/>
      </c>
      <c r="I221" s="21">
        <v>1000</v>
      </c>
      <c r="J221" s="68">
        <f t="shared" si="127"/>
        <v>1.1499999999999999</v>
      </c>
      <c r="K221" s="70">
        <v>1.38</v>
      </c>
      <c r="L221" s="72">
        <f t="shared" ca="1" si="123"/>
        <v>0.23999999999999994</v>
      </c>
      <c r="M221" s="73">
        <f t="shared" ca="1" si="124"/>
        <v>239.99999999999994</v>
      </c>
      <c r="N221" s="12" t="s">
        <v>44</v>
      </c>
      <c r="O221" s="47" t="s">
        <v>45</v>
      </c>
      <c r="P221" s="13">
        <f t="shared" si="113"/>
        <v>1.38</v>
      </c>
      <c r="Q221" s="1" t="str">
        <f t="shared" si="114"/>
        <v>1000 + шт - 1,38 руб / шт с НДС</v>
      </c>
      <c r="R221" s="235"/>
      <c r="S221" s="239"/>
      <c r="T221" s="226"/>
      <c r="U221" s="228"/>
      <c r="V221" s="222"/>
      <c r="W221" s="229"/>
      <c r="X221" s="227"/>
      <c r="Y221" s="229"/>
      <c r="Z221" s="236"/>
      <c r="AA221" s="237"/>
      <c r="AB221" s="238"/>
      <c r="AC221" s="223"/>
      <c r="AD221" s="222"/>
    </row>
    <row r="222" spans="1:30" x14ac:dyDescent="0.4">
      <c r="A222" s="230">
        <v>46</v>
      </c>
      <c r="B222" s="8">
        <v>46</v>
      </c>
      <c r="C222" s="14">
        <f t="shared" ca="1" si="130"/>
        <v>0.85</v>
      </c>
      <c r="D222" s="20">
        <f t="shared" ca="1" si="105"/>
        <v>1.02</v>
      </c>
      <c r="E222" s="224" t="str">
        <f ca="1">INDIRECT("'Закуп'!D" &amp; A222)</f>
        <v>У</v>
      </c>
      <c r="F222" s="231" t="str">
        <f t="shared" ref="F222" ca="1" si="140">INDIRECT("'Закуп'!E" &amp; B222)</f>
        <v>120х100х770</v>
      </c>
      <c r="G222" s="172" t="str">
        <f t="shared" ca="1" si="125"/>
        <v/>
      </c>
      <c r="H222" s="93" t="str">
        <f t="shared" ca="1" si="126"/>
        <v/>
      </c>
      <c r="I222" s="21">
        <v>50</v>
      </c>
      <c r="J222" s="68">
        <f t="shared" si="127"/>
        <v>2</v>
      </c>
      <c r="K222" s="70">
        <v>2.4</v>
      </c>
      <c r="L222" s="72">
        <f t="shared" ca="1" si="123"/>
        <v>0.91999999999999993</v>
      </c>
      <c r="M222" s="73">
        <f t="shared" ca="1" si="124"/>
        <v>46</v>
      </c>
      <c r="N222" s="12" t="s">
        <v>40</v>
      </c>
      <c r="O222" s="47" t="s">
        <v>45</v>
      </c>
      <c r="P222" s="13">
        <f t="shared" si="113"/>
        <v>2.4</v>
      </c>
      <c r="Q222" s="1" t="str">
        <f t="shared" si="114"/>
        <v>50-90 шт - 2,4 руб / шт с НДС</v>
      </c>
      <c r="R222" s="235" t="str">
        <f ca="1">INDIRECT("'Закуп'!k" &amp; A222)</f>
        <v>K46</v>
      </c>
      <c r="S222" s="239">
        <f ca="1">INDIRECT("'Закуп'!o" &amp; A222)</f>
        <v>9.24</v>
      </c>
      <c r="T222" s="226" t="str">
        <f ca="1">INDIRECT("'Закуп'!p" &amp; A222)</f>
        <v>8-9,9 литров</v>
      </c>
      <c r="U222" s="228" t="str">
        <f ca="1">INDIRECT("'Закуп'!v" &amp; A222)</f>
        <v>Длинные</v>
      </c>
      <c r="V222" s="222" t="str">
        <f ca="1">INDIRECT("'Закуп'!w" &amp; A222)</f>
        <v/>
      </c>
      <c r="W222" s="229" t="str">
        <f ca="1">INDIRECT("'Закуп'!H" &amp; A222)</f>
        <v>0201</v>
      </c>
      <c r="X222" s="227" t="str">
        <f t="shared" ref="X222" ca="1" si="141">INDIRECT("'Закуп'!g" &amp; A222)</f>
        <v>С</v>
      </c>
      <c r="Y222" s="229" t="str">
        <f ca="1">INDIRECT("'Закуп'!i" &amp; A222)</f>
        <v>В</v>
      </c>
      <c r="Z222" s="236" t="str">
        <f ca="1">INDIRECT("'Закуп'!x" &amp; A222)</f>
        <v>700-999 мм</v>
      </c>
      <c r="AA222" s="237" t="str">
        <f ca="1">INDIRECT("'Закуп'!y" &amp; A222)</f>
        <v>100-199 мм</v>
      </c>
      <c r="AB222" s="238" t="str">
        <f ca="1">INDIRECT("'Закуп'!z" &amp; A222)</f>
        <v>100-199 мм</v>
      </c>
      <c r="AC222" s="223" t="str">
        <f t="shared" ca="1" si="110"/>
        <v>120x100x770</v>
      </c>
      <c r="AD222" s="222" t="str">
        <f t="shared" ca="1" si="135"/>
        <v>120x100x770 - 120*100*770 мм</v>
      </c>
    </row>
    <row r="223" spans="1:30" x14ac:dyDescent="0.4">
      <c r="A223" s="230"/>
      <c r="B223" s="8">
        <v>46</v>
      </c>
      <c r="C223" s="14">
        <f t="shared" ca="1" si="130"/>
        <v>0.85</v>
      </c>
      <c r="D223" s="20">
        <f t="shared" ca="1" si="105"/>
        <v>1.02</v>
      </c>
      <c r="E223" s="225"/>
      <c r="F223" s="231"/>
      <c r="G223" s="172" t="str">
        <f t="shared" ca="1" si="125"/>
        <v/>
      </c>
      <c r="H223" s="93" t="str">
        <f t="shared" ca="1" si="126"/>
        <v/>
      </c>
      <c r="I223" s="21">
        <v>100</v>
      </c>
      <c r="J223" s="68">
        <f t="shared" si="127"/>
        <v>1.8166666666666669</v>
      </c>
      <c r="K223" s="70">
        <v>2.1800000000000002</v>
      </c>
      <c r="L223" s="72">
        <f t="shared" ca="1" si="123"/>
        <v>0.77333333333333354</v>
      </c>
      <c r="M223" s="73">
        <f t="shared" ca="1" si="124"/>
        <v>77.333333333333357</v>
      </c>
      <c r="N223" s="12" t="s">
        <v>41</v>
      </c>
      <c r="O223" s="47" t="s">
        <v>45</v>
      </c>
      <c r="P223" s="13">
        <f t="shared" si="113"/>
        <v>2.1800000000000002</v>
      </c>
      <c r="Q223" s="1" t="str">
        <f t="shared" si="114"/>
        <v>100-290 шт - 2,18 руб / шт с НДС</v>
      </c>
      <c r="R223" s="235"/>
      <c r="S223" s="239"/>
      <c r="T223" s="226"/>
      <c r="U223" s="228"/>
      <c r="V223" s="222"/>
      <c r="W223" s="229"/>
      <c r="X223" s="227"/>
      <c r="Y223" s="229"/>
      <c r="Z223" s="236"/>
      <c r="AA223" s="237"/>
      <c r="AB223" s="238"/>
      <c r="AC223" s="223"/>
      <c r="AD223" s="222"/>
    </row>
    <row r="224" spans="1:30" x14ac:dyDescent="0.4">
      <c r="A224" s="230"/>
      <c r="B224" s="8">
        <v>46</v>
      </c>
      <c r="C224" s="14">
        <f t="shared" ca="1" si="130"/>
        <v>0.85</v>
      </c>
      <c r="D224" s="20">
        <f t="shared" ca="1" si="105"/>
        <v>1.02</v>
      </c>
      <c r="E224" s="225"/>
      <c r="F224" s="231"/>
      <c r="G224" s="172" t="str">
        <f t="shared" ca="1" si="125"/>
        <v/>
      </c>
      <c r="H224" s="93" t="str">
        <f t="shared" ca="1" si="126"/>
        <v/>
      </c>
      <c r="I224" s="21">
        <v>300</v>
      </c>
      <c r="J224" s="68">
        <f t="shared" si="127"/>
        <v>1.4166666666666667</v>
      </c>
      <c r="K224" s="70">
        <v>1.7</v>
      </c>
      <c r="L224" s="72">
        <f t="shared" ca="1" si="123"/>
        <v>0.45333333333333342</v>
      </c>
      <c r="M224" s="73">
        <f t="shared" ca="1" si="124"/>
        <v>136.00000000000003</v>
      </c>
      <c r="N224" s="12" t="s">
        <v>42</v>
      </c>
      <c r="O224" s="47" t="s">
        <v>45</v>
      </c>
      <c r="P224" s="13">
        <f t="shared" si="113"/>
        <v>1.7</v>
      </c>
      <c r="Q224" s="1" t="str">
        <f t="shared" si="114"/>
        <v>300-490 шт - 1,7 руб / шт с НДС</v>
      </c>
      <c r="R224" s="235"/>
      <c r="S224" s="239"/>
      <c r="T224" s="226"/>
      <c r="U224" s="228"/>
      <c r="V224" s="222"/>
      <c r="W224" s="229"/>
      <c r="X224" s="227"/>
      <c r="Y224" s="229"/>
      <c r="Z224" s="236"/>
      <c r="AA224" s="237"/>
      <c r="AB224" s="238"/>
      <c r="AC224" s="223"/>
      <c r="AD224" s="222"/>
    </row>
    <row r="225" spans="1:30" x14ac:dyDescent="0.4">
      <c r="A225" s="230"/>
      <c r="B225" s="8">
        <v>46</v>
      </c>
      <c r="C225" s="14">
        <f t="shared" ca="1" si="130"/>
        <v>0.85</v>
      </c>
      <c r="D225" s="20">
        <f t="shared" ref="D225:D288" ca="1" si="142">C225*1.2</f>
        <v>1.02</v>
      </c>
      <c r="E225" s="225"/>
      <c r="F225" s="231"/>
      <c r="G225" s="172" t="str">
        <f t="shared" ca="1" si="125"/>
        <v/>
      </c>
      <c r="H225" s="93" t="str">
        <f t="shared" ca="1" si="126"/>
        <v/>
      </c>
      <c r="I225" s="21">
        <v>500</v>
      </c>
      <c r="J225" s="68">
        <f t="shared" si="127"/>
        <v>1.2333333333333334</v>
      </c>
      <c r="K225" s="70">
        <v>1.48</v>
      </c>
      <c r="L225" s="72">
        <f t="shared" ca="1" si="123"/>
        <v>0.30666666666666675</v>
      </c>
      <c r="M225" s="73">
        <f t="shared" ca="1" si="124"/>
        <v>153.33333333333337</v>
      </c>
      <c r="N225" s="12" t="s">
        <v>43</v>
      </c>
      <c r="O225" s="47" t="s">
        <v>45</v>
      </c>
      <c r="P225" s="13">
        <f t="shared" si="113"/>
        <v>1.48</v>
      </c>
      <c r="Q225" s="1" t="str">
        <f t="shared" si="114"/>
        <v>500-990 шт - 1,48 руб / шт с НДС</v>
      </c>
      <c r="R225" s="235"/>
      <c r="S225" s="239"/>
      <c r="T225" s="226"/>
      <c r="U225" s="228"/>
      <c r="V225" s="222"/>
      <c r="W225" s="229"/>
      <c r="X225" s="227"/>
      <c r="Y225" s="229"/>
      <c r="Z225" s="236"/>
      <c r="AA225" s="237"/>
      <c r="AB225" s="238"/>
      <c r="AC225" s="223"/>
      <c r="AD225" s="222"/>
    </row>
    <row r="226" spans="1:30" x14ac:dyDescent="0.4">
      <c r="A226" s="230"/>
      <c r="B226" s="8">
        <v>46</v>
      </c>
      <c r="C226" s="14">
        <f t="shared" ca="1" si="130"/>
        <v>0.85</v>
      </c>
      <c r="D226" s="20">
        <f t="shared" ca="1" si="142"/>
        <v>1.02</v>
      </c>
      <c r="E226" s="225"/>
      <c r="F226" s="231"/>
      <c r="G226" s="172" t="str">
        <f t="shared" ca="1" si="125"/>
        <v/>
      </c>
      <c r="H226" s="93" t="str">
        <f t="shared" ca="1" si="126"/>
        <v/>
      </c>
      <c r="I226" s="21">
        <v>1000</v>
      </c>
      <c r="J226" s="68">
        <f t="shared" si="127"/>
        <v>1.1499999999999999</v>
      </c>
      <c r="K226" s="70">
        <v>1.38</v>
      </c>
      <c r="L226" s="72">
        <f t="shared" ca="1" si="123"/>
        <v>0.23999999999999994</v>
      </c>
      <c r="M226" s="73">
        <f t="shared" ca="1" si="124"/>
        <v>239.99999999999994</v>
      </c>
      <c r="N226" s="12" t="s">
        <v>44</v>
      </c>
      <c r="O226" s="47" t="s">
        <v>45</v>
      </c>
      <c r="P226" s="13">
        <f t="shared" si="113"/>
        <v>1.38</v>
      </c>
      <c r="Q226" s="1" t="str">
        <f t="shared" si="114"/>
        <v>1000 + шт - 1,38 руб / шт с НДС</v>
      </c>
      <c r="R226" s="235"/>
      <c r="S226" s="239"/>
      <c r="T226" s="226"/>
      <c r="U226" s="228"/>
      <c r="V226" s="222"/>
      <c r="W226" s="229"/>
      <c r="X226" s="227"/>
      <c r="Y226" s="229"/>
      <c r="Z226" s="236"/>
      <c r="AA226" s="237"/>
      <c r="AB226" s="238"/>
      <c r="AC226" s="223"/>
      <c r="AD226" s="222"/>
    </row>
    <row r="227" spans="1:30" x14ac:dyDescent="0.4">
      <c r="A227" s="230">
        <v>47</v>
      </c>
      <c r="B227" s="8">
        <v>47</v>
      </c>
      <c r="C227" s="14">
        <f t="shared" ca="1" si="130"/>
        <v>1.25</v>
      </c>
      <c r="D227" s="20">
        <f t="shared" ca="1" si="142"/>
        <v>1.5</v>
      </c>
      <c r="E227" s="224" t="str">
        <f ca="1">INDIRECT("'Закуп'!D" &amp; A227)</f>
        <v>У</v>
      </c>
      <c r="F227" s="231" t="str">
        <f t="shared" ref="F227" ca="1" si="143">INDIRECT("'Закуп'!E" &amp; B227)</f>
        <v>500х500х45</v>
      </c>
      <c r="G227" s="172" t="str">
        <f t="shared" ca="1" si="125"/>
        <v/>
      </c>
      <c r="H227" s="93" t="str">
        <f t="shared" ca="1" si="126"/>
        <v/>
      </c>
      <c r="I227" s="21">
        <v>50</v>
      </c>
      <c r="J227" s="68">
        <f t="shared" si="127"/>
        <v>3.3000000000000003</v>
      </c>
      <c r="K227" s="70">
        <v>3.96</v>
      </c>
      <c r="L227" s="72">
        <f t="shared" ca="1" si="123"/>
        <v>1.6400000000000001</v>
      </c>
      <c r="M227" s="73">
        <f t="shared" ca="1" si="124"/>
        <v>82</v>
      </c>
      <c r="N227" s="12" t="s">
        <v>40</v>
      </c>
      <c r="O227" s="47" t="s">
        <v>45</v>
      </c>
      <c r="P227" s="13">
        <f t="shared" si="113"/>
        <v>3.96</v>
      </c>
      <c r="Q227" s="1" t="str">
        <f t="shared" si="114"/>
        <v>50-90 шт - 3,96 руб / шт с НДС</v>
      </c>
      <c r="R227" s="235" t="str">
        <f ca="1">INDIRECT("'Закуп'!k" &amp; A227)</f>
        <v>K47</v>
      </c>
      <c r="S227" s="239">
        <f ca="1">INDIRECT("'Закуп'!o" &amp; A227)</f>
        <v>11.25</v>
      </c>
      <c r="T227" s="226" t="str">
        <f ca="1">INDIRECT("'Закуп'!p" &amp; A227)</f>
        <v>10-14,9 литров</v>
      </c>
      <c r="U227" s="228" t="str">
        <f ca="1">INDIRECT("'Закуп'!v" &amp; A227)</f>
        <v/>
      </c>
      <c r="V227" s="222" t="str">
        <f ca="1">INDIRECT("'Закуп'!w" &amp; A227)</f>
        <v>Плоские</v>
      </c>
      <c r="W227" s="229" t="str">
        <f ca="1">INDIRECT("'Закуп'!H" &amp; A227)</f>
        <v>0426</v>
      </c>
      <c r="X227" s="227" t="str">
        <f t="shared" ref="X227" ca="1" si="144">INDIRECT("'Закуп'!g" &amp; A227)</f>
        <v>С</v>
      </c>
      <c r="Y227" s="229" t="str">
        <f ca="1">INDIRECT("'Закуп'!i" &amp; A227)</f>
        <v>В</v>
      </c>
      <c r="Z227" s="236" t="str">
        <f ca="1">INDIRECT("'Закуп'!x" &amp; A227)</f>
        <v>500-599 мм</v>
      </c>
      <c r="AA227" s="237" t="str">
        <f ca="1">INDIRECT("'Закуп'!y" &amp; A227)</f>
        <v>500-599 мм</v>
      </c>
      <c r="AB227" s="238" t="str">
        <f ca="1">INDIRECT("'Закуп'!z" &amp; A227)</f>
        <v>10-99 мм</v>
      </c>
      <c r="AC227" s="223" t="str">
        <f t="shared" ca="1" si="110"/>
        <v>500x500x45</v>
      </c>
      <c r="AD227" s="222" t="str">
        <f t="shared" ca="1" si="135"/>
        <v>500x500x45 - 500*500*45 мм</v>
      </c>
    </row>
    <row r="228" spans="1:30" x14ac:dyDescent="0.4">
      <c r="A228" s="230"/>
      <c r="B228" s="8">
        <v>47</v>
      </c>
      <c r="C228" s="14">
        <f t="shared" ca="1" si="130"/>
        <v>1.25</v>
      </c>
      <c r="D228" s="20">
        <f t="shared" ca="1" si="142"/>
        <v>1.5</v>
      </c>
      <c r="E228" s="225"/>
      <c r="F228" s="231"/>
      <c r="G228" s="172" t="str">
        <f t="shared" ca="1" si="125"/>
        <v/>
      </c>
      <c r="H228" s="93" t="str">
        <f t="shared" ca="1" si="126"/>
        <v/>
      </c>
      <c r="I228" s="21">
        <v>100</v>
      </c>
      <c r="J228" s="68">
        <f t="shared" si="127"/>
        <v>3.125</v>
      </c>
      <c r="K228" s="70">
        <v>3.75</v>
      </c>
      <c r="L228" s="72">
        <f t="shared" ca="1" si="123"/>
        <v>1.5</v>
      </c>
      <c r="M228" s="73">
        <f t="shared" ca="1" si="124"/>
        <v>150</v>
      </c>
      <c r="N228" s="12" t="s">
        <v>41</v>
      </c>
      <c r="O228" s="47" t="s">
        <v>45</v>
      </c>
      <c r="P228" s="13">
        <f t="shared" si="113"/>
        <v>3.75</v>
      </c>
      <c r="Q228" s="1" t="str">
        <f t="shared" si="114"/>
        <v>100-290 шт - 3,75 руб / шт с НДС</v>
      </c>
      <c r="R228" s="235"/>
      <c r="S228" s="239"/>
      <c r="T228" s="226"/>
      <c r="U228" s="228"/>
      <c r="V228" s="222"/>
      <c r="W228" s="229"/>
      <c r="X228" s="227"/>
      <c r="Y228" s="229"/>
      <c r="Z228" s="236"/>
      <c r="AA228" s="237"/>
      <c r="AB228" s="238"/>
      <c r="AC228" s="223"/>
      <c r="AD228" s="222"/>
    </row>
    <row r="229" spans="1:30" x14ac:dyDescent="0.4">
      <c r="A229" s="230"/>
      <c r="B229" s="8">
        <v>47</v>
      </c>
      <c r="C229" s="14">
        <f t="shared" ca="1" si="130"/>
        <v>1.25</v>
      </c>
      <c r="D229" s="20">
        <f t="shared" ca="1" si="142"/>
        <v>1.5</v>
      </c>
      <c r="E229" s="225"/>
      <c r="F229" s="231"/>
      <c r="G229" s="172" t="str">
        <f t="shared" ca="1" si="125"/>
        <v/>
      </c>
      <c r="H229" s="93" t="str">
        <f t="shared" ca="1" si="126"/>
        <v/>
      </c>
      <c r="I229" s="21">
        <v>300</v>
      </c>
      <c r="J229" s="68">
        <f t="shared" si="127"/>
        <v>2.7583333333333333</v>
      </c>
      <c r="K229" s="70">
        <v>3.31</v>
      </c>
      <c r="L229" s="72">
        <f t="shared" ca="1" si="123"/>
        <v>1.2066666666666666</v>
      </c>
      <c r="M229" s="73">
        <f t="shared" ca="1" si="124"/>
        <v>361.99999999999994</v>
      </c>
      <c r="N229" s="12" t="s">
        <v>42</v>
      </c>
      <c r="O229" s="47" t="s">
        <v>45</v>
      </c>
      <c r="P229" s="13">
        <f t="shared" si="113"/>
        <v>3.31</v>
      </c>
      <c r="Q229" s="1" t="str">
        <f t="shared" si="114"/>
        <v>300-490 шт - 3,31 руб / шт с НДС</v>
      </c>
      <c r="R229" s="235"/>
      <c r="S229" s="239"/>
      <c r="T229" s="226"/>
      <c r="U229" s="228"/>
      <c r="V229" s="222"/>
      <c r="W229" s="229"/>
      <c r="X229" s="227"/>
      <c r="Y229" s="229"/>
      <c r="Z229" s="236"/>
      <c r="AA229" s="237"/>
      <c r="AB229" s="238"/>
      <c r="AC229" s="223"/>
      <c r="AD229" s="222"/>
    </row>
    <row r="230" spans="1:30" x14ac:dyDescent="0.4">
      <c r="A230" s="230"/>
      <c r="B230" s="8">
        <v>47</v>
      </c>
      <c r="C230" s="14">
        <f t="shared" ca="1" si="130"/>
        <v>1.25</v>
      </c>
      <c r="D230" s="20">
        <f t="shared" ca="1" si="142"/>
        <v>1.5</v>
      </c>
      <c r="E230" s="225"/>
      <c r="F230" s="231"/>
      <c r="G230" s="172" t="str">
        <f t="shared" ca="1" si="125"/>
        <v/>
      </c>
      <c r="H230" s="93" t="str">
        <f t="shared" ca="1" si="126"/>
        <v/>
      </c>
      <c r="I230" s="21">
        <v>500</v>
      </c>
      <c r="J230" s="68">
        <f t="shared" si="127"/>
        <v>2.35</v>
      </c>
      <c r="K230" s="70">
        <v>2.82</v>
      </c>
      <c r="L230" s="72">
        <f t="shared" ca="1" si="123"/>
        <v>0.88000000000000012</v>
      </c>
      <c r="M230" s="73">
        <f t="shared" ca="1" si="124"/>
        <v>440.00000000000006</v>
      </c>
      <c r="N230" s="12" t="s">
        <v>43</v>
      </c>
      <c r="O230" s="47" t="s">
        <v>45</v>
      </c>
      <c r="P230" s="13">
        <f t="shared" si="113"/>
        <v>2.82</v>
      </c>
      <c r="Q230" s="1" t="str">
        <f t="shared" si="114"/>
        <v>500-990 шт - 2,82 руб / шт с НДС</v>
      </c>
      <c r="R230" s="235"/>
      <c r="S230" s="239"/>
      <c r="T230" s="226"/>
      <c r="U230" s="228"/>
      <c r="V230" s="222"/>
      <c r="W230" s="229"/>
      <c r="X230" s="227"/>
      <c r="Y230" s="229"/>
      <c r="Z230" s="236"/>
      <c r="AA230" s="237"/>
      <c r="AB230" s="238"/>
      <c r="AC230" s="223"/>
      <c r="AD230" s="222"/>
    </row>
    <row r="231" spans="1:30" x14ac:dyDescent="0.4">
      <c r="A231" s="230"/>
      <c r="B231" s="8">
        <v>47</v>
      </c>
      <c r="C231" s="14">
        <f t="shared" ca="1" si="130"/>
        <v>1.25</v>
      </c>
      <c r="D231" s="20">
        <f t="shared" ca="1" si="142"/>
        <v>1.5</v>
      </c>
      <c r="E231" s="225"/>
      <c r="F231" s="231"/>
      <c r="G231" s="172" t="str">
        <f t="shared" ca="1" si="125"/>
        <v/>
      </c>
      <c r="H231" s="93" t="str">
        <f t="shared" ca="1" si="126"/>
        <v/>
      </c>
      <c r="I231" s="21">
        <v>1000</v>
      </c>
      <c r="J231" s="68">
        <f t="shared" si="127"/>
        <v>2</v>
      </c>
      <c r="K231" s="70">
        <v>2.4</v>
      </c>
      <c r="L231" s="72">
        <f t="shared" ca="1" si="123"/>
        <v>0.6</v>
      </c>
      <c r="M231" s="73">
        <f t="shared" ca="1" si="124"/>
        <v>600</v>
      </c>
      <c r="N231" s="12" t="s">
        <v>44</v>
      </c>
      <c r="O231" s="47" t="s">
        <v>45</v>
      </c>
      <c r="P231" s="13">
        <f t="shared" si="113"/>
        <v>2.4</v>
      </c>
      <c r="Q231" s="1" t="str">
        <f t="shared" si="114"/>
        <v>1000 + шт - 2,4 руб / шт с НДС</v>
      </c>
      <c r="R231" s="235"/>
      <c r="S231" s="239"/>
      <c r="T231" s="226"/>
      <c r="U231" s="228"/>
      <c r="V231" s="222"/>
      <c r="W231" s="229"/>
      <c r="X231" s="227"/>
      <c r="Y231" s="229"/>
      <c r="Z231" s="236"/>
      <c r="AA231" s="237"/>
      <c r="AB231" s="238"/>
      <c r="AC231" s="223"/>
      <c r="AD231" s="222"/>
    </row>
    <row r="232" spans="1:30" x14ac:dyDescent="0.4">
      <c r="A232" s="230">
        <v>48</v>
      </c>
      <c r="B232" s="8">
        <v>48</v>
      </c>
      <c r="C232" s="14">
        <f t="shared" ca="1" si="130"/>
        <v>1.61</v>
      </c>
      <c r="D232" s="20">
        <f t="shared" ca="1" si="142"/>
        <v>1.9319999999999999</v>
      </c>
      <c r="E232" s="224" t="str">
        <f ca="1">INDIRECT("'Закуп'!D" &amp; A232)</f>
        <v>У</v>
      </c>
      <c r="F232" s="231" t="str">
        <f t="shared" ref="F232" ca="1" si="145">INDIRECT("'Закуп'!E" &amp; B232)</f>
        <v>250х120х900</v>
      </c>
      <c r="G232" s="172" t="str">
        <f t="shared" ca="1" si="125"/>
        <v/>
      </c>
      <c r="H232" s="93" t="str">
        <f t="shared" ca="1" si="126"/>
        <v/>
      </c>
      <c r="I232" s="21">
        <v>50</v>
      </c>
      <c r="J232" s="68">
        <f t="shared" si="127"/>
        <v>3.4416666666666669</v>
      </c>
      <c r="K232" s="70">
        <v>4.13</v>
      </c>
      <c r="L232" s="72">
        <f t="shared" ca="1" si="123"/>
        <v>1.4653333333333334</v>
      </c>
      <c r="M232" s="73">
        <f t="shared" ca="1" si="124"/>
        <v>73.266666666666666</v>
      </c>
      <c r="N232" s="12" t="s">
        <v>40</v>
      </c>
      <c r="O232" s="47" t="s">
        <v>45</v>
      </c>
      <c r="P232" s="13">
        <f t="shared" si="113"/>
        <v>4.13</v>
      </c>
      <c r="Q232" s="1" t="str">
        <f t="shared" si="114"/>
        <v>50-90 шт - 4,13 руб / шт с НДС</v>
      </c>
      <c r="R232" s="235" t="str">
        <f ca="1">INDIRECT("'Закуп'!k" &amp; A232)</f>
        <v>K48</v>
      </c>
      <c r="S232" s="239">
        <f ca="1">INDIRECT("'Закуп'!o" &amp; A232)</f>
        <v>27</v>
      </c>
      <c r="T232" s="226" t="str">
        <f ca="1">INDIRECT("'Закуп'!p" &amp; A232)</f>
        <v>20-29 литров</v>
      </c>
      <c r="U232" s="228" t="str">
        <f ca="1">INDIRECT("'Закуп'!v" &amp; A232)</f>
        <v>Длинные</v>
      </c>
      <c r="V232" s="222" t="str">
        <f ca="1">INDIRECT("'Закуп'!w" &amp; A232)</f>
        <v>Плоские</v>
      </c>
      <c r="W232" s="229" t="str">
        <f ca="1">INDIRECT("'Закуп'!H" &amp; A232)</f>
        <v>0201</v>
      </c>
      <c r="X232" s="227" t="str">
        <f t="shared" ref="X232" ca="1" si="146">INDIRECT("'Закуп'!g" &amp; A232)</f>
        <v>С</v>
      </c>
      <c r="Y232" s="229" t="str">
        <f ca="1">INDIRECT("'Закуп'!i" &amp; A232)</f>
        <v>В</v>
      </c>
      <c r="Z232" s="236" t="str">
        <f ca="1">INDIRECT("'Закуп'!x" &amp; A232)</f>
        <v>700-999 мм</v>
      </c>
      <c r="AA232" s="237" t="str">
        <f ca="1">INDIRECT("'Закуп'!y" &amp; A232)</f>
        <v>200-299 мм</v>
      </c>
      <c r="AB232" s="238" t="str">
        <f ca="1">INDIRECT("'Закуп'!z" &amp; A232)</f>
        <v>100-199 мм</v>
      </c>
      <c r="AC232" s="223" t="str">
        <f t="shared" ref="AC232:AC292" ca="1" si="147">SUBSTITUTE(INDEX(F:F, ROUNDUP((ROW(A231))/5,0)*5 - 3), "х", "x")</f>
        <v>250x120x900</v>
      </c>
      <c r="AD232" s="222" t="str">
        <f t="shared" ca="1" si="135"/>
        <v>250x120x900 - 250*120*900 мм</v>
      </c>
    </row>
    <row r="233" spans="1:30" x14ac:dyDescent="0.4">
      <c r="A233" s="230"/>
      <c r="B233" s="8">
        <v>48</v>
      </c>
      <c r="C233" s="14">
        <f t="shared" ca="1" si="130"/>
        <v>1.61</v>
      </c>
      <c r="D233" s="20">
        <f t="shared" ca="1" si="142"/>
        <v>1.9319999999999999</v>
      </c>
      <c r="E233" s="225"/>
      <c r="F233" s="231"/>
      <c r="G233" s="172" t="str">
        <f t="shared" ca="1" si="125"/>
        <v/>
      </c>
      <c r="H233" s="93" t="str">
        <f t="shared" ca="1" si="126"/>
        <v/>
      </c>
      <c r="I233" s="21">
        <v>100</v>
      </c>
      <c r="J233" s="68">
        <f t="shared" si="127"/>
        <v>2.7166666666666668</v>
      </c>
      <c r="K233" s="70">
        <v>3.26</v>
      </c>
      <c r="L233" s="72">
        <f t="shared" ca="1" si="123"/>
        <v>0.88533333333333331</v>
      </c>
      <c r="M233" s="73">
        <f t="shared" ca="1" si="124"/>
        <v>88.533333333333331</v>
      </c>
      <c r="N233" s="12" t="s">
        <v>41</v>
      </c>
      <c r="O233" s="47" t="s">
        <v>45</v>
      </c>
      <c r="P233" s="13">
        <f t="shared" si="113"/>
        <v>3.26</v>
      </c>
      <c r="Q233" s="1" t="str">
        <f t="shared" si="114"/>
        <v>100-290 шт - 3,26 руб / шт с НДС</v>
      </c>
      <c r="R233" s="235"/>
      <c r="S233" s="239"/>
      <c r="T233" s="226"/>
      <c r="U233" s="228"/>
      <c r="V233" s="222"/>
      <c r="W233" s="229"/>
      <c r="X233" s="227"/>
      <c r="Y233" s="229"/>
      <c r="Z233" s="236"/>
      <c r="AA233" s="237"/>
      <c r="AB233" s="238"/>
      <c r="AC233" s="223"/>
      <c r="AD233" s="222"/>
    </row>
    <row r="234" spans="1:30" x14ac:dyDescent="0.4">
      <c r="A234" s="230"/>
      <c r="B234" s="8">
        <v>48</v>
      </c>
      <c r="C234" s="14">
        <f t="shared" ca="1" si="130"/>
        <v>1.61</v>
      </c>
      <c r="D234" s="20">
        <f t="shared" ca="1" si="142"/>
        <v>1.9319999999999999</v>
      </c>
      <c r="E234" s="225"/>
      <c r="F234" s="231"/>
      <c r="G234" s="172" t="str">
        <f t="shared" ca="1" si="125"/>
        <v/>
      </c>
      <c r="H234" s="93" t="str">
        <f t="shared" ca="1" si="126"/>
        <v/>
      </c>
      <c r="I234" s="21">
        <v>300</v>
      </c>
      <c r="J234" s="68">
        <f t="shared" si="127"/>
        <v>2.291666666666667</v>
      </c>
      <c r="K234" s="70">
        <v>2.75</v>
      </c>
      <c r="L234" s="72">
        <f t="shared" ca="1" si="123"/>
        <v>0.54533333333333345</v>
      </c>
      <c r="M234" s="73">
        <f t="shared" ca="1" si="124"/>
        <v>163.60000000000002</v>
      </c>
      <c r="N234" s="12" t="s">
        <v>42</v>
      </c>
      <c r="O234" s="47" t="s">
        <v>45</v>
      </c>
      <c r="P234" s="13">
        <f t="shared" si="113"/>
        <v>2.75</v>
      </c>
      <c r="Q234" s="1" t="str">
        <f t="shared" si="114"/>
        <v>300-490 шт - 2,75 руб / шт с НДС</v>
      </c>
      <c r="R234" s="235"/>
      <c r="S234" s="239"/>
      <c r="T234" s="226"/>
      <c r="U234" s="228"/>
      <c r="V234" s="222"/>
      <c r="W234" s="229"/>
      <c r="X234" s="227"/>
      <c r="Y234" s="229"/>
      <c r="Z234" s="236"/>
      <c r="AA234" s="237"/>
      <c r="AB234" s="238"/>
      <c r="AC234" s="223"/>
      <c r="AD234" s="222"/>
    </row>
    <row r="235" spans="1:30" x14ac:dyDescent="0.4">
      <c r="A235" s="230"/>
      <c r="B235" s="8">
        <v>48</v>
      </c>
      <c r="C235" s="14">
        <f t="shared" ca="1" si="130"/>
        <v>1.61</v>
      </c>
      <c r="D235" s="20">
        <f t="shared" ca="1" si="142"/>
        <v>1.9319999999999999</v>
      </c>
      <c r="E235" s="225"/>
      <c r="F235" s="231"/>
      <c r="G235" s="172" t="str">
        <f t="shared" ca="1" si="125"/>
        <v/>
      </c>
      <c r="H235" s="93" t="str">
        <f t="shared" ca="1" si="126"/>
        <v/>
      </c>
      <c r="I235" s="21">
        <v>500</v>
      </c>
      <c r="J235" s="68">
        <f t="shared" si="127"/>
        <v>2.166666666666667</v>
      </c>
      <c r="K235" s="70">
        <v>2.6</v>
      </c>
      <c r="L235" s="72">
        <f t="shared" ca="1" si="123"/>
        <v>0.44533333333333347</v>
      </c>
      <c r="M235" s="73">
        <f t="shared" ca="1" si="124"/>
        <v>222.66666666666674</v>
      </c>
      <c r="N235" s="12" t="s">
        <v>43</v>
      </c>
      <c r="O235" s="47" t="s">
        <v>45</v>
      </c>
      <c r="P235" s="13">
        <f t="shared" si="113"/>
        <v>2.6</v>
      </c>
      <c r="Q235" s="1" t="str">
        <f t="shared" si="114"/>
        <v>500-990 шт - 2,6 руб / шт с НДС</v>
      </c>
      <c r="R235" s="235"/>
      <c r="S235" s="239"/>
      <c r="T235" s="226"/>
      <c r="U235" s="228"/>
      <c r="V235" s="222"/>
      <c r="W235" s="229"/>
      <c r="X235" s="227"/>
      <c r="Y235" s="229"/>
      <c r="Z235" s="236"/>
      <c r="AA235" s="237"/>
      <c r="AB235" s="238"/>
      <c r="AC235" s="223"/>
      <c r="AD235" s="222"/>
    </row>
    <row r="236" spans="1:30" x14ac:dyDescent="0.4">
      <c r="A236" s="230"/>
      <c r="B236" s="8">
        <v>48</v>
      </c>
      <c r="C236" s="14">
        <f t="shared" ca="1" si="130"/>
        <v>1.61</v>
      </c>
      <c r="D236" s="20">
        <f t="shared" ca="1" si="142"/>
        <v>1.9319999999999999</v>
      </c>
      <c r="E236" s="225"/>
      <c r="F236" s="231"/>
      <c r="G236" s="172" t="str">
        <f t="shared" ca="1" si="125"/>
        <v/>
      </c>
      <c r="H236" s="93" t="str">
        <f t="shared" ca="1" si="126"/>
        <v/>
      </c>
      <c r="I236" s="21">
        <v>1000</v>
      </c>
      <c r="J236" s="68">
        <f t="shared" si="127"/>
        <v>2.1083333333333334</v>
      </c>
      <c r="K236" s="70">
        <v>2.5299999999999998</v>
      </c>
      <c r="L236" s="72">
        <f t="shared" ca="1" si="123"/>
        <v>0.39866666666666661</v>
      </c>
      <c r="M236" s="73">
        <f t="shared" ca="1" si="124"/>
        <v>398.66666666666663</v>
      </c>
      <c r="N236" s="12" t="s">
        <v>44</v>
      </c>
      <c r="O236" s="47" t="s">
        <v>45</v>
      </c>
      <c r="P236" s="13">
        <f t="shared" si="113"/>
        <v>2.5299999999999998</v>
      </c>
      <c r="Q236" s="1" t="str">
        <f t="shared" si="114"/>
        <v>1000 + шт - 2,53 руб / шт с НДС</v>
      </c>
      <c r="R236" s="235"/>
      <c r="S236" s="239"/>
      <c r="T236" s="226"/>
      <c r="U236" s="228"/>
      <c r="V236" s="222"/>
      <c r="W236" s="229"/>
      <c r="X236" s="227"/>
      <c r="Y236" s="229"/>
      <c r="Z236" s="236"/>
      <c r="AA236" s="237"/>
      <c r="AB236" s="238"/>
      <c r="AC236" s="223"/>
      <c r="AD236" s="222"/>
    </row>
    <row r="237" spans="1:30" x14ac:dyDescent="0.4">
      <c r="A237" s="230">
        <v>49</v>
      </c>
      <c r="B237" s="8">
        <v>49</v>
      </c>
      <c r="C237" s="14">
        <f t="shared" ca="1" si="130"/>
        <v>0.86</v>
      </c>
      <c r="D237" s="20">
        <f t="shared" ca="1" si="142"/>
        <v>1.032</v>
      </c>
      <c r="E237" s="224" t="str">
        <f ca="1">INDIRECT("'Закуп'!D" &amp; A237)</f>
        <v>У</v>
      </c>
      <c r="F237" s="231" t="str">
        <f t="shared" ref="F237" ca="1" si="148">INDIRECT("'Закуп'!E" &amp; B237)</f>
        <v>350х350х40</v>
      </c>
      <c r="G237" s="172" t="str">
        <f t="shared" ca="1" si="125"/>
        <v/>
      </c>
      <c r="H237" s="93" t="str">
        <f t="shared" ca="1" si="126"/>
        <v/>
      </c>
      <c r="I237" s="21">
        <v>50</v>
      </c>
      <c r="J237" s="68">
        <f t="shared" si="127"/>
        <v>2.0250000000000004</v>
      </c>
      <c r="K237" s="70">
        <v>2.4300000000000002</v>
      </c>
      <c r="L237" s="72">
        <f t="shared" ca="1" si="123"/>
        <v>0.93200000000000038</v>
      </c>
      <c r="M237" s="73">
        <f t="shared" ca="1" si="124"/>
        <v>46.600000000000023</v>
      </c>
      <c r="N237" s="12" t="s">
        <v>40</v>
      </c>
      <c r="O237" s="47" t="s">
        <v>45</v>
      </c>
      <c r="P237" s="13">
        <f t="shared" si="113"/>
        <v>2.4300000000000002</v>
      </c>
      <c r="Q237" s="1" t="str">
        <f t="shared" si="114"/>
        <v>50-90 шт - 2,43 руб / шт с НДС</v>
      </c>
      <c r="R237" s="235" t="str">
        <f ca="1">INDIRECT("'Закуп'!k" &amp; A237)</f>
        <v>K49</v>
      </c>
      <c r="S237" s="239">
        <f ca="1">INDIRECT("'Закуп'!o" &amp; A237)</f>
        <v>4.9000000000000004</v>
      </c>
      <c r="T237" s="226" t="str">
        <f ca="1">INDIRECT("'Закуп'!p" &amp; A237)</f>
        <v>4-5,9 литра</v>
      </c>
      <c r="U237" s="228" t="str">
        <f ca="1">INDIRECT("'Закуп'!v" &amp; A237)</f>
        <v/>
      </c>
      <c r="V237" s="222" t="str">
        <f ca="1">INDIRECT("'Закуп'!w" &amp; A237)</f>
        <v>Плоские</v>
      </c>
      <c r="W237" s="229" t="str">
        <f ca="1">INDIRECT("'Закуп'!H" &amp; A237)</f>
        <v>0427</v>
      </c>
      <c r="X237" s="227" t="str">
        <f t="shared" ref="X237" ca="1" si="149">INDIRECT("'Закуп'!g" &amp; A237)</f>
        <v>С</v>
      </c>
      <c r="Y237" s="229" t="str">
        <f ca="1">INDIRECT("'Закуп'!i" &amp; A237)</f>
        <v>В</v>
      </c>
      <c r="Z237" s="236" t="str">
        <f ca="1">INDIRECT("'Закуп'!x" &amp; A237)</f>
        <v>300-399 мм</v>
      </c>
      <c r="AA237" s="237" t="str">
        <f ca="1">INDIRECT("'Закуп'!y" &amp; A237)</f>
        <v>300-399 мм</v>
      </c>
      <c r="AB237" s="238" t="str">
        <f ca="1">INDIRECT("'Закуп'!z" &amp; A237)</f>
        <v>10-99 мм</v>
      </c>
      <c r="AC237" s="223" t="str">
        <f t="shared" ca="1" si="147"/>
        <v>350x350x40</v>
      </c>
      <c r="AD237" s="222" t="str">
        <f t="shared" ca="1" si="135"/>
        <v>350x350x40 - 350*350*40 мм</v>
      </c>
    </row>
    <row r="238" spans="1:30" x14ac:dyDescent="0.4">
      <c r="A238" s="230"/>
      <c r="B238" s="8">
        <v>49</v>
      </c>
      <c r="C238" s="14">
        <f t="shared" ca="1" si="130"/>
        <v>0.86</v>
      </c>
      <c r="D238" s="20">
        <f t="shared" ca="1" si="142"/>
        <v>1.032</v>
      </c>
      <c r="E238" s="225"/>
      <c r="F238" s="231"/>
      <c r="G238" s="172" t="str">
        <f t="shared" ca="1" si="125"/>
        <v/>
      </c>
      <c r="H238" s="93" t="str">
        <f t="shared" ca="1" si="126"/>
        <v/>
      </c>
      <c r="I238" s="21">
        <v>100</v>
      </c>
      <c r="J238" s="68">
        <f t="shared" si="127"/>
        <v>1.8333333333333335</v>
      </c>
      <c r="K238" s="70">
        <v>2.2000000000000002</v>
      </c>
      <c r="L238" s="72">
        <f t="shared" ca="1" si="123"/>
        <v>0.77866666666666684</v>
      </c>
      <c r="M238" s="73">
        <f t="shared" ca="1" si="124"/>
        <v>77.866666666666688</v>
      </c>
      <c r="N238" s="12" t="s">
        <v>41</v>
      </c>
      <c r="O238" s="47" t="s">
        <v>45</v>
      </c>
      <c r="P238" s="13">
        <f t="shared" si="113"/>
        <v>2.2000000000000002</v>
      </c>
      <c r="Q238" s="1" t="str">
        <f t="shared" si="114"/>
        <v>100-290 шт - 2,2 руб / шт с НДС</v>
      </c>
      <c r="R238" s="235"/>
      <c r="S238" s="239"/>
      <c r="T238" s="226"/>
      <c r="U238" s="228"/>
      <c r="V238" s="222"/>
      <c r="W238" s="229"/>
      <c r="X238" s="227"/>
      <c r="Y238" s="229"/>
      <c r="Z238" s="236"/>
      <c r="AA238" s="237"/>
      <c r="AB238" s="238"/>
      <c r="AC238" s="223"/>
      <c r="AD238" s="222"/>
    </row>
    <row r="239" spans="1:30" x14ac:dyDescent="0.4">
      <c r="A239" s="230"/>
      <c r="B239" s="8">
        <v>49</v>
      </c>
      <c r="C239" s="14">
        <f t="shared" ca="1" si="130"/>
        <v>0.86</v>
      </c>
      <c r="D239" s="20">
        <f t="shared" ca="1" si="142"/>
        <v>1.032</v>
      </c>
      <c r="E239" s="225"/>
      <c r="F239" s="231"/>
      <c r="G239" s="172" t="str">
        <f t="shared" ca="1" si="125"/>
        <v/>
      </c>
      <c r="H239" s="93" t="str">
        <f t="shared" ca="1" si="126"/>
        <v/>
      </c>
      <c r="I239" s="21">
        <v>300</v>
      </c>
      <c r="J239" s="68">
        <f t="shared" si="127"/>
        <v>1.4333333333333333</v>
      </c>
      <c r="K239" s="70">
        <v>1.72</v>
      </c>
      <c r="L239" s="72">
        <f t="shared" ca="1" si="123"/>
        <v>0.45866666666666667</v>
      </c>
      <c r="M239" s="73">
        <f t="shared" ca="1" si="124"/>
        <v>137.6</v>
      </c>
      <c r="N239" s="12" t="s">
        <v>42</v>
      </c>
      <c r="O239" s="47" t="s">
        <v>45</v>
      </c>
      <c r="P239" s="13">
        <f t="shared" ref="P239:P302" si="150">ROUND(K239,2)</f>
        <v>1.72</v>
      </c>
      <c r="Q239" s="1" t="str">
        <f t="shared" si="114"/>
        <v>300-490 шт - 1,72 руб / шт с НДС</v>
      </c>
      <c r="R239" s="235"/>
      <c r="S239" s="239"/>
      <c r="T239" s="226"/>
      <c r="U239" s="228"/>
      <c r="V239" s="222"/>
      <c r="W239" s="229"/>
      <c r="X239" s="227"/>
      <c r="Y239" s="229"/>
      <c r="Z239" s="236"/>
      <c r="AA239" s="237"/>
      <c r="AB239" s="238"/>
      <c r="AC239" s="223"/>
      <c r="AD239" s="222"/>
    </row>
    <row r="240" spans="1:30" x14ac:dyDescent="0.4">
      <c r="A240" s="230"/>
      <c r="B240" s="8">
        <v>49</v>
      </c>
      <c r="C240" s="14">
        <f t="shared" ca="1" si="130"/>
        <v>0.86</v>
      </c>
      <c r="D240" s="20">
        <f t="shared" ca="1" si="142"/>
        <v>1.032</v>
      </c>
      <c r="E240" s="225"/>
      <c r="F240" s="231"/>
      <c r="G240" s="172" t="str">
        <f t="shared" ca="1" si="125"/>
        <v/>
      </c>
      <c r="H240" s="93" t="str">
        <f t="shared" ca="1" si="126"/>
        <v/>
      </c>
      <c r="I240" s="21">
        <v>500</v>
      </c>
      <c r="J240" s="68">
        <f t="shared" si="127"/>
        <v>1.2416666666666667</v>
      </c>
      <c r="K240" s="70">
        <v>1.49</v>
      </c>
      <c r="L240" s="72">
        <f t="shared" ca="1" si="123"/>
        <v>0.30533333333333335</v>
      </c>
      <c r="M240" s="73">
        <f t="shared" ca="1" si="124"/>
        <v>152.66666666666669</v>
      </c>
      <c r="N240" s="12" t="s">
        <v>43</v>
      </c>
      <c r="O240" s="47" t="s">
        <v>45</v>
      </c>
      <c r="P240" s="13">
        <f t="shared" si="150"/>
        <v>1.49</v>
      </c>
      <c r="Q240" s="1" t="str">
        <f t="shared" ref="Q240:Q303" si="151">CONCATENATE(N240,P240,O240,)</f>
        <v>500-990 шт - 1,49 руб / шт с НДС</v>
      </c>
      <c r="R240" s="235"/>
      <c r="S240" s="239"/>
      <c r="T240" s="226"/>
      <c r="U240" s="228"/>
      <c r="V240" s="222"/>
      <c r="W240" s="229"/>
      <c r="X240" s="227"/>
      <c r="Y240" s="229"/>
      <c r="Z240" s="236"/>
      <c r="AA240" s="237"/>
      <c r="AB240" s="238"/>
      <c r="AC240" s="223"/>
      <c r="AD240" s="222"/>
    </row>
    <row r="241" spans="1:30" x14ac:dyDescent="0.4">
      <c r="A241" s="230"/>
      <c r="B241" s="8">
        <v>49</v>
      </c>
      <c r="C241" s="14">
        <f t="shared" ca="1" si="130"/>
        <v>0.86</v>
      </c>
      <c r="D241" s="20">
        <f t="shared" ca="1" si="142"/>
        <v>1.032</v>
      </c>
      <c r="E241" s="225"/>
      <c r="F241" s="231"/>
      <c r="G241" s="172" t="str">
        <f t="shared" ca="1" si="125"/>
        <v/>
      </c>
      <c r="H241" s="93" t="str">
        <f t="shared" ca="1" si="126"/>
        <v/>
      </c>
      <c r="I241" s="21">
        <v>1000</v>
      </c>
      <c r="J241" s="68">
        <f t="shared" si="127"/>
        <v>1.1583333333333332</v>
      </c>
      <c r="K241" s="70">
        <v>1.39</v>
      </c>
      <c r="L241" s="72">
        <f t="shared" ca="1" si="123"/>
        <v>0.23866666666666658</v>
      </c>
      <c r="M241" s="73">
        <f t="shared" ca="1" si="124"/>
        <v>238.66666666666657</v>
      </c>
      <c r="N241" s="12" t="s">
        <v>44</v>
      </c>
      <c r="O241" s="47" t="s">
        <v>45</v>
      </c>
      <c r="P241" s="13">
        <f t="shared" si="150"/>
        <v>1.39</v>
      </c>
      <c r="Q241" s="1" t="str">
        <f t="shared" si="151"/>
        <v>1000 + шт - 1,39 руб / шт с НДС</v>
      </c>
      <c r="R241" s="235"/>
      <c r="S241" s="239"/>
      <c r="T241" s="226"/>
      <c r="U241" s="228"/>
      <c r="V241" s="222"/>
      <c r="W241" s="229"/>
      <c r="X241" s="227"/>
      <c r="Y241" s="229"/>
      <c r="Z241" s="236"/>
      <c r="AA241" s="237"/>
      <c r="AB241" s="238"/>
      <c r="AC241" s="223"/>
      <c r="AD241" s="222"/>
    </row>
    <row r="242" spans="1:30" x14ac:dyDescent="0.4">
      <c r="A242" s="230">
        <v>50</v>
      </c>
      <c r="B242" s="8">
        <v>50</v>
      </c>
      <c r="C242" s="14">
        <f t="shared" ca="1" si="130"/>
        <v>0.86</v>
      </c>
      <c r="D242" s="20">
        <f t="shared" ca="1" si="142"/>
        <v>1.032</v>
      </c>
      <c r="E242" s="224" t="str">
        <f ca="1">INDIRECT("'Закуп'!D" &amp; A242)</f>
        <v>У</v>
      </c>
      <c r="F242" s="231" t="str">
        <f t="shared" ref="F242" ca="1" si="152">INDIRECT("'Закуп'!E" &amp; B242)</f>
        <v>935х135х55</v>
      </c>
      <c r="G242" s="172" t="str">
        <f t="shared" ca="1" si="125"/>
        <v/>
      </c>
      <c r="H242" s="93" t="str">
        <f t="shared" ca="1" si="126"/>
        <v/>
      </c>
      <c r="I242" s="21">
        <v>50</v>
      </c>
      <c r="J242" s="68">
        <f t="shared" si="127"/>
        <v>2.0250000000000004</v>
      </c>
      <c r="K242" s="70">
        <v>2.4300000000000002</v>
      </c>
      <c r="L242" s="72">
        <f t="shared" ca="1" si="123"/>
        <v>0.93200000000000038</v>
      </c>
      <c r="M242" s="73">
        <f t="shared" ca="1" si="124"/>
        <v>46.600000000000023</v>
      </c>
      <c r="N242" s="12" t="s">
        <v>40</v>
      </c>
      <c r="O242" s="47" t="s">
        <v>45</v>
      </c>
      <c r="P242" s="13">
        <f t="shared" si="150"/>
        <v>2.4300000000000002</v>
      </c>
      <c r="Q242" s="1" t="str">
        <f t="shared" si="151"/>
        <v>50-90 шт - 2,43 руб / шт с НДС</v>
      </c>
      <c r="R242" s="235" t="str">
        <f ca="1">INDIRECT("'Закуп'!k" &amp; A242)</f>
        <v>K50</v>
      </c>
      <c r="S242" s="239">
        <f ca="1">INDIRECT("'Закуп'!o" &amp; A242)</f>
        <v>6.94</v>
      </c>
      <c r="T242" s="226" t="str">
        <f ca="1">INDIRECT("'Закуп'!p" &amp; A242)</f>
        <v>6-7,9 литра</v>
      </c>
      <c r="U242" s="228" t="str">
        <f ca="1">INDIRECT("'Закуп'!v" &amp; A242)</f>
        <v>Длинные</v>
      </c>
      <c r="V242" s="222" t="str">
        <f ca="1">INDIRECT("'Закуп'!w" &amp; A242)</f>
        <v>Плоские</v>
      </c>
      <c r="W242" s="229" t="str">
        <f ca="1">INDIRECT("'Закуп'!H" &amp; A242)</f>
        <v>0421</v>
      </c>
      <c r="X242" s="227" t="str">
        <f t="shared" ref="X242" ca="1" si="153">INDIRECT("'Закуп'!g" &amp; A242)</f>
        <v>С</v>
      </c>
      <c r="Y242" s="229" t="str">
        <f ca="1">INDIRECT("'Закуп'!i" &amp; A242)</f>
        <v>В</v>
      </c>
      <c r="Z242" s="236" t="str">
        <f ca="1">INDIRECT("'Закуп'!x" &amp; A242)</f>
        <v>700-999 мм</v>
      </c>
      <c r="AA242" s="237" t="str">
        <f ca="1">INDIRECT("'Закуп'!y" &amp; A242)</f>
        <v>100-199 мм</v>
      </c>
      <c r="AB242" s="238" t="str">
        <f ca="1">INDIRECT("'Закуп'!z" &amp; A242)</f>
        <v>10-99 мм</v>
      </c>
      <c r="AC242" s="223" t="str">
        <f t="shared" ca="1" si="147"/>
        <v>935x135x55</v>
      </c>
      <c r="AD242" s="222" t="str">
        <f t="shared" ca="1" si="135"/>
        <v>935x135x55 - 935*135*55 мм</v>
      </c>
    </row>
    <row r="243" spans="1:30" x14ac:dyDescent="0.4">
      <c r="A243" s="230"/>
      <c r="B243" s="8">
        <v>50</v>
      </c>
      <c r="C243" s="14">
        <f t="shared" ca="1" si="130"/>
        <v>0.86</v>
      </c>
      <c r="D243" s="20">
        <f t="shared" ca="1" si="142"/>
        <v>1.032</v>
      </c>
      <c r="E243" s="225"/>
      <c r="F243" s="231"/>
      <c r="G243" s="172" t="str">
        <f t="shared" ca="1" si="125"/>
        <v/>
      </c>
      <c r="H243" s="93" t="str">
        <f t="shared" ca="1" si="126"/>
        <v/>
      </c>
      <c r="I243" s="21">
        <v>100</v>
      </c>
      <c r="J243" s="68">
        <f t="shared" si="127"/>
        <v>1.8333333333333335</v>
      </c>
      <c r="K243" s="70">
        <v>2.2000000000000002</v>
      </c>
      <c r="L243" s="72">
        <f t="shared" ca="1" si="123"/>
        <v>0.77866666666666684</v>
      </c>
      <c r="M243" s="73">
        <f t="shared" ca="1" si="124"/>
        <v>77.866666666666688</v>
      </c>
      <c r="N243" s="12" t="s">
        <v>41</v>
      </c>
      <c r="O243" s="47" t="s">
        <v>45</v>
      </c>
      <c r="P243" s="13">
        <f t="shared" si="150"/>
        <v>2.2000000000000002</v>
      </c>
      <c r="Q243" s="1" t="str">
        <f t="shared" si="151"/>
        <v>100-290 шт - 2,2 руб / шт с НДС</v>
      </c>
      <c r="R243" s="235"/>
      <c r="S243" s="239"/>
      <c r="T243" s="226"/>
      <c r="U243" s="228"/>
      <c r="V243" s="222"/>
      <c r="W243" s="229"/>
      <c r="X243" s="227"/>
      <c r="Y243" s="229"/>
      <c r="Z243" s="236"/>
      <c r="AA243" s="237"/>
      <c r="AB243" s="238"/>
      <c r="AC243" s="223"/>
      <c r="AD243" s="222"/>
    </row>
    <row r="244" spans="1:30" x14ac:dyDescent="0.4">
      <c r="A244" s="230"/>
      <c r="B244" s="8">
        <v>50</v>
      </c>
      <c r="C244" s="14">
        <f t="shared" ca="1" si="130"/>
        <v>0.86</v>
      </c>
      <c r="D244" s="20">
        <f t="shared" ca="1" si="142"/>
        <v>1.032</v>
      </c>
      <c r="E244" s="225"/>
      <c r="F244" s="231"/>
      <c r="G244" s="172" t="str">
        <f t="shared" ca="1" si="125"/>
        <v/>
      </c>
      <c r="H244" s="93" t="str">
        <f t="shared" ca="1" si="126"/>
        <v/>
      </c>
      <c r="I244" s="21">
        <v>300</v>
      </c>
      <c r="J244" s="68">
        <f t="shared" si="127"/>
        <v>1.4333333333333333</v>
      </c>
      <c r="K244" s="70">
        <v>1.72</v>
      </c>
      <c r="L244" s="72">
        <f t="shared" ca="1" si="123"/>
        <v>0.45866666666666667</v>
      </c>
      <c r="M244" s="73">
        <f t="shared" ca="1" si="124"/>
        <v>137.6</v>
      </c>
      <c r="N244" s="12" t="s">
        <v>42</v>
      </c>
      <c r="O244" s="47" t="s">
        <v>45</v>
      </c>
      <c r="P244" s="13">
        <f t="shared" si="150"/>
        <v>1.72</v>
      </c>
      <c r="Q244" s="1" t="str">
        <f t="shared" si="151"/>
        <v>300-490 шт - 1,72 руб / шт с НДС</v>
      </c>
      <c r="R244" s="235"/>
      <c r="S244" s="239"/>
      <c r="T244" s="226"/>
      <c r="U244" s="228"/>
      <c r="V244" s="222"/>
      <c r="W244" s="229"/>
      <c r="X244" s="227"/>
      <c r="Y244" s="229"/>
      <c r="Z244" s="236"/>
      <c r="AA244" s="237"/>
      <c r="AB244" s="238"/>
      <c r="AC244" s="223"/>
      <c r="AD244" s="222"/>
    </row>
    <row r="245" spans="1:30" x14ac:dyDescent="0.4">
      <c r="A245" s="230"/>
      <c r="B245" s="8">
        <v>50</v>
      </c>
      <c r="C245" s="14">
        <f t="shared" ca="1" si="130"/>
        <v>0.86</v>
      </c>
      <c r="D245" s="20">
        <f t="shared" ca="1" si="142"/>
        <v>1.032</v>
      </c>
      <c r="E245" s="225"/>
      <c r="F245" s="231"/>
      <c r="G245" s="172" t="str">
        <f t="shared" ca="1" si="125"/>
        <v/>
      </c>
      <c r="H245" s="93" t="str">
        <f t="shared" ca="1" si="126"/>
        <v/>
      </c>
      <c r="I245" s="21">
        <v>500</v>
      </c>
      <c r="J245" s="68">
        <f t="shared" si="127"/>
        <v>1.2416666666666667</v>
      </c>
      <c r="K245" s="70">
        <v>1.49</v>
      </c>
      <c r="L245" s="72">
        <f t="shared" ca="1" si="123"/>
        <v>0.30533333333333335</v>
      </c>
      <c r="M245" s="73">
        <f t="shared" ca="1" si="124"/>
        <v>152.66666666666669</v>
      </c>
      <c r="N245" s="12" t="s">
        <v>43</v>
      </c>
      <c r="O245" s="47" t="s">
        <v>45</v>
      </c>
      <c r="P245" s="13">
        <f t="shared" si="150"/>
        <v>1.49</v>
      </c>
      <c r="Q245" s="1" t="str">
        <f t="shared" si="151"/>
        <v>500-990 шт - 1,49 руб / шт с НДС</v>
      </c>
      <c r="R245" s="235"/>
      <c r="S245" s="239"/>
      <c r="T245" s="226"/>
      <c r="U245" s="228"/>
      <c r="V245" s="222"/>
      <c r="W245" s="229"/>
      <c r="X245" s="227"/>
      <c r="Y245" s="229"/>
      <c r="Z245" s="236"/>
      <c r="AA245" s="237"/>
      <c r="AB245" s="238"/>
      <c r="AC245" s="223"/>
      <c r="AD245" s="222"/>
    </row>
    <row r="246" spans="1:30" x14ac:dyDescent="0.4">
      <c r="A246" s="230"/>
      <c r="B246" s="8">
        <v>50</v>
      </c>
      <c r="C246" s="14">
        <f t="shared" ca="1" si="130"/>
        <v>0.86</v>
      </c>
      <c r="D246" s="20">
        <f t="shared" ca="1" si="142"/>
        <v>1.032</v>
      </c>
      <c r="E246" s="225"/>
      <c r="F246" s="231"/>
      <c r="G246" s="172" t="str">
        <f t="shared" ca="1" si="125"/>
        <v/>
      </c>
      <c r="H246" s="93" t="str">
        <f t="shared" ca="1" si="126"/>
        <v/>
      </c>
      <c r="I246" s="21">
        <v>1000</v>
      </c>
      <c r="J246" s="68">
        <f t="shared" si="127"/>
        <v>1.1583333333333332</v>
      </c>
      <c r="K246" s="70">
        <v>1.39</v>
      </c>
      <c r="L246" s="72">
        <f t="shared" ca="1" si="123"/>
        <v>0.23866666666666658</v>
      </c>
      <c r="M246" s="73">
        <f t="shared" ca="1" si="124"/>
        <v>238.66666666666657</v>
      </c>
      <c r="N246" s="12" t="s">
        <v>44</v>
      </c>
      <c r="O246" s="47" t="s">
        <v>45</v>
      </c>
      <c r="P246" s="13">
        <f t="shared" si="150"/>
        <v>1.39</v>
      </c>
      <c r="Q246" s="1" t="str">
        <f t="shared" si="151"/>
        <v>1000 + шт - 1,39 руб / шт с НДС</v>
      </c>
      <c r="R246" s="235"/>
      <c r="S246" s="239"/>
      <c r="T246" s="226"/>
      <c r="U246" s="228"/>
      <c r="V246" s="222"/>
      <c r="W246" s="229"/>
      <c r="X246" s="227"/>
      <c r="Y246" s="229"/>
      <c r="Z246" s="236"/>
      <c r="AA246" s="237"/>
      <c r="AB246" s="238"/>
      <c r="AC246" s="223"/>
      <c r="AD246" s="222"/>
    </row>
    <row r="247" spans="1:30" x14ac:dyDescent="0.4">
      <c r="A247" s="230">
        <v>51</v>
      </c>
      <c r="B247" s="8">
        <v>51</v>
      </c>
      <c r="C247" s="14">
        <f t="shared" ca="1" si="130"/>
        <v>0.16</v>
      </c>
      <c r="D247" s="20">
        <f t="shared" ca="1" si="142"/>
        <v>0.192</v>
      </c>
      <c r="E247" s="224" t="str">
        <f ca="1">INDIRECT("'Закуп'!D" &amp; A247)</f>
        <v>У</v>
      </c>
      <c r="F247" s="231" t="str">
        <f t="shared" ref="F247" ca="1" si="154">INDIRECT("'Закуп'!E" &amp; B247)</f>
        <v>80х80х80</v>
      </c>
      <c r="G247" s="172" t="str">
        <f t="shared" ca="1" si="125"/>
        <v/>
      </c>
      <c r="H247" s="93" t="str">
        <f t="shared" ca="1" si="126"/>
        <v/>
      </c>
      <c r="I247" s="21">
        <v>50</v>
      </c>
      <c r="J247" s="68">
        <f t="shared" si="127"/>
        <v>0.89166666666666672</v>
      </c>
      <c r="K247" s="70">
        <v>1.07</v>
      </c>
      <c r="L247" s="72">
        <f t="shared" ca="1" si="123"/>
        <v>0.58533333333333337</v>
      </c>
      <c r="M247" s="73">
        <f t="shared" ca="1" si="124"/>
        <v>29.266666666666669</v>
      </c>
      <c r="N247" s="12" t="s">
        <v>40</v>
      </c>
      <c r="O247" s="47" t="s">
        <v>45</v>
      </c>
      <c r="P247" s="13">
        <f t="shared" si="150"/>
        <v>1.07</v>
      </c>
      <c r="Q247" s="1" t="str">
        <f t="shared" si="151"/>
        <v>50-90 шт - 1,07 руб / шт с НДС</v>
      </c>
      <c r="R247" s="235" t="str">
        <f ca="1">INDIRECT("'Закуп'!k" &amp; A247)</f>
        <v>K51</v>
      </c>
      <c r="S247" s="239">
        <f ca="1">INDIRECT("'Закуп'!o" &amp; A247)</f>
        <v>0.51</v>
      </c>
      <c r="T247" s="226" t="str">
        <f ca="1">INDIRECT("'Закуп'!p" &amp; A247)</f>
        <v>0,1-0,9 литров</v>
      </c>
      <c r="U247" s="228" t="str">
        <f ca="1">INDIRECT("'Закуп'!v" &amp; A247)</f>
        <v/>
      </c>
      <c r="V247" s="222" t="str">
        <f ca="1">INDIRECT("'Закуп'!w" &amp; A247)</f>
        <v/>
      </c>
      <c r="W247" s="229" t="str">
        <f ca="1">INDIRECT("'Закуп'!H" &amp; A247)</f>
        <v>0215</v>
      </c>
      <c r="X247" s="227" t="str">
        <f t="shared" ref="X247" ca="1" si="155">INDIRECT("'Закуп'!g" &amp; A247)</f>
        <v>С</v>
      </c>
      <c r="Y247" s="229" t="str">
        <f ca="1">INDIRECT("'Закуп'!i" &amp; A247)</f>
        <v>Е</v>
      </c>
      <c r="Z247" s="236" t="str">
        <f ca="1">INDIRECT("'Закуп'!x" &amp; A247)</f>
        <v>10-99 мм</v>
      </c>
      <c r="AA247" s="237" t="str">
        <f ca="1">INDIRECT("'Закуп'!y" &amp; A247)</f>
        <v>10-99 мм</v>
      </c>
      <c r="AB247" s="238" t="str">
        <f ca="1">INDIRECT("'Закуп'!z" &amp; A247)</f>
        <v>10-99 мм</v>
      </c>
      <c r="AC247" s="223" t="str">
        <f t="shared" ca="1" si="147"/>
        <v>80x80x80</v>
      </c>
      <c r="AD247" s="222" t="str">
        <f t="shared" ca="1" si="135"/>
        <v>80x80x80 - 80*80*80 мм</v>
      </c>
    </row>
    <row r="248" spans="1:30" x14ac:dyDescent="0.4">
      <c r="A248" s="230"/>
      <c r="B248" s="8">
        <v>51</v>
      </c>
      <c r="C248" s="14">
        <f t="shared" ca="1" si="130"/>
        <v>0.16</v>
      </c>
      <c r="D248" s="20">
        <f t="shared" ca="1" si="142"/>
        <v>0.192</v>
      </c>
      <c r="E248" s="225"/>
      <c r="F248" s="231"/>
      <c r="G248" s="172" t="str">
        <f t="shared" ca="1" si="125"/>
        <v/>
      </c>
      <c r="H248" s="93" t="str">
        <f t="shared" ca="1" si="126"/>
        <v/>
      </c>
      <c r="I248" s="21">
        <v>100</v>
      </c>
      <c r="J248" s="68">
        <f t="shared" si="127"/>
        <v>0.75833333333333341</v>
      </c>
      <c r="K248" s="70">
        <v>0.91</v>
      </c>
      <c r="L248" s="72">
        <f t="shared" ca="1" si="123"/>
        <v>0.47866666666666668</v>
      </c>
      <c r="M248" s="73">
        <f t="shared" ca="1" si="124"/>
        <v>47.866666666666667</v>
      </c>
      <c r="N248" s="12" t="s">
        <v>41</v>
      </c>
      <c r="O248" s="47" t="s">
        <v>45</v>
      </c>
      <c r="P248" s="13">
        <f t="shared" si="150"/>
        <v>0.91</v>
      </c>
      <c r="Q248" s="1" t="str">
        <f t="shared" si="151"/>
        <v>100-290 шт - 0,91 руб / шт с НДС</v>
      </c>
      <c r="R248" s="235"/>
      <c r="S248" s="239"/>
      <c r="T248" s="226"/>
      <c r="U248" s="228"/>
      <c r="V248" s="222"/>
      <c r="W248" s="229"/>
      <c r="X248" s="227"/>
      <c r="Y248" s="229"/>
      <c r="Z248" s="236"/>
      <c r="AA248" s="237"/>
      <c r="AB248" s="238"/>
      <c r="AC248" s="223"/>
      <c r="AD248" s="222"/>
    </row>
    <row r="249" spans="1:30" x14ac:dyDescent="0.4">
      <c r="A249" s="230"/>
      <c r="B249" s="8">
        <v>51</v>
      </c>
      <c r="C249" s="14">
        <f t="shared" ca="1" si="130"/>
        <v>0.16</v>
      </c>
      <c r="D249" s="20">
        <f t="shared" ca="1" si="142"/>
        <v>0.192</v>
      </c>
      <c r="E249" s="225"/>
      <c r="F249" s="231"/>
      <c r="G249" s="172" t="str">
        <f t="shared" ca="1" si="125"/>
        <v/>
      </c>
      <c r="H249" s="93" t="str">
        <f t="shared" ca="1" si="126"/>
        <v/>
      </c>
      <c r="I249" s="21">
        <v>300</v>
      </c>
      <c r="J249" s="68">
        <f t="shared" si="127"/>
        <v>0.625</v>
      </c>
      <c r="K249" s="70">
        <v>0.75</v>
      </c>
      <c r="L249" s="72">
        <f t="shared" ca="1" si="123"/>
        <v>0.372</v>
      </c>
      <c r="M249" s="73">
        <f t="shared" ca="1" si="124"/>
        <v>111.6</v>
      </c>
      <c r="N249" s="12" t="s">
        <v>42</v>
      </c>
      <c r="O249" s="47" t="s">
        <v>45</v>
      </c>
      <c r="P249" s="13">
        <f t="shared" si="150"/>
        <v>0.75</v>
      </c>
      <c r="Q249" s="1" t="str">
        <f t="shared" si="151"/>
        <v>300-490 шт - 0,75 руб / шт с НДС</v>
      </c>
      <c r="R249" s="235"/>
      <c r="S249" s="239"/>
      <c r="T249" s="226"/>
      <c r="U249" s="228"/>
      <c r="V249" s="222"/>
      <c r="W249" s="229"/>
      <c r="X249" s="227"/>
      <c r="Y249" s="229"/>
      <c r="Z249" s="236"/>
      <c r="AA249" s="237"/>
      <c r="AB249" s="238"/>
      <c r="AC249" s="223"/>
      <c r="AD249" s="222"/>
    </row>
    <row r="250" spans="1:30" x14ac:dyDescent="0.4">
      <c r="A250" s="230"/>
      <c r="B250" s="8">
        <v>51</v>
      </c>
      <c r="C250" s="14">
        <f t="shared" ca="1" si="130"/>
        <v>0.16</v>
      </c>
      <c r="D250" s="20">
        <f t="shared" ca="1" si="142"/>
        <v>0.192</v>
      </c>
      <c r="E250" s="225"/>
      <c r="F250" s="231"/>
      <c r="G250" s="172" t="str">
        <f t="shared" ca="1" si="125"/>
        <v/>
      </c>
      <c r="H250" s="93" t="str">
        <f t="shared" ca="1" si="126"/>
        <v/>
      </c>
      <c r="I250" s="21">
        <v>500</v>
      </c>
      <c r="J250" s="68">
        <f t="shared" si="127"/>
        <v>0.53333333333333333</v>
      </c>
      <c r="K250" s="70">
        <v>0.64</v>
      </c>
      <c r="L250" s="72">
        <f t="shared" ca="1" si="123"/>
        <v>0.29866666666666664</v>
      </c>
      <c r="M250" s="73">
        <f t="shared" ca="1" si="124"/>
        <v>149.33333333333331</v>
      </c>
      <c r="N250" s="12" t="s">
        <v>43</v>
      </c>
      <c r="O250" s="47" t="s">
        <v>45</v>
      </c>
      <c r="P250" s="13">
        <f t="shared" si="150"/>
        <v>0.64</v>
      </c>
      <c r="Q250" s="1" t="str">
        <f t="shared" si="151"/>
        <v>500-990 шт - 0,64 руб / шт с НДС</v>
      </c>
      <c r="R250" s="235"/>
      <c r="S250" s="239"/>
      <c r="T250" s="226"/>
      <c r="U250" s="228"/>
      <c r="V250" s="222"/>
      <c r="W250" s="229"/>
      <c r="X250" s="227"/>
      <c r="Y250" s="229"/>
      <c r="Z250" s="236"/>
      <c r="AA250" s="237"/>
      <c r="AB250" s="238"/>
      <c r="AC250" s="223"/>
      <c r="AD250" s="222"/>
    </row>
    <row r="251" spans="1:30" x14ac:dyDescent="0.4">
      <c r="A251" s="230"/>
      <c r="B251" s="8">
        <v>51</v>
      </c>
      <c r="C251" s="14">
        <f t="shared" ca="1" si="130"/>
        <v>0.16</v>
      </c>
      <c r="D251" s="20">
        <f t="shared" ca="1" si="142"/>
        <v>0.192</v>
      </c>
      <c r="E251" s="225"/>
      <c r="F251" s="231"/>
      <c r="G251" s="172" t="str">
        <f t="shared" ca="1" si="125"/>
        <v/>
      </c>
      <c r="H251" s="93" t="str">
        <f t="shared" ca="1" si="126"/>
        <v/>
      </c>
      <c r="I251" s="21">
        <v>1000</v>
      </c>
      <c r="J251" s="68">
        <f t="shared" si="127"/>
        <v>0.45000000000000007</v>
      </c>
      <c r="K251" s="70">
        <v>0.54</v>
      </c>
      <c r="L251" s="72">
        <f t="shared" ca="1" si="123"/>
        <v>0.23200000000000004</v>
      </c>
      <c r="M251" s="73">
        <f t="shared" ca="1" si="124"/>
        <v>232.00000000000003</v>
      </c>
      <c r="N251" s="12" t="s">
        <v>44</v>
      </c>
      <c r="O251" s="47" t="s">
        <v>45</v>
      </c>
      <c r="P251" s="13">
        <f t="shared" si="150"/>
        <v>0.54</v>
      </c>
      <c r="Q251" s="1" t="str">
        <f t="shared" si="151"/>
        <v>1000 + шт - 0,54 руб / шт с НДС</v>
      </c>
      <c r="R251" s="235"/>
      <c r="S251" s="239"/>
      <c r="T251" s="226"/>
      <c r="U251" s="228"/>
      <c r="V251" s="222"/>
      <c r="W251" s="229"/>
      <c r="X251" s="227"/>
      <c r="Y251" s="229"/>
      <c r="Z251" s="236"/>
      <c r="AA251" s="237"/>
      <c r="AB251" s="238"/>
      <c r="AC251" s="223"/>
      <c r="AD251" s="222"/>
    </row>
    <row r="252" spans="1:30" x14ac:dyDescent="0.4">
      <c r="A252" s="230">
        <v>52</v>
      </c>
      <c r="B252" s="8">
        <v>52</v>
      </c>
      <c r="C252" s="14">
        <f t="shared" ca="1" si="130"/>
        <v>0.19</v>
      </c>
      <c r="D252" s="20">
        <f t="shared" ca="1" si="142"/>
        <v>0.22799999999999998</v>
      </c>
      <c r="E252" s="224" t="str">
        <f ca="1">INDIRECT("'Закуп'!D" &amp; A252)</f>
        <v>У</v>
      </c>
      <c r="F252" s="231" t="str">
        <f t="shared" ref="F252" ca="1" si="156">INDIRECT("'Закуп'!E" &amp; B252)</f>
        <v>205х60х60</v>
      </c>
      <c r="G252" s="172" t="str">
        <f t="shared" ca="1" si="125"/>
        <v/>
      </c>
      <c r="H252" s="93" t="str">
        <f t="shared" ca="1" si="126"/>
        <v/>
      </c>
      <c r="I252" s="21">
        <v>50</v>
      </c>
      <c r="J252" s="68">
        <f t="shared" si="127"/>
        <v>0.89166666666666672</v>
      </c>
      <c r="K252" s="70">
        <v>1.07</v>
      </c>
      <c r="L252" s="72">
        <f t="shared" ca="1" si="123"/>
        <v>0.56133333333333335</v>
      </c>
      <c r="M252" s="73">
        <f t="shared" ca="1" si="124"/>
        <v>28.066666666666666</v>
      </c>
      <c r="N252" s="12" t="s">
        <v>40</v>
      </c>
      <c r="O252" s="47" t="s">
        <v>45</v>
      </c>
      <c r="P252" s="13">
        <f t="shared" si="150"/>
        <v>1.07</v>
      </c>
      <c r="Q252" s="1" t="str">
        <f t="shared" si="151"/>
        <v>50-90 шт - 1,07 руб / шт с НДС</v>
      </c>
      <c r="R252" s="235" t="str">
        <f ca="1">INDIRECT("'Закуп'!k" &amp; A252)</f>
        <v>K52</v>
      </c>
      <c r="S252" s="239">
        <f ca="1">INDIRECT("'Закуп'!o" &amp; A252)</f>
        <v>0.74</v>
      </c>
      <c r="T252" s="226" t="str">
        <f ca="1">INDIRECT("'Закуп'!p" &amp; A252)</f>
        <v>0,1-0,9 литров</v>
      </c>
      <c r="U252" s="228" t="str">
        <f ca="1">INDIRECT("'Закуп'!v" &amp; A252)</f>
        <v>Длинные</v>
      </c>
      <c r="V252" s="222" t="str">
        <f ca="1">INDIRECT("'Закуп'!w" &amp; A252)</f>
        <v/>
      </c>
      <c r="W252" s="229" t="str">
        <f ca="1">INDIRECT("'Закуп'!H" &amp; A252)</f>
        <v>0427</v>
      </c>
      <c r="X252" s="227" t="str">
        <f t="shared" ref="X252" ca="1" si="157">INDIRECT("'Закуп'!g" &amp; A252)</f>
        <v>С</v>
      </c>
      <c r="Y252" s="229" t="str">
        <f ca="1">INDIRECT("'Закуп'!i" &amp; A252)</f>
        <v>Е</v>
      </c>
      <c r="Z252" s="236" t="str">
        <f ca="1">INDIRECT("'Закуп'!x" &amp; A252)</f>
        <v>200-299 мм</v>
      </c>
      <c r="AA252" s="237" t="str">
        <f ca="1">INDIRECT("'Закуп'!y" &amp; A252)</f>
        <v>10-99 мм</v>
      </c>
      <c r="AB252" s="238" t="str">
        <f ca="1">INDIRECT("'Закуп'!z" &amp; A252)</f>
        <v>10-99 мм</v>
      </c>
      <c r="AC252" s="223" t="str">
        <f t="shared" ca="1" si="147"/>
        <v>205x60x60</v>
      </c>
      <c r="AD252" s="222" t="str">
        <f t="shared" ca="1" si="135"/>
        <v>205x60x60 - 205*60*60 мм</v>
      </c>
    </row>
    <row r="253" spans="1:30" x14ac:dyDescent="0.4">
      <c r="A253" s="230"/>
      <c r="B253" s="8">
        <v>52</v>
      </c>
      <c r="C253" s="14">
        <f t="shared" ca="1" si="130"/>
        <v>0.19</v>
      </c>
      <c r="D253" s="20">
        <f t="shared" ca="1" si="142"/>
        <v>0.22799999999999998</v>
      </c>
      <c r="E253" s="225"/>
      <c r="F253" s="231"/>
      <c r="G253" s="172" t="str">
        <f t="shared" ca="1" si="125"/>
        <v/>
      </c>
      <c r="H253" s="93" t="str">
        <f t="shared" ca="1" si="126"/>
        <v/>
      </c>
      <c r="I253" s="21">
        <v>100</v>
      </c>
      <c r="J253" s="68">
        <f t="shared" si="127"/>
        <v>0.8</v>
      </c>
      <c r="K253" s="70">
        <v>0.96</v>
      </c>
      <c r="L253" s="72">
        <f t="shared" ca="1" si="123"/>
        <v>0.4880000000000001</v>
      </c>
      <c r="M253" s="73">
        <f t="shared" ca="1" si="124"/>
        <v>48.800000000000011</v>
      </c>
      <c r="N253" s="12" t="s">
        <v>41</v>
      </c>
      <c r="O253" s="47" t="s">
        <v>45</v>
      </c>
      <c r="P253" s="13">
        <f t="shared" si="150"/>
        <v>0.96</v>
      </c>
      <c r="Q253" s="1" t="str">
        <f t="shared" si="151"/>
        <v>100-290 шт - 0,96 руб / шт с НДС</v>
      </c>
      <c r="R253" s="235"/>
      <c r="S253" s="239"/>
      <c r="T253" s="226"/>
      <c r="U253" s="228"/>
      <c r="V253" s="222"/>
      <c r="W253" s="229"/>
      <c r="X253" s="227"/>
      <c r="Y253" s="229"/>
      <c r="Z253" s="236"/>
      <c r="AA253" s="237"/>
      <c r="AB253" s="238"/>
      <c r="AC253" s="223"/>
      <c r="AD253" s="222"/>
    </row>
    <row r="254" spans="1:30" x14ac:dyDescent="0.4">
      <c r="A254" s="230"/>
      <c r="B254" s="8">
        <v>52</v>
      </c>
      <c r="C254" s="14">
        <f t="shared" ca="1" si="130"/>
        <v>0.19</v>
      </c>
      <c r="D254" s="20">
        <f t="shared" ca="1" si="142"/>
        <v>0.22799999999999998</v>
      </c>
      <c r="E254" s="225"/>
      <c r="F254" s="231"/>
      <c r="G254" s="172" t="str">
        <f t="shared" ca="1" si="125"/>
        <v/>
      </c>
      <c r="H254" s="93" t="str">
        <f t="shared" ca="1" si="126"/>
        <v/>
      </c>
      <c r="I254" s="21">
        <v>300</v>
      </c>
      <c r="J254" s="68">
        <f t="shared" si="127"/>
        <v>0.71666666666666667</v>
      </c>
      <c r="K254" s="70">
        <v>0.86</v>
      </c>
      <c r="L254" s="72">
        <f t="shared" ca="1" si="123"/>
        <v>0.42133333333333328</v>
      </c>
      <c r="M254" s="73">
        <f t="shared" ca="1" si="124"/>
        <v>126.39999999999999</v>
      </c>
      <c r="N254" s="12" t="s">
        <v>42</v>
      </c>
      <c r="O254" s="47" t="s">
        <v>45</v>
      </c>
      <c r="P254" s="13">
        <f t="shared" si="150"/>
        <v>0.86</v>
      </c>
      <c r="Q254" s="1" t="str">
        <f t="shared" si="151"/>
        <v>300-490 шт - 0,86 руб / шт с НДС</v>
      </c>
      <c r="R254" s="235"/>
      <c r="S254" s="239"/>
      <c r="T254" s="226"/>
      <c r="U254" s="228"/>
      <c r="V254" s="222"/>
      <c r="W254" s="229"/>
      <c r="X254" s="227"/>
      <c r="Y254" s="229"/>
      <c r="Z254" s="236"/>
      <c r="AA254" s="237"/>
      <c r="AB254" s="238"/>
      <c r="AC254" s="223"/>
      <c r="AD254" s="222"/>
    </row>
    <row r="255" spans="1:30" x14ac:dyDescent="0.4">
      <c r="A255" s="230"/>
      <c r="B255" s="8">
        <v>52</v>
      </c>
      <c r="C255" s="14">
        <f t="shared" ca="1" si="130"/>
        <v>0.19</v>
      </c>
      <c r="D255" s="20">
        <f t="shared" ca="1" si="142"/>
        <v>0.22799999999999998</v>
      </c>
      <c r="E255" s="225"/>
      <c r="F255" s="231"/>
      <c r="G255" s="172" t="str">
        <f t="shared" ca="1" si="125"/>
        <v/>
      </c>
      <c r="H255" s="93" t="str">
        <f t="shared" ca="1" si="126"/>
        <v/>
      </c>
      <c r="I255" s="21">
        <v>500</v>
      </c>
      <c r="J255" s="68">
        <f t="shared" si="127"/>
        <v>0.625</v>
      </c>
      <c r="K255" s="70">
        <v>0.75</v>
      </c>
      <c r="L255" s="72">
        <f t="shared" ca="1" si="123"/>
        <v>0.34799999999999998</v>
      </c>
      <c r="M255" s="73">
        <f t="shared" ca="1" si="124"/>
        <v>174</v>
      </c>
      <c r="N255" s="12" t="s">
        <v>43</v>
      </c>
      <c r="O255" s="47" t="s">
        <v>45</v>
      </c>
      <c r="P255" s="13">
        <f t="shared" si="150"/>
        <v>0.75</v>
      </c>
      <c r="Q255" s="1" t="str">
        <f t="shared" si="151"/>
        <v>500-990 шт - 0,75 руб / шт с НДС</v>
      </c>
      <c r="R255" s="235"/>
      <c r="S255" s="239"/>
      <c r="T255" s="226"/>
      <c r="U255" s="228"/>
      <c r="V255" s="222"/>
      <c r="W255" s="229"/>
      <c r="X255" s="227"/>
      <c r="Y255" s="229"/>
      <c r="Z255" s="236"/>
      <c r="AA255" s="237"/>
      <c r="AB255" s="238"/>
      <c r="AC255" s="223"/>
      <c r="AD255" s="222"/>
    </row>
    <row r="256" spans="1:30" x14ac:dyDescent="0.4">
      <c r="A256" s="230"/>
      <c r="B256" s="8">
        <v>52</v>
      </c>
      <c r="C256" s="14">
        <f t="shared" ca="1" si="130"/>
        <v>0.19</v>
      </c>
      <c r="D256" s="20">
        <f t="shared" ca="1" si="142"/>
        <v>0.22799999999999998</v>
      </c>
      <c r="E256" s="225"/>
      <c r="F256" s="231"/>
      <c r="G256" s="172" t="str">
        <f t="shared" ca="1" si="125"/>
        <v/>
      </c>
      <c r="H256" s="93" t="str">
        <f t="shared" ca="1" si="126"/>
        <v/>
      </c>
      <c r="I256" s="21">
        <v>1000</v>
      </c>
      <c r="J256" s="68">
        <f t="shared" si="127"/>
        <v>0.53333333333333333</v>
      </c>
      <c r="K256" s="70">
        <v>0.64</v>
      </c>
      <c r="L256" s="72">
        <f t="shared" ca="1" si="123"/>
        <v>0.27466666666666667</v>
      </c>
      <c r="M256" s="73">
        <f t="shared" ca="1" si="124"/>
        <v>274.66666666666669</v>
      </c>
      <c r="N256" s="12" t="s">
        <v>44</v>
      </c>
      <c r="O256" s="47" t="s">
        <v>45</v>
      </c>
      <c r="P256" s="13">
        <f t="shared" si="150"/>
        <v>0.64</v>
      </c>
      <c r="Q256" s="1" t="str">
        <f t="shared" si="151"/>
        <v>1000 + шт - 0,64 руб / шт с НДС</v>
      </c>
      <c r="R256" s="235"/>
      <c r="S256" s="239"/>
      <c r="T256" s="226"/>
      <c r="U256" s="228"/>
      <c r="V256" s="222"/>
      <c r="W256" s="229"/>
      <c r="X256" s="227"/>
      <c r="Y256" s="229"/>
      <c r="Z256" s="236"/>
      <c r="AA256" s="237"/>
      <c r="AB256" s="238"/>
      <c r="AC256" s="223"/>
      <c r="AD256" s="222"/>
    </row>
    <row r="257" spans="1:30" x14ac:dyDescent="0.4">
      <c r="A257" s="230">
        <v>53</v>
      </c>
      <c r="B257" s="8">
        <v>53</v>
      </c>
      <c r="C257" s="14">
        <f t="shared" ca="1" si="130"/>
        <v>0.28999999999999998</v>
      </c>
      <c r="D257" s="20">
        <f t="shared" ca="1" si="142"/>
        <v>0.34799999999999998</v>
      </c>
      <c r="E257" s="224" t="str">
        <f ca="1">INDIRECT("'Закуп'!D" &amp; A257)</f>
        <v>У</v>
      </c>
      <c r="F257" s="231" t="str">
        <f t="shared" ref="F257" ca="1" si="158">INDIRECT("'Закуп'!E" &amp; B257)</f>
        <v>245х75х75</v>
      </c>
      <c r="G257" s="172" t="str">
        <f t="shared" ca="1" si="125"/>
        <v/>
      </c>
      <c r="H257" s="93" t="str">
        <f t="shared" ca="1" si="126"/>
        <v/>
      </c>
      <c r="I257" s="21">
        <v>50</v>
      </c>
      <c r="J257" s="68">
        <f t="shared" si="127"/>
        <v>0.85833333333333339</v>
      </c>
      <c r="K257" s="70">
        <v>1.03</v>
      </c>
      <c r="L257" s="72">
        <f t="shared" ca="1" si="123"/>
        <v>0.45466666666666666</v>
      </c>
      <c r="M257" s="73">
        <f t="shared" ca="1" si="124"/>
        <v>22.733333333333334</v>
      </c>
      <c r="N257" s="12" t="s">
        <v>40</v>
      </c>
      <c r="O257" s="47" t="s">
        <v>45</v>
      </c>
      <c r="P257" s="13">
        <f t="shared" si="150"/>
        <v>1.03</v>
      </c>
      <c r="Q257" s="1" t="str">
        <f t="shared" si="151"/>
        <v>50-90 шт - 1,03 руб / шт с НДС</v>
      </c>
      <c r="R257" s="235" t="str">
        <f ca="1">INDIRECT("'Закуп'!k" &amp; A257)</f>
        <v>K53</v>
      </c>
      <c r="S257" s="239">
        <f ca="1">INDIRECT("'Закуп'!o" &amp; A257)</f>
        <v>1.38</v>
      </c>
      <c r="T257" s="226" t="str">
        <f ca="1">INDIRECT("'Закуп'!p" &amp; A257)</f>
        <v>1-1,9 литра</v>
      </c>
      <c r="U257" s="228" t="str">
        <f ca="1">INDIRECT("'Закуп'!v" &amp; A257)</f>
        <v>Длинные</v>
      </c>
      <c r="V257" s="222" t="str">
        <f ca="1">INDIRECT("'Закуп'!w" &amp; A257)</f>
        <v/>
      </c>
      <c r="W257" s="229" t="str">
        <f ca="1">INDIRECT("'Закуп'!H" &amp; A257)</f>
        <v>0471</v>
      </c>
      <c r="X257" s="227" t="str">
        <f t="shared" ref="X257" ca="1" si="159">INDIRECT("'Закуп'!g" &amp; A257)</f>
        <v>С</v>
      </c>
      <c r="Y257" s="229" t="str">
        <f ca="1">INDIRECT("'Закуп'!i" &amp; A257)</f>
        <v>Е</v>
      </c>
      <c r="Z257" s="236" t="str">
        <f ca="1">INDIRECT("'Закуп'!x" &amp; A257)</f>
        <v>200-299 мм</v>
      </c>
      <c r="AA257" s="237" t="str">
        <f ca="1">INDIRECT("'Закуп'!y" &amp; A257)</f>
        <v>10-99 мм</v>
      </c>
      <c r="AB257" s="238" t="str">
        <f ca="1">INDIRECT("'Закуп'!z" &amp; A257)</f>
        <v>10-99 мм</v>
      </c>
      <c r="AC257" s="223" t="str">
        <f t="shared" ca="1" si="147"/>
        <v>245x75x75</v>
      </c>
      <c r="AD257" s="222" t="str">
        <f t="shared" ca="1" si="135"/>
        <v>245x75x75 - 245*75*75 мм</v>
      </c>
    </row>
    <row r="258" spans="1:30" x14ac:dyDescent="0.4">
      <c r="A258" s="230"/>
      <c r="B258" s="8">
        <v>53</v>
      </c>
      <c r="C258" s="14">
        <f t="shared" ca="1" si="130"/>
        <v>0.28999999999999998</v>
      </c>
      <c r="D258" s="20">
        <f t="shared" ca="1" si="142"/>
        <v>0.34799999999999998</v>
      </c>
      <c r="E258" s="225"/>
      <c r="F258" s="231"/>
      <c r="G258" s="172" t="str">
        <f t="shared" ca="1" si="125"/>
        <v/>
      </c>
      <c r="H258" s="93" t="str">
        <f t="shared" ca="1" si="126"/>
        <v/>
      </c>
      <c r="I258" s="21">
        <v>100</v>
      </c>
      <c r="J258" s="68">
        <f t="shared" si="127"/>
        <v>0.7416666666666667</v>
      </c>
      <c r="K258" s="70">
        <v>0.89</v>
      </c>
      <c r="L258" s="72">
        <f t="shared" ref="L258:L321" ca="1" si="160">J258-C258-(J258-C258)*0.2</f>
        <v>0.3613333333333334</v>
      </c>
      <c r="M258" s="73">
        <f t="shared" ref="M258:M321" ca="1" si="161">L258*I258</f>
        <v>36.13333333333334</v>
      </c>
      <c r="N258" s="12" t="s">
        <v>41</v>
      </c>
      <c r="O258" s="47" t="s">
        <v>45</v>
      </c>
      <c r="P258" s="13">
        <f t="shared" si="150"/>
        <v>0.89</v>
      </c>
      <c r="Q258" s="1" t="str">
        <f t="shared" si="151"/>
        <v>100-290 шт - 0,89 руб / шт с НДС</v>
      </c>
      <c r="R258" s="235"/>
      <c r="S258" s="239"/>
      <c r="T258" s="226"/>
      <c r="U258" s="228"/>
      <c r="V258" s="222"/>
      <c r="W258" s="229"/>
      <c r="X258" s="227"/>
      <c r="Y258" s="229"/>
      <c r="Z258" s="236"/>
      <c r="AA258" s="237"/>
      <c r="AB258" s="238"/>
      <c r="AC258" s="223"/>
      <c r="AD258" s="222"/>
    </row>
    <row r="259" spans="1:30" x14ac:dyDescent="0.4">
      <c r="A259" s="230"/>
      <c r="B259" s="8">
        <v>53</v>
      </c>
      <c r="C259" s="14">
        <f t="shared" ca="1" si="130"/>
        <v>0.28999999999999998</v>
      </c>
      <c r="D259" s="20">
        <f t="shared" ca="1" si="142"/>
        <v>0.34799999999999998</v>
      </c>
      <c r="E259" s="225"/>
      <c r="F259" s="231"/>
      <c r="G259" s="172" t="str">
        <f t="shared" ref="G259:G322" ca="1" si="162">IF(INDIRECT("'Закуп'!L" &amp; B259)="Sale","Sale","")</f>
        <v/>
      </c>
      <c r="H259" s="93" t="str">
        <f t="shared" ref="H259:H322" ca="1" si="163">IF(INDIRECT("'Закуп'!F" &amp; B259)=0,"",INDIRECT("'Закуп'!F" &amp; B259))</f>
        <v/>
      </c>
      <c r="I259" s="21">
        <v>300</v>
      </c>
      <c r="J259" s="68">
        <f t="shared" ref="J259:J322" si="164">K259/1.2</f>
        <v>0.59166666666666667</v>
      </c>
      <c r="K259" s="70">
        <v>0.71</v>
      </c>
      <c r="L259" s="72">
        <f t="shared" ca="1" si="160"/>
        <v>0.24133333333333334</v>
      </c>
      <c r="M259" s="73">
        <f t="shared" ca="1" si="161"/>
        <v>72.400000000000006</v>
      </c>
      <c r="N259" s="12" t="s">
        <v>42</v>
      </c>
      <c r="O259" s="47" t="s">
        <v>45</v>
      </c>
      <c r="P259" s="13">
        <f t="shared" si="150"/>
        <v>0.71</v>
      </c>
      <c r="Q259" s="1" t="str">
        <f t="shared" si="151"/>
        <v>300-490 шт - 0,71 руб / шт с НДС</v>
      </c>
      <c r="R259" s="235"/>
      <c r="S259" s="239"/>
      <c r="T259" s="226"/>
      <c r="U259" s="228"/>
      <c r="V259" s="222"/>
      <c r="W259" s="229"/>
      <c r="X259" s="227"/>
      <c r="Y259" s="229"/>
      <c r="Z259" s="236"/>
      <c r="AA259" s="237"/>
      <c r="AB259" s="238"/>
      <c r="AC259" s="223"/>
      <c r="AD259" s="222"/>
    </row>
    <row r="260" spans="1:30" x14ac:dyDescent="0.4">
      <c r="A260" s="230"/>
      <c r="B260" s="8">
        <v>53</v>
      </c>
      <c r="C260" s="14">
        <f t="shared" ca="1" si="130"/>
        <v>0.28999999999999998</v>
      </c>
      <c r="D260" s="20">
        <f t="shared" ca="1" si="142"/>
        <v>0.34799999999999998</v>
      </c>
      <c r="E260" s="225"/>
      <c r="F260" s="231"/>
      <c r="G260" s="172" t="str">
        <f t="shared" ca="1" si="162"/>
        <v/>
      </c>
      <c r="H260" s="93" t="str">
        <f t="shared" ca="1" si="163"/>
        <v/>
      </c>
      <c r="I260" s="21">
        <v>500</v>
      </c>
      <c r="J260" s="68">
        <f t="shared" si="164"/>
        <v>0.54166666666666674</v>
      </c>
      <c r="K260" s="70">
        <v>0.65</v>
      </c>
      <c r="L260" s="72">
        <f t="shared" ca="1" si="160"/>
        <v>0.20133333333333342</v>
      </c>
      <c r="M260" s="73">
        <f t="shared" ca="1" si="161"/>
        <v>100.66666666666671</v>
      </c>
      <c r="N260" s="12" t="s">
        <v>43</v>
      </c>
      <c r="O260" s="47" t="s">
        <v>45</v>
      </c>
      <c r="P260" s="13">
        <f t="shared" si="150"/>
        <v>0.65</v>
      </c>
      <c r="Q260" s="1" t="str">
        <f t="shared" si="151"/>
        <v>500-990 шт - 0,65 руб / шт с НДС</v>
      </c>
      <c r="R260" s="235"/>
      <c r="S260" s="239"/>
      <c r="T260" s="226"/>
      <c r="U260" s="228"/>
      <c r="V260" s="222"/>
      <c r="W260" s="229"/>
      <c r="X260" s="227"/>
      <c r="Y260" s="229"/>
      <c r="Z260" s="236"/>
      <c r="AA260" s="237"/>
      <c r="AB260" s="238"/>
      <c r="AC260" s="223"/>
      <c r="AD260" s="222"/>
    </row>
    <row r="261" spans="1:30" x14ac:dyDescent="0.4">
      <c r="A261" s="230"/>
      <c r="B261" s="8">
        <v>53</v>
      </c>
      <c r="C261" s="14">
        <f t="shared" ca="1" si="130"/>
        <v>0.28999999999999998</v>
      </c>
      <c r="D261" s="20">
        <f t="shared" ca="1" si="142"/>
        <v>0.34799999999999998</v>
      </c>
      <c r="E261" s="225"/>
      <c r="F261" s="231"/>
      <c r="G261" s="172" t="str">
        <f t="shared" ca="1" si="162"/>
        <v/>
      </c>
      <c r="H261" s="93" t="str">
        <f t="shared" ca="1" si="163"/>
        <v/>
      </c>
      <c r="I261" s="21">
        <v>1000</v>
      </c>
      <c r="J261" s="68">
        <f t="shared" si="164"/>
        <v>0.46666666666666673</v>
      </c>
      <c r="K261" s="70">
        <v>0.56000000000000005</v>
      </c>
      <c r="L261" s="72">
        <f t="shared" ca="1" si="160"/>
        <v>0.14133333333333339</v>
      </c>
      <c r="M261" s="73">
        <f t="shared" ca="1" si="161"/>
        <v>141.3333333333334</v>
      </c>
      <c r="N261" s="12" t="s">
        <v>44</v>
      </c>
      <c r="O261" s="47" t="s">
        <v>45</v>
      </c>
      <c r="P261" s="13">
        <f t="shared" si="150"/>
        <v>0.56000000000000005</v>
      </c>
      <c r="Q261" s="1" t="str">
        <f t="shared" si="151"/>
        <v>1000 + шт - 0,56 руб / шт с НДС</v>
      </c>
      <c r="R261" s="235"/>
      <c r="S261" s="239"/>
      <c r="T261" s="226"/>
      <c r="U261" s="228"/>
      <c r="V261" s="222"/>
      <c r="W261" s="229"/>
      <c r="X261" s="227"/>
      <c r="Y261" s="229"/>
      <c r="Z261" s="236"/>
      <c r="AA261" s="237"/>
      <c r="AB261" s="238"/>
      <c r="AC261" s="223"/>
      <c r="AD261" s="222"/>
    </row>
    <row r="262" spans="1:30" x14ac:dyDescent="0.4">
      <c r="A262" s="230">
        <v>54</v>
      </c>
      <c r="B262" s="8">
        <v>54</v>
      </c>
      <c r="C262" s="14">
        <f t="shared" ca="1" si="130"/>
        <v>0.42</v>
      </c>
      <c r="D262" s="20">
        <f t="shared" ca="1" si="142"/>
        <v>0.504</v>
      </c>
      <c r="E262" s="224" t="str">
        <f ca="1">INDIRECT("'Закуп'!D" &amp; A262)</f>
        <v>У</v>
      </c>
      <c r="F262" s="231" t="str">
        <f t="shared" ref="F262" ca="1" si="165">INDIRECT("'Закуп'!E" &amp; B262)</f>
        <v>145х115х115</v>
      </c>
      <c r="G262" s="172" t="str">
        <f t="shared" ca="1" si="162"/>
        <v/>
      </c>
      <c r="H262" s="93" t="str">
        <f t="shared" ca="1" si="163"/>
        <v/>
      </c>
      <c r="I262" s="21">
        <v>50</v>
      </c>
      <c r="J262" s="68">
        <f t="shared" si="164"/>
        <v>1.0333333333333334</v>
      </c>
      <c r="K262" s="70">
        <v>1.24</v>
      </c>
      <c r="L262" s="72">
        <f t="shared" ca="1" si="160"/>
        <v>0.49066666666666681</v>
      </c>
      <c r="M262" s="73">
        <f t="shared" ca="1" si="161"/>
        <v>24.533333333333339</v>
      </c>
      <c r="N262" s="12" t="s">
        <v>40</v>
      </c>
      <c r="O262" s="47" t="s">
        <v>45</v>
      </c>
      <c r="P262" s="13">
        <f t="shared" si="150"/>
        <v>1.24</v>
      </c>
      <c r="Q262" s="1" t="str">
        <f t="shared" si="151"/>
        <v>50-90 шт - 1,24 руб / шт с НДС</v>
      </c>
      <c r="R262" s="235" t="str">
        <f ca="1">INDIRECT("'Закуп'!k" &amp; A262)</f>
        <v>K54</v>
      </c>
      <c r="S262" s="239">
        <f ca="1">INDIRECT("'Закуп'!o" &amp; A262)</f>
        <v>1.92</v>
      </c>
      <c r="T262" s="226" t="str">
        <f ca="1">INDIRECT("'Закуп'!p" &amp; A262)</f>
        <v>1-1,9 литра</v>
      </c>
      <c r="U262" s="228" t="str">
        <f ca="1">INDIRECT("'Закуп'!v" &amp; A262)</f>
        <v/>
      </c>
      <c r="V262" s="222" t="str">
        <f ca="1">INDIRECT("'Закуп'!w" &amp; A262)</f>
        <v/>
      </c>
      <c r="W262" s="229" t="str">
        <f ca="1">INDIRECT("'Закуп'!H" &amp; A262)</f>
        <v>0471</v>
      </c>
      <c r="X262" s="227" t="str">
        <f t="shared" ref="X262" ca="1" si="166">INDIRECT("'Закуп'!g" &amp; A262)</f>
        <v>С</v>
      </c>
      <c r="Y262" s="229" t="str">
        <f ca="1">INDIRECT("'Закуп'!i" &amp; A262)</f>
        <v>В</v>
      </c>
      <c r="Z262" s="236" t="str">
        <f ca="1">INDIRECT("'Закуп'!x" &amp; A262)</f>
        <v>100-199 мм</v>
      </c>
      <c r="AA262" s="237" t="str">
        <f ca="1">INDIRECT("'Закуп'!y" &amp; A262)</f>
        <v>100-199 мм</v>
      </c>
      <c r="AB262" s="238" t="str">
        <f ca="1">INDIRECT("'Закуп'!z" &amp; A262)</f>
        <v>100-199 мм</v>
      </c>
      <c r="AC262" s="223" t="str">
        <f t="shared" ca="1" si="147"/>
        <v>145x115x115</v>
      </c>
      <c r="AD262" s="222" t="str">
        <f t="shared" ca="1" si="135"/>
        <v>145x115x115 - 145*115*115 мм</v>
      </c>
    </row>
    <row r="263" spans="1:30" x14ac:dyDescent="0.4">
      <c r="A263" s="230"/>
      <c r="B263" s="8">
        <v>54</v>
      </c>
      <c r="C263" s="14">
        <f t="shared" ca="1" si="130"/>
        <v>0.42</v>
      </c>
      <c r="D263" s="20">
        <f t="shared" ca="1" si="142"/>
        <v>0.504</v>
      </c>
      <c r="E263" s="225"/>
      <c r="F263" s="231"/>
      <c r="G263" s="172" t="str">
        <f t="shared" ca="1" si="162"/>
        <v/>
      </c>
      <c r="H263" s="93" t="str">
        <f t="shared" ca="1" si="163"/>
        <v/>
      </c>
      <c r="I263" s="21">
        <v>100</v>
      </c>
      <c r="J263" s="68">
        <f t="shared" si="164"/>
        <v>0.90000000000000013</v>
      </c>
      <c r="K263" s="70">
        <v>1.08</v>
      </c>
      <c r="L263" s="72">
        <f t="shared" ca="1" si="160"/>
        <v>0.38400000000000012</v>
      </c>
      <c r="M263" s="73">
        <f t="shared" ca="1" si="161"/>
        <v>38.400000000000013</v>
      </c>
      <c r="N263" s="12" t="s">
        <v>41</v>
      </c>
      <c r="O263" s="47" t="s">
        <v>45</v>
      </c>
      <c r="P263" s="13">
        <f t="shared" si="150"/>
        <v>1.08</v>
      </c>
      <c r="Q263" s="1" t="str">
        <f t="shared" si="151"/>
        <v>100-290 шт - 1,08 руб / шт с НДС</v>
      </c>
      <c r="R263" s="235"/>
      <c r="S263" s="239"/>
      <c r="T263" s="226"/>
      <c r="U263" s="228"/>
      <c r="V263" s="222"/>
      <c r="W263" s="229"/>
      <c r="X263" s="227"/>
      <c r="Y263" s="229"/>
      <c r="Z263" s="236"/>
      <c r="AA263" s="237"/>
      <c r="AB263" s="238"/>
      <c r="AC263" s="223"/>
      <c r="AD263" s="222"/>
    </row>
    <row r="264" spans="1:30" x14ac:dyDescent="0.4">
      <c r="A264" s="230"/>
      <c r="B264" s="8">
        <v>54</v>
      </c>
      <c r="C264" s="14">
        <f t="shared" ca="1" si="130"/>
        <v>0.42</v>
      </c>
      <c r="D264" s="20">
        <f t="shared" ca="1" si="142"/>
        <v>0.504</v>
      </c>
      <c r="E264" s="225"/>
      <c r="F264" s="231"/>
      <c r="G264" s="172" t="str">
        <f t="shared" ca="1" si="162"/>
        <v/>
      </c>
      <c r="H264" s="93" t="str">
        <f t="shared" ca="1" si="163"/>
        <v/>
      </c>
      <c r="I264" s="21">
        <v>300</v>
      </c>
      <c r="J264" s="68">
        <f t="shared" si="164"/>
        <v>0.76666666666666672</v>
      </c>
      <c r="K264" s="70">
        <v>0.92</v>
      </c>
      <c r="L264" s="72">
        <f t="shared" ca="1" si="160"/>
        <v>0.27733333333333338</v>
      </c>
      <c r="M264" s="73">
        <f t="shared" ca="1" si="161"/>
        <v>83.200000000000017</v>
      </c>
      <c r="N264" s="12" t="s">
        <v>42</v>
      </c>
      <c r="O264" s="47" t="s">
        <v>45</v>
      </c>
      <c r="P264" s="13">
        <f t="shared" si="150"/>
        <v>0.92</v>
      </c>
      <c r="Q264" s="1" t="str">
        <f t="shared" si="151"/>
        <v>300-490 шт - 0,92 руб / шт с НДС</v>
      </c>
      <c r="R264" s="235"/>
      <c r="S264" s="239"/>
      <c r="T264" s="226"/>
      <c r="U264" s="228"/>
      <c r="V264" s="222"/>
      <c r="W264" s="229"/>
      <c r="X264" s="227"/>
      <c r="Y264" s="229"/>
      <c r="Z264" s="236"/>
      <c r="AA264" s="237"/>
      <c r="AB264" s="238"/>
      <c r="AC264" s="223"/>
      <c r="AD264" s="222"/>
    </row>
    <row r="265" spans="1:30" x14ac:dyDescent="0.4">
      <c r="A265" s="230"/>
      <c r="B265" s="8">
        <v>54</v>
      </c>
      <c r="C265" s="14">
        <f t="shared" ref="C265:C328" ca="1" si="167">INDIRECT("'Закуп'!A" &amp; B265)</f>
        <v>0.42</v>
      </c>
      <c r="D265" s="20">
        <f t="shared" ca="1" si="142"/>
        <v>0.504</v>
      </c>
      <c r="E265" s="225"/>
      <c r="F265" s="231"/>
      <c r="G265" s="172" t="str">
        <f t="shared" ca="1" si="162"/>
        <v/>
      </c>
      <c r="H265" s="93" t="str">
        <f t="shared" ca="1" si="163"/>
        <v/>
      </c>
      <c r="I265" s="21">
        <v>500</v>
      </c>
      <c r="J265" s="68">
        <f t="shared" si="164"/>
        <v>0.72499999999999998</v>
      </c>
      <c r="K265" s="70">
        <v>0.87</v>
      </c>
      <c r="L265" s="72">
        <f t="shared" ca="1" si="160"/>
        <v>0.24399999999999999</v>
      </c>
      <c r="M265" s="73">
        <f t="shared" ca="1" si="161"/>
        <v>122</v>
      </c>
      <c r="N265" s="12" t="s">
        <v>43</v>
      </c>
      <c r="O265" s="47" t="s">
        <v>45</v>
      </c>
      <c r="P265" s="13">
        <f t="shared" si="150"/>
        <v>0.87</v>
      </c>
      <c r="Q265" s="1" t="str">
        <f t="shared" si="151"/>
        <v>500-990 шт - 0,87 руб / шт с НДС</v>
      </c>
      <c r="R265" s="235"/>
      <c r="S265" s="239"/>
      <c r="T265" s="226"/>
      <c r="U265" s="228"/>
      <c r="V265" s="222"/>
      <c r="W265" s="229"/>
      <c r="X265" s="227"/>
      <c r="Y265" s="229"/>
      <c r="Z265" s="236"/>
      <c r="AA265" s="237"/>
      <c r="AB265" s="238"/>
      <c r="AC265" s="223"/>
      <c r="AD265" s="222"/>
    </row>
    <row r="266" spans="1:30" x14ac:dyDescent="0.4">
      <c r="A266" s="230"/>
      <c r="B266" s="8">
        <v>54</v>
      </c>
      <c r="C266" s="14">
        <f t="shared" ca="1" si="167"/>
        <v>0.42</v>
      </c>
      <c r="D266" s="20">
        <f t="shared" ca="1" si="142"/>
        <v>0.504</v>
      </c>
      <c r="E266" s="225"/>
      <c r="F266" s="231"/>
      <c r="G266" s="172" t="str">
        <f t="shared" ca="1" si="162"/>
        <v/>
      </c>
      <c r="H266" s="93" t="str">
        <f t="shared" ca="1" si="163"/>
        <v/>
      </c>
      <c r="I266" s="21">
        <v>1000</v>
      </c>
      <c r="J266" s="68">
        <f t="shared" si="164"/>
        <v>0.66666666666666674</v>
      </c>
      <c r="K266" s="70">
        <v>0.8</v>
      </c>
      <c r="L266" s="72">
        <f t="shared" ca="1" si="160"/>
        <v>0.19733333333333342</v>
      </c>
      <c r="M266" s="73">
        <f t="shared" ca="1" si="161"/>
        <v>197.33333333333343</v>
      </c>
      <c r="N266" s="12" t="s">
        <v>44</v>
      </c>
      <c r="O266" s="47" t="s">
        <v>45</v>
      </c>
      <c r="P266" s="13">
        <f t="shared" si="150"/>
        <v>0.8</v>
      </c>
      <c r="Q266" s="1" t="str">
        <f t="shared" si="151"/>
        <v>1000 + шт - 0,8 руб / шт с НДС</v>
      </c>
      <c r="R266" s="235"/>
      <c r="S266" s="239"/>
      <c r="T266" s="226"/>
      <c r="U266" s="228"/>
      <c r="V266" s="222"/>
      <c r="W266" s="229"/>
      <c r="X266" s="227"/>
      <c r="Y266" s="229"/>
      <c r="Z266" s="236"/>
      <c r="AA266" s="237"/>
      <c r="AB266" s="238"/>
      <c r="AC266" s="223"/>
      <c r="AD266" s="222"/>
    </row>
    <row r="267" spans="1:30" x14ac:dyDescent="0.4">
      <c r="A267" s="230">
        <v>55</v>
      </c>
      <c r="B267" s="8">
        <v>55</v>
      </c>
      <c r="C267" s="14">
        <f t="shared" ca="1" si="167"/>
        <v>0.47</v>
      </c>
      <c r="D267" s="20">
        <f t="shared" ca="1" si="142"/>
        <v>0.56399999999999995</v>
      </c>
      <c r="E267" s="224" t="str">
        <f ca="1">INDIRECT("'Закуп'!D" &amp; A267)</f>
        <v>У</v>
      </c>
      <c r="F267" s="231" t="str">
        <f t="shared" ref="F267" ca="1" si="168">INDIRECT("'Закуп'!E" &amp; B267)</f>
        <v>320х170х75</v>
      </c>
      <c r="G267" s="172" t="str">
        <f t="shared" ca="1" si="162"/>
        <v/>
      </c>
      <c r="H267" s="93" t="str">
        <f t="shared" ca="1" si="163"/>
        <v/>
      </c>
      <c r="I267" s="21">
        <v>50</v>
      </c>
      <c r="J267" s="68">
        <f t="shared" si="164"/>
        <v>1.1583333333333332</v>
      </c>
      <c r="K267" s="70">
        <v>1.39</v>
      </c>
      <c r="L267" s="72">
        <f t="shared" ca="1" si="160"/>
        <v>0.55066666666666664</v>
      </c>
      <c r="M267" s="73">
        <f t="shared" ca="1" si="161"/>
        <v>27.533333333333331</v>
      </c>
      <c r="N267" s="12" t="s">
        <v>40</v>
      </c>
      <c r="O267" s="47" t="s">
        <v>45</v>
      </c>
      <c r="P267" s="13">
        <f t="shared" si="150"/>
        <v>1.39</v>
      </c>
      <c r="Q267" s="1" t="str">
        <f t="shared" si="151"/>
        <v>50-90 шт - 1,39 руб / шт с НДС</v>
      </c>
      <c r="R267" s="235" t="str">
        <f ca="1">INDIRECT("'Закуп'!k" &amp; A267)</f>
        <v>K55</v>
      </c>
      <c r="S267" s="239">
        <f ca="1">INDIRECT("'Закуп'!o" &amp; A267)</f>
        <v>4.08</v>
      </c>
      <c r="T267" s="226" t="str">
        <f ca="1">INDIRECT("'Закуп'!p" &amp; A267)</f>
        <v>4-5,9 литра</v>
      </c>
      <c r="U267" s="228" t="str">
        <f ca="1">INDIRECT("'Закуп'!v" &amp; A267)</f>
        <v/>
      </c>
      <c r="V267" s="222" t="str">
        <f ca="1">INDIRECT("'Закуп'!w" &amp; A267)</f>
        <v>Плоские</v>
      </c>
      <c r="W267" s="229" t="str">
        <f ca="1">INDIRECT("'Закуп'!H" &amp; A267)</f>
        <v>0201</v>
      </c>
      <c r="X267" s="227" t="str">
        <f t="shared" ref="X267" ca="1" si="169">INDIRECT("'Закуп'!g" &amp; A267)</f>
        <v>С</v>
      </c>
      <c r="Y267" s="229" t="str">
        <f ca="1">INDIRECT("'Закуп'!i" &amp; A267)</f>
        <v>В</v>
      </c>
      <c r="Z267" s="236" t="str">
        <f ca="1">INDIRECT("'Закуп'!x" &amp; A267)</f>
        <v>300-399 мм</v>
      </c>
      <c r="AA267" s="237" t="str">
        <f ca="1">INDIRECT("'Закуп'!y" &amp; A267)</f>
        <v>100-199 мм</v>
      </c>
      <c r="AB267" s="238" t="str">
        <f ca="1">INDIRECT("'Закуп'!z" &amp; A267)</f>
        <v>10-99 мм</v>
      </c>
      <c r="AC267" s="223" t="str">
        <f t="shared" ca="1" si="147"/>
        <v>320x170x75</v>
      </c>
      <c r="AD267" s="222" t="str">
        <f t="shared" ca="1" si="135"/>
        <v>320x170x75 - 320*170*75 мм</v>
      </c>
    </row>
    <row r="268" spans="1:30" x14ac:dyDescent="0.4">
      <c r="A268" s="230"/>
      <c r="B268" s="8">
        <v>55</v>
      </c>
      <c r="C268" s="14">
        <f t="shared" ca="1" si="167"/>
        <v>0.47</v>
      </c>
      <c r="D268" s="20">
        <f t="shared" ca="1" si="142"/>
        <v>0.56399999999999995</v>
      </c>
      <c r="E268" s="225"/>
      <c r="F268" s="231"/>
      <c r="G268" s="172" t="str">
        <f t="shared" ca="1" si="162"/>
        <v/>
      </c>
      <c r="H268" s="93" t="str">
        <f t="shared" ca="1" si="163"/>
        <v/>
      </c>
      <c r="I268" s="21">
        <v>100</v>
      </c>
      <c r="J268" s="68">
        <f t="shared" si="164"/>
        <v>1.0083333333333333</v>
      </c>
      <c r="K268" s="70">
        <v>1.21</v>
      </c>
      <c r="L268" s="72">
        <f t="shared" ca="1" si="160"/>
        <v>0.43066666666666664</v>
      </c>
      <c r="M268" s="73">
        <f t="shared" ca="1" si="161"/>
        <v>43.066666666666663</v>
      </c>
      <c r="N268" s="12" t="s">
        <v>41</v>
      </c>
      <c r="O268" s="47" t="s">
        <v>45</v>
      </c>
      <c r="P268" s="13">
        <f t="shared" si="150"/>
        <v>1.21</v>
      </c>
      <c r="Q268" s="1" t="str">
        <f t="shared" si="151"/>
        <v>100-290 шт - 1,21 руб / шт с НДС</v>
      </c>
      <c r="R268" s="235"/>
      <c r="S268" s="239"/>
      <c r="T268" s="226"/>
      <c r="U268" s="228"/>
      <c r="V268" s="222"/>
      <c r="W268" s="229"/>
      <c r="X268" s="227"/>
      <c r="Y268" s="229"/>
      <c r="Z268" s="236"/>
      <c r="AA268" s="237"/>
      <c r="AB268" s="238"/>
      <c r="AC268" s="223"/>
      <c r="AD268" s="222"/>
    </row>
    <row r="269" spans="1:30" x14ac:dyDescent="0.4">
      <c r="A269" s="230"/>
      <c r="B269" s="8">
        <v>55</v>
      </c>
      <c r="C269" s="14">
        <f t="shared" ca="1" si="167"/>
        <v>0.47</v>
      </c>
      <c r="D269" s="20">
        <f t="shared" ca="1" si="142"/>
        <v>0.56399999999999995</v>
      </c>
      <c r="E269" s="225"/>
      <c r="F269" s="231"/>
      <c r="G269" s="172" t="str">
        <f t="shared" ca="1" si="162"/>
        <v/>
      </c>
      <c r="H269" s="93" t="str">
        <f t="shared" ca="1" si="163"/>
        <v/>
      </c>
      <c r="I269" s="21">
        <v>300</v>
      </c>
      <c r="J269" s="68">
        <f t="shared" si="164"/>
        <v>0.85833333333333339</v>
      </c>
      <c r="K269" s="70">
        <v>1.03</v>
      </c>
      <c r="L269" s="72">
        <f t="shared" ca="1" si="160"/>
        <v>0.31066666666666676</v>
      </c>
      <c r="M269" s="73">
        <f t="shared" ca="1" si="161"/>
        <v>93.200000000000031</v>
      </c>
      <c r="N269" s="12" t="s">
        <v>42</v>
      </c>
      <c r="O269" s="47" t="s">
        <v>45</v>
      </c>
      <c r="P269" s="13">
        <f t="shared" si="150"/>
        <v>1.03</v>
      </c>
      <c r="Q269" s="1" t="str">
        <f t="shared" si="151"/>
        <v>300-490 шт - 1,03 руб / шт с НДС</v>
      </c>
      <c r="R269" s="235"/>
      <c r="S269" s="239"/>
      <c r="T269" s="226"/>
      <c r="U269" s="228"/>
      <c r="V269" s="222"/>
      <c r="W269" s="229"/>
      <c r="X269" s="227"/>
      <c r="Y269" s="229"/>
      <c r="Z269" s="236"/>
      <c r="AA269" s="237"/>
      <c r="AB269" s="238"/>
      <c r="AC269" s="223"/>
      <c r="AD269" s="222"/>
    </row>
    <row r="270" spans="1:30" x14ac:dyDescent="0.4">
      <c r="A270" s="230"/>
      <c r="B270" s="8">
        <v>55</v>
      </c>
      <c r="C270" s="14">
        <f t="shared" ca="1" si="167"/>
        <v>0.47</v>
      </c>
      <c r="D270" s="20">
        <f t="shared" ca="1" si="142"/>
        <v>0.56399999999999995</v>
      </c>
      <c r="E270" s="225"/>
      <c r="F270" s="231"/>
      <c r="G270" s="172" t="str">
        <f t="shared" ca="1" si="162"/>
        <v/>
      </c>
      <c r="H270" s="93" t="str">
        <f t="shared" ca="1" si="163"/>
        <v/>
      </c>
      <c r="I270" s="21">
        <v>500</v>
      </c>
      <c r="J270" s="68">
        <f t="shared" si="164"/>
        <v>0.8</v>
      </c>
      <c r="K270" s="70">
        <v>0.96</v>
      </c>
      <c r="L270" s="72">
        <f t="shared" ca="1" si="160"/>
        <v>0.26400000000000007</v>
      </c>
      <c r="M270" s="73">
        <f t="shared" ca="1" si="161"/>
        <v>132.00000000000003</v>
      </c>
      <c r="N270" s="12" t="s">
        <v>43</v>
      </c>
      <c r="O270" s="47" t="s">
        <v>45</v>
      </c>
      <c r="P270" s="13">
        <f t="shared" si="150"/>
        <v>0.96</v>
      </c>
      <c r="Q270" s="1" t="str">
        <f t="shared" si="151"/>
        <v>500-990 шт - 0,96 руб / шт с НДС</v>
      </c>
      <c r="R270" s="235"/>
      <c r="S270" s="239"/>
      <c r="T270" s="226"/>
      <c r="U270" s="228"/>
      <c r="V270" s="222"/>
      <c r="W270" s="229"/>
      <c r="X270" s="227"/>
      <c r="Y270" s="229"/>
      <c r="Z270" s="236"/>
      <c r="AA270" s="237"/>
      <c r="AB270" s="238"/>
      <c r="AC270" s="223"/>
      <c r="AD270" s="222"/>
    </row>
    <row r="271" spans="1:30" x14ac:dyDescent="0.4">
      <c r="A271" s="230"/>
      <c r="B271" s="8">
        <v>55</v>
      </c>
      <c r="C271" s="14">
        <f t="shared" ca="1" si="167"/>
        <v>0.47</v>
      </c>
      <c r="D271" s="20">
        <f t="shared" ca="1" si="142"/>
        <v>0.56399999999999995</v>
      </c>
      <c r="E271" s="225"/>
      <c r="F271" s="231"/>
      <c r="G271" s="172" t="str">
        <f t="shared" ca="1" si="162"/>
        <v/>
      </c>
      <c r="H271" s="93" t="str">
        <f t="shared" ca="1" si="163"/>
        <v/>
      </c>
      <c r="I271" s="21">
        <v>1000</v>
      </c>
      <c r="J271" s="68">
        <f t="shared" si="164"/>
        <v>0.75</v>
      </c>
      <c r="K271" s="70">
        <v>0.9</v>
      </c>
      <c r="L271" s="72">
        <f t="shared" ca="1" si="160"/>
        <v>0.22400000000000003</v>
      </c>
      <c r="M271" s="73">
        <f t="shared" ca="1" si="161"/>
        <v>224.00000000000003</v>
      </c>
      <c r="N271" s="12" t="s">
        <v>44</v>
      </c>
      <c r="O271" s="47" t="s">
        <v>45</v>
      </c>
      <c r="P271" s="13">
        <f t="shared" si="150"/>
        <v>0.9</v>
      </c>
      <c r="Q271" s="1" t="str">
        <f t="shared" si="151"/>
        <v>1000 + шт - 0,9 руб / шт с НДС</v>
      </c>
      <c r="R271" s="235"/>
      <c r="S271" s="239"/>
      <c r="T271" s="226"/>
      <c r="U271" s="228"/>
      <c r="V271" s="222"/>
      <c r="W271" s="229"/>
      <c r="X271" s="227"/>
      <c r="Y271" s="229"/>
      <c r="Z271" s="236"/>
      <c r="AA271" s="237"/>
      <c r="AB271" s="238"/>
      <c r="AC271" s="223"/>
      <c r="AD271" s="222"/>
    </row>
    <row r="272" spans="1:30" x14ac:dyDescent="0.4">
      <c r="A272" s="230">
        <v>56</v>
      </c>
      <c r="B272" s="8">
        <v>56</v>
      </c>
      <c r="C272" s="14">
        <f t="shared" ca="1" si="167"/>
        <v>1.02</v>
      </c>
      <c r="D272" s="20">
        <f t="shared" ca="1" si="142"/>
        <v>1.224</v>
      </c>
      <c r="E272" s="224" t="str">
        <f ca="1">INDIRECT("'Закуп'!D" &amp; A272)</f>
        <v>У</v>
      </c>
      <c r="F272" s="231" t="str">
        <f t="shared" ref="F272" ca="1" si="170">INDIRECT("'Закуп'!E" &amp; B272)</f>
        <v>820х110х110</v>
      </c>
      <c r="G272" s="172" t="str">
        <f t="shared" ca="1" si="162"/>
        <v/>
      </c>
      <c r="H272" s="93" t="str">
        <f t="shared" ca="1" si="163"/>
        <v/>
      </c>
      <c r="I272" s="21">
        <v>50</v>
      </c>
      <c r="J272" s="68">
        <f t="shared" si="164"/>
        <v>2.1833333333333336</v>
      </c>
      <c r="K272" s="70">
        <v>2.62</v>
      </c>
      <c r="L272" s="72">
        <f t="shared" ca="1" si="160"/>
        <v>0.93066666666666686</v>
      </c>
      <c r="M272" s="73">
        <f t="shared" ca="1" si="161"/>
        <v>46.533333333333346</v>
      </c>
      <c r="N272" s="12" t="s">
        <v>40</v>
      </c>
      <c r="O272" s="47" t="s">
        <v>45</v>
      </c>
      <c r="P272" s="13">
        <f t="shared" si="150"/>
        <v>2.62</v>
      </c>
      <c r="Q272" s="1" t="str">
        <f t="shared" si="151"/>
        <v>50-90 шт - 2,62 руб / шт с НДС</v>
      </c>
      <c r="R272" s="235" t="str">
        <f ca="1">INDIRECT("'Закуп'!k" &amp; A272)</f>
        <v>K56</v>
      </c>
      <c r="S272" s="239">
        <f ca="1">INDIRECT("'Закуп'!o" &amp; A272)</f>
        <v>9.92</v>
      </c>
      <c r="T272" s="226" t="str">
        <f ca="1">INDIRECT("'Закуп'!p" &amp; A272)</f>
        <v>8-9,9 литров</v>
      </c>
      <c r="U272" s="228" t="str">
        <f ca="1">INDIRECT("'Закуп'!v" &amp; A272)</f>
        <v>Длинные</v>
      </c>
      <c r="V272" s="222" t="str">
        <f ca="1">INDIRECT("'Закуп'!w" &amp; A272)</f>
        <v/>
      </c>
      <c r="W272" s="229" t="str">
        <f ca="1">INDIRECT("'Закуп'!H" &amp; A272)</f>
        <v>0471</v>
      </c>
      <c r="X272" s="227" t="str">
        <f t="shared" ref="X272" ca="1" si="171">INDIRECT("'Закуп'!g" &amp; A272)</f>
        <v>С</v>
      </c>
      <c r="Y272" s="229" t="str">
        <f ca="1">INDIRECT("'Закуп'!i" &amp; A272)</f>
        <v>В</v>
      </c>
      <c r="Z272" s="236" t="str">
        <f ca="1">INDIRECT("'Закуп'!x" &amp; A272)</f>
        <v>700-999 мм</v>
      </c>
      <c r="AA272" s="237" t="str">
        <f ca="1">INDIRECT("'Закуп'!y" &amp; A272)</f>
        <v>100-199 мм</v>
      </c>
      <c r="AB272" s="238" t="str">
        <f ca="1">INDIRECT("'Закуп'!z" &amp; A272)</f>
        <v>100-199 мм</v>
      </c>
      <c r="AC272" s="223" t="str">
        <f t="shared" ca="1" si="147"/>
        <v>820x110x110</v>
      </c>
      <c r="AD272" s="222" t="str">
        <f t="shared" ref="AD272:AD332" ca="1" si="172">SUBSTITUTE(INDEX(F:F, ROUNDUP((ROW(A271))/5,0)*5 - 3), "х", "x") &amp; " - " &amp; SUBSTITUTE(SUBSTITUTE(INDEX(F:F, ROUNDUP((ROW(A271))/5,0)*5 - 3), "х", "*"), "x", "*") &amp; " мм"</f>
        <v>820x110x110 - 820*110*110 мм</v>
      </c>
    </row>
    <row r="273" spans="1:30" x14ac:dyDescent="0.4">
      <c r="A273" s="230"/>
      <c r="B273" s="8">
        <v>56</v>
      </c>
      <c r="C273" s="14">
        <f t="shared" ca="1" si="167"/>
        <v>1.02</v>
      </c>
      <c r="D273" s="20">
        <f t="shared" ca="1" si="142"/>
        <v>1.224</v>
      </c>
      <c r="E273" s="225"/>
      <c r="F273" s="231"/>
      <c r="G273" s="172" t="str">
        <f t="shared" ca="1" si="162"/>
        <v/>
      </c>
      <c r="H273" s="93" t="str">
        <f t="shared" ca="1" si="163"/>
        <v/>
      </c>
      <c r="I273" s="21">
        <v>100</v>
      </c>
      <c r="J273" s="68">
        <f t="shared" si="164"/>
        <v>1.7500000000000002</v>
      </c>
      <c r="K273" s="70">
        <v>2.1</v>
      </c>
      <c r="L273" s="72">
        <f t="shared" ca="1" si="160"/>
        <v>0.58400000000000019</v>
      </c>
      <c r="M273" s="73">
        <f t="shared" ca="1" si="161"/>
        <v>58.40000000000002</v>
      </c>
      <c r="N273" s="12" t="s">
        <v>41</v>
      </c>
      <c r="O273" s="47" t="s">
        <v>45</v>
      </c>
      <c r="P273" s="13">
        <f t="shared" si="150"/>
        <v>2.1</v>
      </c>
      <c r="Q273" s="1" t="str">
        <f t="shared" si="151"/>
        <v>100-290 шт - 2,1 руб / шт с НДС</v>
      </c>
      <c r="R273" s="235"/>
      <c r="S273" s="239"/>
      <c r="T273" s="226"/>
      <c r="U273" s="228"/>
      <c r="V273" s="222"/>
      <c r="W273" s="229"/>
      <c r="X273" s="227"/>
      <c r="Y273" s="229"/>
      <c r="Z273" s="236"/>
      <c r="AA273" s="237"/>
      <c r="AB273" s="238"/>
      <c r="AC273" s="223"/>
      <c r="AD273" s="222"/>
    </row>
    <row r="274" spans="1:30" x14ac:dyDescent="0.4">
      <c r="A274" s="230"/>
      <c r="B274" s="8">
        <v>56</v>
      </c>
      <c r="C274" s="14">
        <f t="shared" ca="1" si="167"/>
        <v>1.02</v>
      </c>
      <c r="D274" s="20">
        <f t="shared" ca="1" si="142"/>
        <v>1.224</v>
      </c>
      <c r="E274" s="225"/>
      <c r="F274" s="231"/>
      <c r="G274" s="172" t="str">
        <f t="shared" ca="1" si="162"/>
        <v/>
      </c>
      <c r="H274" s="93" t="str">
        <f t="shared" ca="1" si="163"/>
        <v/>
      </c>
      <c r="I274" s="21">
        <v>300</v>
      </c>
      <c r="J274" s="68">
        <f t="shared" si="164"/>
        <v>1.6</v>
      </c>
      <c r="K274" s="70">
        <v>1.92</v>
      </c>
      <c r="L274" s="72">
        <f t="shared" ca="1" si="160"/>
        <v>0.46400000000000008</v>
      </c>
      <c r="M274" s="73">
        <f t="shared" ca="1" si="161"/>
        <v>139.20000000000002</v>
      </c>
      <c r="N274" s="12" t="s">
        <v>42</v>
      </c>
      <c r="O274" s="47" t="s">
        <v>45</v>
      </c>
      <c r="P274" s="13">
        <f t="shared" si="150"/>
        <v>1.92</v>
      </c>
      <c r="Q274" s="1" t="str">
        <f t="shared" si="151"/>
        <v>300-490 шт - 1,92 руб / шт с НДС</v>
      </c>
      <c r="R274" s="235"/>
      <c r="S274" s="239"/>
      <c r="T274" s="226"/>
      <c r="U274" s="228"/>
      <c r="V274" s="222"/>
      <c r="W274" s="229"/>
      <c r="X274" s="227"/>
      <c r="Y274" s="229"/>
      <c r="Z274" s="236"/>
      <c r="AA274" s="237"/>
      <c r="AB274" s="238"/>
      <c r="AC274" s="223"/>
      <c r="AD274" s="222"/>
    </row>
    <row r="275" spans="1:30" x14ac:dyDescent="0.4">
      <c r="A275" s="230"/>
      <c r="B275" s="8">
        <v>56</v>
      </c>
      <c r="C275" s="14">
        <f t="shared" ca="1" si="167"/>
        <v>1.02</v>
      </c>
      <c r="D275" s="20">
        <f t="shared" ca="1" si="142"/>
        <v>1.224</v>
      </c>
      <c r="E275" s="225"/>
      <c r="F275" s="231"/>
      <c r="G275" s="172" t="str">
        <f t="shared" ca="1" si="162"/>
        <v/>
      </c>
      <c r="H275" s="93" t="str">
        <f t="shared" ca="1" si="163"/>
        <v/>
      </c>
      <c r="I275" s="21">
        <v>500</v>
      </c>
      <c r="J275" s="68">
        <f t="shared" si="164"/>
        <v>1.4166666666666667</v>
      </c>
      <c r="K275" s="70">
        <v>1.7</v>
      </c>
      <c r="L275" s="72">
        <f t="shared" ca="1" si="160"/>
        <v>0.31733333333333336</v>
      </c>
      <c r="M275" s="73">
        <f t="shared" ca="1" si="161"/>
        <v>158.66666666666669</v>
      </c>
      <c r="N275" s="12" t="s">
        <v>43</v>
      </c>
      <c r="O275" s="47" t="s">
        <v>45</v>
      </c>
      <c r="P275" s="13">
        <f t="shared" si="150"/>
        <v>1.7</v>
      </c>
      <c r="Q275" s="1" t="str">
        <f t="shared" si="151"/>
        <v>500-990 шт - 1,7 руб / шт с НДС</v>
      </c>
      <c r="R275" s="235"/>
      <c r="S275" s="239"/>
      <c r="T275" s="226"/>
      <c r="U275" s="228"/>
      <c r="V275" s="222"/>
      <c r="W275" s="229"/>
      <c r="X275" s="227"/>
      <c r="Y275" s="229"/>
      <c r="Z275" s="236"/>
      <c r="AA275" s="237"/>
      <c r="AB275" s="238"/>
      <c r="AC275" s="223"/>
      <c r="AD275" s="222"/>
    </row>
    <row r="276" spans="1:30" x14ac:dyDescent="0.4">
      <c r="A276" s="230"/>
      <c r="B276" s="8">
        <v>56</v>
      </c>
      <c r="C276" s="14">
        <f t="shared" ca="1" si="167"/>
        <v>1.02</v>
      </c>
      <c r="D276" s="20">
        <f t="shared" ca="1" si="142"/>
        <v>1.224</v>
      </c>
      <c r="E276" s="225"/>
      <c r="F276" s="231"/>
      <c r="G276" s="172" t="str">
        <f t="shared" ca="1" si="162"/>
        <v/>
      </c>
      <c r="H276" s="93" t="str">
        <f t="shared" ca="1" si="163"/>
        <v/>
      </c>
      <c r="I276" s="21">
        <v>1000</v>
      </c>
      <c r="J276" s="68">
        <f t="shared" si="164"/>
        <v>1.375</v>
      </c>
      <c r="K276" s="70">
        <v>1.65</v>
      </c>
      <c r="L276" s="72">
        <f t="shared" ca="1" si="160"/>
        <v>0.28399999999999997</v>
      </c>
      <c r="M276" s="73">
        <f t="shared" ca="1" si="161"/>
        <v>284</v>
      </c>
      <c r="N276" s="12" t="s">
        <v>44</v>
      </c>
      <c r="O276" s="47" t="s">
        <v>45</v>
      </c>
      <c r="P276" s="13">
        <f t="shared" si="150"/>
        <v>1.65</v>
      </c>
      <c r="Q276" s="1" t="str">
        <f t="shared" si="151"/>
        <v>1000 + шт - 1,65 руб / шт с НДС</v>
      </c>
      <c r="R276" s="235"/>
      <c r="S276" s="239"/>
      <c r="T276" s="226"/>
      <c r="U276" s="228"/>
      <c r="V276" s="222"/>
      <c r="W276" s="229"/>
      <c r="X276" s="227"/>
      <c r="Y276" s="229"/>
      <c r="Z276" s="236"/>
      <c r="AA276" s="237"/>
      <c r="AB276" s="238"/>
      <c r="AC276" s="223"/>
      <c r="AD276" s="222"/>
    </row>
    <row r="277" spans="1:30" x14ac:dyDescent="0.4">
      <c r="A277" s="230">
        <v>57</v>
      </c>
      <c r="B277" s="8">
        <v>57</v>
      </c>
      <c r="C277" s="14">
        <f t="shared" ca="1" si="167"/>
        <v>2.0099999999999998</v>
      </c>
      <c r="D277" s="20">
        <f t="shared" ca="1" si="142"/>
        <v>2.4119999999999995</v>
      </c>
      <c r="E277" s="224" t="str">
        <f ca="1">INDIRECT("'Закуп'!D" &amp; A277)</f>
        <v>У</v>
      </c>
      <c r="F277" s="231" t="str">
        <f t="shared" ref="F277" ca="1" si="173">INDIRECT("'Закуп'!E" &amp; B277)</f>
        <v>440х330х386</v>
      </c>
      <c r="G277" s="172" t="str">
        <f t="shared" ca="1" si="162"/>
        <v/>
      </c>
      <c r="H277" s="93" t="str">
        <f t="shared" ca="1" si="163"/>
        <v/>
      </c>
      <c r="I277" s="21">
        <v>50</v>
      </c>
      <c r="J277" s="68">
        <f t="shared" si="164"/>
        <v>3.4416666666666669</v>
      </c>
      <c r="K277" s="70">
        <v>4.13</v>
      </c>
      <c r="L277" s="72">
        <f t="shared" ca="1" si="160"/>
        <v>1.1453333333333338</v>
      </c>
      <c r="M277" s="73">
        <f t="shared" ca="1" si="161"/>
        <v>57.266666666666687</v>
      </c>
      <c r="N277" s="12" t="s">
        <v>40</v>
      </c>
      <c r="O277" s="47" t="s">
        <v>45</v>
      </c>
      <c r="P277" s="13">
        <f t="shared" si="150"/>
        <v>4.13</v>
      </c>
      <c r="Q277" s="1" t="str">
        <f t="shared" si="151"/>
        <v>50-90 шт - 4,13 руб / шт с НДС</v>
      </c>
      <c r="R277" s="235" t="str">
        <f ca="1">INDIRECT("'Закуп'!k" &amp; A277)</f>
        <v>K57</v>
      </c>
      <c r="S277" s="239">
        <f ca="1">INDIRECT("'Закуп'!o" &amp; A277)</f>
        <v>56.05</v>
      </c>
      <c r="T277" s="226" t="str">
        <f ca="1">INDIRECT("'Закуп'!p" &amp; A277)</f>
        <v>50-59 литров</v>
      </c>
      <c r="U277" s="228" t="str">
        <f ca="1">INDIRECT("'Закуп'!v" &amp; A277)</f>
        <v/>
      </c>
      <c r="V277" s="222" t="str">
        <f ca="1">INDIRECT("'Закуп'!w" &amp; A277)</f>
        <v/>
      </c>
      <c r="W277" s="229" t="str">
        <f ca="1">INDIRECT("'Закуп'!H" &amp; A277)</f>
        <v>0201</v>
      </c>
      <c r="X277" s="227" t="str">
        <f t="shared" ref="X277" ca="1" si="174">INDIRECT("'Закуп'!g" &amp; A277)</f>
        <v>Ч</v>
      </c>
      <c r="Y277" s="229" t="str">
        <f ca="1">INDIRECT("'Закуп'!i" &amp; A277)</f>
        <v>В</v>
      </c>
      <c r="Z277" s="236" t="str">
        <f ca="1">INDIRECT("'Закуп'!x" &amp; A277)</f>
        <v>400-499 мм</v>
      </c>
      <c r="AA277" s="237" t="str">
        <f ca="1">INDIRECT("'Закуп'!y" &amp; A277)</f>
        <v>300-399 мм</v>
      </c>
      <c r="AB277" s="238" t="str">
        <f ca="1">INDIRECT("'Закуп'!z" &amp; A277)</f>
        <v>300-399 мм</v>
      </c>
      <c r="AC277" s="223" t="str">
        <f t="shared" ca="1" si="147"/>
        <v>440x330x386</v>
      </c>
      <c r="AD277" s="222" t="str">
        <f t="shared" ca="1" si="172"/>
        <v>440x330x386 - 440*330*386 мм</v>
      </c>
    </row>
    <row r="278" spans="1:30" x14ac:dyDescent="0.4">
      <c r="A278" s="230"/>
      <c r="B278" s="8">
        <v>57</v>
      </c>
      <c r="C278" s="14">
        <f t="shared" ca="1" si="167"/>
        <v>2.0099999999999998</v>
      </c>
      <c r="D278" s="20">
        <f t="shared" ca="1" si="142"/>
        <v>2.4119999999999995</v>
      </c>
      <c r="E278" s="225"/>
      <c r="F278" s="231"/>
      <c r="G278" s="172" t="str">
        <f t="shared" ca="1" si="162"/>
        <v/>
      </c>
      <c r="H278" s="93" t="str">
        <f t="shared" ca="1" si="163"/>
        <v/>
      </c>
      <c r="I278" s="21">
        <v>100</v>
      </c>
      <c r="J278" s="68">
        <f t="shared" si="164"/>
        <v>3.3499999999999996</v>
      </c>
      <c r="K278" s="70">
        <v>4.0199999999999996</v>
      </c>
      <c r="L278" s="72">
        <f t="shared" ca="1" si="160"/>
        <v>1.0719999999999998</v>
      </c>
      <c r="M278" s="73">
        <f t="shared" ca="1" si="161"/>
        <v>107.19999999999999</v>
      </c>
      <c r="N278" s="12" t="s">
        <v>41</v>
      </c>
      <c r="O278" s="47" t="s">
        <v>45</v>
      </c>
      <c r="P278" s="13">
        <f t="shared" si="150"/>
        <v>4.0199999999999996</v>
      </c>
      <c r="Q278" s="1" t="str">
        <f t="shared" si="151"/>
        <v>100-290 шт - 4,02 руб / шт с НДС</v>
      </c>
      <c r="R278" s="235"/>
      <c r="S278" s="239"/>
      <c r="T278" s="226"/>
      <c r="U278" s="228"/>
      <c r="V278" s="222"/>
      <c r="W278" s="229"/>
      <c r="X278" s="227"/>
      <c r="Y278" s="229"/>
      <c r="Z278" s="236"/>
      <c r="AA278" s="237"/>
      <c r="AB278" s="238"/>
      <c r="AC278" s="223"/>
      <c r="AD278" s="222"/>
    </row>
    <row r="279" spans="1:30" x14ac:dyDescent="0.4">
      <c r="A279" s="230"/>
      <c r="B279" s="8">
        <v>57</v>
      </c>
      <c r="C279" s="14">
        <f t="shared" ca="1" si="167"/>
        <v>2.0099999999999998</v>
      </c>
      <c r="D279" s="20">
        <f t="shared" ca="1" si="142"/>
        <v>2.4119999999999995</v>
      </c>
      <c r="E279" s="225"/>
      <c r="F279" s="231"/>
      <c r="G279" s="172" t="str">
        <f t="shared" ca="1" si="162"/>
        <v/>
      </c>
      <c r="H279" s="93" t="str">
        <f t="shared" ca="1" si="163"/>
        <v/>
      </c>
      <c r="I279" s="21">
        <v>300</v>
      </c>
      <c r="J279" s="68">
        <f t="shared" si="164"/>
        <v>2.8</v>
      </c>
      <c r="K279" s="70">
        <v>3.36</v>
      </c>
      <c r="L279" s="72">
        <f t="shared" ca="1" si="160"/>
        <v>0.63200000000000001</v>
      </c>
      <c r="M279" s="73">
        <f t="shared" ca="1" si="161"/>
        <v>189.6</v>
      </c>
      <c r="N279" s="12" t="s">
        <v>42</v>
      </c>
      <c r="O279" s="47" t="s">
        <v>45</v>
      </c>
      <c r="P279" s="13">
        <f t="shared" si="150"/>
        <v>3.36</v>
      </c>
      <c r="Q279" s="1" t="str">
        <f t="shared" si="151"/>
        <v>300-490 шт - 3,36 руб / шт с НДС</v>
      </c>
      <c r="R279" s="235"/>
      <c r="S279" s="239"/>
      <c r="T279" s="226"/>
      <c r="U279" s="228"/>
      <c r="V279" s="222"/>
      <c r="W279" s="229"/>
      <c r="X279" s="227"/>
      <c r="Y279" s="229"/>
      <c r="Z279" s="236"/>
      <c r="AA279" s="237"/>
      <c r="AB279" s="238"/>
      <c r="AC279" s="223"/>
      <c r="AD279" s="222"/>
    </row>
    <row r="280" spans="1:30" x14ac:dyDescent="0.4">
      <c r="A280" s="230"/>
      <c r="B280" s="8">
        <v>57</v>
      </c>
      <c r="C280" s="14">
        <f t="shared" ca="1" si="167"/>
        <v>2.0099999999999998</v>
      </c>
      <c r="D280" s="20">
        <f t="shared" ca="1" si="142"/>
        <v>2.4119999999999995</v>
      </c>
      <c r="E280" s="225"/>
      <c r="F280" s="231"/>
      <c r="G280" s="172" t="str">
        <f t="shared" ca="1" si="162"/>
        <v/>
      </c>
      <c r="H280" s="93" t="str">
        <f t="shared" ca="1" si="163"/>
        <v/>
      </c>
      <c r="I280" s="21">
        <v>500</v>
      </c>
      <c r="J280" s="68">
        <f t="shared" si="164"/>
        <v>2.7083333333333335</v>
      </c>
      <c r="K280" s="70">
        <v>3.25</v>
      </c>
      <c r="L280" s="72">
        <f t="shared" ca="1" si="160"/>
        <v>0.55866666666666698</v>
      </c>
      <c r="M280" s="73">
        <f t="shared" ca="1" si="161"/>
        <v>279.33333333333348</v>
      </c>
      <c r="N280" s="12" t="s">
        <v>43</v>
      </c>
      <c r="O280" s="47" t="s">
        <v>45</v>
      </c>
      <c r="P280" s="13">
        <f t="shared" si="150"/>
        <v>3.25</v>
      </c>
      <c r="Q280" s="1" t="str">
        <f t="shared" si="151"/>
        <v>500-990 шт - 3,25 руб / шт с НДС</v>
      </c>
      <c r="R280" s="235"/>
      <c r="S280" s="239"/>
      <c r="T280" s="226"/>
      <c r="U280" s="228"/>
      <c r="V280" s="222"/>
      <c r="W280" s="229"/>
      <c r="X280" s="227"/>
      <c r="Y280" s="229"/>
      <c r="Z280" s="236"/>
      <c r="AA280" s="237"/>
      <c r="AB280" s="238"/>
      <c r="AC280" s="223"/>
      <c r="AD280" s="222"/>
    </row>
    <row r="281" spans="1:30" x14ac:dyDescent="0.4">
      <c r="A281" s="230"/>
      <c r="B281" s="8">
        <v>57</v>
      </c>
      <c r="C281" s="14">
        <f t="shared" ca="1" si="167"/>
        <v>2.0099999999999998</v>
      </c>
      <c r="D281" s="20">
        <f t="shared" ca="1" si="142"/>
        <v>2.4119999999999995</v>
      </c>
      <c r="E281" s="225"/>
      <c r="F281" s="231"/>
      <c r="G281" s="172" t="str">
        <f t="shared" ca="1" si="162"/>
        <v/>
      </c>
      <c r="H281" s="93" t="str">
        <f t="shared" ca="1" si="163"/>
        <v/>
      </c>
      <c r="I281" s="21">
        <v>1000</v>
      </c>
      <c r="J281" s="68">
        <f t="shared" si="164"/>
        <v>2.625</v>
      </c>
      <c r="K281" s="70">
        <v>3.15</v>
      </c>
      <c r="L281" s="72">
        <f t="shared" ca="1" si="160"/>
        <v>0.49200000000000016</v>
      </c>
      <c r="M281" s="73">
        <f t="shared" ca="1" si="161"/>
        <v>492.00000000000017</v>
      </c>
      <c r="N281" s="12" t="s">
        <v>44</v>
      </c>
      <c r="O281" s="47" t="s">
        <v>45</v>
      </c>
      <c r="P281" s="13">
        <f t="shared" si="150"/>
        <v>3.15</v>
      </c>
      <c r="Q281" s="1" t="str">
        <f t="shared" si="151"/>
        <v>1000 + шт - 3,15 руб / шт с НДС</v>
      </c>
      <c r="R281" s="235"/>
      <c r="S281" s="239"/>
      <c r="T281" s="226"/>
      <c r="U281" s="228"/>
      <c r="V281" s="222"/>
      <c r="W281" s="229"/>
      <c r="X281" s="227"/>
      <c r="Y281" s="229"/>
      <c r="Z281" s="236"/>
      <c r="AA281" s="237"/>
      <c r="AB281" s="238"/>
      <c r="AC281" s="223"/>
      <c r="AD281" s="222"/>
    </row>
    <row r="282" spans="1:30" x14ac:dyDescent="0.4">
      <c r="A282" s="230">
        <v>58</v>
      </c>
      <c r="B282" s="8">
        <v>58</v>
      </c>
      <c r="C282" s="14">
        <f t="shared" ca="1" si="167"/>
        <v>6.55</v>
      </c>
      <c r="D282" s="20">
        <f t="shared" ca="1" si="142"/>
        <v>7.8599999999999994</v>
      </c>
      <c r="E282" s="224" t="str">
        <f ca="1">INDIRECT("'Закуп'!D" &amp; A282)</f>
        <v>У</v>
      </c>
      <c r="F282" s="231" t="str">
        <f t="shared" ref="F282" ca="1" si="175">INDIRECT("'Закуп'!E" &amp; B282)</f>
        <v>795х510х870</v>
      </c>
      <c r="G282" s="172" t="str">
        <f t="shared" ca="1" si="162"/>
        <v/>
      </c>
      <c r="H282" s="93" t="str">
        <f t="shared" ca="1" si="163"/>
        <v>П32</v>
      </c>
      <c r="I282" s="21">
        <v>50</v>
      </c>
      <c r="J282" s="68">
        <f t="shared" si="164"/>
        <v>9.25</v>
      </c>
      <c r="K282" s="70">
        <v>11.1</v>
      </c>
      <c r="L282" s="72">
        <f t="shared" ca="1" si="160"/>
        <v>2.16</v>
      </c>
      <c r="M282" s="73">
        <f t="shared" ca="1" si="161"/>
        <v>108</v>
      </c>
      <c r="N282" s="12" t="s">
        <v>40</v>
      </c>
      <c r="O282" s="47" t="s">
        <v>45</v>
      </c>
      <c r="P282" s="13">
        <f t="shared" si="150"/>
        <v>11.1</v>
      </c>
      <c r="Q282" s="1" t="str">
        <f t="shared" si="151"/>
        <v>50-90 шт - 11,1 руб / шт с НДС</v>
      </c>
      <c r="R282" s="235" t="str">
        <f ca="1">INDIRECT("'Закуп'!k" &amp; A282)</f>
        <v>K58</v>
      </c>
      <c r="S282" s="239">
        <f ca="1">INDIRECT("'Закуп'!o" &amp; A282)</f>
        <v>352.74</v>
      </c>
      <c r="T282" s="226" t="str">
        <f ca="1">INDIRECT("'Закуп'!p" &amp; A282)</f>
        <v>200+ литров</v>
      </c>
      <c r="U282" s="228" t="str">
        <f ca="1">INDIRECT("'Закуп'!v" &amp; A282)</f>
        <v/>
      </c>
      <c r="V282" s="222" t="str">
        <f ca="1">INDIRECT("'Закуп'!w" &amp; A282)</f>
        <v/>
      </c>
      <c r="W282" s="229" t="str">
        <f ca="1">INDIRECT("'Закуп'!H" &amp; A282)</f>
        <v>0200</v>
      </c>
      <c r="X282" s="227" t="str">
        <f t="shared" ref="X282" ca="1" si="176">INDIRECT("'Закуп'!g" &amp; A282)</f>
        <v>Ч</v>
      </c>
      <c r="Y282" s="229" t="str">
        <f ca="1">INDIRECT("'Закуп'!i" &amp; A282)</f>
        <v>ВС</v>
      </c>
      <c r="Z282" s="236" t="str">
        <f ca="1">INDIRECT("'Закуп'!x" &amp; A282)</f>
        <v>700-999 мм</v>
      </c>
      <c r="AA282" s="237" t="str">
        <f ca="1">INDIRECT("'Закуп'!y" &amp; A282)</f>
        <v>700-999 мм</v>
      </c>
      <c r="AB282" s="238" t="str">
        <f ca="1">INDIRECT("'Закуп'!z" &amp; A282)</f>
        <v>500-599 мм</v>
      </c>
      <c r="AC282" s="223" t="str">
        <f t="shared" ca="1" si="147"/>
        <v>795x510x870</v>
      </c>
      <c r="AD282" s="222" t="str">
        <f t="shared" ca="1" si="172"/>
        <v>795x510x870 - 795*510*870 мм</v>
      </c>
    </row>
    <row r="283" spans="1:30" x14ac:dyDescent="0.4">
      <c r="A283" s="230"/>
      <c r="B283" s="8">
        <v>58</v>
      </c>
      <c r="C283" s="14">
        <f t="shared" ca="1" si="167"/>
        <v>6.55</v>
      </c>
      <c r="D283" s="20">
        <f t="shared" ca="1" si="142"/>
        <v>7.8599999999999994</v>
      </c>
      <c r="E283" s="225"/>
      <c r="F283" s="231"/>
      <c r="G283" s="172" t="str">
        <f t="shared" ca="1" si="162"/>
        <v/>
      </c>
      <c r="H283" s="93" t="str">
        <f t="shared" ca="1" si="163"/>
        <v>П32</v>
      </c>
      <c r="I283" s="21">
        <v>100</v>
      </c>
      <c r="J283" s="68">
        <f t="shared" si="164"/>
        <v>8.9250000000000007</v>
      </c>
      <c r="K283" s="70">
        <v>10.71</v>
      </c>
      <c r="L283" s="72">
        <f t="shared" ca="1" si="160"/>
        <v>1.9000000000000008</v>
      </c>
      <c r="M283" s="73">
        <f t="shared" ca="1" si="161"/>
        <v>190.00000000000009</v>
      </c>
      <c r="N283" s="12" t="s">
        <v>41</v>
      </c>
      <c r="O283" s="47" t="s">
        <v>45</v>
      </c>
      <c r="P283" s="13">
        <f t="shared" si="150"/>
        <v>10.71</v>
      </c>
      <c r="Q283" s="1" t="str">
        <f t="shared" si="151"/>
        <v>100-290 шт - 10,71 руб / шт с НДС</v>
      </c>
      <c r="R283" s="235"/>
      <c r="S283" s="239"/>
      <c r="T283" s="226"/>
      <c r="U283" s="228"/>
      <c r="V283" s="222"/>
      <c r="W283" s="229"/>
      <c r="X283" s="227"/>
      <c r="Y283" s="229"/>
      <c r="Z283" s="236"/>
      <c r="AA283" s="237"/>
      <c r="AB283" s="238"/>
      <c r="AC283" s="223"/>
      <c r="AD283" s="222"/>
    </row>
    <row r="284" spans="1:30" x14ac:dyDescent="0.4">
      <c r="A284" s="230"/>
      <c r="B284" s="8">
        <v>58</v>
      </c>
      <c r="C284" s="14">
        <f t="shared" ca="1" si="167"/>
        <v>6.55</v>
      </c>
      <c r="D284" s="20">
        <f t="shared" ca="1" si="142"/>
        <v>7.8599999999999994</v>
      </c>
      <c r="E284" s="225"/>
      <c r="F284" s="231"/>
      <c r="G284" s="172" t="str">
        <f t="shared" ca="1" si="162"/>
        <v/>
      </c>
      <c r="H284" s="93" t="str">
        <f t="shared" ca="1" si="163"/>
        <v>П32</v>
      </c>
      <c r="I284" s="21">
        <v>300</v>
      </c>
      <c r="J284" s="68">
        <f t="shared" si="164"/>
        <v>8.6166666666666671</v>
      </c>
      <c r="K284" s="70">
        <v>10.34</v>
      </c>
      <c r="L284" s="72">
        <f t="shared" ca="1" si="160"/>
        <v>1.6533333333333338</v>
      </c>
      <c r="M284" s="73">
        <f t="shared" ca="1" si="161"/>
        <v>496.00000000000011</v>
      </c>
      <c r="N284" s="12" t="s">
        <v>42</v>
      </c>
      <c r="O284" s="47" t="s">
        <v>45</v>
      </c>
      <c r="P284" s="13">
        <f t="shared" si="150"/>
        <v>10.34</v>
      </c>
      <c r="Q284" s="1" t="str">
        <f t="shared" si="151"/>
        <v>300-490 шт - 10,34 руб / шт с НДС</v>
      </c>
      <c r="R284" s="235"/>
      <c r="S284" s="239"/>
      <c r="T284" s="226"/>
      <c r="U284" s="228"/>
      <c r="V284" s="222"/>
      <c r="W284" s="229"/>
      <c r="X284" s="227"/>
      <c r="Y284" s="229"/>
      <c r="Z284" s="236"/>
      <c r="AA284" s="237"/>
      <c r="AB284" s="238"/>
      <c r="AC284" s="223"/>
      <c r="AD284" s="222"/>
    </row>
    <row r="285" spans="1:30" x14ac:dyDescent="0.4">
      <c r="A285" s="230"/>
      <c r="B285" s="8">
        <v>58</v>
      </c>
      <c r="C285" s="14">
        <f t="shared" ca="1" si="167"/>
        <v>6.55</v>
      </c>
      <c r="D285" s="20">
        <f t="shared" ca="1" si="142"/>
        <v>7.8599999999999994</v>
      </c>
      <c r="E285" s="225"/>
      <c r="F285" s="231"/>
      <c r="G285" s="172" t="str">
        <f t="shared" ca="1" si="162"/>
        <v/>
      </c>
      <c r="H285" s="93" t="str">
        <f t="shared" ca="1" si="163"/>
        <v>П32</v>
      </c>
      <c r="I285" s="21">
        <v>500</v>
      </c>
      <c r="J285" s="68">
        <f t="shared" si="164"/>
        <v>8.2916666666666661</v>
      </c>
      <c r="K285" s="70">
        <v>9.9499999999999993</v>
      </c>
      <c r="L285" s="72">
        <f t="shared" ca="1" si="160"/>
        <v>1.3933333333333331</v>
      </c>
      <c r="M285" s="73">
        <f t="shared" ca="1" si="161"/>
        <v>696.66666666666652</v>
      </c>
      <c r="N285" s="12" t="s">
        <v>43</v>
      </c>
      <c r="O285" s="47" t="s">
        <v>45</v>
      </c>
      <c r="P285" s="13">
        <f t="shared" si="150"/>
        <v>9.9499999999999993</v>
      </c>
      <c r="Q285" s="1" t="str">
        <f t="shared" si="151"/>
        <v>500-990 шт - 9,95 руб / шт с НДС</v>
      </c>
      <c r="R285" s="235"/>
      <c r="S285" s="239"/>
      <c r="T285" s="226"/>
      <c r="U285" s="228"/>
      <c r="V285" s="222"/>
      <c r="W285" s="229"/>
      <c r="X285" s="227"/>
      <c r="Y285" s="229"/>
      <c r="Z285" s="236"/>
      <c r="AA285" s="237"/>
      <c r="AB285" s="238"/>
      <c r="AC285" s="223"/>
      <c r="AD285" s="222"/>
    </row>
    <row r="286" spans="1:30" x14ac:dyDescent="0.4">
      <c r="A286" s="230"/>
      <c r="B286" s="8">
        <v>58</v>
      </c>
      <c r="C286" s="14">
        <f t="shared" ca="1" si="167"/>
        <v>6.55</v>
      </c>
      <c r="D286" s="20">
        <f t="shared" ca="1" si="142"/>
        <v>7.8599999999999994</v>
      </c>
      <c r="E286" s="225"/>
      <c r="F286" s="231"/>
      <c r="G286" s="172" t="str">
        <f t="shared" ca="1" si="162"/>
        <v/>
      </c>
      <c r="H286" s="93" t="str">
        <f t="shared" ca="1" si="163"/>
        <v>П32</v>
      </c>
      <c r="I286" s="21">
        <v>1000</v>
      </c>
      <c r="J286" s="68">
        <f t="shared" si="164"/>
        <v>7.9750000000000005</v>
      </c>
      <c r="K286" s="70">
        <v>9.57</v>
      </c>
      <c r="L286" s="72">
        <f t="shared" ca="1" si="160"/>
        <v>1.1400000000000006</v>
      </c>
      <c r="M286" s="73">
        <f t="shared" ca="1" si="161"/>
        <v>1140.0000000000005</v>
      </c>
      <c r="N286" s="12" t="s">
        <v>44</v>
      </c>
      <c r="O286" s="47" t="s">
        <v>45</v>
      </c>
      <c r="P286" s="13">
        <f t="shared" si="150"/>
        <v>9.57</v>
      </c>
      <c r="Q286" s="1" t="str">
        <f t="shared" si="151"/>
        <v>1000 + шт - 9,57 руб / шт с НДС</v>
      </c>
      <c r="R286" s="235"/>
      <c r="S286" s="239"/>
      <c r="T286" s="226"/>
      <c r="U286" s="228"/>
      <c r="V286" s="222"/>
      <c r="W286" s="229"/>
      <c r="X286" s="227"/>
      <c r="Y286" s="229"/>
      <c r="Z286" s="236"/>
      <c r="AA286" s="237"/>
      <c r="AB286" s="238"/>
      <c r="AC286" s="223"/>
      <c r="AD286" s="222"/>
    </row>
    <row r="287" spans="1:30" x14ac:dyDescent="0.4">
      <c r="A287" s="230">
        <v>59</v>
      </c>
      <c r="B287" s="8">
        <v>59</v>
      </c>
      <c r="C287" s="14">
        <f t="shared" ca="1" si="167"/>
        <v>7.76</v>
      </c>
      <c r="D287" s="20">
        <f t="shared" ca="1" si="142"/>
        <v>9.3119999999999994</v>
      </c>
      <c r="E287" s="224" t="str">
        <f ca="1">INDIRECT("'Закуп'!D" &amp; A287)</f>
        <v>У</v>
      </c>
      <c r="F287" s="231" t="str">
        <f t="shared" ref="F287" ca="1" si="177">INDIRECT("'Закуп'!E" &amp; B287)</f>
        <v>795х510х870</v>
      </c>
      <c r="G287" s="172" t="str">
        <f t="shared" ca="1" si="162"/>
        <v/>
      </c>
      <c r="H287" s="93" t="str">
        <f t="shared" ca="1" si="163"/>
        <v xml:space="preserve"> + кр П32</v>
      </c>
      <c r="I287" s="21">
        <v>50</v>
      </c>
      <c r="J287" s="68">
        <f t="shared" si="164"/>
        <v>10.866666666666667</v>
      </c>
      <c r="K287" s="70">
        <v>13.04</v>
      </c>
      <c r="L287" s="72">
        <f t="shared" ca="1" si="160"/>
        <v>2.4853333333333341</v>
      </c>
      <c r="M287" s="73">
        <f t="shared" ca="1" si="161"/>
        <v>124.26666666666671</v>
      </c>
      <c r="N287" s="12" t="s">
        <v>40</v>
      </c>
      <c r="O287" s="47" t="s">
        <v>45</v>
      </c>
      <c r="P287" s="13">
        <f t="shared" si="150"/>
        <v>13.04</v>
      </c>
      <c r="Q287" s="1" t="str">
        <f t="shared" si="151"/>
        <v>50-90 шт - 13,04 руб / шт с НДС</v>
      </c>
      <c r="R287" s="235" t="str">
        <f ca="1">INDIRECT("'Закуп'!k" &amp; A287)</f>
        <v>K59</v>
      </c>
      <c r="S287" s="239">
        <f ca="1">INDIRECT("'Закуп'!o" &amp; A287)</f>
        <v>352.74</v>
      </c>
      <c r="T287" s="226" t="str">
        <f ca="1">INDIRECT("'Закуп'!p" &amp; A287)</f>
        <v>200+ литров</v>
      </c>
      <c r="U287" s="228" t="str">
        <f ca="1">INDIRECT("'Закуп'!v" &amp; A287)</f>
        <v/>
      </c>
      <c r="V287" s="222" t="str">
        <f ca="1">INDIRECT("'Закуп'!w" &amp; A287)</f>
        <v/>
      </c>
      <c r="W287" s="229" t="str">
        <f ca="1">INDIRECT("'Закуп'!H" &amp; A287)</f>
        <v>0312</v>
      </c>
      <c r="X287" s="227" t="str">
        <f t="shared" ref="X287" ca="1" si="178">INDIRECT("'Закуп'!g" &amp; A287)</f>
        <v>Ч</v>
      </c>
      <c r="Y287" s="229" t="str">
        <f ca="1">INDIRECT("'Закуп'!i" &amp; A287)</f>
        <v>ВС</v>
      </c>
      <c r="Z287" s="236" t="str">
        <f ca="1">INDIRECT("'Закуп'!x" &amp; A287)</f>
        <v>700-999 мм</v>
      </c>
      <c r="AA287" s="237" t="str">
        <f ca="1">INDIRECT("'Закуп'!y" &amp; A287)</f>
        <v>700-999 мм</v>
      </c>
      <c r="AB287" s="238" t="str">
        <f ca="1">INDIRECT("'Закуп'!z" &amp; A287)</f>
        <v>500-599 мм</v>
      </c>
      <c r="AC287" s="223" t="str">
        <f t="shared" ca="1" si="147"/>
        <v>795x510x870</v>
      </c>
      <c r="AD287" s="222" t="str">
        <f t="shared" ca="1" si="172"/>
        <v>795x510x870 - 795*510*870 мм</v>
      </c>
    </row>
    <row r="288" spans="1:30" x14ac:dyDescent="0.4">
      <c r="A288" s="230"/>
      <c r="B288" s="8">
        <v>59</v>
      </c>
      <c r="C288" s="14">
        <f t="shared" ca="1" si="167"/>
        <v>7.76</v>
      </c>
      <c r="D288" s="20">
        <f t="shared" ca="1" si="142"/>
        <v>9.3119999999999994</v>
      </c>
      <c r="E288" s="225"/>
      <c r="F288" s="231"/>
      <c r="G288" s="172" t="str">
        <f t="shared" ca="1" si="162"/>
        <v/>
      </c>
      <c r="H288" s="93" t="str">
        <f t="shared" ca="1" si="163"/>
        <v xml:space="preserve"> + кр П32</v>
      </c>
      <c r="I288" s="21">
        <v>100</v>
      </c>
      <c r="J288" s="68">
        <f t="shared" si="164"/>
        <v>10.491666666666667</v>
      </c>
      <c r="K288" s="70">
        <v>12.59</v>
      </c>
      <c r="L288" s="72">
        <f t="shared" ca="1" si="160"/>
        <v>2.1853333333333338</v>
      </c>
      <c r="M288" s="73">
        <f t="shared" ca="1" si="161"/>
        <v>218.53333333333339</v>
      </c>
      <c r="N288" s="12" t="s">
        <v>41</v>
      </c>
      <c r="O288" s="47" t="s">
        <v>45</v>
      </c>
      <c r="P288" s="13">
        <f t="shared" si="150"/>
        <v>12.59</v>
      </c>
      <c r="Q288" s="1" t="str">
        <f t="shared" si="151"/>
        <v>100-290 шт - 12,59 руб / шт с НДС</v>
      </c>
      <c r="R288" s="235"/>
      <c r="S288" s="239"/>
      <c r="T288" s="226"/>
      <c r="U288" s="228"/>
      <c r="V288" s="222"/>
      <c r="W288" s="229"/>
      <c r="X288" s="227"/>
      <c r="Y288" s="229"/>
      <c r="Z288" s="236"/>
      <c r="AA288" s="237"/>
      <c r="AB288" s="238"/>
      <c r="AC288" s="223"/>
      <c r="AD288" s="222"/>
    </row>
    <row r="289" spans="1:30" x14ac:dyDescent="0.4">
      <c r="A289" s="230"/>
      <c r="B289" s="8">
        <v>59</v>
      </c>
      <c r="C289" s="14">
        <f t="shared" ca="1" si="167"/>
        <v>7.76</v>
      </c>
      <c r="D289" s="20">
        <f t="shared" ref="D289:D352" ca="1" si="179">C289*1.2</f>
        <v>9.3119999999999994</v>
      </c>
      <c r="E289" s="225"/>
      <c r="F289" s="231"/>
      <c r="G289" s="172" t="str">
        <f t="shared" ca="1" si="162"/>
        <v/>
      </c>
      <c r="H289" s="93" t="str">
        <f t="shared" ca="1" si="163"/>
        <v xml:space="preserve"> + кр П32</v>
      </c>
      <c r="I289" s="21">
        <v>300</v>
      </c>
      <c r="J289" s="68">
        <f t="shared" si="164"/>
        <v>10.108333333333334</v>
      </c>
      <c r="K289" s="70">
        <v>12.13</v>
      </c>
      <c r="L289" s="72">
        <f t="shared" ca="1" si="160"/>
        <v>1.8786666666666676</v>
      </c>
      <c r="M289" s="73">
        <f t="shared" ca="1" si="161"/>
        <v>563.60000000000025</v>
      </c>
      <c r="N289" s="12" t="s">
        <v>42</v>
      </c>
      <c r="O289" s="47" t="s">
        <v>45</v>
      </c>
      <c r="P289" s="13">
        <f t="shared" si="150"/>
        <v>12.13</v>
      </c>
      <c r="Q289" s="1" t="str">
        <f t="shared" si="151"/>
        <v>300-490 шт - 12,13 руб / шт с НДС</v>
      </c>
      <c r="R289" s="235"/>
      <c r="S289" s="239"/>
      <c r="T289" s="226"/>
      <c r="U289" s="228"/>
      <c r="V289" s="222"/>
      <c r="W289" s="229"/>
      <c r="X289" s="227"/>
      <c r="Y289" s="229"/>
      <c r="Z289" s="236"/>
      <c r="AA289" s="237"/>
      <c r="AB289" s="238"/>
      <c r="AC289" s="223"/>
      <c r="AD289" s="222"/>
    </row>
    <row r="290" spans="1:30" x14ac:dyDescent="0.4">
      <c r="A290" s="230"/>
      <c r="B290" s="8">
        <v>59</v>
      </c>
      <c r="C290" s="14">
        <f t="shared" ca="1" si="167"/>
        <v>7.76</v>
      </c>
      <c r="D290" s="20">
        <f t="shared" ca="1" si="179"/>
        <v>9.3119999999999994</v>
      </c>
      <c r="E290" s="225"/>
      <c r="F290" s="231"/>
      <c r="G290" s="172" t="str">
        <f t="shared" ca="1" si="162"/>
        <v/>
      </c>
      <c r="H290" s="93" t="str">
        <f t="shared" ca="1" si="163"/>
        <v xml:space="preserve"> + кр П32</v>
      </c>
      <c r="I290" s="21">
        <v>500</v>
      </c>
      <c r="J290" s="68">
        <f t="shared" si="164"/>
        <v>9.7333333333333343</v>
      </c>
      <c r="K290" s="70">
        <v>11.68</v>
      </c>
      <c r="L290" s="72">
        <f t="shared" ca="1" si="160"/>
        <v>1.5786666666666676</v>
      </c>
      <c r="M290" s="73">
        <f t="shared" ca="1" si="161"/>
        <v>789.33333333333383</v>
      </c>
      <c r="N290" s="12" t="s">
        <v>43</v>
      </c>
      <c r="O290" s="47" t="s">
        <v>45</v>
      </c>
      <c r="P290" s="13">
        <f t="shared" si="150"/>
        <v>11.68</v>
      </c>
      <c r="Q290" s="1" t="str">
        <f t="shared" si="151"/>
        <v>500-990 шт - 11,68 руб / шт с НДС</v>
      </c>
      <c r="R290" s="235"/>
      <c r="S290" s="239"/>
      <c r="T290" s="226"/>
      <c r="U290" s="228"/>
      <c r="V290" s="222"/>
      <c r="W290" s="229"/>
      <c r="X290" s="227"/>
      <c r="Y290" s="229"/>
      <c r="Z290" s="236"/>
      <c r="AA290" s="237"/>
      <c r="AB290" s="238"/>
      <c r="AC290" s="223"/>
      <c r="AD290" s="222"/>
    </row>
    <row r="291" spans="1:30" x14ac:dyDescent="0.4">
      <c r="A291" s="230"/>
      <c r="B291" s="8">
        <v>59</v>
      </c>
      <c r="C291" s="14">
        <f t="shared" ca="1" si="167"/>
        <v>7.76</v>
      </c>
      <c r="D291" s="20">
        <f t="shared" ca="1" si="179"/>
        <v>9.3119999999999994</v>
      </c>
      <c r="E291" s="225"/>
      <c r="F291" s="231"/>
      <c r="G291" s="172" t="str">
        <f t="shared" ca="1" si="162"/>
        <v/>
      </c>
      <c r="H291" s="93" t="str">
        <f t="shared" ca="1" si="163"/>
        <v xml:space="preserve"> + кр П32</v>
      </c>
      <c r="I291" s="21">
        <v>1000</v>
      </c>
      <c r="J291" s="68">
        <f t="shared" si="164"/>
        <v>9.375</v>
      </c>
      <c r="K291" s="70">
        <v>11.25</v>
      </c>
      <c r="L291" s="72">
        <f t="shared" ca="1" si="160"/>
        <v>1.2920000000000003</v>
      </c>
      <c r="M291" s="73">
        <f t="shared" ca="1" si="161"/>
        <v>1292.0000000000002</v>
      </c>
      <c r="N291" s="12" t="s">
        <v>44</v>
      </c>
      <c r="O291" s="47" t="s">
        <v>45</v>
      </c>
      <c r="P291" s="13">
        <f t="shared" si="150"/>
        <v>11.25</v>
      </c>
      <c r="Q291" s="1" t="str">
        <f t="shared" si="151"/>
        <v>1000 + шт - 11,25 руб / шт с НДС</v>
      </c>
      <c r="R291" s="235"/>
      <c r="S291" s="239"/>
      <c r="T291" s="226"/>
      <c r="U291" s="228"/>
      <c r="V291" s="222"/>
      <c r="W291" s="229"/>
      <c r="X291" s="227"/>
      <c r="Y291" s="229"/>
      <c r="Z291" s="236"/>
      <c r="AA291" s="237"/>
      <c r="AB291" s="238"/>
      <c r="AC291" s="223"/>
      <c r="AD291" s="222"/>
    </row>
    <row r="292" spans="1:30" x14ac:dyDescent="0.4">
      <c r="A292" s="230">
        <v>60</v>
      </c>
      <c r="B292" s="8">
        <v>60</v>
      </c>
      <c r="C292" s="14">
        <f t="shared" ca="1" si="167"/>
        <v>5.46</v>
      </c>
      <c r="D292" s="20">
        <f t="shared" ca="1" si="179"/>
        <v>6.5519999999999996</v>
      </c>
      <c r="E292" s="224" t="str">
        <f ca="1">INDIRECT("'Закуп'!D" &amp; A292)</f>
        <v>У</v>
      </c>
      <c r="F292" s="231" t="str">
        <f t="shared" ref="F292" ca="1" si="180">INDIRECT("'Закуп'!E" &amp; B292)</f>
        <v>795х510х870</v>
      </c>
      <c r="G292" s="172" t="str">
        <f t="shared" ca="1" si="162"/>
        <v/>
      </c>
      <c r="H292" s="93" t="str">
        <f t="shared" ca="1" si="163"/>
        <v>Т22</v>
      </c>
      <c r="I292" s="21">
        <v>50</v>
      </c>
      <c r="J292" s="68">
        <f t="shared" si="164"/>
        <v>7.6750000000000007</v>
      </c>
      <c r="K292" s="70">
        <v>9.2100000000000009</v>
      </c>
      <c r="L292" s="72">
        <f t="shared" ca="1" si="160"/>
        <v>1.7720000000000007</v>
      </c>
      <c r="M292" s="73">
        <f t="shared" ca="1" si="161"/>
        <v>88.600000000000037</v>
      </c>
      <c r="N292" s="12" t="s">
        <v>40</v>
      </c>
      <c r="O292" s="47" t="s">
        <v>45</v>
      </c>
      <c r="P292" s="13">
        <f t="shared" si="150"/>
        <v>9.2100000000000009</v>
      </c>
      <c r="Q292" s="1" t="str">
        <f t="shared" si="151"/>
        <v>50-90 шт - 9,21 руб / шт с НДС</v>
      </c>
      <c r="R292" s="235" t="str">
        <f ca="1">INDIRECT("'Закуп'!k" &amp; A292)</f>
        <v>K60</v>
      </c>
      <c r="S292" s="239">
        <f ca="1">INDIRECT("'Закуп'!o" &amp; A292)</f>
        <v>352.74</v>
      </c>
      <c r="T292" s="226" t="str">
        <f ca="1">INDIRECT("'Закуп'!p" &amp; A292)</f>
        <v>200+ литров</v>
      </c>
      <c r="U292" s="228" t="str">
        <f ca="1">INDIRECT("'Закуп'!v" &amp; A292)</f>
        <v/>
      </c>
      <c r="V292" s="222" t="str">
        <f ca="1">INDIRECT("'Закуп'!w" &amp; A292)</f>
        <v/>
      </c>
      <c r="W292" s="229" t="str">
        <f ca="1">INDIRECT("'Закуп'!H" &amp; A292)</f>
        <v>0200</v>
      </c>
      <c r="X292" s="227" t="str">
        <f t="shared" ref="X292" ca="1" si="181">INDIRECT("'Закуп'!g" &amp; A292)</f>
        <v>Ч</v>
      </c>
      <c r="Y292" s="229" t="str">
        <f ca="1">INDIRECT("'Закуп'!i" &amp; A292)</f>
        <v>В</v>
      </c>
      <c r="Z292" s="236" t="str">
        <f ca="1">INDIRECT("'Закуп'!x" &amp; A292)</f>
        <v>700-999 мм</v>
      </c>
      <c r="AA292" s="237" t="str">
        <f ca="1">INDIRECT("'Закуп'!y" &amp; A292)</f>
        <v>700-999 мм</v>
      </c>
      <c r="AB292" s="238" t="str">
        <f ca="1">INDIRECT("'Закуп'!z" &amp; A292)</f>
        <v>500-599 мм</v>
      </c>
      <c r="AC292" s="223" t="str">
        <f t="shared" ca="1" si="147"/>
        <v>795x510x870</v>
      </c>
      <c r="AD292" s="222" t="str">
        <f t="shared" ca="1" si="172"/>
        <v>795x510x870 - 795*510*870 мм</v>
      </c>
    </row>
    <row r="293" spans="1:30" x14ac:dyDescent="0.4">
      <c r="A293" s="230"/>
      <c r="B293" s="8">
        <v>60</v>
      </c>
      <c r="C293" s="14">
        <f t="shared" ca="1" si="167"/>
        <v>5.46</v>
      </c>
      <c r="D293" s="20">
        <f t="shared" ca="1" si="179"/>
        <v>6.5519999999999996</v>
      </c>
      <c r="E293" s="225"/>
      <c r="F293" s="231"/>
      <c r="G293" s="172" t="str">
        <f t="shared" ca="1" si="162"/>
        <v/>
      </c>
      <c r="H293" s="93" t="str">
        <f t="shared" ca="1" si="163"/>
        <v>Т22</v>
      </c>
      <c r="I293" s="21">
        <v>100</v>
      </c>
      <c r="J293" s="68">
        <f t="shared" si="164"/>
        <v>7.416666666666667</v>
      </c>
      <c r="K293" s="70">
        <v>8.9</v>
      </c>
      <c r="L293" s="72">
        <f t="shared" ca="1" si="160"/>
        <v>1.5653333333333337</v>
      </c>
      <c r="M293" s="73">
        <f t="shared" ca="1" si="161"/>
        <v>156.53333333333336</v>
      </c>
      <c r="N293" s="12" t="s">
        <v>41</v>
      </c>
      <c r="O293" s="47" t="s">
        <v>45</v>
      </c>
      <c r="P293" s="13">
        <f t="shared" si="150"/>
        <v>8.9</v>
      </c>
      <c r="Q293" s="1" t="str">
        <f t="shared" si="151"/>
        <v>100-290 шт - 8,9 руб / шт с НДС</v>
      </c>
      <c r="R293" s="235"/>
      <c r="S293" s="239"/>
      <c r="T293" s="226"/>
      <c r="U293" s="228"/>
      <c r="V293" s="222"/>
      <c r="W293" s="229"/>
      <c r="X293" s="227"/>
      <c r="Y293" s="229"/>
      <c r="Z293" s="236"/>
      <c r="AA293" s="237"/>
      <c r="AB293" s="238"/>
      <c r="AC293" s="223"/>
      <c r="AD293" s="222"/>
    </row>
    <row r="294" spans="1:30" x14ac:dyDescent="0.4">
      <c r="A294" s="230"/>
      <c r="B294" s="8">
        <v>60</v>
      </c>
      <c r="C294" s="14">
        <f t="shared" ca="1" si="167"/>
        <v>5.46</v>
      </c>
      <c r="D294" s="20">
        <f t="shared" ca="1" si="179"/>
        <v>6.5519999999999996</v>
      </c>
      <c r="E294" s="225"/>
      <c r="F294" s="231"/>
      <c r="G294" s="172" t="str">
        <f t="shared" ca="1" si="162"/>
        <v/>
      </c>
      <c r="H294" s="93" t="str">
        <f t="shared" ca="1" si="163"/>
        <v>Т22</v>
      </c>
      <c r="I294" s="21">
        <v>300</v>
      </c>
      <c r="J294" s="68">
        <f t="shared" si="164"/>
        <v>7.15</v>
      </c>
      <c r="K294" s="70">
        <v>8.58</v>
      </c>
      <c r="L294" s="72">
        <f t="shared" ca="1" si="160"/>
        <v>1.3520000000000003</v>
      </c>
      <c r="M294" s="73">
        <f t="shared" ca="1" si="161"/>
        <v>405.60000000000008</v>
      </c>
      <c r="N294" s="12" t="s">
        <v>42</v>
      </c>
      <c r="O294" s="47" t="s">
        <v>45</v>
      </c>
      <c r="P294" s="13">
        <f t="shared" si="150"/>
        <v>8.58</v>
      </c>
      <c r="Q294" s="1" t="str">
        <f t="shared" si="151"/>
        <v>300-490 шт - 8,58 руб / шт с НДС</v>
      </c>
      <c r="R294" s="235"/>
      <c r="S294" s="239"/>
      <c r="T294" s="226"/>
      <c r="U294" s="228"/>
      <c r="V294" s="222"/>
      <c r="W294" s="229"/>
      <c r="X294" s="227"/>
      <c r="Y294" s="229"/>
      <c r="Z294" s="236"/>
      <c r="AA294" s="237"/>
      <c r="AB294" s="238"/>
      <c r="AC294" s="223"/>
      <c r="AD294" s="222"/>
    </row>
    <row r="295" spans="1:30" x14ac:dyDescent="0.4">
      <c r="A295" s="230"/>
      <c r="B295" s="8">
        <v>60</v>
      </c>
      <c r="C295" s="14">
        <f t="shared" ca="1" si="167"/>
        <v>5.46</v>
      </c>
      <c r="D295" s="20">
        <f t="shared" ca="1" si="179"/>
        <v>6.5519999999999996</v>
      </c>
      <c r="E295" s="225"/>
      <c r="F295" s="231"/>
      <c r="G295" s="172" t="str">
        <f t="shared" ca="1" si="162"/>
        <v/>
      </c>
      <c r="H295" s="93" t="str">
        <f t="shared" ca="1" si="163"/>
        <v>Т22</v>
      </c>
      <c r="I295" s="21">
        <v>500</v>
      </c>
      <c r="J295" s="68">
        <f t="shared" si="164"/>
        <v>6.8833333333333337</v>
      </c>
      <c r="K295" s="70">
        <v>8.26</v>
      </c>
      <c r="L295" s="72">
        <f t="shared" ca="1" si="160"/>
        <v>1.1386666666666669</v>
      </c>
      <c r="M295" s="73">
        <f t="shared" ca="1" si="161"/>
        <v>569.33333333333348</v>
      </c>
      <c r="N295" s="12" t="s">
        <v>43</v>
      </c>
      <c r="O295" s="47" t="s">
        <v>45</v>
      </c>
      <c r="P295" s="13">
        <f t="shared" si="150"/>
        <v>8.26</v>
      </c>
      <c r="Q295" s="1" t="str">
        <f t="shared" si="151"/>
        <v>500-990 шт - 8,26 руб / шт с НДС</v>
      </c>
      <c r="R295" s="235"/>
      <c r="S295" s="239"/>
      <c r="T295" s="226"/>
      <c r="U295" s="228"/>
      <c r="V295" s="222"/>
      <c r="W295" s="229"/>
      <c r="X295" s="227"/>
      <c r="Y295" s="229"/>
      <c r="Z295" s="236"/>
      <c r="AA295" s="237"/>
      <c r="AB295" s="238"/>
      <c r="AC295" s="223"/>
      <c r="AD295" s="222"/>
    </row>
    <row r="296" spans="1:30" x14ac:dyDescent="0.4">
      <c r="A296" s="230"/>
      <c r="B296" s="8">
        <v>60</v>
      </c>
      <c r="C296" s="14">
        <f t="shared" ca="1" si="167"/>
        <v>5.46</v>
      </c>
      <c r="D296" s="20">
        <f t="shared" ca="1" si="179"/>
        <v>6.5519999999999996</v>
      </c>
      <c r="E296" s="225"/>
      <c r="F296" s="231"/>
      <c r="G296" s="172" t="str">
        <f t="shared" ca="1" si="162"/>
        <v/>
      </c>
      <c r="H296" s="93" t="str">
        <f t="shared" ca="1" si="163"/>
        <v>Т22</v>
      </c>
      <c r="I296" s="21">
        <v>1000</v>
      </c>
      <c r="J296" s="68">
        <f t="shared" si="164"/>
        <v>6.625</v>
      </c>
      <c r="K296" s="70">
        <v>7.95</v>
      </c>
      <c r="L296" s="72">
        <f t="shared" ca="1" si="160"/>
        <v>0.93200000000000005</v>
      </c>
      <c r="M296" s="73">
        <f t="shared" ca="1" si="161"/>
        <v>932</v>
      </c>
      <c r="N296" s="12" t="s">
        <v>44</v>
      </c>
      <c r="O296" s="47" t="s">
        <v>45</v>
      </c>
      <c r="P296" s="13">
        <f t="shared" si="150"/>
        <v>7.95</v>
      </c>
      <c r="Q296" s="1" t="str">
        <f t="shared" si="151"/>
        <v>1000 + шт - 7,95 руб / шт с НДС</v>
      </c>
      <c r="R296" s="235"/>
      <c r="S296" s="239"/>
      <c r="T296" s="226"/>
      <c r="U296" s="228"/>
      <c r="V296" s="222"/>
      <c r="W296" s="229"/>
      <c r="X296" s="227"/>
      <c r="Y296" s="229"/>
      <c r="Z296" s="236"/>
      <c r="AA296" s="237"/>
      <c r="AB296" s="238"/>
      <c r="AC296" s="223"/>
      <c r="AD296" s="222"/>
    </row>
    <row r="297" spans="1:30" x14ac:dyDescent="0.4">
      <c r="A297" s="230">
        <v>61</v>
      </c>
      <c r="B297" s="8">
        <v>61</v>
      </c>
      <c r="C297" s="14">
        <f t="shared" ca="1" si="167"/>
        <v>6.43</v>
      </c>
      <c r="D297" s="20">
        <f t="shared" ca="1" si="179"/>
        <v>7.7159999999999993</v>
      </c>
      <c r="E297" s="224" t="str">
        <f ca="1">INDIRECT("'Закуп'!D" &amp; A297)</f>
        <v>У</v>
      </c>
      <c r="F297" s="231" t="str">
        <f t="shared" ref="F297" ca="1" si="182">INDIRECT("'Закуп'!E" &amp; B297)</f>
        <v>795х510х870</v>
      </c>
      <c r="G297" s="172" t="str">
        <f t="shared" ca="1" si="162"/>
        <v/>
      </c>
      <c r="H297" s="93" t="str">
        <f t="shared" ca="1" si="163"/>
        <v xml:space="preserve"> +кр Т22</v>
      </c>
      <c r="I297" s="21">
        <v>50</v>
      </c>
      <c r="J297" s="68">
        <f t="shared" si="164"/>
        <v>9.0416666666666661</v>
      </c>
      <c r="K297" s="70">
        <v>10.85</v>
      </c>
      <c r="L297" s="72">
        <f t="shared" ca="1" si="160"/>
        <v>2.0893333333333333</v>
      </c>
      <c r="M297" s="73">
        <f t="shared" ca="1" si="161"/>
        <v>104.46666666666667</v>
      </c>
      <c r="N297" s="12" t="s">
        <v>40</v>
      </c>
      <c r="O297" s="47" t="s">
        <v>45</v>
      </c>
      <c r="P297" s="13">
        <f t="shared" si="150"/>
        <v>10.85</v>
      </c>
      <c r="Q297" s="1" t="str">
        <f t="shared" si="151"/>
        <v>50-90 шт - 10,85 руб / шт с НДС</v>
      </c>
      <c r="R297" s="235" t="str">
        <f ca="1">INDIRECT("'Закуп'!k" &amp; A297)</f>
        <v>K61</v>
      </c>
      <c r="S297" s="239">
        <f ca="1">INDIRECT("'Закуп'!o" &amp; A297)</f>
        <v>352.74</v>
      </c>
      <c r="T297" s="226" t="str">
        <f ca="1">INDIRECT("'Закуп'!p" &amp; A297)</f>
        <v>200+ литров</v>
      </c>
      <c r="U297" s="228" t="str">
        <f ca="1">INDIRECT("'Закуп'!v" &amp; A297)</f>
        <v/>
      </c>
      <c r="V297" s="222" t="str">
        <f ca="1">INDIRECT("'Закуп'!w" &amp; A297)</f>
        <v/>
      </c>
      <c r="W297" s="229" t="str">
        <f ca="1">INDIRECT("'Закуп'!H" &amp; A297)</f>
        <v>0312</v>
      </c>
      <c r="X297" s="227" t="str">
        <f t="shared" ref="X297" ca="1" si="183">INDIRECT("'Закуп'!g" &amp; A297)</f>
        <v>Ч</v>
      </c>
      <c r="Y297" s="229" t="str">
        <f ca="1">INDIRECT("'Закуп'!i" &amp; A297)</f>
        <v>В</v>
      </c>
      <c r="Z297" s="236" t="str">
        <f ca="1">INDIRECT("'Закуп'!x" &amp; A297)</f>
        <v>700-999 мм</v>
      </c>
      <c r="AA297" s="237" t="str">
        <f ca="1">INDIRECT("'Закуп'!y" &amp; A297)</f>
        <v>700-999 мм</v>
      </c>
      <c r="AB297" s="238" t="str">
        <f ca="1">INDIRECT("'Закуп'!z" &amp; A297)</f>
        <v>500-599 мм</v>
      </c>
      <c r="AC297" s="223" t="str">
        <f t="shared" ref="AC297:AC357" ca="1" si="184">SUBSTITUTE(INDEX(F:F, ROUNDUP((ROW(A296))/5,0)*5 - 3), "х", "x")</f>
        <v>795x510x870</v>
      </c>
      <c r="AD297" s="222" t="str">
        <f t="shared" ca="1" si="172"/>
        <v>795x510x870 - 795*510*870 мм</v>
      </c>
    </row>
    <row r="298" spans="1:30" x14ac:dyDescent="0.4">
      <c r="A298" s="230"/>
      <c r="B298" s="8">
        <v>61</v>
      </c>
      <c r="C298" s="14">
        <f t="shared" ca="1" si="167"/>
        <v>6.43</v>
      </c>
      <c r="D298" s="20">
        <f t="shared" ca="1" si="179"/>
        <v>7.7159999999999993</v>
      </c>
      <c r="E298" s="225"/>
      <c r="F298" s="231"/>
      <c r="G298" s="172" t="str">
        <f t="shared" ca="1" si="162"/>
        <v/>
      </c>
      <c r="H298" s="93" t="str">
        <f t="shared" ca="1" si="163"/>
        <v xml:space="preserve"> +кр Т22</v>
      </c>
      <c r="I298" s="21">
        <v>100</v>
      </c>
      <c r="J298" s="68">
        <f t="shared" si="164"/>
        <v>8.7333333333333343</v>
      </c>
      <c r="K298" s="70">
        <v>10.48</v>
      </c>
      <c r="L298" s="72">
        <f t="shared" ca="1" si="160"/>
        <v>1.8426666666666676</v>
      </c>
      <c r="M298" s="73">
        <f t="shared" ca="1" si="161"/>
        <v>184.26666666666677</v>
      </c>
      <c r="N298" s="12" t="s">
        <v>41</v>
      </c>
      <c r="O298" s="47" t="s">
        <v>45</v>
      </c>
      <c r="P298" s="13">
        <f t="shared" si="150"/>
        <v>10.48</v>
      </c>
      <c r="Q298" s="1" t="str">
        <f t="shared" si="151"/>
        <v>100-290 шт - 10,48 руб / шт с НДС</v>
      </c>
      <c r="R298" s="235"/>
      <c r="S298" s="239"/>
      <c r="T298" s="226"/>
      <c r="U298" s="228"/>
      <c r="V298" s="222"/>
      <c r="W298" s="229"/>
      <c r="X298" s="227"/>
      <c r="Y298" s="229"/>
      <c r="Z298" s="236"/>
      <c r="AA298" s="237"/>
      <c r="AB298" s="238"/>
      <c r="AC298" s="223"/>
      <c r="AD298" s="222"/>
    </row>
    <row r="299" spans="1:30" x14ac:dyDescent="0.4">
      <c r="A299" s="230"/>
      <c r="B299" s="8">
        <v>61</v>
      </c>
      <c r="C299" s="14">
        <f t="shared" ca="1" si="167"/>
        <v>6.43</v>
      </c>
      <c r="D299" s="20">
        <f t="shared" ca="1" si="179"/>
        <v>7.7159999999999993</v>
      </c>
      <c r="E299" s="225"/>
      <c r="F299" s="231"/>
      <c r="G299" s="172" t="str">
        <f t="shared" ca="1" si="162"/>
        <v/>
      </c>
      <c r="H299" s="93" t="str">
        <f t="shared" ca="1" si="163"/>
        <v xml:space="preserve"> +кр Т22</v>
      </c>
      <c r="I299" s="21">
        <v>300</v>
      </c>
      <c r="J299" s="68">
        <f t="shared" si="164"/>
        <v>8.4250000000000007</v>
      </c>
      <c r="K299" s="70">
        <v>10.11</v>
      </c>
      <c r="L299" s="72">
        <f t="shared" ca="1" si="160"/>
        <v>1.5960000000000008</v>
      </c>
      <c r="M299" s="73">
        <f t="shared" ca="1" si="161"/>
        <v>478.80000000000024</v>
      </c>
      <c r="N299" s="12" t="s">
        <v>42</v>
      </c>
      <c r="O299" s="47" t="s">
        <v>45</v>
      </c>
      <c r="P299" s="13">
        <f t="shared" si="150"/>
        <v>10.11</v>
      </c>
      <c r="Q299" s="1" t="str">
        <f t="shared" si="151"/>
        <v>300-490 шт - 10,11 руб / шт с НДС</v>
      </c>
      <c r="R299" s="235"/>
      <c r="S299" s="239"/>
      <c r="T299" s="226"/>
      <c r="U299" s="228"/>
      <c r="V299" s="222"/>
      <c r="W299" s="229"/>
      <c r="X299" s="227"/>
      <c r="Y299" s="229"/>
      <c r="Z299" s="236"/>
      <c r="AA299" s="237"/>
      <c r="AB299" s="238"/>
      <c r="AC299" s="223"/>
      <c r="AD299" s="222"/>
    </row>
    <row r="300" spans="1:30" x14ac:dyDescent="0.4">
      <c r="A300" s="230"/>
      <c r="B300" s="8">
        <v>61</v>
      </c>
      <c r="C300" s="14">
        <f t="shared" ca="1" si="167"/>
        <v>6.43</v>
      </c>
      <c r="D300" s="20">
        <f t="shared" ca="1" si="179"/>
        <v>7.7159999999999993</v>
      </c>
      <c r="E300" s="225"/>
      <c r="F300" s="231"/>
      <c r="G300" s="172" t="str">
        <f t="shared" ca="1" si="162"/>
        <v/>
      </c>
      <c r="H300" s="93" t="str">
        <f t="shared" ca="1" si="163"/>
        <v xml:space="preserve"> +кр Т22</v>
      </c>
      <c r="I300" s="21">
        <v>500</v>
      </c>
      <c r="J300" s="68">
        <f t="shared" si="164"/>
        <v>8.1166666666666671</v>
      </c>
      <c r="K300" s="70">
        <v>9.74</v>
      </c>
      <c r="L300" s="72">
        <f t="shared" ca="1" si="160"/>
        <v>1.3493333333333339</v>
      </c>
      <c r="M300" s="73">
        <f t="shared" ca="1" si="161"/>
        <v>674.66666666666697</v>
      </c>
      <c r="N300" s="12" t="s">
        <v>43</v>
      </c>
      <c r="O300" s="47" t="s">
        <v>45</v>
      </c>
      <c r="P300" s="13">
        <f t="shared" si="150"/>
        <v>9.74</v>
      </c>
      <c r="Q300" s="1" t="str">
        <f t="shared" si="151"/>
        <v>500-990 шт - 9,74 руб / шт с НДС</v>
      </c>
      <c r="R300" s="235"/>
      <c r="S300" s="239"/>
      <c r="T300" s="226"/>
      <c r="U300" s="228"/>
      <c r="V300" s="222"/>
      <c r="W300" s="229"/>
      <c r="X300" s="227"/>
      <c r="Y300" s="229"/>
      <c r="Z300" s="236"/>
      <c r="AA300" s="237"/>
      <c r="AB300" s="238"/>
      <c r="AC300" s="223"/>
      <c r="AD300" s="222"/>
    </row>
    <row r="301" spans="1:30" x14ac:dyDescent="0.4">
      <c r="A301" s="230"/>
      <c r="B301" s="8">
        <v>61</v>
      </c>
      <c r="C301" s="14">
        <f t="shared" ca="1" si="167"/>
        <v>6.43</v>
      </c>
      <c r="D301" s="20">
        <f t="shared" ca="1" si="179"/>
        <v>7.7159999999999993</v>
      </c>
      <c r="E301" s="225"/>
      <c r="F301" s="231"/>
      <c r="G301" s="172" t="str">
        <f t="shared" ca="1" si="162"/>
        <v/>
      </c>
      <c r="H301" s="93" t="str">
        <f t="shared" ca="1" si="163"/>
        <v xml:space="preserve"> +кр Т22</v>
      </c>
      <c r="I301" s="21">
        <v>1000</v>
      </c>
      <c r="J301" s="68">
        <f t="shared" si="164"/>
        <v>7.8</v>
      </c>
      <c r="K301" s="70">
        <v>9.36</v>
      </c>
      <c r="L301" s="72">
        <f t="shared" ca="1" si="160"/>
        <v>1.0960000000000001</v>
      </c>
      <c r="M301" s="73">
        <f t="shared" ca="1" si="161"/>
        <v>1096</v>
      </c>
      <c r="N301" s="12" t="s">
        <v>44</v>
      </c>
      <c r="O301" s="47" t="s">
        <v>45</v>
      </c>
      <c r="P301" s="13">
        <f t="shared" si="150"/>
        <v>9.36</v>
      </c>
      <c r="Q301" s="1" t="str">
        <f t="shared" si="151"/>
        <v>1000 + шт - 9,36 руб / шт с НДС</v>
      </c>
      <c r="R301" s="235"/>
      <c r="S301" s="239"/>
      <c r="T301" s="226"/>
      <c r="U301" s="228"/>
      <c r="V301" s="222"/>
      <c r="W301" s="229"/>
      <c r="X301" s="227"/>
      <c r="Y301" s="229"/>
      <c r="Z301" s="236"/>
      <c r="AA301" s="237"/>
      <c r="AB301" s="238"/>
      <c r="AC301" s="223"/>
      <c r="AD301" s="222"/>
    </row>
    <row r="302" spans="1:30" x14ac:dyDescent="0.4">
      <c r="A302" s="230">
        <v>62</v>
      </c>
      <c r="B302" s="8">
        <v>62</v>
      </c>
      <c r="C302" s="14">
        <f t="shared" ca="1" si="167"/>
        <v>8.77</v>
      </c>
      <c r="D302" s="20">
        <f t="shared" ca="1" si="179"/>
        <v>10.523999999999999</v>
      </c>
      <c r="E302" s="224" t="str">
        <f ca="1">INDIRECT("'Закуп'!D" &amp; A302)</f>
        <v>У</v>
      </c>
      <c r="F302" s="231" t="str">
        <f t="shared" ref="F302" ca="1" si="185">INDIRECT("'Закуп'!E" &amp; B302)</f>
        <v>1100х700х1000</v>
      </c>
      <c r="G302" s="172" t="str">
        <f t="shared" ca="1" si="162"/>
        <v/>
      </c>
      <c r="H302" s="93" t="str">
        <f t="shared" ca="1" si="163"/>
        <v>Т</v>
      </c>
      <c r="I302" s="21">
        <v>50</v>
      </c>
      <c r="J302" s="68">
        <f t="shared" si="164"/>
        <v>12.041666666666666</v>
      </c>
      <c r="K302" s="70">
        <v>14.45</v>
      </c>
      <c r="L302" s="72">
        <f t="shared" ca="1" si="160"/>
        <v>2.6173333333333333</v>
      </c>
      <c r="M302" s="73">
        <f t="shared" ca="1" si="161"/>
        <v>130.86666666666667</v>
      </c>
      <c r="N302" s="12" t="s">
        <v>40</v>
      </c>
      <c r="O302" s="47" t="s">
        <v>45</v>
      </c>
      <c r="P302" s="13">
        <f t="shared" si="150"/>
        <v>14.45</v>
      </c>
      <c r="Q302" s="1" t="str">
        <f t="shared" si="151"/>
        <v>50-90 шт - 14,45 руб / шт с НДС</v>
      </c>
      <c r="R302" s="235" t="str">
        <f ca="1">INDIRECT("'Закуп'!k" &amp; A302)</f>
        <v>K62</v>
      </c>
      <c r="S302" s="239">
        <f ca="1">INDIRECT("'Закуп'!o" &amp; A302)</f>
        <v>770</v>
      </c>
      <c r="T302" s="226" t="str">
        <f ca="1">INDIRECT("'Закуп'!p" &amp; A302)</f>
        <v>200+ литров</v>
      </c>
      <c r="U302" s="228" t="str">
        <f ca="1">INDIRECT("'Закуп'!v" &amp; A302)</f>
        <v/>
      </c>
      <c r="V302" s="222" t="str">
        <f ca="1">INDIRECT("'Закуп'!w" &amp; A302)</f>
        <v/>
      </c>
      <c r="W302" s="229" t="str">
        <f ca="1">INDIRECT("'Закуп'!H" &amp; A302)</f>
        <v>0200</v>
      </c>
      <c r="X302" s="227" t="str">
        <f t="shared" ref="X302" ca="1" si="186">INDIRECT("'Закуп'!g" &amp; A302)</f>
        <v>Ч</v>
      </c>
      <c r="Y302" s="229" t="str">
        <f ca="1">INDIRECT("'Закуп'!i" &amp; A302)</f>
        <v>В</v>
      </c>
      <c r="Z302" s="236" t="str">
        <f ca="1">INDIRECT("'Закуп'!x" &amp; A302)</f>
        <v>1000+ мм</v>
      </c>
      <c r="AA302" s="237" t="str">
        <f ca="1">INDIRECT("'Закуп'!y" &amp; A302)</f>
        <v>1000+ мм</v>
      </c>
      <c r="AB302" s="238" t="str">
        <f ca="1">INDIRECT("'Закуп'!z" &amp; A302)</f>
        <v>700-999 мм</v>
      </c>
      <c r="AC302" s="223" t="str">
        <f t="shared" ca="1" si="184"/>
        <v>1100x700x1000</v>
      </c>
      <c r="AD302" s="222" t="str">
        <f t="shared" ca="1" si="172"/>
        <v>1100x700x1000 - 1100*700*1000 мм</v>
      </c>
    </row>
    <row r="303" spans="1:30" x14ac:dyDescent="0.4">
      <c r="A303" s="230"/>
      <c r="B303" s="8">
        <v>62</v>
      </c>
      <c r="C303" s="14">
        <f t="shared" ca="1" si="167"/>
        <v>8.77</v>
      </c>
      <c r="D303" s="20">
        <f t="shared" ca="1" si="179"/>
        <v>10.523999999999999</v>
      </c>
      <c r="E303" s="225"/>
      <c r="F303" s="231"/>
      <c r="G303" s="172" t="str">
        <f t="shared" ca="1" si="162"/>
        <v/>
      </c>
      <c r="H303" s="93" t="str">
        <f t="shared" ca="1" si="163"/>
        <v>Т</v>
      </c>
      <c r="I303" s="21">
        <v>100</v>
      </c>
      <c r="J303" s="68">
        <f t="shared" si="164"/>
        <v>11.591666666666667</v>
      </c>
      <c r="K303" s="70">
        <v>13.91</v>
      </c>
      <c r="L303" s="72">
        <f t="shared" ca="1" si="160"/>
        <v>2.2573333333333339</v>
      </c>
      <c r="M303" s="73">
        <f t="shared" ca="1" si="161"/>
        <v>225.73333333333338</v>
      </c>
      <c r="N303" s="12" t="s">
        <v>41</v>
      </c>
      <c r="O303" s="47" t="s">
        <v>45</v>
      </c>
      <c r="P303" s="13">
        <f t="shared" ref="P303:P366" si="187">ROUND(K303,2)</f>
        <v>13.91</v>
      </c>
      <c r="Q303" s="1" t="str">
        <f t="shared" si="151"/>
        <v>100-290 шт - 13,91 руб / шт с НДС</v>
      </c>
      <c r="R303" s="235"/>
      <c r="S303" s="239"/>
      <c r="T303" s="226"/>
      <c r="U303" s="228"/>
      <c r="V303" s="222"/>
      <c r="W303" s="229"/>
      <c r="X303" s="227"/>
      <c r="Y303" s="229"/>
      <c r="Z303" s="236"/>
      <c r="AA303" s="237"/>
      <c r="AB303" s="238"/>
      <c r="AC303" s="223"/>
      <c r="AD303" s="222"/>
    </row>
    <row r="304" spans="1:30" x14ac:dyDescent="0.4">
      <c r="A304" s="230"/>
      <c r="B304" s="8">
        <v>62</v>
      </c>
      <c r="C304" s="14">
        <f t="shared" ca="1" si="167"/>
        <v>8.77</v>
      </c>
      <c r="D304" s="20">
        <f t="shared" ca="1" si="179"/>
        <v>10.523999999999999</v>
      </c>
      <c r="E304" s="225"/>
      <c r="F304" s="231"/>
      <c r="G304" s="172" t="str">
        <f t="shared" ca="1" si="162"/>
        <v/>
      </c>
      <c r="H304" s="93" t="str">
        <f t="shared" ca="1" si="163"/>
        <v>Т</v>
      </c>
      <c r="I304" s="21">
        <v>300</v>
      </c>
      <c r="J304" s="68">
        <f t="shared" si="164"/>
        <v>11.325000000000001</v>
      </c>
      <c r="K304" s="70">
        <v>13.59</v>
      </c>
      <c r="L304" s="72">
        <f t="shared" ca="1" si="160"/>
        <v>2.0440000000000014</v>
      </c>
      <c r="M304" s="73">
        <f t="shared" ca="1" si="161"/>
        <v>613.20000000000039</v>
      </c>
      <c r="N304" s="12" t="s">
        <v>42</v>
      </c>
      <c r="O304" s="47" t="s">
        <v>45</v>
      </c>
      <c r="P304" s="13">
        <f t="shared" si="187"/>
        <v>13.59</v>
      </c>
      <c r="Q304" s="1" t="str">
        <f t="shared" ref="Q304:Q367" si="188">CONCATENATE(N304,P304,O304,)</f>
        <v>300-490 шт - 13,59 руб / шт с НДС</v>
      </c>
      <c r="R304" s="235"/>
      <c r="S304" s="239"/>
      <c r="T304" s="226"/>
      <c r="U304" s="228"/>
      <c r="V304" s="222"/>
      <c r="W304" s="229"/>
      <c r="X304" s="227"/>
      <c r="Y304" s="229"/>
      <c r="Z304" s="236"/>
      <c r="AA304" s="237"/>
      <c r="AB304" s="238"/>
      <c r="AC304" s="223"/>
      <c r="AD304" s="222"/>
    </row>
    <row r="305" spans="1:30" x14ac:dyDescent="0.4">
      <c r="A305" s="230"/>
      <c r="B305" s="8">
        <v>62</v>
      </c>
      <c r="C305" s="14">
        <f t="shared" ca="1" si="167"/>
        <v>8.77</v>
      </c>
      <c r="D305" s="20">
        <f t="shared" ca="1" si="179"/>
        <v>10.523999999999999</v>
      </c>
      <c r="E305" s="225"/>
      <c r="F305" s="231"/>
      <c r="G305" s="172" t="str">
        <f t="shared" ca="1" si="162"/>
        <v/>
      </c>
      <c r="H305" s="93" t="str">
        <f t="shared" ca="1" si="163"/>
        <v>Т</v>
      </c>
      <c r="I305" s="21">
        <v>500</v>
      </c>
      <c r="J305" s="68">
        <f t="shared" si="164"/>
        <v>11.058333333333334</v>
      </c>
      <c r="K305" s="70">
        <v>13.27</v>
      </c>
      <c r="L305" s="72">
        <f t="shared" ca="1" si="160"/>
        <v>1.8306666666666671</v>
      </c>
      <c r="M305" s="73">
        <f t="shared" ca="1" si="161"/>
        <v>915.3333333333336</v>
      </c>
      <c r="N305" s="12" t="s">
        <v>43</v>
      </c>
      <c r="O305" s="47" t="s">
        <v>45</v>
      </c>
      <c r="P305" s="13">
        <f t="shared" si="187"/>
        <v>13.27</v>
      </c>
      <c r="Q305" s="1" t="str">
        <f t="shared" si="188"/>
        <v>500-990 шт - 13,27 руб / шт с НДС</v>
      </c>
      <c r="R305" s="235"/>
      <c r="S305" s="239"/>
      <c r="T305" s="226"/>
      <c r="U305" s="228"/>
      <c r="V305" s="222"/>
      <c r="W305" s="229"/>
      <c r="X305" s="227"/>
      <c r="Y305" s="229"/>
      <c r="Z305" s="236"/>
      <c r="AA305" s="237"/>
      <c r="AB305" s="238"/>
      <c r="AC305" s="223"/>
      <c r="AD305" s="222"/>
    </row>
    <row r="306" spans="1:30" x14ac:dyDescent="0.4">
      <c r="A306" s="230"/>
      <c r="B306" s="8">
        <v>62</v>
      </c>
      <c r="C306" s="14">
        <f t="shared" ca="1" si="167"/>
        <v>8.77</v>
      </c>
      <c r="D306" s="20">
        <f t="shared" ca="1" si="179"/>
        <v>10.523999999999999</v>
      </c>
      <c r="E306" s="225"/>
      <c r="F306" s="231"/>
      <c r="G306" s="172" t="str">
        <f t="shared" ca="1" si="162"/>
        <v/>
      </c>
      <c r="H306" s="93" t="str">
        <f t="shared" ca="1" si="163"/>
        <v>Т</v>
      </c>
      <c r="I306" s="21">
        <v>1000</v>
      </c>
      <c r="J306" s="68">
        <f t="shared" si="164"/>
        <v>10.700000000000001</v>
      </c>
      <c r="K306" s="70">
        <v>12.84</v>
      </c>
      <c r="L306" s="72">
        <f t="shared" ca="1" si="160"/>
        <v>1.5440000000000011</v>
      </c>
      <c r="M306" s="73">
        <f t="shared" ca="1" si="161"/>
        <v>1544.0000000000011</v>
      </c>
      <c r="N306" s="12" t="s">
        <v>44</v>
      </c>
      <c r="O306" s="47" t="s">
        <v>45</v>
      </c>
      <c r="P306" s="13">
        <f t="shared" si="187"/>
        <v>12.84</v>
      </c>
      <c r="Q306" s="1" t="str">
        <f t="shared" si="188"/>
        <v>1000 + шт - 12,84 руб / шт с НДС</v>
      </c>
      <c r="R306" s="235"/>
      <c r="S306" s="239"/>
      <c r="T306" s="226"/>
      <c r="U306" s="228"/>
      <c r="V306" s="222"/>
      <c r="W306" s="229"/>
      <c r="X306" s="227"/>
      <c r="Y306" s="229"/>
      <c r="Z306" s="236"/>
      <c r="AA306" s="237"/>
      <c r="AB306" s="238"/>
      <c r="AC306" s="223"/>
      <c r="AD306" s="222"/>
    </row>
    <row r="307" spans="1:30" x14ac:dyDescent="0.4">
      <c r="A307" s="230">
        <v>63</v>
      </c>
      <c r="B307" s="8">
        <v>63</v>
      </c>
      <c r="C307" s="14">
        <f t="shared" ca="1" si="167"/>
        <v>15.17</v>
      </c>
      <c r="D307" s="20">
        <f t="shared" ca="1" si="179"/>
        <v>18.204000000000001</v>
      </c>
      <c r="E307" s="224" t="str">
        <f ca="1">INDIRECT("'Закуп'!D" &amp; A307)</f>
        <v>У</v>
      </c>
      <c r="F307" s="231" t="str">
        <f t="shared" ref="F307" ca="1" si="189">INDIRECT("'Закуп'!E" &amp; B307)</f>
        <v>1100х700х1000</v>
      </c>
      <c r="G307" s="172" t="str">
        <f t="shared" ca="1" si="162"/>
        <v/>
      </c>
      <c r="H307" s="93" t="str">
        <f t="shared" ca="1" si="163"/>
        <v>П</v>
      </c>
      <c r="I307" s="21">
        <v>50</v>
      </c>
      <c r="J307" s="68">
        <f t="shared" si="164"/>
        <v>18.725000000000001</v>
      </c>
      <c r="K307" s="70">
        <v>22.47</v>
      </c>
      <c r="L307" s="72">
        <f t="shared" ca="1" si="160"/>
        <v>2.8440000000000012</v>
      </c>
      <c r="M307" s="73">
        <f t="shared" ca="1" si="161"/>
        <v>142.20000000000005</v>
      </c>
      <c r="N307" s="12" t="s">
        <v>40</v>
      </c>
      <c r="O307" s="47" t="s">
        <v>45</v>
      </c>
      <c r="P307" s="13">
        <f t="shared" si="187"/>
        <v>22.47</v>
      </c>
      <c r="Q307" s="1" t="str">
        <f t="shared" si="188"/>
        <v>50-90 шт - 22,47 руб / шт с НДС</v>
      </c>
      <c r="R307" s="235" t="str">
        <f ca="1">INDIRECT("'Закуп'!k" &amp; A307)</f>
        <v>K63</v>
      </c>
      <c r="S307" s="239">
        <f ca="1">INDIRECT("'Закуп'!o" &amp; A307)</f>
        <v>770</v>
      </c>
      <c r="T307" s="226" t="str">
        <f ca="1">INDIRECT("'Закуп'!p" &amp; A307)</f>
        <v>200+ литров</v>
      </c>
      <c r="U307" s="228" t="str">
        <f ca="1">INDIRECT("'Закуп'!v" &amp; A307)</f>
        <v/>
      </c>
      <c r="V307" s="222" t="str">
        <f ca="1">INDIRECT("'Закуп'!w" &amp; A307)</f>
        <v/>
      </c>
      <c r="W307" s="229" t="str">
        <f ca="1">INDIRECT("'Закуп'!H" &amp; A307)</f>
        <v>0200</v>
      </c>
      <c r="X307" s="227" t="str">
        <f t="shared" ref="X307" ca="1" si="190">INDIRECT("'Закуп'!g" &amp; A307)</f>
        <v>Ч</v>
      </c>
      <c r="Y307" s="229" t="str">
        <f ca="1">INDIRECT("'Закуп'!i" &amp; A307)</f>
        <v>ВС</v>
      </c>
      <c r="Z307" s="236" t="str">
        <f ca="1">INDIRECT("'Закуп'!x" &amp; A307)</f>
        <v>1000+ мм</v>
      </c>
      <c r="AA307" s="237" t="str">
        <f ca="1">INDIRECT("'Закуп'!y" &amp; A307)</f>
        <v>1000+ мм</v>
      </c>
      <c r="AB307" s="238" t="str">
        <f ca="1">INDIRECT("'Закуп'!z" &amp; A307)</f>
        <v>700-999 мм</v>
      </c>
      <c r="AC307" s="223" t="str">
        <f t="shared" ca="1" si="184"/>
        <v>1100x700x1000</v>
      </c>
      <c r="AD307" s="222" t="str">
        <f t="shared" ca="1" si="172"/>
        <v>1100x700x1000 - 1100*700*1000 мм</v>
      </c>
    </row>
    <row r="308" spans="1:30" x14ac:dyDescent="0.4">
      <c r="A308" s="230"/>
      <c r="B308" s="8">
        <v>63</v>
      </c>
      <c r="C308" s="14">
        <f t="shared" ca="1" si="167"/>
        <v>15.17</v>
      </c>
      <c r="D308" s="20">
        <f t="shared" ca="1" si="179"/>
        <v>18.204000000000001</v>
      </c>
      <c r="E308" s="225"/>
      <c r="F308" s="231"/>
      <c r="G308" s="172" t="str">
        <f t="shared" ca="1" si="162"/>
        <v/>
      </c>
      <c r="H308" s="93" t="str">
        <f t="shared" ca="1" si="163"/>
        <v>П</v>
      </c>
      <c r="I308" s="21">
        <v>100</v>
      </c>
      <c r="J308" s="68">
        <f t="shared" si="164"/>
        <v>18.283333333333335</v>
      </c>
      <c r="K308" s="70">
        <v>21.94</v>
      </c>
      <c r="L308" s="72">
        <f t="shared" ca="1" si="160"/>
        <v>2.4906666666666681</v>
      </c>
      <c r="M308" s="73">
        <f t="shared" ca="1" si="161"/>
        <v>249.0666666666668</v>
      </c>
      <c r="N308" s="12" t="s">
        <v>41</v>
      </c>
      <c r="O308" s="47" t="s">
        <v>45</v>
      </c>
      <c r="P308" s="13">
        <f t="shared" si="187"/>
        <v>21.94</v>
      </c>
      <c r="Q308" s="1" t="str">
        <f t="shared" si="188"/>
        <v>100-290 шт - 21,94 руб / шт с НДС</v>
      </c>
      <c r="R308" s="235"/>
      <c r="S308" s="239"/>
      <c r="T308" s="226"/>
      <c r="U308" s="228"/>
      <c r="V308" s="222"/>
      <c r="W308" s="229"/>
      <c r="X308" s="227"/>
      <c r="Y308" s="229"/>
      <c r="Z308" s="236"/>
      <c r="AA308" s="237"/>
      <c r="AB308" s="238"/>
      <c r="AC308" s="223"/>
      <c r="AD308" s="222"/>
    </row>
    <row r="309" spans="1:30" x14ac:dyDescent="0.4">
      <c r="A309" s="230"/>
      <c r="B309" s="8">
        <v>63</v>
      </c>
      <c r="C309" s="14">
        <f t="shared" ca="1" si="167"/>
        <v>15.17</v>
      </c>
      <c r="D309" s="20">
        <f t="shared" ca="1" si="179"/>
        <v>18.204000000000001</v>
      </c>
      <c r="E309" s="225"/>
      <c r="F309" s="231"/>
      <c r="G309" s="172" t="str">
        <f t="shared" ca="1" si="162"/>
        <v/>
      </c>
      <c r="H309" s="93" t="str">
        <f t="shared" ca="1" si="163"/>
        <v>П</v>
      </c>
      <c r="I309" s="21">
        <v>300</v>
      </c>
      <c r="J309" s="68">
        <f t="shared" si="164"/>
        <v>17.833333333333332</v>
      </c>
      <c r="K309" s="70">
        <v>21.4</v>
      </c>
      <c r="L309" s="72">
        <f t="shared" ca="1" si="160"/>
        <v>2.1306666666666656</v>
      </c>
      <c r="M309" s="73">
        <f t="shared" ca="1" si="161"/>
        <v>639.1999999999997</v>
      </c>
      <c r="N309" s="12" t="s">
        <v>42</v>
      </c>
      <c r="O309" s="47" t="s">
        <v>45</v>
      </c>
      <c r="P309" s="13">
        <f t="shared" si="187"/>
        <v>21.4</v>
      </c>
      <c r="Q309" s="1" t="str">
        <f t="shared" si="188"/>
        <v>300-490 шт - 21,4 руб / шт с НДС</v>
      </c>
      <c r="R309" s="235"/>
      <c r="S309" s="239"/>
      <c r="T309" s="226"/>
      <c r="U309" s="228"/>
      <c r="V309" s="222"/>
      <c r="W309" s="229"/>
      <c r="X309" s="227"/>
      <c r="Y309" s="229"/>
      <c r="Z309" s="236"/>
      <c r="AA309" s="237"/>
      <c r="AB309" s="238"/>
      <c r="AC309" s="223"/>
      <c r="AD309" s="222"/>
    </row>
    <row r="310" spans="1:30" x14ac:dyDescent="0.4">
      <c r="A310" s="230"/>
      <c r="B310" s="8">
        <v>63</v>
      </c>
      <c r="C310" s="14">
        <f t="shared" ca="1" si="167"/>
        <v>15.17</v>
      </c>
      <c r="D310" s="20">
        <f t="shared" ca="1" si="179"/>
        <v>18.204000000000001</v>
      </c>
      <c r="E310" s="225"/>
      <c r="F310" s="231"/>
      <c r="G310" s="172" t="str">
        <f t="shared" ca="1" si="162"/>
        <v/>
      </c>
      <c r="H310" s="93" t="str">
        <f t="shared" ca="1" si="163"/>
        <v>П</v>
      </c>
      <c r="I310" s="21">
        <v>500</v>
      </c>
      <c r="J310" s="68">
        <f t="shared" si="164"/>
        <v>17.658333333333335</v>
      </c>
      <c r="K310" s="70">
        <v>21.19</v>
      </c>
      <c r="L310" s="72">
        <f t="shared" ca="1" si="160"/>
        <v>1.9906666666666681</v>
      </c>
      <c r="M310" s="73">
        <f t="shared" ca="1" si="161"/>
        <v>995.33333333333405</v>
      </c>
      <c r="N310" s="12" t="s">
        <v>43</v>
      </c>
      <c r="O310" s="47" t="s">
        <v>45</v>
      </c>
      <c r="P310" s="13">
        <f t="shared" si="187"/>
        <v>21.19</v>
      </c>
      <c r="Q310" s="1" t="str">
        <f t="shared" si="188"/>
        <v>500-990 шт - 21,19 руб / шт с НДС</v>
      </c>
      <c r="R310" s="235"/>
      <c r="S310" s="239"/>
      <c r="T310" s="226"/>
      <c r="U310" s="228"/>
      <c r="V310" s="222"/>
      <c r="W310" s="229"/>
      <c r="X310" s="227"/>
      <c r="Y310" s="229"/>
      <c r="Z310" s="236"/>
      <c r="AA310" s="237"/>
      <c r="AB310" s="238"/>
      <c r="AC310" s="223"/>
      <c r="AD310" s="222"/>
    </row>
    <row r="311" spans="1:30" x14ac:dyDescent="0.4">
      <c r="A311" s="230"/>
      <c r="B311" s="8">
        <v>63</v>
      </c>
      <c r="C311" s="14">
        <f t="shared" ca="1" si="167"/>
        <v>15.17</v>
      </c>
      <c r="D311" s="20">
        <f t="shared" ca="1" si="179"/>
        <v>18.204000000000001</v>
      </c>
      <c r="E311" s="225"/>
      <c r="F311" s="231"/>
      <c r="G311" s="172" t="str">
        <f t="shared" ca="1" si="162"/>
        <v/>
      </c>
      <c r="H311" s="93" t="str">
        <f t="shared" ca="1" si="163"/>
        <v>П</v>
      </c>
      <c r="I311" s="21">
        <v>1000</v>
      </c>
      <c r="J311" s="68">
        <f t="shared" si="164"/>
        <v>17.475000000000001</v>
      </c>
      <c r="K311" s="70">
        <v>20.97</v>
      </c>
      <c r="L311" s="72">
        <f t="shared" ca="1" si="160"/>
        <v>1.8440000000000012</v>
      </c>
      <c r="M311" s="73">
        <f t="shared" ca="1" si="161"/>
        <v>1844.0000000000011</v>
      </c>
      <c r="N311" s="12" t="s">
        <v>44</v>
      </c>
      <c r="O311" s="47" t="s">
        <v>45</v>
      </c>
      <c r="P311" s="13">
        <f t="shared" si="187"/>
        <v>20.97</v>
      </c>
      <c r="Q311" s="1" t="str">
        <f t="shared" si="188"/>
        <v>1000 + шт - 20,97 руб / шт с НДС</v>
      </c>
      <c r="R311" s="235"/>
      <c r="S311" s="239"/>
      <c r="T311" s="226"/>
      <c r="U311" s="228"/>
      <c r="V311" s="222"/>
      <c r="W311" s="229"/>
      <c r="X311" s="227"/>
      <c r="Y311" s="229"/>
      <c r="Z311" s="236"/>
      <c r="AA311" s="237"/>
      <c r="AB311" s="238"/>
      <c r="AC311" s="223"/>
      <c r="AD311" s="222"/>
    </row>
    <row r="312" spans="1:30" x14ac:dyDescent="0.4">
      <c r="A312" s="230">
        <v>64</v>
      </c>
      <c r="B312" s="8">
        <v>64</v>
      </c>
      <c r="C312" s="14">
        <f t="shared" ca="1" si="167"/>
        <v>10.56</v>
      </c>
      <c r="D312" s="20">
        <f t="shared" ca="1" si="179"/>
        <v>12.672000000000001</v>
      </c>
      <c r="E312" s="224" t="str">
        <f ca="1">INDIRECT("'Закуп'!D" &amp; A312)</f>
        <v>У</v>
      </c>
      <c r="F312" s="231" t="str">
        <f t="shared" ref="F312" ca="1" si="191">INDIRECT("'Закуп'!E" &amp; B312)</f>
        <v>1100х700х1000</v>
      </c>
      <c r="G312" s="172" t="str">
        <f t="shared" ca="1" si="162"/>
        <v/>
      </c>
      <c r="H312" s="93" t="str">
        <f t="shared" ca="1" si="163"/>
        <v xml:space="preserve"> Т +крышка</v>
      </c>
      <c r="I312" s="21">
        <v>50</v>
      </c>
      <c r="J312" s="68">
        <f t="shared" si="164"/>
        <v>13.375000000000002</v>
      </c>
      <c r="K312" s="70">
        <v>16.05</v>
      </c>
      <c r="L312" s="72">
        <f t="shared" ca="1" si="160"/>
        <v>2.2520000000000011</v>
      </c>
      <c r="M312" s="73">
        <f t="shared" ca="1" si="161"/>
        <v>112.60000000000005</v>
      </c>
      <c r="N312" s="12" t="s">
        <v>40</v>
      </c>
      <c r="O312" s="47" t="s">
        <v>45</v>
      </c>
      <c r="P312" s="13">
        <f t="shared" si="187"/>
        <v>16.05</v>
      </c>
      <c r="Q312" s="1" t="str">
        <f t="shared" si="188"/>
        <v>50-90 шт - 16,05 руб / шт с НДС</v>
      </c>
      <c r="R312" s="235" t="str">
        <f ca="1">INDIRECT("'Закуп'!k" &amp; A312)</f>
        <v>K64</v>
      </c>
      <c r="S312" s="239">
        <f ca="1">INDIRECT("'Закуп'!o" &amp; A312)</f>
        <v>770</v>
      </c>
      <c r="T312" s="226" t="str">
        <f ca="1">INDIRECT("'Закуп'!p" &amp; A312)</f>
        <v>200+ литров</v>
      </c>
      <c r="U312" s="228" t="str">
        <f ca="1">INDIRECT("'Закуп'!v" &amp; A312)</f>
        <v/>
      </c>
      <c r="V312" s="222" t="str">
        <f ca="1">INDIRECT("'Закуп'!w" &amp; A312)</f>
        <v/>
      </c>
      <c r="W312" s="229" t="str">
        <f ca="1">INDIRECT("'Закуп'!H" &amp; A312)</f>
        <v>0312</v>
      </c>
      <c r="X312" s="227" t="str">
        <f t="shared" ref="X312" ca="1" si="192">INDIRECT("'Закуп'!g" &amp; A312)</f>
        <v>Ч</v>
      </c>
      <c r="Y312" s="229" t="str">
        <f ca="1">INDIRECT("'Закуп'!i" &amp; A312)</f>
        <v>В</v>
      </c>
      <c r="Z312" s="236" t="str">
        <f ca="1">INDIRECT("'Закуп'!x" &amp; A312)</f>
        <v>1000+ мм</v>
      </c>
      <c r="AA312" s="237" t="str">
        <f ca="1">INDIRECT("'Закуп'!y" &amp; A312)</f>
        <v>1000+ мм</v>
      </c>
      <c r="AB312" s="238" t="str">
        <f ca="1">INDIRECT("'Закуп'!z" &amp; A312)</f>
        <v>700-999 мм</v>
      </c>
      <c r="AC312" s="223" t="str">
        <f t="shared" ca="1" si="184"/>
        <v>1100x700x1000</v>
      </c>
      <c r="AD312" s="222" t="str">
        <f t="shared" ca="1" si="172"/>
        <v>1100x700x1000 - 1100*700*1000 мм</v>
      </c>
    </row>
    <row r="313" spans="1:30" x14ac:dyDescent="0.4">
      <c r="A313" s="230"/>
      <c r="B313" s="8">
        <v>64</v>
      </c>
      <c r="C313" s="14">
        <f t="shared" ca="1" si="167"/>
        <v>10.56</v>
      </c>
      <c r="D313" s="20">
        <f t="shared" ca="1" si="179"/>
        <v>12.672000000000001</v>
      </c>
      <c r="E313" s="225"/>
      <c r="F313" s="231"/>
      <c r="G313" s="172" t="str">
        <f t="shared" ca="1" si="162"/>
        <v/>
      </c>
      <c r="H313" s="93" t="str">
        <f t="shared" ca="1" si="163"/>
        <v xml:space="preserve"> Т +крышка</v>
      </c>
      <c r="I313" s="21">
        <v>100</v>
      </c>
      <c r="J313" s="68">
        <f t="shared" si="164"/>
        <v>13.200000000000001</v>
      </c>
      <c r="K313" s="70">
        <v>15.84</v>
      </c>
      <c r="L313" s="72">
        <f t="shared" ca="1" si="160"/>
        <v>2.1120000000000005</v>
      </c>
      <c r="M313" s="73">
        <f t="shared" ca="1" si="161"/>
        <v>211.20000000000005</v>
      </c>
      <c r="N313" s="12" t="s">
        <v>41</v>
      </c>
      <c r="O313" s="47" t="s">
        <v>45</v>
      </c>
      <c r="P313" s="13">
        <f t="shared" si="187"/>
        <v>15.84</v>
      </c>
      <c r="Q313" s="1" t="str">
        <f t="shared" si="188"/>
        <v>100-290 шт - 15,84 руб / шт с НДС</v>
      </c>
      <c r="R313" s="235"/>
      <c r="S313" s="239"/>
      <c r="T313" s="226"/>
      <c r="U313" s="228"/>
      <c r="V313" s="222"/>
      <c r="W313" s="229"/>
      <c r="X313" s="227"/>
      <c r="Y313" s="229"/>
      <c r="Z313" s="236"/>
      <c r="AA313" s="237"/>
      <c r="AB313" s="238"/>
      <c r="AC313" s="223"/>
      <c r="AD313" s="222"/>
    </row>
    <row r="314" spans="1:30" x14ac:dyDescent="0.4">
      <c r="A314" s="230"/>
      <c r="B314" s="8">
        <v>64</v>
      </c>
      <c r="C314" s="14">
        <f t="shared" ca="1" si="167"/>
        <v>10.56</v>
      </c>
      <c r="D314" s="20">
        <f t="shared" ca="1" si="179"/>
        <v>12.672000000000001</v>
      </c>
      <c r="E314" s="225"/>
      <c r="F314" s="231"/>
      <c r="G314" s="172" t="str">
        <f t="shared" ca="1" si="162"/>
        <v/>
      </c>
      <c r="H314" s="93" t="str">
        <f t="shared" ca="1" si="163"/>
        <v xml:space="preserve"> Т +крышка</v>
      </c>
      <c r="I314" s="21">
        <v>300</v>
      </c>
      <c r="J314" s="68">
        <f t="shared" si="164"/>
        <v>12.841666666666667</v>
      </c>
      <c r="K314" s="70">
        <v>15.41</v>
      </c>
      <c r="L314" s="72">
        <f t="shared" ca="1" si="160"/>
        <v>1.825333333333333</v>
      </c>
      <c r="M314" s="73">
        <f t="shared" ca="1" si="161"/>
        <v>547.59999999999991</v>
      </c>
      <c r="N314" s="12" t="s">
        <v>42</v>
      </c>
      <c r="O314" s="47" t="s">
        <v>45</v>
      </c>
      <c r="P314" s="13">
        <f t="shared" si="187"/>
        <v>15.41</v>
      </c>
      <c r="Q314" s="1" t="str">
        <f t="shared" si="188"/>
        <v>300-490 шт - 15,41 руб / шт с НДС</v>
      </c>
      <c r="R314" s="235"/>
      <c r="S314" s="239"/>
      <c r="T314" s="226"/>
      <c r="U314" s="228"/>
      <c r="V314" s="222"/>
      <c r="W314" s="229"/>
      <c r="X314" s="227"/>
      <c r="Y314" s="229"/>
      <c r="Z314" s="236"/>
      <c r="AA314" s="237"/>
      <c r="AB314" s="238"/>
      <c r="AC314" s="223"/>
      <c r="AD314" s="222"/>
    </row>
    <row r="315" spans="1:30" x14ac:dyDescent="0.4">
      <c r="A315" s="230"/>
      <c r="B315" s="8">
        <v>64</v>
      </c>
      <c r="C315" s="14">
        <f t="shared" ca="1" si="167"/>
        <v>10.56</v>
      </c>
      <c r="D315" s="20">
        <f t="shared" ca="1" si="179"/>
        <v>12.672000000000001</v>
      </c>
      <c r="E315" s="225"/>
      <c r="F315" s="231"/>
      <c r="G315" s="172" t="str">
        <f t="shared" ca="1" si="162"/>
        <v/>
      </c>
      <c r="H315" s="93" t="str">
        <f t="shared" ca="1" si="163"/>
        <v xml:space="preserve"> Т +крышка</v>
      </c>
      <c r="I315" s="21">
        <v>500</v>
      </c>
      <c r="J315" s="68">
        <f t="shared" si="164"/>
        <v>12.483333333333334</v>
      </c>
      <c r="K315" s="70">
        <v>14.98</v>
      </c>
      <c r="L315" s="72">
        <f t="shared" ca="1" si="160"/>
        <v>1.5386666666666671</v>
      </c>
      <c r="M315" s="73">
        <f t="shared" ca="1" si="161"/>
        <v>769.33333333333348</v>
      </c>
      <c r="N315" s="12" t="s">
        <v>43</v>
      </c>
      <c r="O315" s="47" t="s">
        <v>45</v>
      </c>
      <c r="P315" s="13">
        <f t="shared" si="187"/>
        <v>14.98</v>
      </c>
      <c r="Q315" s="1" t="str">
        <f t="shared" si="188"/>
        <v>500-990 шт - 14,98 руб / шт с НДС</v>
      </c>
      <c r="R315" s="235"/>
      <c r="S315" s="239"/>
      <c r="T315" s="226"/>
      <c r="U315" s="228"/>
      <c r="V315" s="222"/>
      <c r="W315" s="229"/>
      <c r="X315" s="227"/>
      <c r="Y315" s="229"/>
      <c r="Z315" s="236"/>
      <c r="AA315" s="237"/>
      <c r="AB315" s="238"/>
      <c r="AC315" s="223"/>
      <c r="AD315" s="222"/>
    </row>
    <row r="316" spans="1:30" x14ac:dyDescent="0.4">
      <c r="A316" s="230"/>
      <c r="B316" s="8">
        <v>64</v>
      </c>
      <c r="C316" s="14">
        <f t="shared" ca="1" si="167"/>
        <v>10.56</v>
      </c>
      <c r="D316" s="20">
        <f t="shared" ca="1" si="179"/>
        <v>12.672000000000001</v>
      </c>
      <c r="E316" s="225"/>
      <c r="F316" s="231"/>
      <c r="G316" s="172" t="str">
        <f t="shared" ca="1" si="162"/>
        <v/>
      </c>
      <c r="H316" s="93" t="str">
        <f t="shared" ca="1" si="163"/>
        <v xml:space="preserve"> Т +крышка</v>
      </c>
      <c r="I316" s="21">
        <v>1000</v>
      </c>
      <c r="J316" s="68">
        <f t="shared" si="164"/>
        <v>12.308333333333334</v>
      </c>
      <c r="K316" s="70">
        <v>14.77</v>
      </c>
      <c r="L316" s="72">
        <f t="shared" ca="1" si="160"/>
        <v>1.3986666666666665</v>
      </c>
      <c r="M316" s="73">
        <f t="shared" ca="1" si="161"/>
        <v>1398.6666666666665</v>
      </c>
      <c r="N316" s="12" t="s">
        <v>44</v>
      </c>
      <c r="O316" s="47" t="s">
        <v>45</v>
      </c>
      <c r="P316" s="13">
        <f t="shared" si="187"/>
        <v>14.77</v>
      </c>
      <c r="Q316" s="1" t="str">
        <f t="shared" si="188"/>
        <v>1000 + шт - 14,77 руб / шт с НДС</v>
      </c>
      <c r="R316" s="235"/>
      <c r="S316" s="239"/>
      <c r="T316" s="226"/>
      <c r="U316" s="228"/>
      <c r="V316" s="222"/>
      <c r="W316" s="229"/>
      <c r="X316" s="227"/>
      <c r="Y316" s="229"/>
      <c r="Z316" s="236"/>
      <c r="AA316" s="237"/>
      <c r="AB316" s="238"/>
      <c r="AC316" s="223"/>
      <c r="AD316" s="222"/>
    </row>
    <row r="317" spans="1:30" x14ac:dyDescent="0.4">
      <c r="A317" s="230">
        <v>65</v>
      </c>
      <c r="B317" s="8">
        <v>65</v>
      </c>
      <c r="C317" s="14">
        <f t="shared" ca="1" si="167"/>
        <v>16.96</v>
      </c>
      <c r="D317" s="20">
        <f t="shared" ca="1" si="179"/>
        <v>20.352</v>
      </c>
      <c r="E317" s="224" t="str">
        <f ca="1">INDIRECT("'Закуп'!D" &amp; A317)</f>
        <v>У</v>
      </c>
      <c r="F317" s="231" t="str">
        <f t="shared" ref="F317" ca="1" si="193">INDIRECT("'Закуп'!E" &amp; B317)</f>
        <v>1100х700х1000</v>
      </c>
      <c r="G317" s="172" t="str">
        <f t="shared" ca="1" si="162"/>
        <v/>
      </c>
      <c r="H317" s="93" t="str">
        <f t="shared" ca="1" si="163"/>
        <v xml:space="preserve"> П +крышка</v>
      </c>
      <c r="I317" s="21">
        <v>50</v>
      </c>
      <c r="J317" s="68">
        <f t="shared" si="164"/>
        <v>20.866666666666667</v>
      </c>
      <c r="K317" s="70">
        <v>25.04</v>
      </c>
      <c r="L317" s="72">
        <f t="shared" ca="1" si="160"/>
        <v>3.1253333333333329</v>
      </c>
      <c r="M317" s="73">
        <f t="shared" ca="1" si="161"/>
        <v>156.26666666666665</v>
      </c>
      <c r="N317" s="12" t="s">
        <v>40</v>
      </c>
      <c r="O317" s="47" t="s">
        <v>45</v>
      </c>
      <c r="P317" s="13">
        <f t="shared" si="187"/>
        <v>25.04</v>
      </c>
      <c r="Q317" s="1" t="str">
        <f t="shared" si="188"/>
        <v>50-90 шт - 25,04 руб / шт с НДС</v>
      </c>
      <c r="R317" s="235" t="str">
        <f ca="1">INDIRECT("'Закуп'!k" &amp; A317)</f>
        <v>K65</v>
      </c>
      <c r="S317" s="239">
        <f ca="1">INDIRECT("'Закуп'!o" &amp; A317)</f>
        <v>770</v>
      </c>
      <c r="T317" s="226" t="str">
        <f ca="1">INDIRECT("'Закуп'!p" &amp; A317)</f>
        <v>200+ литров</v>
      </c>
      <c r="U317" s="228" t="str">
        <f ca="1">INDIRECT("'Закуп'!v" &amp; A317)</f>
        <v/>
      </c>
      <c r="V317" s="222" t="str">
        <f ca="1">INDIRECT("'Закуп'!w" &amp; A317)</f>
        <v/>
      </c>
      <c r="W317" s="229" t="str">
        <f ca="1">INDIRECT("'Закуп'!H" &amp; A317)</f>
        <v>0312</v>
      </c>
      <c r="X317" s="227" t="str">
        <f t="shared" ref="X317" ca="1" si="194">INDIRECT("'Закуп'!g" &amp; A317)</f>
        <v>Ч</v>
      </c>
      <c r="Y317" s="229" t="str">
        <f ca="1">INDIRECT("'Закуп'!i" &amp; A317)</f>
        <v>ВС</v>
      </c>
      <c r="Z317" s="236" t="str">
        <f ca="1">INDIRECT("'Закуп'!x" &amp; A317)</f>
        <v>1000+ мм</v>
      </c>
      <c r="AA317" s="237" t="str">
        <f ca="1">INDIRECT("'Закуп'!y" &amp; A317)</f>
        <v>1000+ мм</v>
      </c>
      <c r="AB317" s="238" t="str">
        <f ca="1">INDIRECT("'Закуп'!z" &amp; A317)</f>
        <v>700-999 мм</v>
      </c>
      <c r="AC317" s="223" t="str">
        <f t="shared" ca="1" si="184"/>
        <v>1100x700x1000</v>
      </c>
      <c r="AD317" s="222" t="str">
        <f t="shared" ca="1" si="172"/>
        <v>1100x700x1000 - 1100*700*1000 мм</v>
      </c>
    </row>
    <row r="318" spans="1:30" x14ac:dyDescent="0.4">
      <c r="A318" s="230"/>
      <c r="B318" s="8">
        <v>65</v>
      </c>
      <c r="C318" s="14">
        <f t="shared" ca="1" si="167"/>
        <v>16.96</v>
      </c>
      <c r="D318" s="20">
        <f t="shared" ca="1" si="179"/>
        <v>20.352</v>
      </c>
      <c r="E318" s="225"/>
      <c r="F318" s="231"/>
      <c r="G318" s="172" t="str">
        <f t="shared" ca="1" si="162"/>
        <v/>
      </c>
      <c r="H318" s="93" t="str">
        <f t="shared" ca="1" si="163"/>
        <v xml:space="preserve"> П +крышка</v>
      </c>
      <c r="I318" s="21">
        <v>100</v>
      </c>
      <c r="J318" s="68">
        <f t="shared" si="164"/>
        <v>20.508333333333333</v>
      </c>
      <c r="K318" s="70">
        <v>24.61</v>
      </c>
      <c r="L318" s="72">
        <f t="shared" ca="1" si="160"/>
        <v>2.8386666666666658</v>
      </c>
      <c r="M318" s="73">
        <f t="shared" ca="1" si="161"/>
        <v>283.86666666666656</v>
      </c>
      <c r="N318" s="12" t="s">
        <v>41</v>
      </c>
      <c r="O318" s="47" t="s">
        <v>45</v>
      </c>
      <c r="P318" s="13">
        <f t="shared" si="187"/>
        <v>24.61</v>
      </c>
      <c r="Q318" s="1" t="str">
        <f t="shared" si="188"/>
        <v>100-290 шт - 24,61 руб / шт с НДС</v>
      </c>
      <c r="R318" s="235"/>
      <c r="S318" s="239"/>
      <c r="T318" s="226"/>
      <c r="U318" s="228"/>
      <c r="V318" s="222"/>
      <c r="W318" s="229"/>
      <c r="X318" s="227"/>
      <c r="Y318" s="229"/>
      <c r="Z318" s="236"/>
      <c r="AA318" s="237"/>
      <c r="AB318" s="238"/>
      <c r="AC318" s="223"/>
      <c r="AD318" s="222"/>
    </row>
    <row r="319" spans="1:30" x14ac:dyDescent="0.4">
      <c r="A319" s="230"/>
      <c r="B319" s="8">
        <v>65</v>
      </c>
      <c r="C319" s="14">
        <f t="shared" ca="1" si="167"/>
        <v>16.96</v>
      </c>
      <c r="D319" s="20">
        <f t="shared" ca="1" si="179"/>
        <v>20.352</v>
      </c>
      <c r="E319" s="225"/>
      <c r="F319" s="231"/>
      <c r="G319" s="172" t="str">
        <f t="shared" ca="1" si="162"/>
        <v/>
      </c>
      <c r="H319" s="93" t="str">
        <f t="shared" ca="1" si="163"/>
        <v xml:space="preserve"> П +крышка</v>
      </c>
      <c r="I319" s="21">
        <v>300</v>
      </c>
      <c r="J319" s="68">
        <f t="shared" si="164"/>
        <v>20.150000000000002</v>
      </c>
      <c r="K319" s="70">
        <v>24.18</v>
      </c>
      <c r="L319" s="72">
        <f t="shared" ca="1" si="160"/>
        <v>2.5520000000000009</v>
      </c>
      <c r="M319" s="73">
        <f t="shared" ca="1" si="161"/>
        <v>765.60000000000025</v>
      </c>
      <c r="N319" s="12" t="s">
        <v>42</v>
      </c>
      <c r="O319" s="47" t="s">
        <v>45</v>
      </c>
      <c r="P319" s="13">
        <f t="shared" si="187"/>
        <v>24.18</v>
      </c>
      <c r="Q319" s="1" t="str">
        <f t="shared" si="188"/>
        <v>300-490 шт - 24,18 руб / шт с НДС</v>
      </c>
      <c r="R319" s="235"/>
      <c r="S319" s="239"/>
      <c r="T319" s="226"/>
      <c r="U319" s="228"/>
      <c r="V319" s="222"/>
      <c r="W319" s="229"/>
      <c r="X319" s="227"/>
      <c r="Y319" s="229"/>
      <c r="Z319" s="236"/>
      <c r="AA319" s="237"/>
      <c r="AB319" s="238"/>
      <c r="AC319" s="223"/>
      <c r="AD319" s="222"/>
    </row>
    <row r="320" spans="1:30" x14ac:dyDescent="0.4">
      <c r="A320" s="230"/>
      <c r="B320" s="8">
        <v>65</v>
      </c>
      <c r="C320" s="14">
        <f t="shared" ca="1" si="167"/>
        <v>16.96</v>
      </c>
      <c r="D320" s="20">
        <f t="shared" ca="1" si="179"/>
        <v>20.352</v>
      </c>
      <c r="E320" s="225"/>
      <c r="F320" s="231"/>
      <c r="G320" s="172" t="str">
        <f t="shared" ca="1" si="162"/>
        <v/>
      </c>
      <c r="H320" s="93" t="str">
        <f t="shared" ca="1" si="163"/>
        <v xml:space="preserve"> П +крышка</v>
      </c>
      <c r="I320" s="21">
        <v>500</v>
      </c>
      <c r="J320" s="68">
        <f t="shared" si="164"/>
        <v>19.883333333333333</v>
      </c>
      <c r="K320" s="70">
        <v>23.86</v>
      </c>
      <c r="L320" s="72">
        <f t="shared" ca="1" si="160"/>
        <v>2.3386666666666658</v>
      </c>
      <c r="M320" s="73">
        <f t="shared" ca="1" si="161"/>
        <v>1169.3333333333328</v>
      </c>
      <c r="N320" s="12" t="s">
        <v>43</v>
      </c>
      <c r="O320" s="47" t="s">
        <v>45</v>
      </c>
      <c r="P320" s="13">
        <f t="shared" si="187"/>
        <v>23.86</v>
      </c>
      <c r="Q320" s="1" t="str">
        <f t="shared" si="188"/>
        <v>500-990 шт - 23,86 руб / шт с НДС</v>
      </c>
      <c r="R320" s="235"/>
      <c r="S320" s="239"/>
      <c r="T320" s="226"/>
      <c r="U320" s="228"/>
      <c r="V320" s="222"/>
      <c r="W320" s="229"/>
      <c r="X320" s="227"/>
      <c r="Y320" s="229"/>
      <c r="Z320" s="236"/>
      <c r="AA320" s="237"/>
      <c r="AB320" s="238"/>
      <c r="AC320" s="223"/>
      <c r="AD320" s="222"/>
    </row>
    <row r="321" spans="1:30" x14ac:dyDescent="0.4">
      <c r="A321" s="230"/>
      <c r="B321" s="8">
        <v>65</v>
      </c>
      <c r="C321" s="14">
        <f t="shared" ca="1" si="167"/>
        <v>16.96</v>
      </c>
      <c r="D321" s="20">
        <f t="shared" ca="1" si="179"/>
        <v>20.352</v>
      </c>
      <c r="E321" s="225"/>
      <c r="F321" s="231"/>
      <c r="G321" s="172" t="str">
        <f t="shared" ca="1" si="162"/>
        <v/>
      </c>
      <c r="H321" s="93" t="str">
        <f t="shared" ca="1" si="163"/>
        <v xml:space="preserve"> П +крышка</v>
      </c>
      <c r="I321" s="21">
        <v>1000</v>
      </c>
      <c r="J321" s="68">
        <f t="shared" si="164"/>
        <v>19.616666666666667</v>
      </c>
      <c r="K321" s="70">
        <v>23.54</v>
      </c>
      <c r="L321" s="72">
        <f t="shared" ca="1" si="160"/>
        <v>2.1253333333333329</v>
      </c>
      <c r="M321" s="73">
        <f t="shared" ca="1" si="161"/>
        <v>2125.333333333333</v>
      </c>
      <c r="N321" s="12" t="s">
        <v>44</v>
      </c>
      <c r="O321" s="47" t="s">
        <v>45</v>
      </c>
      <c r="P321" s="13">
        <f t="shared" si="187"/>
        <v>23.54</v>
      </c>
      <c r="Q321" s="1" t="str">
        <f t="shared" si="188"/>
        <v>1000 + шт - 23,54 руб / шт с НДС</v>
      </c>
      <c r="R321" s="235"/>
      <c r="S321" s="239"/>
      <c r="T321" s="226"/>
      <c r="U321" s="228"/>
      <c r="V321" s="222"/>
      <c r="W321" s="229"/>
      <c r="X321" s="227"/>
      <c r="Y321" s="229"/>
      <c r="Z321" s="236"/>
      <c r="AA321" s="237"/>
      <c r="AB321" s="238"/>
      <c r="AC321" s="223"/>
      <c r="AD321" s="222"/>
    </row>
    <row r="322" spans="1:30" x14ac:dyDescent="0.4">
      <c r="A322" s="230">
        <v>66</v>
      </c>
      <c r="B322" s="8">
        <v>66</v>
      </c>
      <c r="C322" s="14">
        <f t="shared" ca="1" si="167"/>
        <v>0.85</v>
      </c>
      <c r="D322" s="20">
        <f t="shared" ca="1" si="179"/>
        <v>1.02</v>
      </c>
      <c r="E322" s="224" t="str">
        <f ca="1">INDIRECT("'Закуп'!D" &amp; A322)</f>
        <v>У</v>
      </c>
      <c r="F322" s="231" t="str">
        <f t="shared" ref="F322" ca="1" si="195">INDIRECT("'Закуп'!E" &amp; B322)</f>
        <v>340х420х25</v>
      </c>
      <c r="G322" s="172" t="str">
        <f t="shared" ca="1" si="162"/>
        <v/>
      </c>
      <c r="H322" s="93" t="str">
        <f t="shared" ca="1" si="163"/>
        <v/>
      </c>
      <c r="I322" s="21">
        <v>50</v>
      </c>
      <c r="J322" s="68">
        <f t="shared" si="164"/>
        <v>2</v>
      </c>
      <c r="K322" s="70">
        <v>2.4</v>
      </c>
      <c r="L322" s="72">
        <f t="shared" ref="L322:L385" ca="1" si="196">J322-C322-(J322-C322)*0.2</f>
        <v>0.91999999999999993</v>
      </c>
      <c r="M322" s="73">
        <f t="shared" ref="M322:M385" ca="1" si="197">L322*I322</f>
        <v>46</v>
      </c>
      <c r="N322" s="12" t="s">
        <v>40</v>
      </c>
      <c r="O322" s="47" t="s">
        <v>45</v>
      </c>
      <c r="P322" s="13">
        <f t="shared" si="187"/>
        <v>2.4</v>
      </c>
      <c r="Q322" s="1" t="str">
        <f t="shared" si="188"/>
        <v>50-90 шт - 2,4 руб / шт с НДС</v>
      </c>
      <c r="R322" s="235" t="str">
        <f ca="1">INDIRECT("'Закуп'!k" &amp; A322)</f>
        <v>K66</v>
      </c>
      <c r="S322" s="239">
        <f ca="1">INDIRECT("'Закуп'!o" &amp; A322)</f>
        <v>3.57</v>
      </c>
      <c r="T322" s="226" t="str">
        <f ca="1">INDIRECT("'Закуп'!p" &amp; A322)</f>
        <v>3-3,9 литра</v>
      </c>
      <c r="U322" s="228" t="str">
        <f ca="1">INDIRECT("'Закуп'!v" &amp; A322)</f>
        <v/>
      </c>
      <c r="V322" s="222" t="str">
        <f ca="1">INDIRECT("'Закуп'!w" &amp; A322)</f>
        <v>Плоские</v>
      </c>
      <c r="W322" s="229" t="str">
        <f ca="1">INDIRECT("'Закуп'!H" &amp; A322)</f>
        <v>0427</v>
      </c>
      <c r="X322" s="227" t="str">
        <f t="shared" ref="X322" ca="1" si="198">INDIRECT("'Закуп'!g" &amp; A322)</f>
        <v>С</v>
      </c>
      <c r="Y322" s="229" t="str">
        <f ca="1">INDIRECT("'Закуп'!i" &amp; A322)</f>
        <v>В</v>
      </c>
      <c r="Z322" s="236" t="str">
        <f ca="1">INDIRECT("'Закуп'!x" &amp; A322)</f>
        <v>400-499 мм</v>
      </c>
      <c r="AA322" s="237" t="str">
        <f ca="1">INDIRECT("'Закуп'!y" &amp; A322)</f>
        <v>300-399 мм</v>
      </c>
      <c r="AB322" s="238" t="str">
        <f ca="1">INDIRECT("'Закуп'!z" &amp; A322)</f>
        <v>10-99 мм</v>
      </c>
      <c r="AC322" s="223" t="str">
        <f t="shared" ca="1" si="184"/>
        <v>340x420x25</v>
      </c>
      <c r="AD322" s="222" t="str">
        <f t="shared" ca="1" si="172"/>
        <v>340x420x25 - 340*420*25 мм</v>
      </c>
    </row>
    <row r="323" spans="1:30" x14ac:dyDescent="0.4">
      <c r="A323" s="230"/>
      <c r="B323" s="8">
        <v>66</v>
      </c>
      <c r="C323" s="14">
        <f t="shared" ca="1" si="167"/>
        <v>0.85</v>
      </c>
      <c r="D323" s="20">
        <f t="shared" ca="1" si="179"/>
        <v>1.02</v>
      </c>
      <c r="E323" s="225"/>
      <c r="F323" s="231"/>
      <c r="G323" s="172" t="str">
        <f t="shared" ref="G323:G386" ca="1" si="199">IF(INDIRECT("'Закуп'!L" &amp; B323)="Sale","Sale","")</f>
        <v/>
      </c>
      <c r="H323" s="93" t="str">
        <f t="shared" ref="H323:H386" ca="1" si="200">IF(INDIRECT("'Закуп'!F" &amp; B323)=0,"",INDIRECT("'Закуп'!F" &amp; B323))</f>
        <v/>
      </c>
      <c r="I323" s="21">
        <v>100</v>
      </c>
      <c r="J323" s="68">
        <f t="shared" ref="J323:J386" si="201">K323/1.2</f>
        <v>1.8166666666666669</v>
      </c>
      <c r="K323" s="70">
        <v>2.1800000000000002</v>
      </c>
      <c r="L323" s="72">
        <f t="shared" ca="1" si="196"/>
        <v>0.77333333333333354</v>
      </c>
      <c r="M323" s="73">
        <f t="shared" ca="1" si="197"/>
        <v>77.333333333333357</v>
      </c>
      <c r="N323" s="12" t="s">
        <v>41</v>
      </c>
      <c r="O323" s="47" t="s">
        <v>45</v>
      </c>
      <c r="P323" s="13">
        <f t="shared" si="187"/>
        <v>2.1800000000000002</v>
      </c>
      <c r="Q323" s="1" t="str">
        <f t="shared" si="188"/>
        <v>100-290 шт - 2,18 руб / шт с НДС</v>
      </c>
      <c r="R323" s="235"/>
      <c r="S323" s="239"/>
      <c r="T323" s="226"/>
      <c r="U323" s="228"/>
      <c r="V323" s="222"/>
      <c r="W323" s="229"/>
      <c r="X323" s="227"/>
      <c r="Y323" s="229"/>
      <c r="Z323" s="236"/>
      <c r="AA323" s="237"/>
      <c r="AB323" s="238"/>
      <c r="AC323" s="223"/>
      <c r="AD323" s="222"/>
    </row>
    <row r="324" spans="1:30" x14ac:dyDescent="0.4">
      <c r="A324" s="230"/>
      <c r="B324" s="8">
        <v>66</v>
      </c>
      <c r="C324" s="14">
        <f t="shared" ca="1" si="167"/>
        <v>0.85</v>
      </c>
      <c r="D324" s="20">
        <f t="shared" ca="1" si="179"/>
        <v>1.02</v>
      </c>
      <c r="E324" s="225"/>
      <c r="F324" s="231"/>
      <c r="G324" s="172" t="str">
        <f t="shared" ca="1" si="199"/>
        <v/>
      </c>
      <c r="H324" s="93" t="str">
        <f t="shared" ca="1" si="200"/>
        <v/>
      </c>
      <c r="I324" s="21">
        <v>300</v>
      </c>
      <c r="J324" s="68">
        <f t="shared" si="201"/>
        <v>1.4166666666666667</v>
      </c>
      <c r="K324" s="70">
        <v>1.7</v>
      </c>
      <c r="L324" s="72">
        <f t="shared" ca="1" si="196"/>
        <v>0.45333333333333342</v>
      </c>
      <c r="M324" s="73">
        <f t="shared" ca="1" si="197"/>
        <v>136.00000000000003</v>
      </c>
      <c r="N324" s="12" t="s">
        <v>42</v>
      </c>
      <c r="O324" s="47" t="s">
        <v>45</v>
      </c>
      <c r="P324" s="13">
        <f t="shared" si="187"/>
        <v>1.7</v>
      </c>
      <c r="Q324" s="1" t="str">
        <f t="shared" si="188"/>
        <v>300-490 шт - 1,7 руб / шт с НДС</v>
      </c>
      <c r="R324" s="235"/>
      <c r="S324" s="239"/>
      <c r="T324" s="226"/>
      <c r="U324" s="228"/>
      <c r="V324" s="222"/>
      <c r="W324" s="229"/>
      <c r="X324" s="227"/>
      <c r="Y324" s="229"/>
      <c r="Z324" s="236"/>
      <c r="AA324" s="237"/>
      <c r="AB324" s="238"/>
      <c r="AC324" s="223"/>
      <c r="AD324" s="222"/>
    </row>
    <row r="325" spans="1:30" x14ac:dyDescent="0.4">
      <c r="A325" s="230"/>
      <c r="B325" s="8">
        <v>66</v>
      </c>
      <c r="C325" s="14">
        <f t="shared" ca="1" si="167"/>
        <v>0.85</v>
      </c>
      <c r="D325" s="20">
        <f t="shared" ca="1" si="179"/>
        <v>1.02</v>
      </c>
      <c r="E325" s="225"/>
      <c r="F325" s="231"/>
      <c r="G325" s="172" t="str">
        <f t="shared" ca="1" si="199"/>
        <v/>
      </c>
      <c r="H325" s="93" t="str">
        <f t="shared" ca="1" si="200"/>
        <v/>
      </c>
      <c r="I325" s="21">
        <v>500</v>
      </c>
      <c r="J325" s="68">
        <f t="shared" si="201"/>
        <v>1.2333333333333334</v>
      </c>
      <c r="K325" s="70">
        <v>1.48</v>
      </c>
      <c r="L325" s="72">
        <f t="shared" ca="1" si="196"/>
        <v>0.30666666666666675</v>
      </c>
      <c r="M325" s="73">
        <f t="shared" ca="1" si="197"/>
        <v>153.33333333333337</v>
      </c>
      <c r="N325" s="12" t="s">
        <v>43</v>
      </c>
      <c r="O325" s="47" t="s">
        <v>45</v>
      </c>
      <c r="P325" s="13">
        <f t="shared" si="187"/>
        <v>1.48</v>
      </c>
      <c r="Q325" s="1" t="str">
        <f t="shared" si="188"/>
        <v>500-990 шт - 1,48 руб / шт с НДС</v>
      </c>
      <c r="R325" s="235"/>
      <c r="S325" s="239"/>
      <c r="T325" s="226"/>
      <c r="U325" s="228"/>
      <c r="V325" s="222"/>
      <c r="W325" s="229"/>
      <c r="X325" s="227"/>
      <c r="Y325" s="229"/>
      <c r="Z325" s="236"/>
      <c r="AA325" s="237"/>
      <c r="AB325" s="238"/>
      <c r="AC325" s="223"/>
      <c r="AD325" s="222"/>
    </row>
    <row r="326" spans="1:30" x14ac:dyDescent="0.4">
      <c r="A326" s="230"/>
      <c r="B326" s="8">
        <v>66</v>
      </c>
      <c r="C326" s="14">
        <f t="shared" ca="1" si="167"/>
        <v>0.85</v>
      </c>
      <c r="D326" s="20">
        <f t="shared" ca="1" si="179"/>
        <v>1.02</v>
      </c>
      <c r="E326" s="225"/>
      <c r="F326" s="231"/>
      <c r="G326" s="172" t="str">
        <f t="shared" ca="1" si="199"/>
        <v/>
      </c>
      <c r="H326" s="93" t="str">
        <f t="shared" ca="1" si="200"/>
        <v/>
      </c>
      <c r="I326" s="21">
        <v>1000</v>
      </c>
      <c r="J326" s="68">
        <f t="shared" si="201"/>
        <v>1.1499999999999999</v>
      </c>
      <c r="K326" s="70">
        <v>1.38</v>
      </c>
      <c r="L326" s="72">
        <f t="shared" ca="1" si="196"/>
        <v>0.23999999999999994</v>
      </c>
      <c r="M326" s="73">
        <f t="shared" ca="1" si="197"/>
        <v>239.99999999999994</v>
      </c>
      <c r="N326" s="12" t="s">
        <v>44</v>
      </c>
      <c r="O326" s="47" t="s">
        <v>45</v>
      </c>
      <c r="P326" s="13">
        <f t="shared" si="187"/>
        <v>1.38</v>
      </c>
      <c r="Q326" s="1" t="str">
        <f t="shared" si="188"/>
        <v>1000 + шт - 1,38 руб / шт с НДС</v>
      </c>
      <c r="R326" s="235"/>
      <c r="S326" s="239"/>
      <c r="T326" s="226"/>
      <c r="U326" s="228"/>
      <c r="V326" s="222"/>
      <c r="W326" s="229"/>
      <c r="X326" s="227"/>
      <c r="Y326" s="229"/>
      <c r="Z326" s="236"/>
      <c r="AA326" s="237"/>
      <c r="AB326" s="238"/>
      <c r="AC326" s="223"/>
      <c r="AD326" s="222"/>
    </row>
    <row r="327" spans="1:30" x14ac:dyDescent="0.4">
      <c r="A327" s="230">
        <v>67</v>
      </c>
      <c r="B327" s="8">
        <v>67</v>
      </c>
      <c r="C327" s="14">
        <f t="shared" ca="1" si="167"/>
        <v>1.28</v>
      </c>
      <c r="D327" s="20">
        <f t="shared" ca="1" si="179"/>
        <v>1.536</v>
      </c>
      <c r="E327" s="224" t="str">
        <f ca="1">INDIRECT("'Закуп'!D" &amp; A327)</f>
        <v>У</v>
      </c>
      <c r="F327" s="231" t="str">
        <f t="shared" ref="F327" ca="1" si="202">INDIRECT("'Закуп'!E" &amp; B327)</f>
        <v>440х440х85</v>
      </c>
      <c r="G327" s="172" t="str">
        <f t="shared" ca="1" si="199"/>
        <v/>
      </c>
      <c r="H327" s="93" t="str">
        <f t="shared" ca="1" si="200"/>
        <v/>
      </c>
      <c r="I327" s="21">
        <v>50</v>
      </c>
      <c r="J327" s="68">
        <f t="shared" si="201"/>
        <v>2.7333333333333334</v>
      </c>
      <c r="K327" s="70">
        <v>3.28</v>
      </c>
      <c r="L327" s="72">
        <f t="shared" ca="1" si="196"/>
        <v>1.1626666666666667</v>
      </c>
      <c r="M327" s="73">
        <f t="shared" ca="1" si="197"/>
        <v>58.13333333333334</v>
      </c>
      <c r="N327" s="12" t="s">
        <v>40</v>
      </c>
      <c r="O327" s="47" t="s">
        <v>45</v>
      </c>
      <c r="P327" s="13">
        <f t="shared" si="187"/>
        <v>3.28</v>
      </c>
      <c r="Q327" s="1" t="str">
        <f t="shared" si="188"/>
        <v>50-90 шт - 3,28 руб / шт с НДС</v>
      </c>
      <c r="R327" s="235" t="str">
        <f ca="1">INDIRECT("'Закуп'!k" &amp; A327)</f>
        <v>K67</v>
      </c>
      <c r="S327" s="239">
        <f ca="1">INDIRECT("'Закуп'!o" &amp; A327)</f>
        <v>16.46</v>
      </c>
      <c r="T327" s="226" t="str">
        <f ca="1">INDIRECT("'Закуп'!p" &amp; A327)</f>
        <v>15-19,9 литров</v>
      </c>
      <c r="U327" s="228" t="str">
        <f ca="1">INDIRECT("'Закуп'!v" &amp; A327)</f>
        <v/>
      </c>
      <c r="V327" s="222" t="str">
        <f ca="1">INDIRECT("'Закуп'!w" &amp; A327)</f>
        <v>Плоские</v>
      </c>
      <c r="W327" s="229" t="str">
        <f ca="1">INDIRECT("'Закуп'!H" &amp; A327)</f>
        <v>0426</v>
      </c>
      <c r="X327" s="227" t="str">
        <f t="shared" ref="X327" ca="1" si="203">INDIRECT("'Закуп'!g" &amp; A327)</f>
        <v>С</v>
      </c>
      <c r="Y327" s="229" t="str">
        <f ca="1">INDIRECT("'Закуп'!i" &amp; A327)</f>
        <v>В</v>
      </c>
      <c r="Z327" s="236" t="str">
        <f ca="1">INDIRECT("'Закуп'!x" &amp; A327)</f>
        <v>400-499 мм</v>
      </c>
      <c r="AA327" s="237" t="str">
        <f ca="1">INDIRECT("'Закуп'!y" &amp; A327)</f>
        <v>400-499 мм</v>
      </c>
      <c r="AB327" s="238" t="str">
        <f ca="1">INDIRECT("'Закуп'!z" &amp; A327)</f>
        <v>10-99 мм</v>
      </c>
      <c r="AC327" s="223" t="str">
        <f t="shared" ca="1" si="184"/>
        <v>440x440x85</v>
      </c>
      <c r="AD327" s="222" t="str">
        <f t="shared" ca="1" si="172"/>
        <v>440x440x85 - 440*440*85 мм</v>
      </c>
    </row>
    <row r="328" spans="1:30" x14ac:dyDescent="0.4">
      <c r="A328" s="230"/>
      <c r="B328" s="8">
        <v>67</v>
      </c>
      <c r="C328" s="14">
        <f t="shared" ca="1" si="167"/>
        <v>1.28</v>
      </c>
      <c r="D328" s="20">
        <f t="shared" ca="1" si="179"/>
        <v>1.536</v>
      </c>
      <c r="E328" s="225"/>
      <c r="F328" s="231"/>
      <c r="G328" s="172" t="str">
        <f t="shared" ca="1" si="199"/>
        <v/>
      </c>
      <c r="H328" s="93" t="str">
        <f t="shared" ca="1" si="200"/>
        <v/>
      </c>
      <c r="I328" s="21">
        <v>100</v>
      </c>
      <c r="J328" s="68">
        <f t="shared" si="201"/>
        <v>2.1916666666666669</v>
      </c>
      <c r="K328" s="70">
        <v>2.63</v>
      </c>
      <c r="L328" s="72">
        <f t="shared" ca="1" si="196"/>
        <v>0.7293333333333335</v>
      </c>
      <c r="M328" s="73">
        <f t="shared" ca="1" si="197"/>
        <v>72.933333333333351</v>
      </c>
      <c r="N328" s="12" t="s">
        <v>41</v>
      </c>
      <c r="O328" s="47" t="s">
        <v>45</v>
      </c>
      <c r="P328" s="13">
        <f t="shared" si="187"/>
        <v>2.63</v>
      </c>
      <c r="Q328" s="1" t="str">
        <f t="shared" si="188"/>
        <v>100-290 шт - 2,63 руб / шт с НДС</v>
      </c>
      <c r="R328" s="235"/>
      <c r="S328" s="239"/>
      <c r="T328" s="226"/>
      <c r="U328" s="228"/>
      <c r="V328" s="222"/>
      <c r="W328" s="229"/>
      <c r="X328" s="227"/>
      <c r="Y328" s="229"/>
      <c r="Z328" s="236"/>
      <c r="AA328" s="237"/>
      <c r="AB328" s="238"/>
      <c r="AC328" s="223"/>
      <c r="AD328" s="222"/>
    </row>
    <row r="329" spans="1:30" x14ac:dyDescent="0.4">
      <c r="A329" s="230"/>
      <c r="B329" s="8">
        <v>67</v>
      </c>
      <c r="C329" s="14">
        <f t="shared" ref="C329:C392" ca="1" si="204">INDIRECT("'Закуп'!A" &amp; B329)</f>
        <v>1.28</v>
      </c>
      <c r="D329" s="20">
        <f t="shared" ca="1" si="179"/>
        <v>1.536</v>
      </c>
      <c r="E329" s="225"/>
      <c r="F329" s="231"/>
      <c r="G329" s="172" t="str">
        <f t="shared" ca="1" si="199"/>
        <v/>
      </c>
      <c r="H329" s="93" t="str">
        <f t="shared" ca="1" si="200"/>
        <v/>
      </c>
      <c r="I329" s="21">
        <v>300</v>
      </c>
      <c r="J329" s="68">
        <f t="shared" si="201"/>
        <v>1.9666666666666666</v>
      </c>
      <c r="K329" s="70">
        <v>2.36</v>
      </c>
      <c r="L329" s="72">
        <f t="shared" ca="1" si="196"/>
        <v>0.54933333333333323</v>
      </c>
      <c r="M329" s="73">
        <f t="shared" ca="1" si="197"/>
        <v>164.79999999999995</v>
      </c>
      <c r="N329" s="12" t="s">
        <v>42</v>
      </c>
      <c r="O329" s="47" t="s">
        <v>45</v>
      </c>
      <c r="P329" s="13">
        <f t="shared" si="187"/>
        <v>2.36</v>
      </c>
      <c r="Q329" s="1" t="str">
        <f t="shared" si="188"/>
        <v>300-490 шт - 2,36 руб / шт с НДС</v>
      </c>
      <c r="R329" s="235"/>
      <c r="S329" s="239"/>
      <c r="T329" s="226"/>
      <c r="U329" s="228"/>
      <c r="V329" s="222"/>
      <c r="W329" s="229"/>
      <c r="X329" s="227"/>
      <c r="Y329" s="229"/>
      <c r="Z329" s="236"/>
      <c r="AA329" s="237"/>
      <c r="AB329" s="238"/>
      <c r="AC329" s="223"/>
      <c r="AD329" s="222"/>
    </row>
    <row r="330" spans="1:30" x14ac:dyDescent="0.4">
      <c r="A330" s="230"/>
      <c r="B330" s="8">
        <v>67</v>
      </c>
      <c r="C330" s="14">
        <f t="shared" ca="1" si="204"/>
        <v>1.28</v>
      </c>
      <c r="D330" s="20">
        <f t="shared" ca="1" si="179"/>
        <v>1.536</v>
      </c>
      <c r="E330" s="225"/>
      <c r="F330" s="231"/>
      <c r="G330" s="172" t="str">
        <f t="shared" ca="1" si="199"/>
        <v/>
      </c>
      <c r="H330" s="93" t="str">
        <f t="shared" ca="1" si="200"/>
        <v/>
      </c>
      <c r="I330" s="21">
        <v>500</v>
      </c>
      <c r="J330" s="68">
        <f t="shared" si="201"/>
        <v>1.7833333333333334</v>
      </c>
      <c r="K330" s="70">
        <v>2.14</v>
      </c>
      <c r="L330" s="72">
        <f t="shared" ca="1" si="196"/>
        <v>0.40266666666666673</v>
      </c>
      <c r="M330" s="73">
        <f t="shared" ca="1" si="197"/>
        <v>201.33333333333337</v>
      </c>
      <c r="N330" s="12" t="s">
        <v>43</v>
      </c>
      <c r="O330" s="47" t="s">
        <v>45</v>
      </c>
      <c r="P330" s="13">
        <f t="shared" si="187"/>
        <v>2.14</v>
      </c>
      <c r="Q330" s="1" t="str">
        <f t="shared" si="188"/>
        <v>500-990 шт - 2,14 руб / шт с НДС</v>
      </c>
      <c r="R330" s="235"/>
      <c r="S330" s="239"/>
      <c r="T330" s="226"/>
      <c r="U330" s="228"/>
      <c r="V330" s="222"/>
      <c r="W330" s="229"/>
      <c r="X330" s="227"/>
      <c r="Y330" s="229"/>
      <c r="Z330" s="236"/>
      <c r="AA330" s="237"/>
      <c r="AB330" s="238"/>
      <c r="AC330" s="223"/>
      <c r="AD330" s="222"/>
    </row>
    <row r="331" spans="1:30" x14ac:dyDescent="0.4">
      <c r="A331" s="230"/>
      <c r="B331" s="8">
        <v>67</v>
      </c>
      <c r="C331" s="14">
        <f t="shared" ca="1" si="204"/>
        <v>1.28</v>
      </c>
      <c r="D331" s="20">
        <f t="shared" ca="1" si="179"/>
        <v>1.536</v>
      </c>
      <c r="E331" s="225"/>
      <c r="F331" s="231"/>
      <c r="G331" s="172" t="str">
        <f t="shared" ca="1" si="199"/>
        <v/>
      </c>
      <c r="H331" s="93" t="str">
        <f t="shared" ca="1" si="200"/>
        <v/>
      </c>
      <c r="I331" s="21">
        <v>1000</v>
      </c>
      <c r="J331" s="68">
        <f t="shared" si="201"/>
        <v>1.6916666666666667</v>
      </c>
      <c r="K331" s="70">
        <v>2.0299999999999998</v>
      </c>
      <c r="L331" s="72">
        <f t="shared" ca="1" si="196"/>
        <v>0.32933333333333331</v>
      </c>
      <c r="M331" s="73">
        <f t="shared" ca="1" si="197"/>
        <v>329.33333333333331</v>
      </c>
      <c r="N331" s="12" t="s">
        <v>44</v>
      </c>
      <c r="O331" s="47" t="s">
        <v>45</v>
      </c>
      <c r="P331" s="13">
        <f t="shared" si="187"/>
        <v>2.0299999999999998</v>
      </c>
      <c r="Q331" s="1" t="str">
        <f t="shared" si="188"/>
        <v>1000 + шт - 2,03 руб / шт с НДС</v>
      </c>
      <c r="R331" s="235"/>
      <c r="S331" s="239"/>
      <c r="T331" s="226"/>
      <c r="U331" s="228"/>
      <c r="V331" s="222"/>
      <c r="W331" s="229"/>
      <c r="X331" s="227"/>
      <c r="Y331" s="229"/>
      <c r="Z331" s="236"/>
      <c r="AA331" s="237"/>
      <c r="AB331" s="238"/>
      <c r="AC331" s="223"/>
      <c r="AD331" s="222"/>
    </row>
    <row r="332" spans="1:30" x14ac:dyDescent="0.4">
      <c r="A332" s="230">
        <v>68</v>
      </c>
      <c r="B332" s="8">
        <v>68</v>
      </c>
      <c r="C332" s="14">
        <f t="shared" ca="1" si="204"/>
        <v>0.87</v>
      </c>
      <c r="D332" s="20">
        <f t="shared" ca="1" si="179"/>
        <v>1.044</v>
      </c>
      <c r="E332" s="224" t="str">
        <f ca="1">INDIRECT("'Закуп'!D" &amp; A332)</f>
        <v>У</v>
      </c>
      <c r="F332" s="231" t="str">
        <f t="shared" ref="F332" ca="1" si="205">INDIRECT("'Закуп'!E" &amp; B332)</f>
        <v>450х350х40</v>
      </c>
      <c r="G332" s="172" t="str">
        <f t="shared" ca="1" si="199"/>
        <v/>
      </c>
      <c r="H332" s="93" t="str">
        <f t="shared" ca="1" si="200"/>
        <v/>
      </c>
      <c r="I332" s="21">
        <v>50</v>
      </c>
      <c r="J332" s="68">
        <f t="shared" si="201"/>
        <v>2.0500000000000003</v>
      </c>
      <c r="K332" s="70">
        <v>2.46</v>
      </c>
      <c r="L332" s="72">
        <f t="shared" ca="1" si="196"/>
        <v>0.94400000000000017</v>
      </c>
      <c r="M332" s="73">
        <f t="shared" ca="1" si="197"/>
        <v>47.20000000000001</v>
      </c>
      <c r="N332" s="12" t="s">
        <v>40</v>
      </c>
      <c r="O332" s="47" t="s">
        <v>45</v>
      </c>
      <c r="P332" s="13">
        <f t="shared" si="187"/>
        <v>2.46</v>
      </c>
      <c r="Q332" s="1" t="str">
        <f t="shared" si="188"/>
        <v>50-90 шт - 2,46 руб / шт с НДС</v>
      </c>
      <c r="R332" s="235" t="str">
        <f ca="1">INDIRECT("'Закуп'!k" &amp; A332)</f>
        <v>K68</v>
      </c>
      <c r="S332" s="239">
        <f ca="1">INDIRECT("'Закуп'!o" &amp; A332)</f>
        <v>6.3</v>
      </c>
      <c r="T332" s="226" t="str">
        <f ca="1">INDIRECT("'Закуп'!p" &amp; A332)</f>
        <v>6-7,9 литра</v>
      </c>
      <c r="U332" s="228" t="str">
        <f ca="1">INDIRECT("'Закуп'!v" &amp; A332)</f>
        <v/>
      </c>
      <c r="V332" s="222" t="str">
        <f ca="1">INDIRECT("'Закуп'!w" &amp; A332)</f>
        <v>Плоские</v>
      </c>
      <c r="W332" s="229" t="str">
        <f ca="1">INDIRECT("'Закуп'!H" &amp; A332)</f>
        <v>0426</v>
      </c>
      <c r="X332" s="227" t="str">
        <f t="shared" ref="X332" ca="1" si="206">INDIRECT("'Закуп'!g" &amp; A332)</f>
        <v>С</v>
      </c>
      <c r="Y332" s="229" t="str">
        <f ca="1">INDIRECT("'Закуп'!i" &amp; A332)</f>
        <v>В</v>
      </c>
      <c r="Z332" s="236" t="str">
        <f ca="1">INDIRECT("'Закуп'!x" &amp; A332)</f>
        <v>400-499 мм</v>
      </c>
      <c r="AA332" s="237" t="str">
        <f ca="1">INDIRECT("'Закуп'!y" &amp; A332)</f>
        <v>300-399 мм</v>
      </c>
      <c r="AB332" s="238" t="str">
        <f ca="1">INDIRECT("'Закуп'!z" &amp; A332)</f>
        <v>10-99 мм</v>
      </c>
      <c r="AC332" s="223" t="str">
        <f t="shared" ca="1" si="184"/>
        <v>450x350x40</v>
      </c>
      <c r="AD332" s="222" t="str">
        <f t="shared" ca="1" si="172"/>
        <v>450x350x40 - 450*350*40 мм</v>
      </c>
    </row>
    <row r="333" spans="1:30" x14ac:dyDescent="0.4">
      <c r="A333" s="230"/>
      <c r="B333" s="8">
        <v>68</v>
      </c>
      <c r="C333" s="14">
        <f t="shared" ca="1" si="204"/>
        <v>0.87</v>
      </c>
      <c r="D333" s="20">
        <f t="shared" ca="1" si="179"/>
        <v>1.044</v>
      </c>
      <c r="E333" s="225"/>
      <c r="F333" s="231"/>
      <c r="G333" s="172" t="str">
        <f t="shared" ca="1" si="199"/>
        <v/>
      </c>
      <c r="H333" s="93" t="str">
        <f t="shared" ca="1" si="200"/>
        <v/>
      </c>
      <c r="I333" s="21">
        <v>100</v>
      </c>
      <c r="J333" s="68">
        <f t="shared" si="201"/>
        <v>1.8666666666666669</v>
      </c>
      <c r="K333" s="70">
        <v>2.2400000000000002</v>
      </c>
      <c r="L333" s="72">
        <f t="shared" ca="1" si="196"/>
        <v>0.79733333333333356</v>
      </c>
      <c r="M333" s="73">
        <f t="shared" ca="1" si="197"/>
        <v>79.733333333333363</v>
      </c>
      <c r="N333" s="12" t="s">
        <v>41</v>
      </c>
      <c r="O333" s="47" t="s">
        <v>45</v>
      </c>
      <c r="P333" s="13">
        <f t="shared" si="187"/>
        <v>2.2400000000000002</v>
      </c>
      <c r="Q333" s="1" t="str">
        <f t="shared" si="188"/>
        <v>100-290 шт - 2,24 руб / шт с НДС</v>
      </c>
      <c r="R333" s="235"/>
      <c r="S333" s="239"/>
      <c r="T333" s="226"/>
      <c r="U333" s="228"/>
      <c r="V333" s="222"/>
      <c r="W333" s="229"/>
      <c r="X333" s="227"/>
      <c r="Y333" s="229"/>
      <c r="Z333" s="236"/>
      <c r="AA333" s="237"/>
      <c r="AB333" s="238"/>
      <c r="AC333" s="223"/>
      <c r="AD333" s="222"/>
    </row>
    <row r="334" spans="1:30" x14ac:dyDescent="0.4">
      <c r="A334" s="230"/>
      <c r="B334" s="8">
        <v>68</v>
      </c>
      <c r="C334" s="14">
        <f t="shared" ca="1" si="204"/>
        <v>0.87</v>
      </c>
      <c r="D334" s="20">
        <f t="shared" ca="1" si="179"/>
        <v>1.044</v>
      </c>
      <c r="E334" s="225"/>
      <c r="F334" s="231"/>
      <c r="G334" s="172" t="str">
        <f t="shared" ca="1" si="199"/>
        <v/>
      </c>
      <c r="H334" s="93" t="str">
        <f t="shared" ca="1" si="200"/>
        <v/>
      </c>
      <c r="I334" s="21">
        <v>300</v>
      </c>
      <c r="J334" s="68">
        <f t="shared" si="201"/>
        <v>1.45</v>
      </c>
      <c r="K334" s="70">
        <v>1.74</v>
      </c>
      <c r="L334" s="72">
        <f t="shared" ca="1" si="196"/>
        <v>0.46399999999999997</v>
      </c>
      <c r="M334" s="73">
        <f t="shared" ca="1" si="197"/>
        <v>139.19999999999999</v>
      </c>
      <c r="N334" s="12" t="s">
        <v>42</v>
      </c>
      <c r="O334" s="47" t="s">
        <v>45</v>
      </c>
      <c r="P334" s="13">
        <f t="shared" si="187"/>
        <v>1.74</v>
      </c>
      <c r="Q334" s="1" t="str">
        <f t="shared" si="188"/>
        <v>300-490 шт - 1,74 руб / шт с НДС</v>
      </c>
      <c r="R334" s="235"/>
      <c r="S334" s="239"/>
      <c r="T334" s="226"/>
      <c r="U334" s="228"/>
      <c r="V334" s="222"/>
      <c r="W334" s="229"/>
      <c r="X334" s="227"/>
      <c r="Y334" s="229"/>
      <c r="Z334" s="236"/>
      <c r="AA334" s="237"/>
      <c r="AB334" s="238"/>
      <c r="AC334" s="223"/>
      <c r="AD334" s="222"/>
    </row>
    <row r="335" spans="1:30" x14ac:dyDescent="0.4">
      <c r="A335" s="230"/>
      <c r="B335" s="8">
        <v>68</v>
      </c>
      <c r="C335" s="14">
        <f t="shared" ca="1" si="204"/>
        <v>0.87</v>
      </c>
      <c r="D335" s="20">
        <f t="shared" ca="1" si="179"/>
        <v>1.044</v>
      </c>
      <c r="E335" s="225"/>
      <c r="F335" s="231"/>
      <c r="G335" s="172" t="str">
        <f t="shared" ca="1" si="199"/>
        <v/>
      </c>
      <c r="H335" s="93" t="str">
        <f t="shared" ca="1" si="200"/>
        <v/>
      </c>
      <c r="I335" s="21">
        <v>500</v>
      </c>
      <c r="J335" s="68">
        <f t="shared" si="201"/>
        <v>1.2583333333333333</v>
      </c>
      <c r="K335" s="70">
        <v>1.51</v>
      </c>
      <c r="L335" s="72">
        <f t="shared" ca="1" si="196"/>
        <v>0.31066666666666665</v>
      </c>
      <c r="M335" s="73">
        <f t="shared" ca="1" si="197"/>
        <v>155.33333333333331</v>
      </c>
      <c r="N335" s="12" t="s">
        <v>43</v>
      </c>
      <c r="O335" s="47" t="s">
        <v>45</v>
      </c>
      <c r="P335" s="13">
        <f t="shared" si="187"/>
        <v>1.51</v>
      </c>
      <c r="Q335" s="1" t="str">
        <f t="shared" si="188"/>
        <v>500-990 шт - 1,51 руб / шт с НДС</v>
      </c>
      <c r="R335" s="235"/>
      <c r="S335" s="239"/>
      <c r="T335" s="226"/>
      <c r="U335" s="228"/>
      <c r="V335" s="222"/>
      <c r="W335" s="229"/>
      <c r="X335" s="227"/>
      <c r="Y335" s="229"/>
      <c r="Z335" s="236"/>
      <c r="AA335" s="237"/>
      <c r="AB335" s="238"/>
      <c r="AC335" s="223"/>
      <c r="AD335" s="222"/>
    </row>
    <row r="336" spans="1:30" x14ac:dyDescent="0.4">
      <c r="A336" s="230"/>
      <c r="B336" s="8">
        <v>68</v>
      </c>
      <c r="C336" s="14">
        <f t="shared" ca="1" si="204"/>
        <v>0.87</v>
      </c>
      <c r="D336" s="20">
        <f t="shared" ca="1" si="179"/>
        <v>1.044</v>
      </c>
      <c r="E336" s="225"/>
      <c r="F336" s="231"/>
      <c r="G336" s="172" t="str">
        <f t="shared" ca="1" si="199"/>
        <v/>
      </c>
      <c r="H336" s="93" t="str">
        <f t="shared" ca="1" si="200"/>
        <v/>
      </c>
      <c r="I336" s="21">
        <v>1000</v>
      </c>
      <c r="J336" s="68">
        <f t="shared" si="201"/>
        <v>1.175</v>
      </c>
      <c r="K336" s="70">
        <v>1.41</v>
      </c>
      <c r="L336" s="72">
        <f t="shared" ca="1" si="196"/>
        <v>0.24400000000000005</v>
      </c>
      <c r="M336" s="73">
        <f t="shared" ca="1" si="197"/>
        <v>244.00000000000006</v>
      </c>
      <c r="N336" s="12" t="s">
        <v>44</v>
      </c>
      <c r="O336" s="47" t="s">
        <v>45</v>
      </c>
      <c r="P336" s="13">
        <f t="shared" si="187"/>
        <v>1.41</v>
      </c>
      <c r="Q336" s="1" t="str">
        <f t="shared" si="188"/>
        <v>1000 + шт - 1,41 руб / шт с НДС</v>
      </c>
      <c r="R336" s="235"/>
      <c r="S336" s="239"/>
      <c r="T336" s="226"/>
      <c r="U336" s="228"/>
      <c r="V336" s="222"/>
      <c r="W336" s="229"/>
      <c r="X336" s="227"/>
      <c r="Y336" s="229"/>
      <c r="Z336" s="236"/>
      <c r="AA336" s="237"/>
      <c r="AB336" s="238"/>
      <c r="AC336" s="223"/>
      <c r="AD336" s="222"/>
    </row>
    <row r="337" spans="1:30" x14ac:dyDescent="0.4">
      <c r="A337" s="230">
        <v>69</v>
      </c>
      <c r="B337" s="8">
        <v>69</v>
      </c>
      <c r="C337" s="14">
        <f t="shared" ca="1" si="204"/>
        <v>1.42</v>
      </c>
      <c r="D337" s="20">
        <f t="shared" ca="1" si="179"/>
        <v>1.704</v>
      </c>
      <c r="E337" s="224" t="str">
        <f ca="1">INDIRECT("'Закуп'!D" &amp; A337)</f>
        <v>У</v>
      </c>
      <c r="F337" s="231" t="str">
        <f t="shared" ref="F337" ca="1" si="207">INDIRECT("'Закуп'!E" &amp; B337)</f>
        <v>1050х180х70</v>
      </c>
      <c r="G337" s="172" t="str">
        <f t="shared" ca="1" si="199"/>
        <v/>
      </c>
      <c r="H337" s="93" t="str">
        <f t="shared" ca="1" si="200"/>
        <v/>
      </c>
      <c r="I337" s="21">
        <v>50</v>
      </c>
      <c r="J337" s="68">
        <f t="shared" si="201"/>
        <v>3.0416666666666665</v>
      </c>
      <c r="K337" s="70">
        <v>3.65</v>
      </c>
      <c r="L337" s="72">
        <f t="shared" ca="1" si="196"/>
        <v>1.2973333333333332</v>
      </c>
      <c r="M337" s="73">
        <f t="shared" ca="1" si="197"/>
        <v>64.86666666666666</v>
      </c>
      <c r="N337" s="12" t="s">
        <v>40</v>
      </c>
      <c r="O337" s="47" t="s">
        <v>45</v>
      </c>
      <c r="P337" s="13">
        <f t="shared" si="187"/>
        <v>3.65</v>
      </c>
      <c r="Q337" s="1" t="str">
        <f t="shared" si="188"/>
        <v>50-90 шт - 3,65 руб / шт с НДС</v>
      </c>
      <c r="R337" s="235" t="str">
        <f ca="1">INDIRECT("'Закуп'!k" &amp; A337)</f>
        <v>K69</v>
      </c>
      <c r="S337" s="239">
        <f ca="1">INDIRECT("'Закуп'!o" &amp; A337)</f>
        <v>13.23</v>
      </c>
      <c r="T337" s="226" t="str">
        <f ca="1">INDIRECT("'Закуп'!p" &amp; A337)</f>
        <v>10-14,9 литров</v>
      </c>
      <c r="U337" s="228" t="str">
        <f ca="1">INDIRECT("'Закуп'!v" &amp; A337)</f>
        <v>Длинные</v>
      </c>
      <c r="V337" s="222" t="str">
        <f ca="1">INDIRECT("'Закуп'!w" &amp; A337)</f>
        <v>Плоские</v>
      </c>
      <c r="W337" s="229" t="str">
        <f ca="1">INDIRECT("'Закуп'!H" &amp; A337)</f>
        <v>0427</v>
      </c>
      <c r="X337" s="227" t="str">
        <f t="shared" ref="X337" ca="1" si="208">INDIRECT("'Закуп'!g" &amp; A337)</f>
        <v>С</v>
      </c>
      <c r="Y337" s="229" t="str">
        <f ca="1">INDIRECT("'Закуп'!i" &amp; A337)</f>
        <v>В</v>
      </c>
      <c r="Z337" s="236" t="str">
        <f ca="1">INDIRECT("'Закуп'!x" &amp; A337)</f>
        <v>1000+ мм</v>
      </c>
      <c r="AA337" s="237" t="str">
        <f ca="1">INDIRECT("'Закуп'!y" &amp; A337)</f>
        <v>100-199 мм</v>
      </c>
      <c r="AB337" s="238" t="str">
        <f ca="1">INDIRECT("'Закуп'!z" &amp; A337)</f>
        <v>10-99 мм</v>
      </c>
      <c r="AC337" s="223" t="str">
        <f t="shared" ca="1" si="184"/>
        <v>1050x180x70</v>
      </c>
      <c r="AD337" s="222" t="str">
        <f t="shared" ref="AD337:AD397" ca="1" si="209">SUBSTITUTE(INDEX(F:F, ROUNDUP((ROW(A336))/5,0)*5 - 3), "х", "x") &amp; " - " &amp; SUBSTITUTE(SUBSTITUTE(INDEX(F:F, ROUNDUP((ROW(A336))/5,0)*5 - 3), "х", "*"), "x", "*") &amp; " мм"</f>
        <v>1050x180x70 - 1050*180*70 мм</v>
      </c>
    </row>
    <row r="338" spans="1:30" x14ac:dyDescent="0.4">
      <c r="A338" s="230"/>
      <c r="B338" s="8">
        <v>69</v>
      </c>
      <c r="C338" s="14">
        <f t="shared" ca="1" si="204"/>
        <v>1.42</v>
      </c>
      <c r="D338" s="20">
        <f t="shared" ca="1" si="179"/>
        <v>1.704</v>
      </c>
      <c r="E338" s="225"/>
      <c r="F338" s="231"/>
      <c r="G338" s="172" t="str">
        <f t="shared" ca="1" si="199"/>
        <v/>
      </c>
      <c r="H338" s="93" t="str">
        <f t="shared" ca="1" si="200"/>
        <v/>
      </c>
      <c r="I338" s="21">
        <v>100</v>
      </c>
      <c r="J338" s="68">
        <f t="shared" si="201"/>
        <v>2.4333333333333336</v>
      </c>
      <c r="K338" s="70">
        <v>2.92</v>
      </c>
      <c r="L338" s="72">
        <f t="shared" ca="1" si="196"/>
        <v>0.81066666666666687</v>
      </c>
      <c r="M338" s="73">
        <f t="shared" ca="1" si="197"/>
        <v>81.066666666666691</v>
      </c>
      <c r="N338" s="12" t="s">
        <v>41</v>
      </c>
      <c r="O338" s="47" t="s">
        <v>45</v>
      </c>
      <c r="P338" s="13">
        <f t="shared" si="187"/>
        <v>2.92</v>
      </c>
      <c r="Q338" s="1" t="str">
        <f t="shared" si="188"/>
        <v>100-290 шт - 2,92 руб / шт с НДС</v>
      </c>
      <c r="R338" s="235"/>
      <c r="S338" s="239"/>
      <c r="T338" s="226"/>
      <c r="U338" s="228"/>
      <c r="V338" s="222"/>
      <c r="W338" s="229"/>
      <c r="X338" s="227"/>
      <c r="Y338" s="229"/>
      <c r="Z338" s="236"/>
      <c r="AA338" s="237"/>
      <c r="AB338" s="238"/>
      <c r="AC338" s="223"/>
      <c r="AD338" s="222"/>
    </row>
    <row r="339" spans="1:30" x14ac:dyDescent="0.4">
      <c r="A339" s="230"/>
      <c r="B339" s="8">
        <v>69</v>
      </c>
      <c r="C339" s="14">
        <f t="shared" ca="1" si="204"/>
        <v>1.42</v>
      </c>
      <c r="D339" s="20">
        <f t="shared" ca="1" si="179"/>
        <v>1.704</v>
      </c>
      <c r="E339" s="225"/>
      <c r="F339" s="231"/>
      <c r="G339" s="172" t="str">
        <f t="shared" ca="1" si="199"/>
        <v/>
      </c>
      <c r="H339" s="93" t="str">
        <f t="shared" ca="1" si="200"/>
        <v/>
      </c>
      <c r="I339" s="21">
        <v>300</v>
      </c>
      <c r="J339" s="68">
        <f t="shared" si="201"/>
        <v>2.0500000000000003</v>
      </c>
      <c r="K339" s="70">
        <v>2.46</v>
      </c>
      <c r="L339" s="72">
        <f t="shared" ca="1" si="196"/>
        <v>0.50400000000000023</v>
      </c>
      <c r="M339" s="73">
        <f t="shared" ca="1" si="197"/>
        <v>151.20000000000007</v>
      </c>
      <c r="N339" s="12" t="s">
        <v>42</v>
      </c>
      <c r="O339" s="47" t="s">
        <v>45</v>
      </c>
      <c r="P339" s="13">
        <f t="shared" si="187"/>
        <v>2.46</v>
      </c>
      <c r="Q339" s="1" t="str">
        <f t="shared" si="188"/>
        <v>300-490 шт - 2,46 руб / шт с НДС</v>
      </c>
      <c r="R339" s="235"/>
      <c r="S339" s="239"/>
      <c r="T339" s="226"/>
      <c r="U339" s="228"/>
      <c r="V339" s="222"/>
      <c r="W339" s="229"/>
      <c r="X339" s="227"/>
      <c r="Y339" s="229"/>
      <c r="Z339" s="236"/>
      <c r="AA339" s="237"/>
      <c r="AB339" s="238"/>
      <c r="AC339" s="223"/>
      <c r="AD339" s="222"/>
    </row>
    <row r="340" spans="1:30" x14ac:dyDescent="0.4">
      <c r="A340" s="230"/>
      <c r="B340" s="8">
        <v>69</v>
      </c>
      <c r="C340" s="14">
        <f t="shared" ca="1" si="204"/>
        <v>1.42</v>
      </c>
      <c r="D340" s="20">
        <f t="shared" ca="1" si="179"/>
        <v>1.704</v>
      </c>
      <c r="E340" s="225"/>
      <c r="F340" s="231"/>
      <c r="G340" s="172" t="str">
        <f t="shared" ca="1" si="199"/>
        <v/>
      </c>
      <c r="H340" s="93" t="str">
        <f t="shared" ca="1" si="200"/>
        <v/>
      </c>
      <c r="I340" s="21">
        <v>500</v>
      </c>
      <c r="J340" s="68">
        <f t="shared" si="201"/>
        <v>1.9416666666666669</v>
      </c>
      <c r="K340" s="70">
        <v>2.33</v>
      </c>
      <c r="L340" s="72">
        <f t="shared" ca="1" si="196"/>
        <v>0.41733333333333356</v>
      </c>
      <c r="M340" s="73">
        <f t="shared" ca="1" si="197"/>
        <v>208.66666666666677</v>
      </c>
      <c r="N340" s="12" t="s">
        <v>43</v>
      </c>
      <c r="O340" s="47" t="s">
        <v>45</v>
      </c>
      <c r="P340" s="13">
        <f t="shared" si="187"/>
        <v>2.33</v>
      </c>
      <c r="Q340" s="1" t="str">
        <f t="shared" si="188"/>
        <v>500-990 шт - 2,33 руб / шт с НДС</v>
      </c>
      <c r="R340" s="235"/>
      <c r="S340" s="239"/>
      <c r="T340" s="226"/>
      <c r="U340" s="228"/>
      <c r="V340" s="222"/>
      <c r="W340" s="229"/>
      <c r="X340" s="227"/>
      <c r="Y340" s="229"/>
      <c r="Z340" s="236"/>
      <c r="AA340" s="237"/>
      <c r="AB340" s="238"/>
      <c r="AC340" s="223"/>
      <c r="AD340" s="222"/>
    </row>
    <row r="341" spans="1:30" x14ac:dyDescent="0.4">
      <c r="A341" s="230"/>
      <c r="B341" s="8">
        <v>69</v>
      </c>
      <c r="C341" s="14">
        <f t="shared" ca="1" si="204"/>
        <v>1.42</v>
      </c>
      <c r="D341" s="20">
        <f t="shared" ca="1" si="179"/>
        <v>1.704</v>
      </c>
      <c r="E341" s="225"/>
      <c r="F341" s="231"/>
      <c r="G341" s="172" t="str">
        <f t="shared" ca="1" si="199"/>
        <v/>
      </c>
      <c r="H341" s="93" t="str">
        <f t="shared" ca="1" si="200"/>
        <v/>
      </c>
      <c r="I341" s="21">
        <v>1000</v>
      </c>
      <c r="J341" s="68">
        <f t="shared" si="201"/>
        <v>1.8583333333333334</v>
      </c>
      <c r="K341" s="70">
        <v>2.23</v>
      </c>
      <c r="L341" s="72">
        <f t="shared" ca="1" si="196"/>
        <v>0.35066666666666679</v>
      </c>
      <c r="M341" s="73">
        <f t="shared" ca="1" si="197"/>
        <v>350.6666666666668</v>
      </c>
      <c r="N341" s="12" t="s">
        <v>44</v>
      </c>
      <c r="O341" s="47" t="s">
        <v>45</v>
      </c>
      <c r="P341" s="13">
        <f t="shared" si="187"/>
        <v>2.23</v>
      </c>
      <c r="Q341" s="1" t="str">
        <f t="shared" si="188"/>
        <v>1000 + шт - 2,23 руб / шт с НДС</v>
      </c>
      <c r="R341" s="235"/>
      <c r="S341" s="239"/>
      <c r="T341" s="226"/>
      <c r="U341" s="228"/>
      <c r="V341" s="222"/>
      <c r="W341" s="229"/>
      <c r="X341" s="227"/>
      <c r="Y341" s="229"/>
      <c r="Z341" s="236"/>
      <c r="AA341" s="237"/>
      <c r="AB341" s="238"/>
      <c r="AC341" s="223"/>
      <c r="AD341" s="222"/>
    </row>
    <row r="342" spans="1:30" x14ac:dyDescent="0.4">
      <c r="A342" s="230">
        <v>70</v>
      </c>
      <c r="B342" s="8">
        <v>70</v>
      </c>
      <c r="C342" s="14">
        <f t="shared" ca="1" si="204"/>
        <v>0.22</v>
      </c>
      <c r="D342" s="20">
        <f t="shared" ca="1" si="179"/>
        <v>0.26400000000000001</v>
      </c>
      <c r="E342" s="224" t="str">
        <f ca="1">INDIRECT("'Закуп'!D" &amp; A342)</f>
        <v>У</v>
      </c>
      <c r="F342" s="231" t="str">
        <f t="shared" ref="F342" ca="1" si="210">INDIRECT("'Закуп'!E" &amp; B342)</f>
        <v>305х55х55</v>
      </c>
      <c r="G342" s="172" t="str">
        <f t="shared" ca="1" si="199"/>
        <v/>
      </c>
      <c r="H342" s="93" t="str">
        <f t="shared" ca="1" si="200"/>
        <v/>
      </c>
      <c r="I342" s="21">
        <v>50</v>
      </c>
      <c r="J342" s="68">
        <f t="shared" si="201"/>
        <v>0.85000000000000009</v>
      </c>
      <c r="K342" s="70">
        <v>1.02</v>
      </c>
      <c r="L342" s="72">
        <f t="shared" ca="1" si="196"/>
        <v>0.50400000000000011</v>
      </c>
      <c r="M342" s="73">
        <f t="shared" ca="1" si="197"/>
        <v>25.200000000000006</v>
      </c>
      <c r="N342" s="12" t="s">
        <v>40</v>
      </c>
      <c r="O342" s="47" t="s">
        <v>45</v>
      </c>
      <c r="P342" s="13">
        <f t="shared" si="187"/>
        <v>1.02</v>
      </c>
      <c r="Q342" s="1" t="str">
        <f t="shared" si="188"/>
        <v>50-90 шт - 1,02 руб / шт с НДС</v>
      </c>
      <c r="R342" s="235" t="str">
        <f ca="1">INDIRECT("'Закуп'!k" &amp; A342)</f>
        <v>K70</v>
      </c>
      <c r="S342" s="239">
        <f ca="1">INDIRECT("'Закуп'!o" &amp; A342)</f>
        <v>0.92</v>
      </c>
      <c r="T342" s="226" t="str">
        <f ca="1">INDIRECT("'Закуп'!p" &amp; A342)</f>
        <v>0,1-0,9 литров</v>
      </c>
      <c r="U342" s="228" t="str">
        <f ca="1">INDIRECT("'Закуп'!v" &amp; A342)</f>
        <v>Длинные</v>
      </c>
      <c r="V342" s="222" t="str">
        <f ca="1">INDIRECT("'Закуп'!w" &amp; A342)</f>
        <v/>
      </c>
      <c r="W342" s="229" t="str">
        <f ca="1">INDIRECT("'Закуп'!H" &amp; A342)</f>
        <v>0471</v>
      </c>
      <c r="X342" s="227" t="str">
        <f t="shared" ref="X342" ca="1" si="211">INDIRECT("'Закуп'!g" &amp; A342)</f>
        <v>С</v>
      </c>
      <c r="Y342" s="229" t="str">
        <f ca="1">INDIRECT("'Закуп'!i" &amp; A342)</f>
        <v>В</v>
      </c>
      <c r="Z342" s="236" t="str">
        <f ca="1">INDIRECT("'Закуп'!x" &amp; A342)</f>
        <v>300-399 мм</v>
      </c>
      <c r="AA342" s="237" t="str">
        <f ca="1">INDIRECT("'Закуп'!y" &amp; A342)</f>
        <v>10-99 мм</v>
      </c>
      <c r="AB342" s="238" t="str">
        <f ca="1">INDIRECT("'Закуп'!z" &amp; A342)</f>
        <v>10-99 мм</v>
      </c>
      <c r="AC342" s="223" t="str">
        <f t="shared" ca="1" si="184"/>
        <v>305x55x55</v>
      </c>
      <c r="AD342" s="222" t="str">
        <f t="shared" ca="1" si="209"/>
        <v>305x55x55 - 305*55*55 мм</v>
      </c>
    </row>
    <row r="343" spans="1:30" x14ac:dyDescent="0.4">
      <c r="A343" s="230"/>
      <c r="B343" s="8">
        <v>70</v>
      </c>
      <c r="C343" s="14">
        <f t="shared" ca="1" si="204"/>
        <v>0.22</v>
      </c>
      <c r="D343" s="20">
        <f t="shared" ca="1" si="179"/>
        <v>0.26400000000000001</v>
      </c>
      <c r="E343" s="225"/>
      <c r="F343" s="231"/>
      <c r="G343" s="172" t="str">
        <f t="shared" ca="1" si="199"/>
        <v/>
      </c>
      <c r="H343" s="93" t="str">
        <f t="shared" ca="1" si="200"/>
        <v/>
      </c>
      <c r="I343" s="21">
        <v>100</v>
      </c>
      <c r="J343" s="68">
        <f t="shared" si="201"/>
        <v>0.75833333333333341</v>
      </c>
      <c r="K343" s="70">
        <v>0.91</v>
      </c>
      <c r="L343" s="72">
        <f t="shared" ca="1" si="196"/>
        <v>0.43066666666666675</v>
      </c>
      <c r="M343" s="73">
        <f t="shared" ca="1" si="197"/>
        <v>43.066666666666677</v>
      </c>
      <c r="N343" s="12" t="s">
        <v>41</v>
      </c>
      <c r="O343" s="47" t="s">
        <v>45</v>
      </c>
      <c r="P343" s="13">
        <f t="shared" si="187"/>
        <v>0.91</v>
      </c>
      <c r="Q343" s="1" t="str">
        <f t="shared" si="188"/>
        <v>100-290 шт - 0,91 руб / шт с НДС</v>
      </c>
      <c r="R343" s="235"/>
      <c r="S343" s="239"/>
      <c r="T343" s="226"/>
      <c r="U343" s="228"/>
      <c r="V343" s="222"/>
      <c r="W343" s="229"/>
      <c r="X343" s="227"/>
      <c r="Y343" s="229"/>
      <c r="Z343" s="236"/>
      <c r="AA343" s="237"/>
      <c r="AB343" s="238"/>
      <c r="AC343" s="223"/>
      <c r="AD343" s="222"/>
    </row>
    <row r="344" spans="1:30" x14ac:dyDescent="0.4">
      <c r="A344" s="230"/>
      <c r="B344" s="8">
        <v>70</v>
      </c>
      <c r="C344" s="14">
        <f t="shared" ca="1" si="204"/>
        <v>0.22</v>
      </c>
      <c r="D344" s="20">
        <f t="shared" ca="1" si="179"/>
        <v>0.26400000000000001</v>
      </c>
      <c r="E344" s="225"/>
      <c r="F344" s="231"/>
      <c r="G344" s="172" t="str">
        <f t="shared" ca="1" si="199"/>
        <v/>
      </c>
      <c r="H344" s="93" t="str">
        <f t="shared" ca="1" si="200"/>
        <v/>
      </c>
      <c r="I344" s="21">
        <v>300</v>
      </c>
      <c r="J344" s="68">
        <f t="shared" si="201"/>
        <v>0.66666666666666674</v>
      </c>
      <c r="K344" s="70">
        <v>0.8</v>
      </c>
      <c r="L344" s="72">
        <f t="shared" ca="1" si="196"/>
        <v>0.35733333333333339</v>
      </c>
      <c r="M344" s="73">
        <f t="shared" ca="1" si="197"/>
        <v>107.20000000000002</v>
      </c>
      <c r="N344" s="12" t="s">
        <v>42</v>
      </c>
      <c r="O344" s="47" t="s">
        <v>45</v>
      </c>
      <c r="P344" s="13">
        <f t="shared" si="187"/>
        <v>0.8</v>
      </c>
      <c r="Q344" s="1" t="str">
        <f t="shared" si="188"/>
        <v>300-490 шт - 0,8 руб / шт с НДС</v>
      </c>
      <c r="R344" s="235"/>
      <c r="S344" s="239"/>
      <c r="T344" s="226"/>
      <c r="U344" s="228"/>
      <c r="V344" s="222"/>
      <c r="W344" s="229"/>
      <c r="X344" s="227"/>
      <c r="Y344" s="229"/>
      <c r="Z344" s="236"/>
      <c r="AA344" s="237"/>
      <c r="AB344" s="238"/>
      <c r="AC344" s="223"/>
      <c r="AD344" s="222"/>
    </row>
    <row r="345" spans="1:30" x14ac:dyDescent="0.4">
      <c r="A345" s="230"/>
      <c r="B345" s="8">
        <v>70</v>
      </c>
      <c r="C345" s="14">
        <f t="shared" ca="1" si="204"/>
        <v>0.22</v>
      </c>
      <c r="D345" s="20">
        <f t="shared" ca="1" si="179"/>
        <v>0.26400000000000001</v>
      </c>
      <c r="E345" s="225"/>
      <c r="F345" s="231"/>
      <c r="G345" s="172" t="str">
        <f t="shared" ca="1" si="199"/>
        <v/>
      </c>
      <c r="H345" s="93" t="str">
        <f t="shared" ca="1" si="200"/>
        <v/>
      </c>
      <c r="I345" s="21">
        <v>500</v>
      </c>
      <c r="J345" s="68">
        <f t="shared" si="201"/>
        <v>0.58333333333333337</v>
      </c>
      <c r="K345" s="70">
        <v>0.7</v>
      </c>
      <c r="L345" s="72">
        <f t="shared" ca="1" si="196"/>
        <v>0.29066666666666674</v>
      </c>
      <c r="M345" s="73">
        <f t="shared" ca="1" si="197"/>
        <v>145.33333333333337</v>
      </c>
      <c r="N345" s="12" t="s">
        <v>43</v>
      </c>
      <c r="O345" s="47" t="s">
        <v>45</v>
      </c>
      <c r="P345" s="13">
        <f t="shared" si="187"/>
        <v>0.7</v>
      </c>
      <c r="Q345" s="1" t="str">
        <f t="shared" si="188"/>
        <v>500-990 шт - 0,7 руб / шт с НДС</v>
      </c>
      <c r="R345" s="235"/>
      <c r="S345" s="239"/>
      <c r="T345" s="226"/>
      <c r="U345" s="228"/>
      <c r="V345" s="222"/>
      <c r="W345" s="229"/>
      <c r="X345" s="227"/>
      <c r="Y345" s="229"/>
      <c r="Z345" s="236"/>
      <c r="AA345" s="237"/>
      <c r="AB345" s="238"/>
      <c r="AC345" s="223"/>
      <c r="AD345" s="222"/>
    </row>
    <row r="346" spans="1:30" x14ac:dyDescent="0.4">
      <c r="A346" s="230"/>
      <c r="B346" s="8">
        <v>70</v>
      </c>
      <c r="C346" s="14">
        <f t="shared" ca="1" si="204"/>
        <v>0.22</v>
      </c>
      <c r="D346" s="20">
        <f t="shared" ca="1" si="179"/>
        <v>0.26400000000000001</v>
      </c>
      <c r="E346" s="225"/>
      <c r="F346" s="231"/>
      <c r="G346" s="172" t="str">
        <f t="shared" ca="1" si="199"/>
        <v/>
      </c>
      <c r="H346" s="93" t="str">
        <f t="shared" ca="1" si="200"/>
        <v/>
      </c>
      <c r="I346" s="21">
        <v>1000</v>
      </c>
      <c r="J346" s="68">
        <f t="shared" si="201"/>
        <v>0.49166666666666664</v>
      </c>
      <c r="K346" s="70">
        <v>0.59</v>
      </c>
      <c r="L346" s="72">
        <f t="shared" ca="1" si="196"/>
        <v>0.2173333333333333</v>
      </c>
      <c r="M346" s="73">
        <f t="shared" ca="1" si="197"/>
        <v>217.33333333333329</v>
      </c>
      <c r="N346" s="12" t="s">
        <v>44</v>
      </c>
      <c r="O346" s="47" t="s">
        <v>45</v>
      </c>
      <c r="P346" s="13">
        <f t="shared" si="187"/>
        <v>0.59</v>
      </c>
      <c r="Q346" s="1" t="str">
        <f t="shared" si="188"/>
        <v>1000 + шт - 0,59 руб / шт с НДС</v>
      </c>
      <c r="R346" s="235"/>
      <c r="S346" s="239"/>
      <c r="T346" s="226"/>
      <c r="U346" s="228"/>
      <c r="V346" s="222"/>
      <c r="W346" s="229"/>
      <c r="X346" s="227"/>
      <c r="Y346" s="229"/>
      <c r="Z346" s="236"/>
      <c r="AA346" s="237"/>
      <c r="AB346" s="238"/>
      <c r="AC346" s="223"/>
      <c r="AD346" s="222"/>
    </row>
    <row r="347" spans="1:30" x14ac:dyDescent="0.4">
      <c r="A347" s="230">
        <v>71</v>
      </c>
      <c r="B347" s="8">
        <v>71</v>
      </c>
      <c r="C347" s="14">
        <f t="shared" ca="1" si="204"/>
        <v>0.77</v>
      </c>
      <c r="D347" s="20">
        <f t="shared" ca="1" si="179"/>
        <v>0.92399999999999993</v>
      </c>
      <c r="E347" s="224" t="str">
        <f ca="1">INDIRECT("'Закуп'!D" &amp; A347)</f>
        <v>У</v>
      </c>
      <c r="F347" s="231" t="str">
        <f t="shared" ref="F347" ca="1" si="212">INDIRECT("'Закуп'!E" &amp; B347)</f>
        <v>370х140х130</v>
      </c>
      <c r="G347" s="172" t="str">
        <f t="shared" ca="1" si="199"/>
        <v/>
      </c>
      <c r="H347" s="93" t="str">
        <f t="shared" ca="1" si="200"/>
        <v/>
      </c>
      <c r="I347" s="21">
        <v>50</v>
      </c>
      <c r="J347" s="68">
        <f t="shared" si="201"/>
        <v>1.55</v>
      </c>
      <c r="K347" s="70">
        <v>1.86</v>
      </c>
      <c r="L347" s="72">
        <f t="shared" ca="1" si="196"/>
        <v>0.624</v>
      </c>
      <c r="M347" s="73">
        <f t="shared" ca="1" si="197"/>
        <v>31.2</v>
      </c>
      <c r="N347" s="12" t="s">
        <v>40</v>
      </c>
      <c r="O347" s="47" t="s">
        <v>45</v>
      </c>
      <c r="P347" s="13">
        <f t="shared" si="187"/>
        <v>1.86</v>
      </c>
      <c r="Q347" s="1" t="str">
        <f t="shared" si="188"/>
        <v>50-90 шт - 1,86 руб / шт с НДС</v>
      </c>
      <c r="R347" s="235" t="str">
        <f ca="1">INDIRECT("'Закуп'!k" &amp; A347)</f>
        <v>K71</v>
      </c>
      <c r="S347" s="239">
        <f ca="1">INDIRECT("'Закуп'!o" &amp; A347)</f>
        <v>6.73</v>
      </c>
      <c r="T347" s="226" t="str">
        <f ca="1">INDIRECT("'Закуп'!p" &amp; A347)</f>
        <v>6-7,9 литра</v>
      </c>
      <c r="U347" s="228" t="str">
        <f ca="1">INDIRECT("'Закуп'!v" &amp; A347)</f>
        <v>Длинные</v>
      </c>
      <c r="V347" s="222" t="str">
        <f ca="1">INDIRECT("'Закуп'!w" &amp; A347)</f>
        <v/>
      </c>
      <c r="W347" s="229" t="str">
        <f ca="1">INDIRECT("'Закуп'!H" &amp; A347)</f>
        <v>0215</v>
      </c>
      <c r="X347" s="227" t="str">
        <f t="shared" ref="X347" ca="1" si="213">INDIRECT("'Закуп'!g" &amp; A347)</f>
        <v>С</v>
      </c>
      <c r="Y347" s="229" t="str">
        <f ca="1">INDIRECT("'Закуп'!i" &amp; A347)</f>
        <v>В</v>
      </c>
      <c r="Z347" s="236" t="str">
        <f ca="1">INDIRECT("'Закуп'!x" &amp; A347)</f>
        <v>300-399 мм</v>
      </c>
      <c r="AA347" s="237" t="str">
        <f ca="1">INDIRECT("'Закуп'!y" &amp; A347)</f>
        <v>100-199 мм</v>
      </c>
      <c r="AB347" s="238" t="str">
        <f ca="1">INDIRECT("'Закуп'!z" &amp; A347)</f>
        <v>100-199 мм</v>
      </c>
      <c r="AC347" s="223" t="str">
        <f t="shared" ca="1" si="184"/>
        <v>370x140x130</v>
      </c>
      <c r="AD347" s="222" t="str">
        <f t="shared" ca="1" si="209"/>
        <v>370x140x130 - 370*140*130 мм</v>
      </c>
    </row>
    <row r="348" spans="1:30" x14ac:dyDescent="0.4">
      <c r="A348" s="230"/>
      <c r="B348" s="8">
        <v>71</v>
      </c>
      <c r="C348" s="14">
        <f t="shared" ca="1" si="204"/>
        <v>0.77</v>
      </c>
      <c r="D348" s="20">
        <f t="shared" ca="1" si="179"/>
        <v>0.92399999999999993</v>
      </c>
      <c r="E348" s="225"/>
      <c r="F348" s="231"/>
      <c r="G348" s="172" t="str">
        <f t="shared" ca="1" si="199"/>
        <v/>
      </c>
      <c r="H348" s="93" t="str">
        <f t="shared" ca="1" si="200"/>
        <v/>
      </c>
      <c r="I348" s="21">
        <v>100</v>
      </c>
      <c r="J348" s="68">
        <f t="shared" si="201"/>
        <v>1.4083333333333334</v>
      </c>
      <c r="K348" s="70">
        <v>1.69</v>
      </c>
      <c r="L348" s="72">
        <f t="shared" ca="1" si="196"/>
        <v>0.51066666666666671</v>
      </c>
      <c r="M348" s="73">
        <f t="shared" ca="1" si="197"/>
        <v>51.06666666666667</v>
      </c>
      <c r="N348" s="12" t="s">
        <v>41</v>
      </c>
      <c r="O348" s="47" t="s">
        <v>45</v>
      </c>
      <c r="P348" s="13">
        <f t="shared" si="187"/>
        <v>1.69</v>
      </c>
      <c r="Q348" s="1" t="str">
        <f t="shared" si="188"/>
        <v>100-290 шт - 1,69 руб / шт с НДС</v>
      </c>
      <c r="R348" s="235"/>
      <c r="S348" s="239"/>
      <c r="T348" s="226"/>
      <c r="U348" s="228"/>
      <c r="V348" s="222"/>
      <c r="W348" s="229"/>
      <c r="X348" s="227"/>
      <c r="Y348" s="229"/>
      <c r="Z348" s="236"/>
      <c r="AA348" s="237"/>
      <c r="AB348" s="238"/>
      <c r="AC348" s="223"/>
      <c r="AD348" s="222"/>
    </row>
    <row r="349" spans="1:30" x14ac:dyDescent="0.4">
      <c r="A349" s="230"/>
      <c r="B349" s="8">
        <v>71</v>
      </c>
      <c r="C349" s="14">
        <f t="shared" ca="1" si="204"/>
        <v>0.77</v>
      </c>
      <c r="D349" s="20">
        <f t="shared" ca="1" si="179"/>
        <v>0.92399999999999993</v>
      </c>
      <c r="E349" s="225"/>
      <c r="F349" s="231"/>
      <c r="G349" s="172" t="str">
        <f t="shared" ca="1" si="199"/>
        <v/>
      </c>
      <c r="H349" s="93" t="str">
        <f t="shared" ca="1" si="200"/>
        <v/>
      </c>
      <c r="I349" s="21">
        <v>300</v>
      </c>
      <c r="J349" s="68">
        <f t="shared" si="201"/>
        <v>1.2833333333333334</v>
      </c>
      <c r="K349" s="70">
        <v>1.54</v>
      </c>
      <c r="L349" s="72">
        <f t="shared" ca="1" si="196"/>
        <v>0.41066666666666674</v>
      </c>
      <c r="M349" s="73">
        <f t="shared" ca="1" si="197"/>
        <v>123.20000000000002</v>
      </c>
      <c r="N349" s="12" t="s">
        <v>42</v>
      </c>
      <c r="O349" s="47" t="s">
        <v>45</v>
      </c>
      <c r="P349" s="13">
        <f t="shared" si="187"/>
        <v>1.54</v>
      </c>
      <c r="Q349" s="1" t="str">
        <f t="shared" si="188"/>
        <v>300-490 шт - 1,54 руб / шт с НДС</v>
      </c>
      <c r="R349" s="235"/>
      <c r="S349" s="239"/>
      <c r="T349" s="226"/>
      <c r="U349" s="228"/>
      <c r="V349" s="222"/>
      <c r="W349" s="229"/>
      <c r="X349" s="227"/>
      <c r="Y349" s="229"/>
      <c r="Z349" s="236"/>
      <c r="AA349" s="237"/>
      <c r="AB349" s="238"/>
      <c r="AC349" s="223"/>
      <c r="AD349" s="222"/>
    </row>
    <row r="350" spans="1:30" x14ac:dyDescent="0.4">
      <c r="A350" s="230"/>
      <c r="B350" s="8">
        <v>71</v>
      </c>
      <c r="C350" s="14">
        <f t="shared" ca="1" si="204"/>
        <v>0.77</v>
      </c>
      <c r="D350" s="20">
        <f t="shared" ca="1" si="179"/>
        <v>0.92399999999999993</v>
      </c>
      <c r="E350" s="225"/>
      <c r="F350" s="231"/>
      <c r="G350" s="172" t="str">
        <f t="shared" ca="1" si="199"/>
        <v/>
      </c>
      <c r="H350" s="93" t="str">
        <f t="shared" ca="1" si="200"/>
        <v/>
      </c>
      <c r="I350" s="21">
        <v>500</v>
      </c>
      <c r="J350" s="68">
        <f t="shared" si="201"/>
        <v>1.1833333333333333</v>
      </c>
      <c r="K350" s="70">
        <v>1.42</v>
      </c>
      <c r="L350" s="72">
        <f t="shared" ca="1" si="196"/>
        <v>0.33066666666666666</v>
      </c>
      <c r="M350" s="73">
        <f t="shared" ca="1" si="197"/>
        <v>165.33333333333334</v>
      </c>
      <c r="N350" s="12" t="s">
        <v>43</v>
      </c>
      <c r="O350" s="47" t="s">
        <v>45</v>
      </c>
      <c r="P350" s="13">
        <f t="shared" si="187"/>
        <v>1.42</v>
      </c>
      <c r="Q350" s="1" t="str">
        <f t="shared" si="188"/>
        <v>500-990 шт - 1,42 руб / шт с НДС</v>
      </c>
      <c r="R350" s="235"/>
      <c r="S350" s="239"/>
      <c r="T350" s="226"/>
      <c r="U350" s="228"/>
      <c r="V350" s="222"/>
      <c r="W350" s="229"/>
      <c r="X350" s="227"/>
      <c r="Y350" s="229"/>
      <c r="Z350" s="236"/>
      <c r="AA350" s="237"/>
      <c r="AB350" s="238"/>
      <c r="AC350" s="223"/>
      <c r="AD350" s="222"/>
    </row>
    <row r="351" spans="1:30" x14ac:dyDescent="0.4">
      <c r="A351" s="230"/>
      <c r="B351" s="8">
        <v>71</v>
      </c>
      <c r="C351" s="14">
        <f t="shared" ca="1" si="204"/>
        <v>0.77</v>
      </c>
      <c r="D351" s="20">
        <f t="shared" ca="1" si="179"/>
        <v>0.92399999999999993</v>
      </c>
      <c r="E351" s="225"/>
      <c r="F351" s="231"/>
      <c r="G351" s="172" t="str">
        <f t="shared" ca="1" si="199"/>
        <v/>
      </c>
      <c r="H351" s="93" t="str">
        <f t="shared" ca="1" si="200"/>
        <v/>
      </c>
      <c r="I351" s="21">
        <v>1000</v>
      </c>
      <c r="J351" s="68">
        <f t="shared" si="201"/>
        <v>1.05</v>
      </c>
      <c r="K351" s="70">
        <v>1.26</v>
      </c>
      <c r="L351" s="72">
        <f t="shared" ca="1" si="196"/>
        <v>0.22400000000000003</v>
      </c>
      <c r="M351" s="73">
        <f t="shared" ca="1" si="197"/>
        <v>224.00000000000003</v>
      </c>
      <c r="N351" s="12" t="s">
        <v>44</v>
      </c>
      <c r="O351" s="47" t="s">
        <v>45</v>
      </c>
      <c r="P351" s="13">
        <f t="shared" si="187"/>
        <v>1.26</v>
      </c>
      <c r="Q351" s="1" t="str">
        <f t="shared" si="188"/>
        <v>1000 + шт - 1,26 руб / шт с НДС</v>
      </c>
      <c r="R351" s="235"/>
      <c r="S351" s="239"/>
      <c r="T351" s="226"/>
      <c r="U351" s="228"/>
      <c r="V351" s="222"/>
      <c r="W351" s="229"/>
      <c r="X351" s="227"/>
      <c r="Y351" s="229"/>
      <c r="Z351" s="236"/>
      <c r="AA351" s="237"/>
      <c r="AB351" s="238"/>
      <c r="AC351" s="223"/>
      <c r="AD351" s="222"/>
    </row>
    <row r="352" spans="1:30" x14ac:dyDescent="0.4">
      <c r="A352" s="230">
        <v>72</v>
      </c>
      <c r="B352" s="8">
        <v>72</v>
      </c>
      <c r="C352" s="14">
        <f t="shared" ca="1" si="204"/>
        <v>0.44</v>
      </c>
      <c r="D352" s="20">
        <f t="shared" ca="1" si="179"/>
        <v>0.52800000000000002</v>
      </c>
      <c r="E352" s="224" t="str">
        <f ca="1">INDIRECT("'Закуп'!D" &amp; A352)</f>
        <v>У</v>
      </c>
      <c r="F352" s="231" t="str">
        <f t="shared" ref="F352" ca="1" si="214">INDIRECT("'Закуп'!E" &amp; B352)</f>
        <v>178х118х152</v>
      </c>
      <c r="G352" s="172" t="str">
        <f t="shared" ca="1" si="199"/>
        <v/>
      </c>
      <c r="H352" s="93" t="str">
        <f t="shared" ca="1" si="200"/>
        <v/>
      </c>
      <c r="I352" s="21">
        <v>50</v>
      </c>
      <c r="J352" s="68">
        <f t="shared" si="201"/>
        <v>1.0750000000000002</v>
      </c>
      <c r="K352" s="70">
        <v>1.29</v>
      </c>
      <c r="L352" s="72">
        <f t="shared" ca="1" si="196"/>
        <v>0.50800000000000023</v>
      </c>
      <c r="M352" s="73">
        <f t="shared" ca="1" si="197"/>
        <v>25.400000000000013</v>
      </c>
      <c r="N352" s="12" t="s">
        <v>40</v>
      </c>
      <c r="O352" s="47" t="s">
        <v>45</v>
      </c>
      <c r="P352" s="13">
        <f t="shared" si="187"/>
        <v>1.29</v>
      </c>
      <c r="Q352" s="1" t="str">
        <f t="shared" si="188"/>
        <v>50-90 шт - 1,29 руб / шт с НДС</v>
      </c>
      <c r="R352" s="235" t="str">
        <f ca="1">INDIRECT("'Закуп'!k" &amp; A352)</f>
        <v>K72</v>
      </c>
      <c r="S352" s="239">
        <f ca="1">INDIRECT("'Закуп'!o" &amp; A352)</f>
        <v>3.19</v>
      </c>
      <c r="T352" s="226" t="str">
        <f ca="1">INDIRECT("'Закуп'!p" &amp; A352)</f>
        <v>3-3,9 литра</v>
      </c>
      <c r="U352" s="228" t="str">
        <f ca="1">INDIRECT("'Закуп'!v" &amp; A352)</f>
        <v/>
      </c>
      <c r="V352" s="222" t="str">
        <f ca="1">INDIRECT("'Закуп'!w" &amp; A352)</f>
        <v/>
      </c>
      <c r="W352" s="229" t="str">
        <f ca="1">INDIRECT("'Закуп'!H" &amp; A352)</f>
        <v>0215</v>
      </c>
      <c r="X352" s="227" t="str">
        <f t="shared" ref="X352" ca="1" si="215">INDIRECT("'Закуп'!g" &amp; A352)</f>
        <v>С</v>
      </c>
      <c r="Y352" s="229" t="str">
        <f ca="1">INDIRECT("'Закуп'!i" &amp; A352)</f>
        <v>В</v>
      </c>
      <c r="Z352" s="236" t="str">
        <f ca="1">INDIRECT("'Закуп'!x" &amp; A352)</f>
        <v>100-199 мм</v>
      </c>
      <c r="AA352" s="237" t="str">
        <f ca="1">INDIRECT("'Закуп'!y" &amp; A352)</f>
        <v>100-199 мм</v>
      </c>
      <c r="AB352" s="238" t="str">
        <f ca="1">INDIRECT("'Закуп'!z" &amp; A352)</f>
        <v>100-199 мм</v>
      </c>
      <c r="AC352" s="223" t="str">
        <f t="shared" ca="1" si="184"/>
        <v>178x118x152</v>
      </c>
      <c r="AD352" s="222" t="str">
        <f t="shared" ca="1" si="209"/>
        <v>178x118x152 - 178*118*152 мм</v>
      </c>
    </row>
    <row r="353" spans="1:30" x14ac:dyDescent="0.4">
      <c r="A353" s="230"/>
      <c r="B353" s="8">
        <v>72</v>
      </c>
      <c r="C353" s="14">
        <f t="shared" ca="1" si="204"/>
        <v>0.44</v>
      </c>
      <c r="D353" s="20">
        <f t="shared" ref="D353:D416" ca="1" si="216">C353*1.2</f>
        <v>0.52800000000000002</v>
      </c>
      <c r="E353" s="225"/>
      <c r="F353" s="231"/>
      <c r="G353" s="172" t="str">
        <f t="shared" ca="1" si="199"/>
        <v/>
      </c>
      <c r="H353" s="93" t="str">
        <f t="shared" ca="1" si="200"/>
        <v/>
      </c>
      <c r="I353" s="21">
        <v>100</v>
      </c>
      <c r="J353" s="68">
        <f t="shared" si="201"/>
        <v>0.94166666666666665</v>
      </c>
      <c r="K353" s="70">
        <v>1.1299999999999999</v>
      </c>
      <c r="L353" s="72">
        <f t="shared" ca="1" si="196"/>
        <v>0.40133333333333338</v>
      </c>
      <c r="M353" s="73">
        <f t="shared" ca="1" si="197"/>
        <v>40.13333333333334</v>
      </c>
      <c r="N353" s="12" t="s">
        <v>41</v>
      </c>
      <c r="O353" s="47" t="s">
        <v>45</v>
      </c>
      <c r="P353" s="13">
        <f t="shared" si="187"/>
        <v>1.1299999999999999</v>
      </c>
      <c r="Q353" s="1" t="str">
        <f t="shared" si="188"/>
        <v>100-290 шт - 1,13 руб / шт с НДС</v>
      </c>
      <c r="R353" s="235"/>
      <c r="S353" s="239"/>
      <c r="T353" s="226"/>
      <c r="U353" s="228"/>
      <c r="V353" s="222"/>
      <c r="W353" s="229"/>
      <c r="X353" s="227"/>
      <c r="Y353" s="229"/>
      <c r="Z353" s="236"/>
      <c r="AA353" s="237"/>
      <c r="AB353" s="238"/>
      <c r="AC353" s="223"/>
      <c r="AD353" s="222"/>
    </row>
    <row r="354" spans="1:30" x14ac:dyDescent="0.4">
      <c r="A354" s="230"/>
      <c r="B354" s="8">
        <v>72</v>
      </c>
      <c r="C354" s="14">
        <f t="shared" ca="1" si="204"/>
        <v>0.44</v>
      </c>
      <c r="D354" s="20">
        <f t="shared" ca="1" si="216"/>
        <v>0.52800000000000002</v>
      </c>
      <c r="E354" s="225"/>
      <c r="F354" s="231"/>
      <c r="G354" s="172" t="str">
        <f t="shared" ca="1" si="199"/>
        <v/>
      </c>
      <c r="H354" s="93" t="str">
        <f t="shared" ca="1" si="200"/>
        <v/>
      </c>
      <c r="I354" s="21">
        <v>300</v>
      </c>
      <c r="J354" s="68">
        <f t="shared" si="201"/>
        <v>0.8</v>
      </c>
      <c r="K354" s="70">
        <v>0.96</v>
      </c>
      <c r="L354" s="72">
        <f t="shared" ca="1" si="196"/>
        <v>0.28800000000000003</v>
      </c>
      <c r="M354" s="73">
        <f t="shared" ca="1" si="197"/>
        <v>86.4</v>
      </c>
      <c r="N354" s="12" t="s">
        <v>42</v>
      </c>
      <c r="O354" s="47" t="s">
        <v>45</v>
      </c>
      <c r="P354" s="13">
        <f t="shared" si="187"/>
        <v>0.96</v>
      </c>
      <c r="Q354" s="1" t="str">
        <f t="shared" si="188"/>
        <v>300-490 шт - 0,96 руб / шт с НДС</v>
      </c>
      <c r="R354" s="235"/>
      <c r="S354" s="239"/>
      <c r="T354" s="226"/>
      <c r="U354" s="228"/>
      <c r="V354" s="222"/>
      <c r="W354" s="229"/>
      <c r="X354" s="227"/>
      <c r="Y354" s="229"/>
      <c r="Z354" s="236"/>
      <c r="AA354" s="237"/>
      <c r="AB354" s="238"/>
      <c r="AC354" s="223"/>
      <c r="AD354" s="222"/>
    </row>
    <row r="355" spans="1:30" x14ac:dyDescent="0.4">
      <c r="A355" s="230"/>
      <c r="B355" s="8">
        <v>72</v>
      </c>
      <c r="C355" s="14">
        <f t="shared" ca="1" si="204"/>
        <v>0.44</v>
      </c>
      <c r="D355" s="20">
        <f t="shared" ca="1" si="216"/>
        <v>0.52800000000000002</v>
      </c>
      <c r="E355" s="225"/>
      <c r="F355" s="231"/>
      <c r="G355" s="172" t="str">
        <f t="shared" ca="1" si="199"/>
        <v/>
      </c>
      <c r="H355" s="93" t="str">
        <f t="shared" ca="1" si="200"/>
        <v/>
      </c>
      <c r="I355" s="21">
        <v>500</v>
      </c>
      <c r="J355" s="68">
        <f t="shared" si="201"/>
        <v>0.75</v>
      </c>
      <c r="K355" s="70">
        <v>0.9</v>
      </c>
      <c r="L355" s="72">
        <f t="shared" ca="1" si="196"/>
        <v>0.248</v>
      </c>
      <c r="M355" s="73">
        <f t="shared" ca="1" si="197"/>
        <v>124</v>
      </c>
      <c r="N355" s="12" t="s">
        <v>43</v>
      </c>
      <c r="O355" s="47" t="s">
        <v>45</v>
      </c>
      <c r="P355" s="13">
        <f t="shared" si="187"/>
        <v>0.9</v>
      </c>
      <c r="Q355" s="1" t="str">
        <f t="shared" si="188"/>
        <v>500-990 шт - 0,9 руб / шт с НДС</v>
      </c>
      <c r="R355" s="235"/>
      <c r="S355" s="239"/>
      <c r="T355" s="226"/>
      <c r="U355" s="228"/>
      <c r="V355" s="222"/>
      <c r="W355" s="229"/>
      <c r="X355" s="227"/>
      <c r="Y355" s="229"/>
      <c r="Z355" s="236"/>
      <c r="AA355" s="237"/>
      <c r="AB355" s="238"/>
      <c r="AC355" s="223"/>
      <c r="AD355" s="222"/>
    </row>
    <row r="356" spans="1:30" x14ac:dyDescent="0.4">
      <c r="A356" s="230"/>
      <c r="B356" s="8">
        <v>72</v>
      </c>
      <c r="C356" s="14">
        <f t="shared" ca="1" si="204"/>
        <v>0.44</v>
      </c>
      <c r="D356" s="20">
        <f t="shared" ca="1" si="216"/>
        <v>0.52800000000000002</v>
      </c>
      <c r="E356" s="225"/>
      <c r="F356" s="231"/>
      <c r="G356" s="172" t="str">
        <f t="shared" ca="1" si="199"/>
        <v/>
      </c>
      <c r="H356" s="93" t="str">
        <f t="shared" ca="1" si="200"/>
        <v/>
      </c>
      <c r="I356" s="21">
        <v>1000</v>
      </c>
      <c r="J356" s="68">
        <f t="shared" si="201"/>
        <v>0.70833333333333337</v>
      </c>
      <c r="K356" s="70">
        <v>0.85</v>
      </c>
      <c r="L356" s="72">
        <f t="shared" ca="1" si="196"/>
        <v>0.2146666666666667</v>
      </c>
      <c r="M356" s="73">
        <f t="shared" ca="1" si="197"/>
        <v>214.66666666666671</v>
      </c>
      <c r="N356" s="12" t="s">
        <v>44</v>
      </c>
      <c r="O356" s="47" t="s">
        <v>45</v>
      </c>
      <c r="P356" s="13">
        <f t="shared" si="187"/>
        <v>0.85</v>
      </c>
      <c r="Q356" s="1" t="str">
        <f t="shared" si="188"/>
        <v>1000 + шт - 0,85 руб / шт с НДС</v>
      </c>
      <c r="R356" s="235"/>
      <c r="S356" s="239"/>
      <c r="T356" s="226"/>
      <c r="U356" s="228"/>
      <c r="V356" s="222"/>
      <c r="W356" s="229"/>
      <c r="X356" s="227"/>
      <c r="Y356" s="229"/>
      <c r="Z356" s="236"/>
      <c r="AA356" s="237"/>
      <c r="AB356" s="238"/>
      <c r="AC356" s="223"/>
      <c r="AD356" s="222"/>
    </row>
    <row r="357" spans="1:30" x14ac:dyDescent="0.4">
      <c r="A357" s="230">
        <v>73</v>
      </c>
      <c r="B357" s="8">
        <v>73</v>
      </c>
      <c r="C357" s="14">
        <f t="shared" ca="1" si="204"/>
        <v>1.65</v>
      </c>
      <c r="D357" s="20">
        <f t="shared" ca="1" si="216"/>
        <v>1.9799999999999998</v>
      </c>
      <c r="E357" s="224" t="str">
        <f ca="1">INDIRECT("'Закуп'!D" &amp; A357)</f>
        <v>У</v>
      </c>
      <c r="F357" s="231" t="str">
        <f t="shared" ref="F357" ca="1" si="217">INDIRECT("'Закуп'!E" &amp; B357)</f>
        <v>1100х250х100</v>
      </c>
      <c r="G357" s="172" t="str">
        <f t="shared" ca="1" si="199"/>
        <v/>
      </c>
      <c r="H357" s="93" t="str">
        <f t="shared" ca="1" si="200"/>
        <v/>
      </c>
      <c r="I357" s="21">
        <v>50</v>
      </c>
      <c r="J357" s="68">
        <f t="shared" si="201"/>
        <v>3.5333333333333337</v>
      </c>
      <c r="K357" s="70">
        <v>4.24</v>
      </c>
      <c r="L357" s="72">
        <f t="shared" ca="1" si="196"/>
        <v>1.506666666666667</v>
      </c>
      <c r="M357" s="73">
        <f t="shared" ca="1" si="197"/>
        <v>75.333333333333357</v>
      </c>
      <c r="N357" s="12" t="s">
        <v>40</v>
      </c>
      <c r="O357" s="47" t="s">
        <v>45</v>
      </c>
      <c r="P357" s="13">
        <f t="shared" si="187"/>
        <v>4.24</v>
      </c>
      <c r="Q357" s="1" t="str">
        <f t="shared" si="188"/>
        <v>50-90 шт - 4,24 руб / шт с НДС</v>
      </c>
      <c r="R357" s="235" t="str">
        <f ca="1">INDIRECT("'Закуп'!k" &amp; A357)</f>
        <v>K73</v>
      </c>
      <c r="S357" s="239">
        <f ca="1">INDIRECT("'Закуп'!o" &amp; A357)</f>
        <v>27.5</v>
      </c>
      <c r="T357" s="226" t="str">
        <f ca="1">INDIRECT("'Закуп'!p" &amp; A357)</f>
        <v>20-29 литров</v>
      </c>
      <c r="U357" s="228" t="str">
        <f ca="1">INDIRECT("'Закуп'!v" &amp; A357)</f>
        <v>Длинные</v>
      </c>
      <c r="V357" s="222" t="str">
        <f ca="1">INDIRECT("'Закуп'!w" &amp; A357)</f>
        <v>Плоские</v>
      </c>
      <c r="W357" s="229" t="str">
        <f ca="1">INDIRECT("'Закуп'!H" &amp; A357)</f>
        <v>0411</v>
      </c>
      <c r="X357" s="227" t="str">
        <f t="shared" ref="X357" ca="1" si="218">INDIRECT("'Закуп'!g" &amp; A357)</f>
        <v>С</v>
      </c>
      <c r="Y357" s="229" t="str">
        <f ca="1">INDIRECT("'Закуп'!i" &amp; A357)</f>
        <v>В</v>
      </c>
      <c r="Z357" s="236" t="str">
        <f ca="1">INDIRECT("'Закуп'!x" &amp; A357)</f>
        <v>1000+ мм</v>
      </c>
      <c r="AA357" s="237" t="str">
        <f ca="1">INDIRECT("'Закуп'!y" &amp; A357)</f>
        <v>200-299 мм</v>
      </c>
      <c r="AB357" s="238" t="str">
        <f ca="1">INDIRECT("'Закуп'!z" &amp; A357)</f>
        <v>100-199 мм</v>
      </c>
      <c r="AC357" s="223" t="str">
        <f t="shared" ca="1" si="184"/>
        <v>1100x250x100</v>
      </c>
      <c r="AD357" s="222" t="str">
        <f t="shared" ca="1" si="209"/>
        <v>1100x250x100 - 1100*250*100 мм</v>
      </c>
    </row>
    <row r="358" spans="1:30" x14ac:dyDescent="0.4">
      <c r="A358" s="230"/>
      <c r="B358" s="8">
        <v>73</v>
      </c>
      <c r="C358" s="14">
        <f t="shared" ca="1" si="204"/>
        <v>1.65</v>
      </c>
      <c r="D358" s="20">
        <f t="shared" ca="1" si="216"/>
        <v>1.9799999999999998</v>
      </c>
      <c r="E358" s="225"/>
      <c r="F358" s="231"/>
      <c r="G358" s="172" t="str">
        <f t="shared" ca="1" si="199"/>
        <v/>
      </c>
      <c r="H358" s="93" t="str">
        <f t="shared" ca="1" si="200"/>
        <v/>
      </c>
      <c r="I358" s="21">
        <v>100</v>
      </c>
      <c r="J358" s="68">
        <f t="shared" si="201"/>
        <v>2.791666666666667</v>
      </c>
      <c r="K358" s="70">
        <v>3.35</v>
      </c>
      <c r="L358" s="72">
        <f t="shared" ca="1" si="196"/>
        <v>0.91333333333333366</v>
      </c>
      <c r="M358" s="73">
        <f t="shared" ca="1" si="197"/>
        <v>91.333333333333371</v>
      </c>
      <c r="N358" s="12" t="s">
        <v>41</v>
      </c>
      <c r="O358" s="47" t="s">
        <v>45</v>
      </c>
      <c r="P358" s="13">
        <f t="shared" si="187"/>
        <v>3.35</v>
      </c>
      <c r="Q358" s="1" t="str">
        <f t="shared" si="188"/>
        <v>100-290 шт - 3,35 руб / шт с НДС</v>
      </c>
      <c r="R358" s="235"/>
      <c r="S358" s="239"/>
      <c r="T358" s="226"/>
      <c r="U358" s="228"/>
      <c r="V358" s="222"/>
      <c r="W358" s="229"/>
      <c r="X358" s="227"/>
      <c r="Y358" s="229"/>
      <c r="Z358" s="236"/>
      <c r="AA358" s="237"/>
      <c r="AB358" s="238"/>
      <c r="AC358" s="223"/>
      <c r="AD358" s="222"/>
    </row>
    <row r="359" spans="1:30" x14ac:dyDescent="0.4">
      <c r="A359" s="230"/>
      <c r="B359" s="8">
        <v>73</v>
      </c>
      <c r="C359" s="14">
        <f t="shared" ca="1" si="204"/>
        <v>1.65</v>
      </c>
      <c r="D359" s="20">
        <f t="shared" ca="1" si="216"/>
        <v>1.9799999999999998</v>
      </c>
      <c r="E359" s="225"/>
      <c r="F359" s="231"/>
      <c r="G359" s="172" t="str">
        <f t="shared" ca="1" si="199"/>
        <v/>
      </c>
      <c r="H359" s="93" t="str">
        <f t="shared" ca="1" si="200"/>
        <v/>
      </c>
      <c r="I359" s="21">
        <v>300</v>
      </c>
      <c r="J359" s="68">
        <f t="shared" si="201"/>
        <v>2.3416666666666668</v>
      </c>
      <c r="K359" s="70">
        <v>2.81</v>
      </c>
      <c r="L359" s="72">
        <f t="shared" ca="1" si="196"/>
        <v>0.55333333333333345</v>
      </c>
      <c r="M359" s="73">
        <f t="shared" ca="1" si="197"/>
        <v>166.00000000000003</v>
      </c>
      <c r="N359" s="12" t="s">
        <v>42</v>
      </c>
      <c r="O359" s="47" t="s">
        <v>45</v>
      </c>
      <c r="P359" s="13">
        <f t="shared" si="187"/>
        <v>2.81</v>
      </c>
      <c r="Q359" s="1" t="str">
        <f t="shared" si="188"/>
        <v>300-490 шт - 2,81 руб / шт с НДС</v>
      </c>
      <c r="R359" s="235"/>
      <c r="S359" s="239"/>
      <c r="T359" s="226"/>
      <c r="U359" s="228"/>
      <c r="V359" s="222"/>
      <c r="W359" s="229"/>
      <c r="X359" s="227"/>
      <c r="Y359" s="229"/>
      <c r="Z359" s="236"/>
      <c r="AA359" s="237"/>
      <c r="AB359" s="238"/>
      <c r="AC359" s="223"/>
      <c r="AD359" s="222"/>
    </row>
    <row r="360" spans="1:30" x14ac:dyDescent="0.4">
      <c r="A360" s="230"/>
      <c r="B360" s="8">
        <v>73</v>
      </c>
      <c r="C360" s="14">
        <f t="shared" ca="1" si="204"/>
        <v>1.65</v>
      </c>
      <c r="D360" s="20">
        <f t="shared" ca="1" si="216"/>
        <v>1.9799999999999998</v>
      </c>
      <c r="E360" s="225"/>
      <c r="F360" s="231"/>
      <c r="G360" s="172" t="str">
        <f t="shared" ca="1" si="199"/>
        <v/>
      </c>
      <c r="H360" s="93" t="str">
        <f t="shared" ca="1" si="200"/>
        <v/>
      </c>
      <c r="I360" s="21">
        <v>500</v>
      </c>
      <c r="J360" s="68">
        <f t="shared" si="201"/>
        <v>2.2166666666666668</v>
      </c>
      <c r="K360" s="70">
        <v>2.66</v>
      </c>
      <c r="L360" s="72">
        <f t="shared" ca="1" si="196"/>
        <v>0.45333333333333348</v>
      </c>
      <c r="M360" s="73">
        <f t="shared" ca="1" si="197"/>
        <v>226.66666666666674</v>
      </c>
      <c r="N360" s="12" t="s">
        <v>43</v>
      </c>
      <c r="O360" s="47" t="s">
        <v>45</v>
      </c>
      <c r="P360" s="13">
        <f t="shared" si="187"/>
        <v>2.66</v>
      </c>
      <c r="Q360" s="1" t="str">
        <f t="shared" si="188"/>
        <v>500-990 шт - 2,66 руб / шт с НДС</v>
      </c>
      <c r="R360" s="235"/>
      <c r="S360" s="239"/>
      <c r="T360" s="226"/>
      <c r="U360" s="228"/>
      <c r="V360" s="222"/>
      <c r="W360" s="229"/>
      <c r="X360" s="227"/>
      <c r="Y360" s="229"/>
      <c r="Z360" s="236"/>
      <c r="AA360" s="237"/>
      <c r="AB360" s="238"/>
      <c r="AC360" s="223"/>
      <c r="AD360" s="222"/>
    </row>
    <row r="361" spans="1:30" x14ac:dyDescent="0.4">
      <c r="A361" s="230"/>
      <c r="B361" s="8">
        <v>73</v>
      </c>
      <c r="C361" s="14">
        <f t="shared" ca="1" si="204"/>
        <v>1.65</v>
      </c>
      <c r="D361" s="20">
        <f t="shared" ca="1" si="216"/>
        <v>1.9799999999999998</v>
      </c>
      <c r="E361" s="225"/>
      <c r="F361" s="231"/>
      <c r="G361" s="172" t="str">
        <f t="shared" ca="1" si="199"/>
        <v/>
      </c>
      <c r="H361" s="93" t="str">
        <f t="shared" ca="1" si="200"/>
        <v/>
      </c>
      <c r="I361" s="21">
        <v>1000</v>
      </c>
      <c r="J361" s="68">
        <f t="shared" si="201"/>
        <v>2.1583333333333332</v>
      </c>
      <c r="K361" s="70">
        <v>2.59</v>
      </c>
      <c r="L361" s="72">
        <f t="shared" ca="1" si="196"/>
        <v>0.40666666666666662</v>
      </c>
      <c r="M361" s="73">
        <f t="shared" ca="1" si="197"/>
        <v>406.66666666666663</v>
      </c>
      <c r="N361" s="12" t="s">
        <v>44</v>
      </c>
      <c r="O361" s="47" t="s">
        <v>45</v>
      </c>
      <c r="P361" s="13">
        <f t="shared" si="187"/>
        <v>2.59</v>
      </c>
      <c r="Q361" s="1" t="str">
        <f t="shared" si="188"/>
        <v>1000 + шт - 2,59 руб / шт с НДС</v>
      </c>
      <c r="R361" s="235"/>
      <c r="S361" s="239"/>
      <c r="T361" s="226"/>
      <c r="U361" s="228"/>
      <c r="V361" s="222"/>
      <c r="W361" s="229"/>
      <c r="X361" s="227"/>
      <c r="Y361" s="229"/>
      <c r="Z361" s="236"/>
      <c r="AA361" s="237"/>
      <c r="AB361" s="238"/>
      <c r="AC361" s="223"/>
      <c r="AD361" s="222"/>
    </row>
    <row r="362" spans="1:30" x14ac:dyDescent="0.4">
      <c r="A362" s="230">
        <v>74</v>
      </c>
      <c r="B362" s="8">
        <v>74</v>
      </c>
      <c r="C362" s="14">
        <f t="shared" ca="1" si="204"/>
        <v>1.1100000000000001</v>
      </c>
      <c r="D362" s="20">
        <f t="shared" ca="1" si="216"/>
        <v>1.3320000000000001</v>
      </c>
      <c r="E362" s="224" t="str">
        <f ca="1">INDIRECT("'Закуп'!D" &amp; A362)</f>
        <v>У</v>
      </c>
      <c r="F362" s="231" t="str">
        <f t="shared" ref="F362" ca="1" si="219">INDIRECT("'Закуп'!E" &amp; B362)</f>
        <v>460х280х60</v>
      </c>
      <c r="G362" s="172" t="str">
        <f t="shared" ca="1" si="199"/>
        <v/>
      </c>
      <c r="H362" s="93" t="str">
        <f t="shared" ca="1" si="200"/>
        <v/>
      </c>
      <c r="I362" s="21">
        <v>50</v>
      </c>
      <c r="J362" s="68">
        <f t="shared" si="201"/>
        <v>2.375</v>
      </c>
      <c r="K362" s="70">
        <v>2.85</v>
      </c>
      <c r="L362" s="72">
        <f t="shared" ca="1" si="196"/>
        <v>1.012</v>
      </c>
      <c r="M362" s="73">
        <f t="shared" ca="1" si="197"/>
        <v>50.6</v>
      </c>
      <c r="N362" s="12" t="s">
        <v>40</v>
      </c>
      <c r="O362" s="47" t="s">
        <v>45</v>
      </c>
      <c r="P362" s="13">
        <f t="shared" si="187"/>
        <v>2.85</v>
      </c>
      <c r="Q362" s="1" t="str">
        <f t="shared" si="188"/>
        <v>50-90 шт - 2,85 руб / шт с НДС</v>
      </c>
      <c r="R362" s="235" t="str">
        <f ca="1">INDIRECT("'Закуп'!k" &amp; A362)</f>
        <v>K74</v>
      </c>
      <c r="S362" s="239">
        <f ca="1">INDIRECT("'Закуп'!o" &amp; A362)</f>
        <v>7.73</v>
      </c>
      <c r="T362" s="226" t="str">
        <f ca="1">INDIRECT("'Закуп'!p" &amp; A362)</f>
        <v>6-7,9 литра</v>
      </c>
      <c r="U362" s="228" t="str">
        <f ca="1">INDIRECT("'Закуп'!v" &amp; A362)</f>
        <v/>
      </c>
      <c r="V362" s="222" t="str">
        <f ca="1">INDIRECT("'Закуп'!w" &amp; A362)</f>
        <v>Плоские</v>
      </c>
      <c r="W362" s="229" t="str">
        <f ca="1">INDIRECT("'Закуп'!H" &amp; A362)</f>
        <v>0427</v>
      </c>
      <c r="X362" s="227" t="str">
        <f t="shared" ref="X362" ca="1" si="220">INDIRECT("'Закуп'!g" &amp; A362)</f>
        <v>С</v>
      </c>
      <c r="Y362" s="229" t="str">
        <f ca="1">INDIRECT("'Закуп'!i" &amp; A362)</f>
        <v>В</v>
      </c>
      <c r="Z362" s="236" t="str">
        <f ca="1">INDIRECT("'Закуп'!x" &amp; A362)</f>
        <v>400-499 мм</v>
      </c>
      <c r="AA362" s="237" t="str">
        <f ca="1">INDIRECT("'Закуп'!y" &amp; A362)</f>
        <v>200-299 мм</v>
      </c>
      <c r="AB362" s="238" t="str">
        <f ca="1">INDIRECT("'Закуп'!z" &amp; A362)</f>
        <v>10-99 мм</v>
      </c>
      <c r="AC362" s="223" t="str">
        <f t="shared" ref="AC362:AC422" ca="1" si="221">SUBSTITUTE(INDEX(F:F, ROUNDUP((ROW(A361))/5,0)*5 - 3), "х", "x")</f>
        <v>460x280x60</v>
      </c>
      <c r="AD362" s="222" t="str">
        <f t="shared" ca="1" si="209"/>
        <v>460x280x60 - 460*280*60 мм</v>
      </c>
    </row>
    <row r="363" spans="1:30" x14ac:dyDescent="0.4">
      <c r="A363" s="230"/>
      <c r="B363" s="8">
        <v>74</v>
      </c>
      <c r="C363" s="14">
        <f t="shared" ca="1" si="204"/>
        <v>1.1100000000000001</v>
      </c>
      <c r="D363" s="20">
        <f t="shared" ca="1" si="216"/>
        <v>1.3320000000000001</v>
      </c>
      <c r="E363" s="225"/>
      <c r="F363" s="231"/>
      <c r="G363" s="172" t="str">
        <f t="shared" ca="1" si="199"/>
        <v/>
      </c>
      <c r="H363" s="93" t="str">
        <f t="shared" ca="1" si="200"/>
        <v/>
      </c>
      <c r="I363" s="21">
        <v>100</v>
      </c>
      <c r="J363" s="68">
        <f t="shared" si="201"/>
        <v>1.9</v>
      </c>
      <c r="K363" s="70">
        <v>2.2799999999999998</v>
      </c>
      <c r="L363" s="72">
        <f t="shared" ca="1" si="196"/>
        <v>0.6319999999999999</v>
      </c>
      <c r="M363" s="73">
        <f t="shared" ca="1" si="197"/>
        <v>63.199999999999989</v>
      </c>
      <c r="N363" s="12" t="s">
        <v>41</v>
      </c>
      <c r="O363" s="47" t="s">
        <v>45</v>
      </c>
      <c r="P363" s="13">
        <f t="shared" si="187"/>
        <v>2.2799999999999998</v>
      </c>
      <c r="Q363" s="1" t="str">
        <f t="shared" si="188"/>
        <v>100-290 шт - 2,28 руб / шт с НДС</v>
      </c>
      <c r="R363" s="235"/>
      <c r="S363" s="239"/>
      <c r="T363" s="226"/>
      <c r="U363" s="228"/>
      <c r="V363" s="222"/>
      <c r="W363" s="229"/>
      <c r="X363" s="227"/>
      <c r="Y363" s="229"/>
      <c r="Z363" s="236"/>
      <c r="AA363" s="237"/>
      <c r="AB363" s="238"/>
      <c r="AC363" s="223"/>
      <c r="AD363" s="222"/>
    </row>
    <row r="364" spans="1:30" x14ac:dyDescent="0.4">
      <c r="A364" s="230"/>
      <c r="B364" s="8">
        <v>74</v>
      </c>
      <c r="C364" s="14">
        <f t="shared" ca="1" si="204"/>
        <v>1.1100000000000001</v>
      </c>
      <c r="D364" s="20">
        <f t="shared" ca="1" si="216"/>
        <v>1.3320000000000001</v>
      </c>
      <c r="E364" s="225"/>
      <c r="F364" s="231"/>
      <c r="G364" s="172" t="str">
        <f t="shared" ca="1" si="199"/>
        <v/>
      </c>
      <c r="H364" s="93" t="str">
        <f t="shared" ca="1" si="200"/>
        <v/>
      </c>
      <c r="I364" s="21">
        <v>300</v>
      </c>
      <c r="J364" s="68">
        <f t="shared" si="201"/>
        <v>1.7333333333333334</v>
      </c>
      <c r="K364" s="70">
        <v>2.08</v>
      </c>
      <c r="L364" s="72">
        <f t="shared" ca="1" si="196"/>
        <v>0.49866666666666665</v>
      </c>
      <c r="M364" s="73">
        <f t="shared" ca="1" si="197"/>
        <v>149.6</v>
      </c>
      <c r="N364" s="12" t="s">
        <v>42</v>
      </c>
      <c r="O364" s="47" t="s">
        <v>45</v>
      </c>
      <c r="P364" s="13">
        <f t="shared" si="187"/>
        <v>2.08</v>
      </c>
      <c r="Q364" s="1" t="str">
        <f t="shared" si="188"/>
        <v>300-490 шт - 2,08 руб / шт с НДС</v>
      </c>
      <c r="R364" s="235"/>
      <c r="S364" s="239"/>
      <c r="T364" s="226"/>
      <c r="U364" s="228"/>
      <c r="V364" s="222"/>
      <c r="W364" s="229"/>
      <c r="X364" s="227"/>
      <c r="Y364" s="229"/>
      <c r="Z364" s="236"/>
      <c r="AA364" s="237"/>
      <c r="AB364" s="238"/>
      <c r="AC364" s="223"/>
      <c r="AD364" s="222"/>
    </row>
    <row r="365" spans="1:30" x14ac:dyDescent="0.4">
      <c r="A365" s="230"/>
      <c r="B365" s="8">
        <v>74</v>
      </c>
      <c r="C365" s="14">
        <f t="shared" ca="1" si="204"/>
        <v>1.1100000000000001</v>
      </c>
      <c r="D365" s="20">
        <f t="shared" ca="1" si="216"/>
        <v>1.3320000000000001</v>
      </c>
      <c r="E365" s="225"/>
      <c r="F365" s="231"/>
      <c r="G365" s="172" t="str">
        <f t="shared" ca="1" si="199"/>
        <v/>
      </c>
      <c r="H365" s="93" t="str">
        <f t="shared" ca="1" si="200"/>
        <v/>
      </c>
      <c r="I365" s="21">
        <v>500</v>
      </c>
      <c r="J365" s="68">
        <f t="shared" si="201"/>
        <v>1.5416666666666667</v>
      </c>
      <c r="K365" s="70">
        <v>1.85</v>
      </c>
      <c r="L365" s="72">
        <f t="shared" ca="1" si="196"/>
        <v>0.34533333333333333</v>
      </c>
      <c r="M365" s="73">
        <f t="shared" ca="1" si="197"/>
        <v>172.66666666666666</v>
      </c>
      <c r="N365" s="12" t="s">
        <v>43</v>
      </c>
      <c r="O365" s="47" t="s">
        <v>45</v>
      </c>
      <c r="P365" s="13">
        <f t="shared" si="187"/>
        <v>1.85</v>
      </c>
      <c r="Q365" s="1" t="str">
        <f t="shared" si="188"/>
        <v>500-990 шт - 1,85 руб / шт с НДС</v>
      </c>
      <c r="R365" s="235"/>
      <c r="S365" s="239"/>
      <c r="T365" s="226"/>
      <c r="U365" s="228"/>
      <c r="V365" s="222"/>
      <c r="W365" s="229"/>
      <c r="X365" s="227"/>
      <c r="Y365" s="229"/>
      <c r="Z365" s="236"/>
      <c r="AA365" s="237"/>
      <c r="AB365" s="238"/>
      <c r="AC365" s="223"/>
      <c r="AD365" s="222"/>
    </row>
    <row r="366" spans="1:30" x14ac:dyDescent="0.4">
      <c r="A366" s="230"/>
      <c r="B366" s="8">
        <v>74</v>
      </c>
      <c r="C366" s="14">
        <f t="shared" ca="1" si="204"/>
        <v>1.1100000000000001</v>
      </c>
      <c r="D366" s="20">
        <f t="shared" ca="1" si="216"/>
        <v>1.3320000000000001</v>
      </c>
      <c r="E366" s="225"/>
      <c r="F366" s="231"/>
      <c r="G366" s="172" t="str">
        <f t="shared" ca="1" si="199"/>
        <v/>
      </c>
      <c r="H366" s="93" t="str">
        <f t="shared" ca="1" si="200"/>
        <v/>
      </c>
      <c r="I366" s="21">
        <v>1000</v>
      </c>
      <c r="J366" s="68">
        <f t="shared" si="201"/>
        <v>1.4750000000000001</v>
      </c>
      <c r="K366" s="70">
        <v>1.77</v>
      </c>
      <c r="L366" s="72">
        <f t="shared" ca="1" si="196"/>
        <v>0.29199999999999998</v>
      </c>
      <c r="M366" s="73">
        <f t="shared" ca="1" si="197"/>
        <v>292</v>
      </c>
      <c r="N366" s="12" t="s">
        <v>44</v>
      </c>
      <c r="O366" s="47" t="s">
        <v>45</v>
      </c>
      <c r="P366" s="13">
        <f t="shared" si="187"/>
        <v>1.77</v>
      </c>
      <c r="Q366" s="1" t="str">
        <f t="shared" si="188"/>
        <v>1000 + шт - 1,77 руб / шт с НДС</v>
      </c>
      <c r="R366" s="235"/>
      <c r="S366" s="239"/>
      <c r="T366" s="226"/>
      <c r="U366" s="228"/>
      <c r="V366" s="222"/>
      <c r="W366" s="229"/>
      <c r="X366" s="227"/>
      <c r="Y366" s="229"/>
      <c r="Z366" s="236"/>
      <c r="AA366" s="237"/>
      <c r="AB366" s="238"/>
      <c r="AC366" s="223"/>
      <c r="AD366" s="222"/>
    </row>
    <row r="367" spans="1:30" x14ac:dyDescent="0.4">
      <c r="A367" s="230">
        <v>75</v>
      </c>
      <c r="B367" s="8">
        <v>75</v>
      </c>
      <c r="C367" s="14">
        <f t="shared" ca="1" si="204"/>
        <v>1</v>
      </c>
      <c r="D367" s="20">
        <f t="shared" ca="1" si="216"/>
        <v>1.2</v>
      </c>
      <c r="E367" s="224" t="str">
        <f ca="1">INDIRECT("'Закуп'!D" &amp; A367)</f>
        <v>У</v>
      </c>
      <c r="F367" s="231" t="str">
        <f t="shared" ref="F367" ca="1" si="222">INDIRECT("'Закуп'!E" &amp; B367)</f>
        <v>600х115х105</v>
      </c>
      <c r="G367" s="172" t="str">
        <f t="shared" ca="1" si="199"/>
        <v/>
      </c>
      <c r="H367" s="93" t="str">
        <f t="shared" ca="1" si="200"/>
        <v/>
      </c>
      <c r="I367" s="21">
        <v>50</v>
      </c>
      <c r="J367" s="68">
        <f t="shared" si="201"/>
        <v>2.1416666666666666</v>
      </c>
      <c r="K367" s="70">
        <v>2.57</v>
      </c>
      <c r="L367" s="72">
        <f t="shared" ca="1" si="196"/>
        <v>0.91333333333333333</v>
      </c>
      <c r="M367" s="73">
        <f t="shared" ca="1" si="197"/>
        <v>45.666666666666664</v>
      </c>
      <c r="N367" s="12" t="s">
        <v>40</v>
      </c>
      <c r="O367" s="47" t="s">
        <v>45</v>
      </c>
      <c r="P367" s="13">
        <f t="shared" ref="P367:P430" si="223">ROUND(K367,2)</f>
        <v>2.57</v>
      </c>
      <c r="Q367" s="1" t="str">
        <f t="shared" si="188"/>
        <v>50-90 шт - 2,57 руб / шт с НДС</v>
      </c>
      <c r="R367" s="235" t="str">
        <f ca="1">INDIRECT("'Закуп'!k" &amp; A367)</f>
        <v>K75</v>
      </c>
      <c r="S367" s="239">
        <f ca="1">INDIRECT("'Закуп'!o" &amp; A367)</f>
        <v>7.25</v>
      </c>
      <c r="T367" s="226" t="str">
        <f ca="1">INDIRECT("'Закуп'!p" &amp; A367)</f>
        <v>6-7,9 литра</v>
      </c>
      <c r="U367" s="228" t="str">
        <f ca="1">INDIRECT("'Закуп'!v" &amp; A367)</f>
        <v>Длинные</v>
      </c>
      <c r="V367" s="222" t="str">
        <f ca="1">INDIRECT("'Закуп'!w" &amp; A367)</f>
        <v/>
      </c>
      <c r="W367" s="229" t="str">
        <f ca="1">INDIRECT("'Закуп'!H" &amp; A367)</f>
        <v>0427</v>
      </c>
      <c r="X367" s="227" t="str">
        <f t="shared" ref="X367" ca="1" si="224">INDIRECT("'Закуп'!g" &amp; A367)</f>
        <v>С</v>
      </c>
      <c r="Y367" s="229" t="str">
        <f ca="1">INDIRECT("'Закуп'!i" &amp; A367)</f>
        <v>В</v>
      </c>
      <c r="Z367" s="236" t="str">
        <f ca="1">INDIRECT("'Закуп'!x" &amp; A367)</f>
        <v>600-699 мм</v>
      </c>
      <c r="AA367" s="237" t="str">
        <f ca="1">INDIRECT("'Закуп'!y" &amp; A367)</f>
        <v>100-199 мм</v>
      </c>
      <c r="AB367" s="238" t="str">
        <f ca="1">INDIRECT("'Закуп'!z" &amp; A367)</f>
        <v>100-199 мм</v>
      </c>
      <c r="AC367" s="223" t="str">
        <f t="shared" ca="1" si="221"/>
        <v>600x115x105</v>
      </c>
      <c r="AD367" s="222" t="str">
        <f t="shared" ca="1" si="209"/>
        <v>600x115x105 - 600*115*105 мм</v>
      </c>
    </row>
    <row r="368" spans="1:30" x14ac:dyDescent="0.4">
      <c r="A368" s="230"/>
      <c r="B368" s="8">
        <v>75</v>
      </c>
      <c r="C368" s="14">
        <f t="shared" ca="1" si="204"/>
        <v>1</v>
      </c>
      <c r="D368" s="20">
        <f t="shared" ca="1" si="216"/>
        <v>1.2</v>
      </c>
      <c r="E368" s="225"/>
      <c r="F368" s="231"/>
      <c r="G368" s="172" t="str">
        <f t="shared" ca="1" si="199"/>
        <v/>
      </c>
      <c r="H368" s="93" t="str">
        <f t="shared" ca="1" si="200"/>
        <v/>
      </c>
      <c r="I368" s="21">
        <v>100</v>
      </c>
      <c r="J368" s="68">
        <f t="shared" si="201"/>
        <v>1.7083333333333333</v>
      </c>
      <c r="K368" s="70">
        <v>2.0499999999999998</v>
      </c>
      <c r="L368" s="72">
        <f t="shared" ca="1" si="196"/>
        <v>0.56666666666666665</v>
      </c>
      <c r="M368" s="73">
        <f t="shared" ca="1" si="197"/>
        <v>56.666666666666664</v>
      </c>
      <c r="N368" s="12" t="s">
        <v>41</v>
      </c>
      <c r="O368" s="47" t="s">
        <v>45</v>
      </c>
      <c r="P368" s="13">
        <f t="shared" si="223"/>
        <v>2.0499999999999998</v>
      </c>
      <c r="Q368" s="1" t="str">
        <f t="shared" ref="Q368:Q431" si="225">CONCATENATE(N368,P368,O368,)</f>
        <v>100-290 шт - 2,05 руб / шт с НДС</v>
      </c>
      <c r="R368" s="235"/>
      <c r="S368" s="239"/>
      <c r="T368" s="226"/>
      <c r="U368" s="228"/>
      <c r="V368" s="222"/>
      <c r="W368" s="229"/>
      <c r="X368" s="227"/>
      <c r="Y368" s="229"/>
      <c r="Z368" s="236"/>
      <c r="AA368" s="237"/>
      <c r="AB368" s="238"/>
      <c r="AC368" s="223"/>
      <c r="AD368" s="222"/>
    </row>
    <row r="369" spans="1:30" x14ac:dyDescent="0.4">
      <c r="A369" s="230"/>
      <c r="B369" s="8">
        <v>75</v>
      </c>
      <c r="C369" s="14">
        <f t="shared" ca="1" si="204"/>
        <v>1</v>
      </c>
      <c r="D369" s="20">
        <f t="shared" ca="1" si="216"/>
        <v>1.2</v>
      </c>
      <c r="E369" s="225"/>
      <c r="F369" s="231"/>
      <c r="G369" s="172" t="str">
        <f t="shared" ca="1" si="199"/>
        <v/>
      </c>
      <c r="H369" s="93" t="str">
        <f t="shared" ca="1" si="200"/>
        <v/>
      </c>
      <c r="I369" s="21">
        <v>300</v>
      </c>
      <c r="J369" s="68">
        <f t="shared" si="201"/>
        <v>1.5583333333333336</v>
      </c>
      <c r="K369" s="70">
        <v>1.87</v>
      </c>
      <c r="L369" s="72">
        <f t="shared" ca="1" si="196"/>
        <v>0.44666666666666688</v>
      </c>
      <c r="M369" s="73">
        <f t="shared" ca="1" si="197"/>
        <v>134.00000000000006</v>
      </c>
      <c r="N369" s="12" t="s">
        <v>42</v>
      </c>
      <c r="O369" s="47" t="s">
        <v>45</v>
      </c>
      <c r="P369" s="13">
        <f t="shared" si="223"/>
        <v>1.87</v>
      </c>
      <c r="Q369" s="1" t="str">
        <f t="shared" si="225"/>
        <v>300-490 шт - 1,87 руб / шт с НДС</v>
      </c>
      <c r="R369" s="235"/>
      <c r="S369" s="239"/>
      <c r="T369" s="226"/>
      <c r="U369" s="228"/>
      <c r="V369" s="222"/>
      <c r="W369" s="229"/>
      <c r="X369" s="227"/>
      <c r="Y369" s="229"/>
      <c r="Z369" s="236"/>
      <c r="AA369" s="237"/>
      <c r="AB369" s="238"/>
      <c r="AC369" s="223"/>
      <c r="AD369" s="222"/>
    </row>
    <row r="370" spans="1:30" x14ac:dyDescent="0.4">
      <c r="A370" s="230"/>
      <c r="B370" s="8">
        <v>75</v>
      </c>
      <c r="C370" s="14">
        <f t="shared" ca="1" si="204"/>
        <v>1</v>
      </c>
      <c r="D370" s="20">
        <f t="shared" ca="1" si="216"/>
        <v>1.2</v>
      </c>
      <c r="E370" s="225"/>
      <c r="F370" s="231"/>
      <c r="G370" s="172" t="str">
        <f t="shared" ca="1" si="199"/>
        <v/>
      </c>
      <c r="H370" s="93" t="str">
        <f t="shared" ca="1" si="200"/>
        <v/>
      </c>
      <c r="I370" s="21">
        <v>500</v>
      </c>
      <c r="J370" s="68">
        <f t="shared" si="201"/>
        <v>1.3916666666666666</v>
      </c>
      <c r="K370" s="70">
        <v>1.67</v>
      </c>
      <c r="L370" s="72">
        <f t="shared" ca="1" si="196"/>
        <v>0.3133333333333333</v>
      </c>
      <c r="M370" s="73">
        <f t="shared" ca="1" si="197"/>
        <v>156.66666666666666</v>
      </c>
      <c r="N370" s="12" t="s">
        <v>43</v>
      </c>
      <c r="O370" s="47" t="s">
        <v>45</v>
      </c>
      <c r="P370" s="13">
        <f t="shared" si="223"/>
        <v>1.67</v>
      </c>
      <c r="Q370" s="1" t="str">
        <f t="shared" si="225"/>
        <v>500-990 шт - 1,67 руб / шт с НДС</v>
      </c>
      <c r="R370" s="235"/>
      <c r="S370" s="239"/>
      <c r="T370" s="226"/>
      <c r="U370" s="228"/>
      <c r="V370" s="222"/>
      <c r="W370" s="229"/>
      <c r="X370" s="227"/>
      <c r="Y370" s="229"/>
      <c r="Z370" s="236"/>
      <c r="AA370" s="237"/>
      <c r="AB370" s="238"/>
      <c r="AC370" s="223"/>
      <c r="AD370" s="222"/>
    </row>
    <row r="371" spans="1:30" x14ac:dyDescent="0.4">
      <c r="A371" s="230"/>
      <c r="B371" s="8">
        <v>75</v>
      </c>
      <c r="C371" s="14">
        <f t="shared" ca="1" si="204"/>
        <v>1</v>
      </c>
      <c r="D371" s="20">
        <f t="shared" ca="1" si="216"/>
        <v>1.2</v>
      </c>
      <c r="E371" s="225"/>
      <c r="F371" s="231"/>
      <c r="G371" s="172" t="str">
        <f t="shared" ca="1" si="199"/>
        <v/>
      </c>
      <c r="H371" s="93" t="str">
        <f t="shared" ca="1" si="200"/>
        <v/>
      </c>
      <c r="I371" s="21">
        <v>1000</v>
      </c>
      <c r="J371" s="68">
        <f t="shared" si="201"/>
        <v>1.35</v>
      </c>
      <c r="K371" s="70">
        <v>1.62</v>
      </c>
      <c r="L371" s="72">
        <f t="shared" ca="1" si="196"/>
        <v>0.28000000000000008</v>
      </c>
      <c r="M371" s="73">
        <f t="shared" ca="1" si="197"/>
        <v>280.00000000000006</v>
      </c>
      <c r="N371" s="12" t="s">
        <v>44</v>
      </c>
      <c r="O371" s="47" t="s">
        <v>45</v>
      </c>
      <c r="P371" s="13">
        <f t="shared" si="223"/>
        <v>1.62</v>
      </c>
      <c r="Q371" s="1" t="str">
        <f t="shared" si="225"/>
        <v>1000 + шт - 1,62 руб / шт с НДС</v>
      </c>
      <c r="R371" s="235"/>
      <c r="S371" s="239"/>
      <c r="T371" s="226"/>
      <c r="U371" s="228"/>
      <c r="V371" s="222"/>
      <c r="W371" s="229"/>
      <c r="X371" s="227"/>
      <c r="Y371" s="229"/>
      <c r="Z371" s="236"/>
      <c r="AA371" s="237"/>
      <c r="AB371" s="238"/>
      <c r="AC371" s="223"/>
      <c r="AD371" s="222"/>
    </row>
    <row r="372" spans="1:30" x14ac:dyDescent="0.4">
      <c r="A372" s="230">
        <v>76</v>
      </c>
      <c r="B372" s="8">
        <v>76</v>
      </c>
      <c r="C372" s="14">
        <f t="shared" ca="1" si="204"/>
        <v>0.68</v>
      </c>
      <c r="D372" s="20">
        <f t="shared" ca="1" si="216"/>
        <v>0.81600000000000006</v>
      </c>
      <c r="E372" s="224" t="str">
        <f ca="1">INDIRECT("'Закуп'!D" &amp; A372)</f>
        <v>У</v>
      </c>
      <c r="F372" s="231" t="str">
        <f t="shared" ref="F372" ca="1" si="226">INDIRECT("'Закуп'!E" &amp; B372)</f>
        <v>170х170х90</v>
      </c>
      <c r="G372" s="172" t="str">
        <f t="shared" ca="1" si="199"/>
        <v/>
      </c>
      <c r="H372" s="93" t="str">
        <f t="shared" ca="1" si="200"/>
        <v/>
      </c>
      <c r="I372" s="21">
        <v>50</v>
      </c>
      <c r="J372" s="68">
        <f t="shared" si="201"/>
        <v>1.6083333333333334</v>
      </c>
      <c r="K372" s="70">
        <v>1.93</v>
      </c>
      <c r="L372" s="72">
        <f t="shared" ca="1" si="196"/>
        <v>0.7426666666666667</v>
      </c>
      <c r="M372" s="73">
        <f t="shared" ca="1" si="197"/>
        <v>37.133333333333333</v>
      </c>
      <c r="N372" s="12" t="s">
        <v>40</v>
      </c>
      <c r="O372" s="47" t="s">
        <v>45</v>
      </c>
      <c r="P372" s="13">
        <f t="shared" si="223"/>
        <v>1.93</v>
      </c>
      <c r="Q372" s="1" t="str">
        <f t="shared" si="225"/>
        <v>50-90 шт - 1,93 руб / шт с НДС</v>
      </c>
      <c r="R372" s="235" t="str">
        <f ca="1">INDIRECT("'Закуп'!k" &amp; A372)</f>
        <v>K76</v>
      </c>
      <c r="S372" s="239">
        <f ca="1">INDIRECT("'Закуп'!o" &amp; A372)</f>
        <v>2.6</v>
      </c>
      <c r="T372" s="226" t="str">
        <f ca="1">INDIRECT("'Закуп'!p" &amp; A372)</f>
        <v>2-2,9 литра</v>
      </c>
      <c r="U372" s="228" t="str">
        <f ca="1">INDIRECT("'Закуп'!v" &amp; A372)</f>
        <v/>
      </c>
      <c r="V372" s="222" t="str">
        <f ca="1">INDIRECT("'Закуп'!w" &amp; A372)</f>
        <v/>
      </c>
      <c r="W372" s="229" t="str">
        <f ca="1">INDIRECT("'Закуп'!H" &amp; A372)</f>
        <v>0427</v>
      </c>
      <c r="X372" s="227" t="str">
        <f t="shared" ref="X372" ca="1" si="227">INDIRECT("'Закуп'!g" &amp; A372)</f>
        <v>С</v>
      </c>
      <c r="Y372" s="229" t="str">
        <f ca="1">INDIRECT("'Закуп'!i" &amp; A372)</f>
        <v>В</v>
      </c>
      <c r="Z372" s="236" t="str">
        <f ca="1">INDIRECT("'Закуп'!x" &amp; A372)</f>
        <v>100-199 мм</v>
      </c>
      <c r="AA372" s="237" t="str">
        <f ca="1">INDIRECT("'Закуп'!y" &amp; A372)</f>
        <v>100-199 мм</v>
      </c>
      <c r="AB372" s="238" t="str">
        <f ca="1">INDIRECT("'Закуп'!z" &amp; A372)</f>
        <v>10-99 мм</v>
      </c>
      <c r="AC372" s="223" t="str">
        <f t="shared" ca="1" si="221"/>
        <v>170x170x90</v>
      </c>
      <c r="AD372" s="222" t="str">
        <f t="shared" ca="1" si="209"/>
        <v>170x170x90 - 170*170*90 мм</v>
      </c>
    </row>
    <row r="373" spans="1:30" x14ac:dyDescent="0.4">
      <c r="A373" s="230"/>
      <c r="B373" s="8">
        <v>76</v>
      </c>
      <c r="C373" s="14">
        <f t="shared" ca="1" si="204"/>
        <v>0.68</v>
      </c>
      <c r="D373" s="20">
        <f t="shared" ca="1" si="216"/>
        <v>0.81600000000000006</v>
      </c>
      <c r="E373" s="225"/>
      <c r="F373" s="231"/>
      <c r="G373" s="172" t="str">
        <f t="shared" ca="1" si="199"/>
        <v/>
      </c>
      <c r="H373" s="93" t="str">
        <f t="shared" ca="1" si="200"/>
        <v/>
      </c>
      <c r="I373" s="21">
        <v>100</v>
      </c>
      <c r="J373" s="68">
        <f t="shared" si="201"/>
        <v>1.45</v>
      </c>
      <c r="K373" s="70">
        <v>1.74</v>
      </c>
      <c r="L373" s="72">
        <f t="shared" ca="1" si="196"/>
        <v>0.61599999999999988</v>
      </c>
      <c r="M373" s="73">
        <f t="shared" ca="1" si="197"/>
        <v>61.599999999999987</v>
      </c>
      <c r="N373" s="12" t="s">
        <v>41</v>
      </c>
      <c r="O373" s="47" t="s">
        <v>45</v>
      </c>
      <c r="P373" s="13">
        <f t="shared" si="223"/>
        <v>1.74</v>
      </c>
      <c r="Q373" s="1" t="str">
        <f t="shared" si="225"/>
        <v>100-290 шт - 1,74 руб / шт с НДС</v>
      </c>
      <c r="R373" s="235"/>
      <c r="S373" s="239"/>
      <c r="T373" s="226"/>
      <c r="U373" s="228"/>
      <c r="V373" s="222"/>
      <c r="W373" s="229"/>
      <c r="X373" s="227"/>
      <c r="Y373" s="229"/>
      <c r="Z373" s="236"/>
      <c r="AA373" s="237"/>
      <c r="AB373" s="238"/>
      <c r="AC373" s="223"/>
      <c r="AD373" s="222"/>
    </row>
    <row r="374" spans="1:30" x14ac:dyDescent="0.4">
      <c r="A374" s="230"/>
      <c r="B374" s="8">
        <v>76</v>
      </c>
      <c r="C374" s="14">
        <f t="shared" ca="1" si="204"/>
        <v>0.68</v>
      </c>
      <c r="D374" s="20">
        <f t="shared" ca="1" si="216"/>
        <v>0.81600000000000006</v>
      </c>
      <c r="E374" s="225"/>
      <c r="F374" s="231"/>
      <c r="G374" s="172" t="str">
        <f t="shared" ca="1" si="199"/>
        <v/>
      </c>
      <c r="H374" s="93" t="str">
        <f t="shared" ca="1" si="200"/>
        <v/>
      </c>
      <c r="I374" s="21">
        <v>300</v>
      </c>
      <c r="J374" s="68">
        <f t="shared" si="201"/>
        <v>1.1499999999999999</v>
      </c>
      <c r="K374" s="70">
        <v>1.38</v>
      </c>
      <c r="L374" s="72">
        <f t="shared" ca="1" si="196"/>
        <v>0.37599999999999989</v>
      </c>
      <c r="M374" s="73">
        <f t="shared" ca="1" si="197"/>
        <v>112.79999999999997</v>
      </c>
      <c r="N374" s="12" t="s">
        <v>42</v>
      </c>
      <c r="O374" s="47" t="s">
        <v>45</v>
      </c>
      <c r="P374" s="13">
        <f t="shared" si="223"/>
        <v>1.38</v>
      </c>
      <c r="Q374" s="1" t="str">
        <f t="shared" si="225"/>
        <v>300-490 шт - 1,38 руб / шт с НДС</v>
      </c>
      <c r="R374" s="235"/>
      <c r="S374" s="239"/>
      <c r="T374" s="226"/>
      <c r="U374" s="228"/>
      <c r="V374" s="222"/>
      <c r="W374" s="229"/>
      <c r="X374" s="227"/>
      <c r="Y374" s="229"/>
      <c r="Z374" s="236"/>
      <c r="AA374" s="237"/>
      <c r="AB374" s="238"/>
      <c r="AC374" s="223"/>
      <c r="AD374" s="222"/>
    </row>
    <row r="375" spans="1:30" x14ac:dyDescent="0.4">
      <c r="A375" s="230"/>
      <c r="B375" s="8">
        <v>76</v>
      </c>
      <c r="C375" s="14">
        <f t="shared" ca="1" si="204"/>
        <v>0.68</v>
      </c>
      <c r="D375" s="20">
        <f t="shared" ca="1" si="216"/>
        <v>0.81600000000000006</v>
      </c>
      <c r="E375" s="225"/>
      <c r="F375" s="231"/>
      <c r="G375" s="172" t="str">
        <f t="shared" ca="1" si="199"/>
        <v/>
      </c>
      <c r="H375" s="93" t="str">
        <f t="shared" ca="1" si="200"/>
        <v/>
      </c>
      <c r="I375" s="21">
        <v>500</v>
      </c>
      <c r="J375" s="68">
        <f t="shared" si="201"/>
        <v>1.0750000000000002</v>
      </c>
      <c r="K375" s="70">
        <v>1.29</v>
      </c>
      <c r="L375" s="72">
        <f t="shared" ca="1" si="196"/>
        <v>0.31600000000000011</v>
      </c>
      <c r="M375" s="73">
        <f t="shared" ca="1" si="197"/>
        <v>158.00000000000006</v>
      </c>
      <c r="N375" s="12" t="s">
        <v>43</v>
      </c>
      <c r="O375" s="47" t="s">
        <v>45</v>
      </c>
      <c r="P375" s="13">
        <f t="shared" si="223"/>
        <v>1.29</v>
      </c>
      <c r="Q375" s="1" t="str">
        <f t="shared" si="225"/>
        <v>500-990 шт - 1,29 руб / шт с НДС</v>
      </c>
      <c r="R375" s="235"/>
      <c r="S375" s="239"/>
      <c r="T375" s="226"/>
      <c r="U375" s="228"/>
      <c r="V375" s="222"/>
      <c r="W375" s="229"/>
      <c r="X375" s="227"/>
      <c r="Y375" s="229"/>
      <c r="Z375" s="236"/>
      <c r="AA375" s="237"/>
      <c r="AB375" s="238"/>
      <c r="AC375" s="223"/>
      <c r="AD375" s="222"/>
    </row>
    <row r="376" spans="1:30" x14ac:dyDescent="0.4">
      <c r="A376" s="230"/>
      <c r="B376" s="8">
        <v>76</v>
      </c>
      <c r="C376" s="14">
        <f t="shared" ca="1" si="204"/>
        <v>0.68</v>
      </c>
      <c r="D376" s="20">
        <f t="shared" ca="1" si="216"/>
        <v>0.81600000000000006</v>
      </c>
      <c r="E376" s="225"/>
      <c r="F376" s="231"/>
      <c r="G376" s="172" t="str">
        <f t="shared" ca="1" si="199"/>
        <v/>
      </c>
      <c r="H376" s="93" t="str">
        <f t="shared" ca="1" si="200"/>
        <v/>
      </c>
      <c r="I376" s="21">
        <v>1000</v>
      </c>
      <c r="J376" s="68">
        <f t="shared" si="201"/>
        <v>0.94166666666666665</v>
      </c>
      <c r="K376" s="70">
        <v>1.1299999999999999</v>
      </c>
      <c r="L376" s="72">
        <f t="shared" ca="1" si="196"/>
        <v>0.20933333333333329</v>
      </c>
      <c r="M376" s="73">
        <f t="shared" ca="1" si="197"/>
        <v>209.33333333333329</v>
      </c>
      <c r="N376" s="12" t="s">
        <v>44</v>
      </c>
      <c r="O376" s="47" t="s">
        <v>45</v>
      </c>
      <c r="P376" s="13">
        <f t="shared" si="223"/>
        <v>1.1299999999999999</v>
      </c>
      <c r="Q376" s="1" t="str">
        <f t="shared" si="225"/>
        <v>1000 + шт - 1,13 руб / шт с НДС</v>
      </c>
      <c r="R376" s="235"/>
      <c r="S376" s="239"/>
      <c r="T376" s="226"/>
      <c r="U376" s="228"/>
      <c r="V376" s="222"/>
      <c r="W376" s="229"/>
      <c r="X376" s="227"/>
      <c r="Y376" s="229"/>
      <c r="Z376" s="236"/>
      <c r="AA376" s="237"/>
      <c r="AB376" s="238"/>
      <c r="AC376" s="223"/>
      <c r="AD376" s="222"/>
    </row>
    <row r="377" spans="1:30" x14ac:dyDescent="0.4">
      <c r="A377" s="230">
        <v>77</v>
      </c>
      <c r="B377" s="8">
        <v>77</v>
      </c>
      <c r="C377" s="14">
        <f t="shared" ca="1" si="204"/>
        <v>1.01</v>
      </c>
      <c r="D377" s="20">
        <f t="shared" ca="1" si="216"/>
        <v>1.212</v>
      </c>
      <c r="E377" s="224" t="str">
        <f ca="1">INDIRECT("'Закуп'!D" &amp; A377)</f>
        <v>У</v>
      </c>
      <c r="F377" s="231" t="str">
        <f t="shared" ref="F377" ca="1" si="228">INDIRECT("'Закуп'!E" &amp; B377)</f>
        <v>780х130х84</v>
      </c>
      <c r="G377" s="172" t="str">
        <f t="shared" ca="1" si="199"/>
        <v/>
      </c>
      <c r="H377" s="93" t="str">
        <f t="shared" ca="1" si="200"/>
        <v/>
      </c>
      <c r="I377" s="21">
        <v>50</v>
      </c>
      <c r="J377" s="68">
        <f t="shared" si="201"/>
        <v>2.1583333333333332</v>
      </c>
      <c r="K377" s="70">
        <v>2.59</v>
      </c>
      <c r="L377" s="72">
        <f t="shared" ca="1" si="196"/>
        <v>0.91866666666666652</v>
      </c>
      <c r="M377" s="73">
        <f t="shared" ca="1" si="197"/>
        <v>45.933333333333323</v>
      </c>
      <c r="N377" s="12" t="s">
        <v>40</v>
      </c>
      <c r="O377" s="47" t="s">
        <v>45</v>
      </c>
      <c r="P377" s="13">
        <f t="shared" si="223"/>
        <v>2.59</v>
      </c>
      <c r="Q377" s="1" t="str">
        <f t="shared" si="225"/>
        <v>50-90 шт - 2,59 руб / шт с НДС</v>
      </c>
      <c r="R377" s="235" t="str">
        <f ca="1">INDIRECT("'Закуп'!k" &amp; A377)</f>
        <v>K77</v>
      </c>
      <c r="S377" s="239">
        <f ca="1">INDIRECT("'Закуп'!o" &amp; A377)</f>
        <v>8.52</v>
      </c>
      <c r="T377" s="226" t="str">
        <f ca="1">INDIRECT("'Закуп'!p" &amp; A377)</f>
        <v>8-9,9 литров</v>
      </c>
      <c r="U377" s="228" t="str">
        <f ca="1">INDIRECT("'Закуп'!v" &amp; A377)</f>
        <v>Длинные</v>
      </c>
      <c r="V377" s="222" t="str">
        <f ca="1">INDIRECT("'Закуп'!w" &amp; A377)</f>
        <v/>
      </c>
      <c r="W377" s="229" t="str">
        <f ca="1">INDIRECT("'Закуп'!H" &amp; A377)</f>
        <v>0421</v>
      </c>
      <c r="X377" s="227" t="str">
        <f t="shared" ref="X377" ca="1" si="229">INDIRECT("'Закуп'!g" &amp; A377)</f>
        <v>С</v>
      </c>
      <c r="Y377" s="229" t="str">
        <f ca="1">INDIRECT("'Закуп'!i" &amp; A377)</f>
        <v>Е</v>
      </c>
      <c r="Z377" s="236" t="str">
        <f ca="1">INDIRECT("'Закуп'!x" &amp; A377)</f>
        <v>700-999 мм</v>
      </c>
      <c r="AA377" s="237" t="str">
        <f ca="1">INDIRECT("'Закуп'!y" &amp; A377)</f>
        <v>100-199 мм</v>
      </c>
      <c r="AB377" s="238" t="str">
        <f ca="1">INDIRECT("'Закуп'!z" &amp; A377)</f>
        <v>10-99 мм</v>
      </c>
      <c r="AC377" s="223" t="str">
        <f t="shared" ca="1" si="221"/>
        <v>780x130x84</v>
      </c>
      <c r="AD377" s="222" t="str">
        <f t="shared" ca="1" si="209"/>
        <v>780x130x84 - 780*130*84 мм</v>
      </c>
    </row>
    <row r="378" spans="1:30" x14ac:dyDescent="0.4">
      <c r="A378" s="230"/>
      <c r="B378" s="8">
        <v>77</v>
      </c>
      <c r="C378" s="14">
        <f t="shared" ca="1" si="204"/>
        <v>1.01</v>
      </c>
      <c r="D378" s="20">
        <f t="shared" ca="1" si="216"/>
        <v>1.212</v>
      </c>
      <c r="E378" s="225"/>
      <c r="F378" s="231"/>
      <c r="G378" s="172" t="str">
        <f t="shared" ca="1" si="199"/>
        <v/>
      </c>
      <c r="H378" s="93" t="str">
        <f t="shared" ca="1" si="200"/>
        <v/>
      </c>
      <c r="I378" s="21">
        <v>100</v>
      </c>
      <c r="J378" s="68">
        <f t="shared" si="201"/>
        <v>1.7333333333333334</v>
      </c>
      <c r="K378" s="70">
        <v>2.08</v>
      </c>
      <c r="L378" s="72">
        <f t="shared" ca="1" si="196"/>
        <v>0.57866666666666666</v>
      </c>
      <c r="M378" s="73">
        <f t="shared" ca="1" si="197"/>
        <v>57.866666666666667</v>
      </c>
      <c r="N378" s="12" t="s">
        <v>41</v>
      </c>
      <c r="O378" s="47" t="s">
        <v>45</v>
      </c>
      <c r="P378" s="13">
        <f t="shared" si="223"/>
        <v>2.08</v>
      </c>
      <c r="Q378" s="1" t="str">
        <f t="shared" si="225"/>
        <v>100-290 шт - 2,08 руб / шт с НДС</v>
      </c>
      <c r="R378" s="235"/>
      <c r="S378" s="239"/>
      <c r="T378" s="226"/>
      <c r="U378" s="228"/>
      <c r="V378" s="222"/>
      <c r="W378" s="229"/>
      <c r="X378" s="227"/>
      <c r="Y378" s="229"/>
      <c r="Z378" s="236"/>
      <c r="AA378" s="237"/>
      <c r="AB378" s="238"/>
      <c r="AC378" s="223"/>
      <c r="AD378" s="222"/>
    </row>
    <row r="379" spans="1:30" x14ac:dyDescent="0.4">
      <c r="A379" s="230"/>
      <c r="B379" s="8">
        <v>77</v>
      </c>
      <c r="C379" s="14">
        <f t="shared" ca="1" si="204"/>
        <v>1.01</v>
      </c>
      <c r="D379" s="20">
        <f t="shared" ca="1" si="216"/>
        <v>1.212</v>
      </c>
      <c r="E379" s="225"/>
      <c r="F379" s="231"/>
      <c r="G379" s="172" t="str">
        <f t="shared" ca="1" si="199"/>
        <v/>
      </c>
      <c r="H379" s="93" t="str">
        <f t="shared" ca="1" si="200"/>
        <v/>
      </c>
      <c r="I379" s="21">
        <v>300</v>
      </c>
      <c r="J379" s="68">
        <f t="shared" si="201"/>
        <v>1.575</v>
      </c>
      <c r="K379" s="70">
        <v>1.89</v>
      </c>
      <c r="L379" s="72">
        <f t="shared" ca="1" si="196"/>
        <v>0.45199999999999996</v>
      </c>
      <c r="M379" s="73">
        <f t="shared" ca="1" si="197"/>
        <v>135.6</v>
      </c>
      <c r="N379" s="12" t="s">
        <v>42</v>
      </c>
      <c r="O379" s="47" t="s">
        <v>45</v>
      </c>
      <c r="P379" s="13">
        <f t="shared" si="223"/>
        <v>1.89</v>
      </c>
      <c r="Q379" s="1" t="str">
        <f t="shared" si="225"/>
        <v>300-490 шт - 1,89 руб / шт с НДС</v>
      </c>
      <c r="R379" s="235"/>
      <c r="S379" s="239"/>
      <c r="T379" s="226"/>
      <c r="U379" s="228"/>
      <c r="V379" s="222"/>
      <c r="W379" s="229"/>
      <c r="X379" s="227"/>
      <c r="Y379" s="229"/>
      <c r="Z379" s="236"/>
      <c r="AA379" s="237"/>
      <c r="AB379" s="238"/>
      <c r="AC379" s="223"/>
      <c r="AD379" s="222"/>
    </row>
    <row r="380" spans="1:30" x14ac:dyDescent="0.4">
      <c r="A380" s="230"/>
      <c r="B380" s="8">
        <v>77</v>
      </c>
      <c r="C380" s="14">
        <f t="shared" ca="1" si="204"/>
        <v>1.01</v>
      </c>
      <c r="D380" s="20">
        <f t="shared" ca="1" si="216"/>
        <v>1.212</v>
      </c>
      <c r="E380" s="225"/>
      <c r="F380" s="231"/>
      <c r="G380" s="172" t="str">
        <f t="shared" ca="1" si="199"/>
        <v/>
      </c>
      <c r="H380" s="93" t="str">
        <f t="shared" ca="1" si="200"/>
        <v/>
      </c>
      <c r="I380" s="21">
        <v>500</v>
      </c>
      <c r="J380" s="68">
        <f t="shared" si="201"/>
        <v>1.4083333333333334</v>
      </c>
      <c r="K380" s="70">
        <v>1.69</v>
      </c>
      <c r="L380" s="72">
        <f t="shared" ca="1" si="196"/>
        <v>0.31866666666666676</v>
      </c>
      <c r="M380" s="73">
        <f t="shared" ca="1" si="197"/>
        <v>159.33333333333337</v>
      </c>
      <c r="N380" s="12" t="s">
        <v>43</v>
      </c>
      <c r="O380" s="47" t="s">
        <v>45</v>
      </c>
      <c r="P380" s="13">
        <f t="shared" si="223"/>
        <v>1.69</v>
      </c>
      <c r="Q380" s="1" t="str">
        <f t="shared" si="225"/>
        <v>500-990 шт - 1,69 руб / шт с НДС</v>
      </c>
      <c r="R380" s="235"/>
      <c r="S380" s="239"/>
      <c r="T380" s="226"/>
      <c r="U380" s="228"/>
      <c r="V380" s="222"/>
      <c r="W380" s="229"/>
      <c r="X380" s="227"/>
      <c r="Y380" s="229"/>
      <c r="Z380" s="236"/>
      <c r="AA380" s="237"/>
      <c r="AB380" s="238"/>
      <c r="AC380" s="223"/>
      <c r="AD380" s="222"/>
    </row>
    <row r="381" spans="1:30" x14ac:dyDescent="0.4">
      <c r="A381" s="230"/>
      <c r="B381" s="8">
        <v>77</v>
      </c>
      <c r="C381" s="14">
        <f t="shared" ca="1" si="204"/>
        <v>1.01</v>
      </c>
      <c r="D381" s="20">
        <f t="shared" ca="1" si="216"/>
        <v>1.212</v>
      </c>
      <c r="E381" s="225"/>
      <c r="F381" s="231"/>
      <c r="G381" s="172" t="str">
        <f t="shared" ca="1" si="199"/>
        <v/>
      </c>
      <c r="H381" s="93" t="str">
        <f t="shared" ca="1" si="200"/>
        <v/>
      </c>
      <c r="I381" s="21">
        <v>1000</v>
      </c>
      <c r="J381" s="68">
        <f t="shared" si="201"/>
        <v>1.3666666666666667</v>
      </c>
      <c r="K381" s="70">
        <v>1.64</v>
      </c>
      <c r="L381" s="72">
        <f t="shared" ca="1" si="196"/>
        <v>0.28533333333333333</v>
      </c>
      <c r="M381" s="73">
        <f t="shared" ca="1" si="197"/>
        <v>285.33333333333331</v>
      </c>
      <c r="N381" s="12" t="s">
        <v>44</v>
      </c>
      <c r="O381" s="47" t="s">
        <v>45</v>
      </c>
      <c r="P381" s="13">
        <f t="shared" si="223"/>
        <v>1.64</v>
      </c>
      <c r="Q381" s="1" t="str">
        <f t="shared" si="225"/>
        <v>1000 + шт - 1,64 руб / шт с НДС</v>
      </c>
      <c r="R381" s="235"/>
      <c r="S381" s="239"/>
      <c r="T381" s="226"/>
      <c r="U381" s="228"/>
      <c r="V381" s="222"/>
      <c r="W381" s="229"/>
      <c r="X381" s="227"/>
      <c r="Y381" s="229"/>
      <c r="Z381" s="236"/>
      <c r="AA381" s="237"/>
      <c r="AB381" s="238"/>
      <c r="AC381" s="223"/>
      <c r="AD381" s="222"/>
    </row>
    <row r="382" spans="1:30" x14ac:dyDescent="0.4">
      <c r="A382" s="230">
        <v>78</v>
      </c>
      <c r="B382" s="8">
        <v>78</v>
      </c>
      <c r="C382" s="14">
        <f t="shared" ca="1" si="204"/>
        <v>0.47</v>
      </c>
      <c r="D382" s="20">
        <f t="shared" ca="1" si="216"/>
        <v>0.56399999999999995</v>
      </c>
      <c r="E382" s="224" t="str">
        <f ca="1">INDIRECT("'Закуп'!D" &amp; A382)</f>
        <v>У</v>
      </c>
      <c r="F382" s="231" t="str">
        <f t="shared" ref="F382" ca="1" si="230">INDIRECT("'Закуп'!E" &amp; B382)</f>
        <v>300х100х60</v>
      </c>
      <c r="G382" s="172" t="str">
        <f t="shared" ca="1" si="199"/>
        <v/>
      </c>
      <c r="H382" s="93" t="str">
        <f t="shared" ca="1" si="200"/>
        <v/>
      </c>
      <c r="I382" s="21">
        <v>50</v>
      </c>
      <c r="J382" s="68">
        <f t="shared" si="201"/>
        <v>1.1583333333333332</v>
      </c>
      <c r="K382" s="70">
        <v>1.39</v>
      </c>
      <c r="L382" s="72">
        <f t="shared" ca="1" si="196"/>
        <v>0.55066666666666664</v>
      </c>
      <c r="M382" s="73">
        <f t="shared" ca="1" si="197"/>
        <v>27.533333333333331</v>
      </c>
      <c r="N382" s="12" t="s">
        <v>40</v>
      </c>
      <c r="O382" s="47" t="s">
        <v>45</v>
      </c>
      <c r="P382" s="13">
        <f t="shared" si="223"/>
        <v>1.39</v>
      </c>
      <c r="Q382" s="1" t="str">
        <f t="shared" si="225"/>
        <v>50-90 шт - 1,39 руб / шт с НДС</v>
      </c>
      <c r="R382" s="235" t="str">
        <f ca="1">INDIRECT("'Закуп'!k" &amp; A382)</f>
        <v>K78</v>
      </c>
      <c r="S382" s="239">
        <f ca="1">INDIRECT("'Закуп'!o" &amp; A382)</f>
        <v>1.8</v>
      </c>
      <c r="T382" s="226" t="str">
        <f ca="1">INDIRECT("'Закуп'!p" &amp; A382)</f>
        <v>1-1,9 литра</v>
      </c>
      <c r="U382" s="228" t="str">
        <f ca="1">INDIRECT("'Закуп'!v" &amp; A382)</f>
        <v>Длинные</v>
      </c>
      <c r="V382" s="222" t="str">
        <f ca="1">INDIRECT("'Закуп'!w" &amp; A382)</f>
        <v/>
      </c>
      <c r="W382" s="229" t="str">
        <f ca="1">INDIRECT("'Закуп'!H" &amp; A382)</f>
        <v>0427</v>
      </c>
      <c r="X382" s="227" t="str">
        <f t="shared" ref="X382" ca="1" si="231">INDIRECT("'Закуп'!g" &amp; A382)</f>
        <v>С</v>
      </c>
      <c r="Y382" s="229" t="str">
        <f ca="1">INDIRECT("'Закуп'!i" &amp; A382)</f>
        <v>Е</v>
      </c>
      <c r="Z382" s="236" t="str">
        <f ca="1">INDIRECT("'Закуп'!x" &amp; A382)</f>
        <v>300-399 мм</v>
      </c>
      <c r="AA382" s="237" t="str">
        <f ca="1">INDIRECT("'Закуп'!y" &amp; A382)</f>
        <v>100-199 мм</v>
      </c>
      <c r="AB382" s="238" t="str">
        <f ca="1">INDIRECT("'Закуп'!z" &amp; A382)</f>
        <v>10-99 мм</v>
      </c>
      <c r="AC382" s="223" t="str">
        <f t="shared" ca="1" si="221"/>
        <v>300x100x60</v>
      </c>
      <c r="AD382" s="222" t="str">
        <f t="shared" ca="1" si="209"/>
        <v>300x100x60 - 300*100*60 мм</v>
      </c>
    </row>
    <row r="383" spans="1:30" x14ac:dyDescent="0.4">
      <c r="A383" s="230"/>
      <c r="B383" s="8">
        <v>78</v>
      </c>
      <c r="C383" s="14">
        <f t="shared" ca="1" si="204"/>
        <v>0.47</v>
      </c>
      <c r="D383" s="20">
        <f t="shared" ca="1" si="216"/>
        <v>0.56399999999999995</v>
      </c>
      <c r="E383" s="225"/>
      <c r="F383" s="231"/>
      <c r="G383" s="172" t="str">
        <f t="shared" ca="1" si="199"/>
        <v/>
      </c>
      <c r="H383" s="93" t="str">
        <f t="shared" ca="1" si="200"/>
        <v/>
      </c>
      <c r="I383" s="21">
        <v>100</v>
      </c>
      <c r="J383" s="68">
        <f t="shared" si="201"/>
        <v>1.0083333333333333</v>
      </c>
      <c r="K383" s="70">
        <v>1.21</v>
      </c>
      <c r="L383" s="72">
        <f t="shared" ca="1" si="196"/>
        <v>0.43066666666666664</v>
      </c>
      <c r="M383" s="73">
        <f t="shared" ca="1" si="197"/>
        <v>43.066666666666663</v>
      </c>
      <c r="N383" s="12" t="s">
        <v>41</v>
      </c>
      <c r="O383" s="47" t="s">
        <v>45</v>
      </c>
      <c r="P383" s="13">
        <f t="shared" si="223"/>
        <v>1.21</v>
      </c>
      <c r="Q383" s="1" t="str">
        <f t="shared" si="225"/>
        <v>100-290 шт - 1,21 руб / шт с НДС</v>
      </c>
      <c r="R383" s="235"/>
      <c r="S383" s="239"/>
      <c r="T383" s="226"/>
      <c r="U383" s="228"/>
      <c r="V383" s="222"/>
      <c r="W383" s="229"/>
      <c r="X383" s="227"/>
      <c r="Y383" s="229"/>
      <c r="Z383" s="236"/>
      <c r="AA383" s="237"/>
      <c r="AB383" s="238"/>
      <c r="AC383" s="223"/>
      <c r="AD383" s="222"/>
    </row>
    <row r="384" spans="1:30" x14ac:dyDescent="0.4">
      <c r="A384" s="230"/>
      <c r="B384" s="8">
        <v>78</v>
      </c>
      <c r="C384" s="14">
        <f t="shared" ca="1" si="204"/>
        <v>0.47</v>
      </c>
      <c r="D384" s="20">
        <f t="shared" ca="1" si="216"/>
        <v>0.56399999999999995</v>
      </c>
      <c r="E384" s="225"/>
      <c r="F384" s="231"/>
      <c r="G384" s="172" t="str">
        <f t="shared" ca="1" si="199"/>
        <v/>
      </c>
      <c r="H384" s="93" t="str">
        <f t="shared" ca="1" si="200"/>
        <v/>
      </c>
      <c r="I384" s="21">
        <v>300</v>
      </c>
      <c r="J384" s="68">
        <f t="shared" si="201"/>
        <v>0.85833333333333339</v>
      </c>
      <c r="K384" s="70">
        <v>1.03</v>
      </c>
      <c r="L384" s="72">
        <f t="shared" ca="1" si="196"/>
        <v>0.31066666666666676</v>
      </c>
      <c r="M384" s="73">
        <f t="shared" ca="1" si="197"/>
        <v>93.200000000000031</v>
      </c>
      <c r="N384" s="12" t="s">
        <v>42</v>
      </c>
      <c r="O384" s="47" t="s">
        <v>45</v>
      </c>
      <c r="P384" s="13">
        <f t="shared" si="223"/>
        <v>1.03</v>
      </c>
      <c r="Q384" s="1" t="str">
        <f t="shared" si="225"/>
        <v>300-490 шт - 1,03 руб / шт с НДС</v>
      </c>
      <c r="R384" s="235"/>
      <c r="S384" s="239"/>
      <c r="T384" s="226"/>
      <c r="U384" s="228"/>
      <c r="V384" s="222"/>
      <c r="W384" s="229"/>
      <c r="X384" s="227"/>
      <c r="Y384" s="229"/>
      <c r="Z384" s="236"/>
      <c r="AA384" s="237"/>
      <c r="AB384" s="238"/>
      <c r="AC384" s="223"/>
      <c r="AD384" s="222"/>
    </row>
    <row r="385" spans="1:30" x14ac:dyDescent="0.4">
      <c r="A385" s="230"/>
      <c r="B385" s="8">
        <v>78</v>
      </c>
      <c r="C385" s="14">
        <f t="shared" ca="1" si="204"/>
        <v>0.47</v>
      </c>
      <c r="D385" s="20">
        <f t="shared" ca="1" si="216"/>
        <v>0.56399999999999995</v>
      </c>
      <c r="E385" s="225"/>
      <c r="F385" s="231"/>
      <c r="G385" s="172" t="str">
        <f t="shared" ca="1" si="199"/>
        <v/>
      </c>
      <c r="H385" s="93" t="str">
        <f t="shared" ca="1" si="200"/>
        <v/>
      </c>
      <c r="I385" s="21">
        <v>500</v>
      </c>
      <c r="J385" s="68">
        <f t="shared" si="201"/>
        <v>0.8</v>
      </c>
      <c r="K385" s="70">
        <v>0.96</v>
      </c>
      <c r="L385" s="72">
        <f t="shared" ca="1" si="196"/>
        <v>0.26400000000000007</v>
      </c>
      <c r="M385" s="73">
        <f t="shared" ca="1" si="197"/>
        <v>132.00000000000003</v>
      </c>
      <c r="N385" s="12" t="s">
        <v>43</v>
      </c>
      <c r="O385" s="47" t="s">
        <v>45</v>
      </c>
      <c r="P385" s="13">
        <f t="shared" si="223"/>
        <v>0.96</v>
      </c>
      <c r="Q385" s="1" t="str">
        <f t="shared" si="225"/>
        <v>500-990 шт - 0,96 руб / шт с НДС</v>
      </c>
      <c r="R385" s="235"/>
      <c r="S385" s="239"/>
      <c r="T385" s="226"/>
      <c r="U385" s="228"/>
      <c r="V385" s="222"/>
      <c r="W385" s="229"/>
      <c r="X385" s="227"/>
      <c r="Y385" s="229"/>
      <c r="Z385" s="236"/>
      <c r="AA385" s="237"/>
      <c r="AB385" s="238"/>
      <c r="AC385" s="223"/>
      <c r="AD385" s="222"/>
    </row>
    <row r="386" spans="1:30" x14ac:dyDescent="0.4">
      <c r="A386" s="230"/>
      <c r="B386" s="8">
        <v>78</v>
      </c>
      <c r="C386" s="14">
        <f t="shared" ca="1" si="204"/>
        <v>0.47</v>
      </c>
      <c r="D386" s="20">
        <f t="shared" ca="1" si="216"/>
        <v>0.56399999999999995</v>
      </c>
      <c r="E386" s="225"/>
      <c r="F386" s="231"/>
      <c r="G386" s="172" t="str">
        <f t="shared" ca="1" si="199"/>
        <v/>
      </c>
      <c r="H386" s="93" t="str">
        <f t="shared" ca="1" si="200"/>
        <v/>
      </c>
      <c r="I386" s="21">
        <v>1000</v>
      </c>
      <c r="J386" s="68">
        <f t="shared" si="201"/>
        <v>0.75</v>
      </c>
      <c r="K386" s="70">
        <v>0.9</v>
      </c>
      <c r="L386" s="72">
        <f t="shared" ref="L386:L449" ca="1" si="232">J386-C386-(J386-C386)*0.2</f>
        <v>0.22400000000000003</v>
      </c>
      <c r="M386" s="73">
        <f t="shared" ref="M386:M449" ca="1" si="233">L386*I386</f>
        <v>224.00000000000003</v>
      </c>
      <c r="N386" s="12" t="s">
        <v>44</v>
      </c>
      <c r="O386" s="47" t="s">
        <v>45</v>
      </c>
      <c r="P386" s="13">
        <f t="shared" si="223"/>
        <v>0.9</v>
      </c>
      <c r="Q386" s="1" t="str">
        <f t="shared" si="225"/>
        <v>1000 + шт - 0,9 руб / шт с НДС</v>
      </c>
      <c r="R386" s="235"/>
      <c r="S386" s="239"/>
      <c r="T386" s="226"/>
      <c r="U386" s="228"/>
      <c r="V386" s="222"/>
      <c r="W386" s="229"/>
      <c r="X386" s="227"/>
      <c r="Y386" s="229"/>
      <c r="Z386" s="236"/>
      <c r="AA386" s="237"/>
      <c r="AB386" s="238"/>
      <c r="AC386" s="223"/>
      <c r="AD386" s="222"/>
    </row>
    <row r="387" spans="1:30" x14ac:dyDescent="0.4">
      <c r="A387" s="230">
        <v>79</v>
      </c>
      <c r="B387" s="8">
        <v>79</v>
      </c>
      <c r="C387" s="14">
        <f t="shared" ca="1" si="204"/>
        <v>0.71</v>
      </c>
      <c r="D387" s="20">
        <f t="shared" ca="1" si="216"/>
        <v>0.85199999999999998</v>
      </c>
      <c r="E387" s="224" t="str">
        <f ca="1">INDIRECT("'Закуп'!D" &amp; A387)</f>
        <v>У</v>
      </c>
      <c r="F387" s="231" t="str">
        <f t="shared" ref="F387" ca="1" si="234">INDIRECT("'Закуп'!E" &amp; B387)</f>
        <v>280х100х100</v>
      </c>
      <c r="G387" s="172" t="str">
        <f t="shared" ref="G387:G450" ca="1" si="235">IF(INDIRECT("'Закуп'!L" &amp; B387)="Sale","Sale","")</f>
        <v/>
      </c>
      <c r="H387" s="93" t="str">
        <f t="shared" ref="H387:H450" ca="1" si="236">IF(INDIRECT("'Закуп'!F" &amp; B387)=0,"",INDIRECT("'Закуп'!F" &amp; B387))</f>
        <v/>
      </c>
      <c r="I387" s="21">
        <v>50</v>
      </c>
      <c r="J387" s="68">
        <f t="shared" ref="J387:J450" si="237">K387/1.2</f>
        <v>1.425</v>
      </c>
      <c r="K387" s="70">
        <v>1.71</v>
      </c>
      <c r="L387" s="72">
        <f t="shared" ca="1" si="232"/>
        <v>0.57200000000000006</v>
      </c>
      <c r="M387" s="73">
        <f t="shared" ca="1" si="233"/>
        <v>28.6</v>
      </c>
      <c r="N387" s="12" t="s">
        <v>40</v>
      </c>
      <c r="O387" s="47" t="s">
        <v>45</v>
      </c>
      <c r="P387" s="13">
        <f t="shared" si="223"/>
        <v>1.71</v>
      </c>
      <c r="Q387" s="1" t="str">
        <f t="shared" si="225"/>
        <v>50-90 шт - 1,71 руб / шт с НДС</v>
      </c>
      <c r="R387" s="235" t="str">
        <f ca="1">INDIRECT("'Закуп'!k" &amp; A387)</f>
        <v>K79</v>
      </c>
      <c r="S387" s="239">
        <f ca="1">INDIRECT("'Закуп'!o" &amp; A387)</f>
        <v>2.8</v>
      </c>
      <c r="T387" s="226" t="str">
        <f ca="1">INDIRECT("'Закуп'!p" &amp; A387)</f>
        <v>2-2,9 литра</v>
      </c>
      <c r="U387" s="228" t="str">
        <f ca="1">INDIRECT("'Закуп'!v" &amp; A387)</f>
        <v>Длинные</v>
      </c>
      <c r="V387" s="222" t="str">
        <f ca="1">INDIRECT("'Закуп'!w" &amp; A387)</f>
        <v/>
      </c>
      <c r="W387" s="229" t="str">
        <f ca="1">INDIRECT("'Закуп'!H" &amp; A387)</f>
        <v>0427</v>
      </c>
      <c r="X387" s="227" t="str">
        <f t="shared" ref="X387" ca="1" si="238">INDIRECT("'Закуп'!g" &amp; A387)</f>
        <v>С</v>
      </c>
      <c r="Y387" s="229" t="str">
        <f ca="1">INDIRECT("'Закуп'!i" &amp; A387)</f>
        <v>В</v>
      </c>
      <c r="Z387" s="236" t="str">
        <f ca="1">INDIRECT("'Закуп'!x" &amp; A387)</f>
        <v>200-299 мм</v>
      </c>
      <c r="AA387" s="237" t="str">
        <f ca="1">INDIRECT("'Закуп'!y" &amp; A387)</f>
        <v>100-199 мм</v>
      </c>
      <c r="AB387" s="238" t="str">
        <f ca="1">INDIRECT("'Закуп'!z" &amp; A387)</f>
        <v>100-199 мм</v>
      </c>
      <c r="AC387" s="223" t="str">
        <f t="shared" ca="1" si="221"/>
        <v>280x100x100</v>
      </c>
      <c r="AD387" s="222" t="str">
        <f t="shared" ca="1" si="209"/>
        <v>280x100x100 - 280*100*100 мм</v>
      </c>
    </row>
    <row r="388" spans="1:30" x14ac:dyDescent="0.4">
      <c r="A388" s="230"/>
      <c r="B388" s="8">
        <v>79</v>
      </c>
      <c r="C388" s="14">
        <f t="shared" ca="1" si="204"/>
        <v>0.71</v>
      </c>
      <c r="D388" s="20">
        <f t="shared" ca="1" si="216"/>
        <v>0.85199999999999998</v>
      </c>
      <c r="E388" s="225"/>
      <c r="F388" s="231"/>
      <c r="G388" s="172" t="str">
        <f t="shared" ca="1" si="235"/>
        <v/>
      </c>
      <c r="H388" s="93" t="str">
        <f t="shared" ca="1" si="236"/>
        <v/>
      </c>
      <c r="I388" s="21">
        <v>100</v>
      </c>
      <c r="J388" s="68">
        <f t="shared" si="237"/>
        <v>1.3</v>
      </c>
      <c r="K388" s="70">
        <v>1.56</v>
      </c>
      <c r="L388" s="72">
        <f t="shared" ca="1" si="232"/>
        <v>0.47200000000000009</v>
      </c>
      <c r="M388" s="73">
        <f t="shared" ca="1" si="233"/>
        <v>47.20000000000001</v>
      </c>
      <c r="N388" s="12" t="s">
        <v>41</v>
      </c>
      <c r="O388" s="47" t="s">
        <v>45</v>
      </c>
      <c r="P388" s="13">
        <f t="shared" si="223"/>
        <v>1.56</v>
      </c>
      <c r="Q388" s="1" t="str">
        <f t="shared" si="225"/>
        <v>100-290 шт - 1,56 руб / шт с НДС</v>
      </c>
      <c r="R388" s="235"/>
      <c r="S388" s="239"/>
      <c r="T388" s="226"/>
      <c r="U388" s="228"/>
      <c r="V388" s="222"/>
      <c r="W388" s="229"/>
      <c r="X388" s="227"/>
      <c r="Y388" s="229"/>
      <c r="Z388" s="236"/>
      <c r="AA388" s="237"/>
      <c r="AB388" s="238"/>
      <c r="AC388" s="223"/>
      <c r="AD388" s="222"/>
    </row>
    <row r="389" spans="1:30" x14ac:dyDescent="0.4">
      <c r="A389" s="230"/>
      <c r="B389" s="8">
        <v>79</v>
      </c>
      <c r="C389" s="14">
        <f t="shared" ca="1" si="204"/>
        <v>0.71</v>
      </c>
      <c r="D389" s="20">
        <f t="shared" ca="1" si="216"/>
        <v>0.85199999999999998</v>
      </c>
      <c r="E389" s="225"/>
      <c r="F389" s="231"/>
      <c r="G389" s="172" t="str">
        <f t="shared" ca="1" si="235"/>
        <v/>
      </c>
      <c r="H389" s="93" t="str">
        <f t="shared" ca="1" si="236"/>
        <v/>
      </c>
      <c r="I389" s="21">
        <v>300</v>
      </c>
      <c r="J389" s="68">
        <f t="shared" si="237"/>
        <v>1.1833333333333333</v>
      </c>
      <c r="K389" s="70">
        <v>1.42</v>
      </c>
      <c r="L389" s="72">
        <f t="shared" ca="1" si="232"/>
        <v>0.37866666666666671</v>
      </c>
      <c r="M389" s="73">
        <f t="shared" ca="1" si="233"/>
        <v>113.60000000000001</v>
      </c>
      <c r="N389" s="12" t="s">
        <v>42</v>
      </c>
      <c r="O389" s="47" t="s">
        <v>45</v>
      </c>
      <c r="P389" s="13">
        <f t="shared" si="223"/>
        <v>1.42</v>
      </c>
      <c r="Q389" s="1" t="str">
        <f t="shared" si="225"/>
        <v>300-490 шт - 1,42 руб / шт с НДС</v>
      </c>
      <c r="R389" s="235"/>
      <c r="S389" s="239"/>
      <c r="T389" s="226"/>
      <c r="U389" s="228"/>
      <c r="V389" s="222"/>
      <c r="W389" s="229"/>
      <c r="X389" s="227"/>
      <c r="Y389" s="229"/>
      <c r="Z389" s="236"/>
      <c r="AA389" s="237"/>
      <c r="AB389" s="238"/>
      <c r="AC389" s="223"/>
      <c r="AD389" s="222"/>
    </row>
    <row r="390" spans="1:30" x14ac:dyDescent="0.4">
      <c r="A390" s="230"/>
      <c r="B390" s="8">
        <v>79</v>
      </c>
      <c r="C390" s="14">
        <f t="shared" ca="1" si="204"/>
        <v>0.71</v>
      </c>
      <c r="D390" s="20">
        <f t="shared" ca="1" si="216"/>
        <v>0.85199999999999998</v>
      </c>
      <c r="E390" s="225"/>
      <c r="F390" s="231"/>
      <c r="G390" s="172" t="str">
        <f t="shared" ca="1" si="235"/>
        <v/>
      </c>
      <c r="H390" s="93" t="str">
        <f t="shared" ca="1" si="236"/>
        <v/>
      </c>
      <c r="I390" s="21">
        <v>500</v>
      </c>
      <c r="J390" s="68">
        <f t="shared" si="237"/>
        <v>1.1000000000000001</v>
      </c>
      <c r="K390" s="70">
        <v>1.32</v>
      </c>
      <c r="L390" s="72">
        <f t="shared" ca="1" si="232"/>
        <v>0.31200000000000011</v>
      </c>
      <c r="M390" s="73">
        <f t="shared" ca="1" si="233"/>
        <v>156.00000000000006</v>
      </c>
      <c r="N390" s="12" t="s">
        <v>43</v>
      </c>
      <c r="O390" s="47" t="s">
        <v>45</v>
      </c>
      <c r="P390" s="13">
        <f t="shared" si="223"/>
        <v>1.32</v>
      </c>
      <c r="Q390" s="1" t="str">
        <f t="shared" si="225"/>
        <v>500-990 шт - 1,32 руб / шт с НДС</v>
      </c>
      <c r="R390" s="235"/>
      <c r="S390" s="239"/>
      <c r="T390" s="226"/>
      <c r="U390" s="228"/>
      <c r="V390" s="222"/>
      <c r="W390" s="229"/>
      <c r="X390" s="227"/>
      <c r="Y390" s="229"/>
      <c r="Z390" s="236"/>
      <c r="AA390" s="237"/>
      <c r="AB390" s="238"/>
      <c r="AC390" s="223"/>
      <c r="AD390" s="222"/>
    </row>
    <row r="391" spans="1:30" x14ac:dyDescent="0.4">
      <c r="A391" s="230"/>
      <c r="B391" s="8">
        <v>79</v>
      </c>
      <c r="C391" s="14">
        <f t="shared" ca="1" si="204"/>
        <v>0.71</v>
      </c>
      <c r="D391" s="20">
        <f t="shared" ca="1" si="216"/>
        <v>0.85199999999999998</v>
      </c>
      <c r="E391" s="225"/>
      <c r="F391" s="231"/>
      <c r="G391" s="172" t="str">
        <f t="shared" ca="1" si="235"/>
        <v/>
      </c>
      <c r="H391" s="93" t="str">
        <f t="shared" ca="1" si="236"/>
        <v/>
      </c>
      <c r="I391" s="21">
        <v>1000</v>
      </c>
      <c r="J391" s="68">
        <f t="shared" si="237"/>
        <v>0.97499999999999998</v>
      </c>
      <c r="K391" s="70">
        <v>1.17</v>
      </c>
      <c r="L391" s="72">
        <f t="shared" ca="1" si="232"/>
        <v>0.21200000000000002</v>
      </c>
      <c r="M391" s="73">
        <f t="shared" ca="1" si="233"/>
        <v>212.00000000000003</v>
      </c>
      <c r="N391" s="12" t="s">
        <v>44</v>
      </c>
      <c r="O391" s="47" t="s">
        <v>45</v>
      </c>
      <c r="P391" s="13">
        <f t="shared" si="223"/>
        <v>1.17</v>
      </c>
      <c r="Q391" s="1" t="str">
        <f t="shared" si="225"/>
        <v>1000 + шт - 1,17 руб / шт с НДС</v>
      </c>
      <c r="R391" s="235"/>
      <c r="S391" s="239"/>
      <c r="T391" s="226"/>
      <c r="U391" s="228"/>
      <c r="V391" s="222"/>
      <c r="W391" s="229"/>
      <c r="X391" s="227"/>
      <c r="Y391" s="229"/>
      <c r="Z391" s="236"/>
      <c r="AA391" s="237"/>
      <c r="AB391" s="238"/>
      <c r="AC391" s="223"/>
      <c r="AD391" s="222"/>
    </row>
    <row r="392" spans="1:30" x14ac:dyDescent="0.4">
      <c r="A392" s="230">
        <v>80</v>
      </c>
      <c r="B392" s="8">
        <v>80</v>
      </c>
      <c r="C392" s="14">
        <f t="shared" ca="1" si="204"/>
        <v>0.56999999999999995</v>
      </c>
      <c r="D392" s="20">
        <f t="shared" ca="1" si="216"/>
        <v>0.68399999999999994</v>
      </c>
      <c r="E392" s="224" t="str">
        <f ca="1">INDIRECT("'Закуп'!D" &amp; A392)</f>
        <v>У</v>
      </c>
      <c r="F392" s="231" t="str">
        <f t="shared" ref="F392" ca="1" si="239">INDIRECT("'Закуп'!E" &amp; B392)</f>
        <v>320х210х45</v>
      </c>
      <c r="G392" s="172" t="str">
        <f t="shared" ca="1" si="235"/>
        <v/>
      </c>
      <c r="H392" s="93" t="str">
        <f t="shared" ca="1" si="236"/>
        <v/>
      </c>
      <c r="I392" s="21">
        <v>50</v>
      </c>
      <c r="J392" s="68">
        <f t="shared" si="237"/>
        <v>1.3416666666666668</v>
      </c>
      <c r="K392" s="70">
        <v>1.61</v>
      </c>
      <c r="L392" s="72">
        <f t="shared" ca="1" si="232"/>
        <v>0.61733333333333351</v>
      </c>
      <c r="M392" s="73">
        <f t="shared" ca="1" si="233"/>
        <v>30.866666666666674</v>
      </c>
      <c r="N392" s="12" t="s">
        <v>40</v>
      </c>
      <c r="O392" s="47" t="s">
        <v>45</v>
      </c>
      <c r="P392" s="13">
        <f t="shared" si="223"/>
        <v>1.61</v>
      </c>
      <c r="Q392" s="1" t="str">
        <f t="shared" si="225"/>
        <v>50-90 шт - 1,61 руб / шт с НДС</v>
      </c>
      <c r="R392" s="235" t="str">
        <f ca="1">INDIRECT("'Закуп'!k" &amp; A392)</f>
        <v>K80</v>
      </c>
      <c r="S392" s="239">
        <f ca="1">INDIRECT("'Закуп'!o" &amp; A392)</f>
        <v>3.02</v>
      </c>
      <c r="T392" s="226" t="str">
        <f ca="1">INDIRECT("'Закуп'!p" &amp; A392)</f>
        <v>3-3,9 литра</v>
      </c>
      <c r="U392" s="228" t="str">
        <f ca="1">INDIRECT("'Закуп'!v" &amp; A392)</f>
        <v/>
      </c>
      <c r="V392" s="222" t="str">
        <f ca="1">INDIRECT("'Закуп'!w" &amp; A392)</f>
        <v>Плоские</v>
      </c>
      <c r="W392" s="229" t="str">
        <f ca="1">INDIRECT("'Закуп'!H" &amp; A392)</f>
        <v>0427</v>
      </c>
      <c r="X392" s="227" t="str">
        <f t="shared" ref="X392" ca="1" si="240">INDIRECT("'Закуп'!g" &amp; A392)</f>
        <v>С</v>
      </c>
      <c r="Y392" s="229" t="str">
        <f ca="1">INDIRECT("'Закуп'!i" &amp; A392)</f>
        <v>Е</v>
      </c>
      <c r="Z392" s="236" t="str">
        <f ca="1">INDIRECT("'Закуп'!x" &amp; A392)</f>
        <v>300-399 мм</v>
      </c>
      <c r="AA392" s="237" t="str">
        <f ca="1">INDIRECT("'Закуп'!y" &amp; A392)</f>
        <v>200-299 мм</v>
      </c>
      <c r="AB392" s="238" t="str">
        <f ca="1">INDIRECT("'Закуп'!z" &amp; A392)</f>
        <v>10-99 мм</v>
      </c>
      <c r="AC392" s="223" t="str">
        <f t="shared" ca="1" si="221"/>
        <v>320x210x45</v>
      </c>
      <c r="AD392" s="222" t="str">
        <f t="shared" ca="1" si="209"/>
        <v>320x210x45 - 320*210*45 мм</v>
      </c>
    </row>
    <row r="393" spans="1:30" x14ac:dyDescent="0.4">
      <c r="A393" s="230"/>
      <c r="B393" s="8">
        <v>80</v>
      </c>
      <c r="C393" s="14">
        <f t="shared" ref="C393:C456" ca="1" si="241">INDIRECT("'Закуп'!A" &amp; B393)</f>
        <v>0.56999999999999995</v>
      </c>
      <c r="D393" s="20">
        <f t="shared" ca="1" si="216"/>
        <v>0.68399999999999994</v>
      </c>
      <c r="E393" s="225"/>
      <c r="F393" s="231"/>
      <c r="G393" s="172" t="str">
        <f t="shared" ca="1" si="235"/>
        <v/>
      </c>
      <c r="H393" s="93" t="str">
        <f t="shared" ca="1" si="236"/>
        <v/>
      </c>
      <c r="I393" s="21">
        <v>100</v>
      </c>
      <c r="J393" s="68">
        <f t="shared" si="237"/>
        <v>1.2250000000000001</v>
      </c>
      <c r="K393" s="70">
        <v>1.47</v>
      </c>
      <c r="L393" s="72">
        <f t="shared" ca="1" si="232"/>
        <v>0.52400000000000013</v>
      </c>
      <c r="M393" s="73">
        <f t="shared" ca="1" si="233"/>
        <v>52.400000000000013</v>
      </c>
      <c r="N393" s="12" t="s">
        <v>41</v>
      </c>
      <c r="O393" s="47" t="s">
        <v>45</v>
      </c>
      <c r="P393" s="13">
        <f t="shared" si="223"/>
        <v>1.47</v>
      </c>
      <c r="Q393" s="1" t="str">
        <f t="shared" si="225"/>
        <v>100-290 шт - 1,47 руб / шт с НДС</v>
      </c>
      <c r="R393" s="235"/>
      <c r="S393" s="239"/>
      <c r="T393" s="226"/>
      <c r="U393" s="228"/>
      <c r="V393" s="222"/>
      <c r="W393" s="229"/>
      <c r="X393" s="227"/>
      <c r="Y393" s="229"/>
      <c r="Z393" s="236"/>
      <c r="AA393" s="237"/>
      <c r="AB393" s="238"/>
      <c r="AC393" s="223"/>
      <c r="AD393" s="222"/>
    </row>
    <row r="394" spans="1:30" x14ac:dyDescent="0.4">
      <c r="A394" s="230"/>
      <c r="B394" s="8">
        <v>80</v>
      </c>
      <c r="C394" s="14">
        <f t="shared" ca="1" si="241"/>
        <v>0.56999999999999995</v>
      </c>
      <c r="D394" s="20">
        <f t="shared" ca="1" si="216"/>
        <v>0.68399999999999994</v>
      </c>
      <c r="E394" s="225"/>
      <c r="F394" s="231"/>
      <c r="G394" s="172" t="str">
        <f t="shared" ca="1" si="235"/>
        <v/>
      </c>
      <c r="H394" s="93" t="str">
        <f t="shared" ca="1" si="236"/>
        <v/>
      </c>
      <c r="I394" s="21">
        <v>300</v>
      </c>
      <c r="J394" s="68">
        <f t="shared" si="237"/>
        <v>0.96666666666666667</v>
      </c>
      <c r="K394" s="70">
        <v>1.1599999999999999</v>
      </c>
      <c r="L394" s="72">
        <f t="shared" ca="1" si="232"/>
        <v>0.31733333333333336</v>
      </c>
      <c r="M394" s="73">
        <f t="shared" ca="1" si="233"/>
        <v>95.2</v>
      </c>
      <c r="N394" s="12" t="s">
        <v>42</v>
      </c>
      <c r="O394" s="47" t="s">
        <v>45</v>
      </c>
      <c r="P394" s="13">
        <f t="shared" si="223"/>
        <v>1.1599999999999999</v>
      </c>
      <c r="Q394" s="1" t="str">
        <f t="shared" si="225"/>
        <v>300-490 шт - 1,16 руб / шт с НДС</v>
      </c>
      <c r="R394" s="235"/>
      <c r="S394" s="239"/>
      <c r="T394" s="226"/>
      <c r="U394" s="228"/>
      <c r="V394" s="222"/>
      <c r="W394" s="229"/>
      <c r="X394" s="227"/>
      <c r="Y394" s="229"/>
      <c r="Z394" s="236"/>
      <c r="AA394" s="237"/>
      <c r="AB394" s="238"/>
      <c r="AC394" s="223"/>
      <c r="AD394" s="222"/>
    </row>
    <row r="395" spans="1:30" x14ac:dyDescent="0.4">
      <c r="A395" s="230"/>
      <c r="B395" s="8">
        <v>80</v>
      </c>
      <c r="C395" s="14">
        <f t="shared" ca="1" si="241"/>
        <v>0.56999999999999995</v>
      </c>
      <c r="D395" s="20">
        <f t="shared" ca="1" si="216"/>
        <v>0.68399999999999994</v>
      </c>
      <c r="E395" s="225"/>
      <c r="F395" s="231"/>
      <c r="G395" s="172" t="str">
        <f t="shared" ca="1" si="235"/>
        <v/>
      </c>
      <c r="H395" s="93" t="str">
        <f t="shared" ca="1" si="236"/>
        <v/>
      </c>
      <c r="I395" s="21">
        <v>500</v>
      </c>
      <c r="J395" s="68">
        <f t="shared" si="237"/>
        <v>0.90000000000000013</v>
      </c>
      <c r="K395" s="70">
        <v>1.08</v>
      </c>
      <c r="L395" s="72">
        <f t="shared" ca="1" si="232"/>
        <v>0.26400000000000012</v>
      </c>
      <c r="M395" s="73">
        <f t="shared" ca="1" si="233"/>
        <v>132.00000000000006</v>
      </c>
      <c r="N395" s="12" t="s">
        <v>43</v>
      </c>
      <c r="O395" s="47" t="s">
        <v>45</v>
      </c>
      <c r="P395" s="13">
        <f t="shared" si="223"/>
        <v>1.08</v>
      </c>
      <c r="Q395" s="1" t="str">
        <f t="shared" si="225"/>
        <v>500-990 шт - 1,08 руб / шт с НДС</v>
      </c>
      <c r="R395" s="235"/>
      <c r="S395" s="239"/>
      <c r="T395" s="226"/>
      <c r="U395" s="228"/>
      <c r="V395" s="222"/>
      <c r="W395" s="229"/>
      <c r="X395" s="227"/>
      <c r="Y395" s="229"/>
      <c r="Z395" s="236"/>
      <c r="AA395" s="237"/>
      <c r="AB395" s="238"/>
      <c r="AC395" s="223"/>
      <c r="AD395" s="222"/>
    </row>
    <row r="396" spans="1:30" x14ac:dyDescent="0.4">
      <c r="A396" s="230"/>
      <c r="B396" s="8">
        <v>80</v>
      </c>
      <c r="C396" s="14">
        <f t="shared" ca="1" si="241"/>
        <v>0.56999999999999995</v>
      </c>
      <c r="D396" s="20">
        <f t="shared" ca="1" si="216"/>
        <v>0.68399999999999994</v>
      </c>
      <c r="E396" s="225"/>
      <c r="F396" s="231"/>
      <c r="G396" s="172" t="str">
        <f t="shared" ca="1" si="235"/>
        <v/>
      </c>
      <c r="H396" s="93" t="str">
        <f t="shared" ca="1" si="236"/>
        <v/>
      </c>
      <c r="I396" s="21">
        <v>1000</v>
      </c>
      <c r="J396" s="68">
        <f t="shared" si="237"/>
        <v>0.85833333333333339</v>
      </c>
      <c r="K396" s="70">
        <v>1.03</v>
      </c>
      <c r="L396" s="72">
        <f t="shared" ca="1" si="232"/>
        <v>0.23066666666666674</v>
      </c>
      <c r="M396" s="73">
        <f t="shared" ca="1" si="233"/>
        <v>230.66666666666674</v>
      </c>
      <c r="N396" s="12" t="s">
        <v>44</v>
      </c>
      <c r="O396" s="47" t="s">
        <v>45</v>
      </c>
      <c r="P396" s="13">
        <f t="shared" si="223"/>
        <v>1.03</v>
      </c>
      <c r="Q396" s="1" t="str">
        <f t="shared" si="225"/>
        <v>1000 + шт - 1,03 руб / шт с НДС</v>
      </c>
      <c r="R396" s="235"/>
      <c r="S396" s="239"/>
      <c r="T396" s="226"/>
      <c r="U396" s="228"/>
      <c r="V396" s="222"/>
      <c r="W396" s="229"/>
      <c r="X396" s="227"/>
      <c r="Y396" s="229"/>
      <c r="Z396" s="236"/>
      <c r="AA396" s="237"/>
      <c r="AB396" s="238"/>
      <c r="AC396" s="223"/>
      <c r="AD396" s="222"/>
    </row>
    <row r="397" spans="1:30" x14ac:dyDescent="0.4">
      <c r="A397" s="230">
        <v>81</v>
      </c>
      <c r="B397" s="8">
        <v>81</v>
      </c>
      <c r="C397" s="14">
        <f t="shared" ca="1" si="241"/>
        <v>0.8</v>
      </c>
      <c r="D397" s="20">
        <f t="shared" ca="1" si="216"/>
        <v>0.96</v>
      </c>
      <c r="E397" s="224" t="str">
        <f ca="1">INDIRECT("'Закуп'!D" &amp; A397)</f>
        <v>У</v>
      </c>
      <c r="F397" s="231" t="str">
        <f t="shared" ref="F397" ca="1" si="242">INDIRECT("'Закуп'!E" &amp; B397)</f>
        <v>325х170х115</v>
      </c>
      <c r="G397" s="172" t="str">
        <f t="shared" ca="1" si="235"/>
        <v/>
      </c>
      <c r="H397" s="93" t="str">
        <f t="shared" ca="1" si="236"/>
        <v/>
      </c>
      <c r="I397" s="21">
        <v>50</v>
      </c>
      <c r="J397" s="68">
        <f t="shared" si="237"/>
        <v>1.8833333333333333</v>
      </c>
      <c r="K397" s="70">
        <v>2.2599999999999998</v>
      </c>
      <c r="L397" s="72">
        <f t="shared" ca="1" si="232"/>
        <v>0.86666666666666659</v>
      </c>
      <c r="M397" s="73">
        <f t="shared" ca="1" si="233"/>
        <v>43.333333333333329</v>
      </c>
      <c r="N397" s="12" t="s">
        <v>40</v>
      </c>
      <c r="O397" s="47" t="s">
        <v>45</v>
      </c>
      <c r="P397" s="13">
        <f t="shared" si="223"/>
        <v>2.2599999999999998</v>
      </c>
      <c r="Q397" s="1" t="str">
        <f t="shared" si="225"/>
        <v>50-90 шт - 2,26 руб / шт с НДС</v>
      </c>
      <c r="R397" s="235" t="str">
        <f ca="1">INDIRECT("'Закуп'!k" &amp; A397)</f>
        <v>K81</v>
      </c>
      <c r="S397" s="239">
        <f ca="1">INDIRECT("'Закуп'!o" &amp; A397)</f>
        <v>6.35</v>
      </c>
      <c r="T397" s="226" t="str">
        <f ca="1">INDIRECT("'Закуп'!p" &amp; A397)</f>
        <v>6-7,9 литра</v>
      </c>
      <c r="U397" s="228" t="str">
        <f ca="1">INDIRECT("'Закуп'!v" &amp; A397)</f>
        <v/>
      </c>
      <c r="V397" s="222" t="str">
        <f ca="1">INDIRECT("'Закуп'!w" &amp; A397)</f>
        <v/>
      </c>
      <c r="W397" s="229" t="str">
        <f ca="1">INDIRECT("'Закуп'!H" &amp; A397)</f>
        <v>0426</v>
      </c>
      <c r="X397" s="227" t="str">
        <f t="shared" ref="X397" ca="1" si="243">INDIRECT("'Закуп'!g" &amp; A397)</f>
        <v>С</v>
      </c>
      <c r="Y397" s="229" t="str">
        <f ca="1">INDIRECT("'Закуп'!i" &amp; A397)</f>
        <v>В</v>
      </c>
      <c r="Z397" s="236" t="str">
        <f ca="1">INDIRECT("'Закуп'!x" &amp; A397)</f>
        <v>300-399 мм</v>
      </c>
      <c r="AA397" s="237" t="str">
        <f ca="1">INDIRECT("'Закуп'!y" &amp; A397)</f>
        <v>100-199 мм</v>
      </c>
      <c r="AB397" s="238" t="str">
        <f ca="1">INDIRECT("'Закуп'!z" &amp; A397)</f>
        <v>100-199 мм</v>
      </c>
      <c r="AC397" s="223" t="str">
        <f t="shared" ca="1" si="221"/>
        <v>325x170x115</v>
      </c>
      <c r="AD397" s="222" t="str">
        <f t="shared" ca="1" si="209"/>
        <v>325x170x115 - 325*170*115 мм</v>
      </c>
    </row>
    <row r="398" spans="1:30" x14ac:dyDescent="0.4">
      <c r="A398" s="230"/>
      <c r="B398" s="8">
        <v>81</v>
      </c>
      <c r="C398" s="14">
        <f t="shared" ca="1" si="241"/>
        <v>0.8</v>
      </c>
      <c r="D398" s="20">
        <f t="shared" ca="1" si="216"/>
        <v>0.96</v>
      </c>
      <c r="E398" s="225"/>
      <c r="F398" s="231"/>
      <c r="G398" s="172" t="str">
        <f t="shared" ca="1" si="235"/>
        <v/>
      </c>
      <c r="H398" s="93" t="str">
        <f t="shared" ca="1" si="236"/>
        <v/>
      </c>
      <c r="I398" s="21">
        <v>100</v>
      </c>
      <c r="J398" s="68">
        <f t="shared" si="237"/>
        <v>1.7083333333333333</v>
      </c>
      <c r="K398" s="70">
        <v>2.0499999999999998</v>
      </c>
      <c r="L398" s="72">
        <f t="shared" ca="1" si="232"/>
        <v>0.72666666666666657</v>
      </c>
      <c r="M398" s="73">
        <f t="shared" ca="1" si="233"/>
        <v>72.666666666666657</v>
      </c>
      <c r="N398" s="12" t="s">
        <v>41</v>
      </c>
      <c r="O398" s="47" t="s">
        <v>45</v>
      </c>
      <c r="P398" s="13">
        <f t="shared" si="223"/>
        <v>2.0499999999999998</v>
      </c>
      <c r="Q398" s="1" t="str">
        <f t="shared" si="225"/>
        <v>100-290 шт - 2,05 руб / шт с НДС</v>
      </c>
      <c r="R398" s="235"/>
      <c r="S398" s="239"/>
      <c r="T398" s="226"/>
      <c r="U398" s="228"/>
      <c r="V398" s="222"/>
      <c r="W398" s="229"/>
      <c r="X398" s="227"/>
      <c r="Y398" s="229"/>
      <c r="Z398" s="236"/>
      <c r="AA398" s="237"/>
      <c r="AB398" s="238"/>
      <c r="AC398" s="223"/>
      <c r="AD398" s="222"/>
    </row>
    <row r="399" spans="1:30" x14ac:dyDescent="0.4">
      <c r="A399" s="230"/>
      <c r="B399" s="8">
        <v>81</v>
      </c>
      <c r="C399" s="14">
        <f t="shared" ca="1" si="241"/>
        <v>0.8</v>
      </c>
      <c r="D399" s="20">
        <f t="shared" ca="1" si="216"/>
        <v>0.96</v>
      </c>
      <c r="E399" s="225"/>
      <c r="F399" s="231"/>
      <c r="G399" s="172" t="str">
        <f t="shared" ca="1" si="235"/>
        <v/>
      </c>
      <c r="H399" s="93" t="str">
        <f t="shared" ca="1" si="236"/>
        <v/>
      </c>
      <c r="I399" s="21">
        <v>300</v>
      </c>
      <c r="J399" s="68">
        <f t="shared" si="237"/>
        <v>1.3416666666666668</v>
      </c>
      <c r="K399" s="70">
        <v>1.61</v>
      </c>
      <c r="L399" s="72">
        <f t="shared" ca="1" si="232"/>
        <v>0.4333333333333334</v>
      </c>
      <c r="M399" s="73">
        <f t="shared" ca="1" si="233"/>
        <v>130.00000000000003</v>
      </c>
      <c r="N399" s="12" t="s">
        <v>42</v>
      </c>
      <c r="O399" s="47" t="s">
        <v>45</v>
      </c>
      <c r="P399" s="13">
        <f t="shared" si="223"/>
        <v>1.61</v>
      </c>
      <c r="Q399" s="1" t="str">
        <f t="shared" si="225"/>
        <v>300-490 шт - 1,61 руб / шт с НДС</v>
      </c>
      <c r="R399" s="235"/>
      <c r="S399" s="239"/>
      <c r="T399" s="226"/>
      <c r="U399" s="228"/>
      <c r="V399" s="222"/>
      <c r="W399" s="229"/>
      <c r="X399" s="227"/>
      <c r="Y399" s="229"/>
      <c r="Z399" s="236"/>
      <c r="AA399" s="237"/>
      <c r="AB399" s="238"/>
      <c r="AC399" s="223"/>
      <c r="AD399" s="222"/>
    </row>
    <row r="400" spans="1:30" x14ac:dyDescent="0.4">
      <c r="A400" s="230"/>
      <c r="B400" s="8">
        <v>81</v>
      </c>
      <c r="C400" s="14">
        <f t="shared" ca="1" si="241"/>
        <v>0.8</v>
      </c>
      <c r="D400" s="20">
        <f t="shared" ca="1" si="216"/>
        <v>0.96</v>
      </c>
      <c r="E400" s="225"/>
      <c r="F400" s="231"/>
      <c r="G400" s="172" t="str">
        <f t="shared" ca="1" si="235"/>
        <v/>
      </c>
      <c r="H400" s="93" t="str">
        <f t="shared" ca="1" si="236"/>
        <v/>
      </c>
      <c r="I400" s="21">
        <v>500</v>
      </c>
      <c r="J400" s="68">
        <f t="shared" si="237"/>
        <v>1.1583333333333332</v>
      </c>
      <c r="K400" s="70">
        <v>1.39</v>
      </c>
      <c r="L400" s="72">
        <f t="shared" ca="1" si="232"/>
        <v>0.28666666666666651</v>
      </c>
      <c r="M400" s="73">
        <f t="shared" ca="1" si="233"/>
        <v>143.33333333333326</v>
      </c>
      <c r="N400" s="12" t="s">
        <v>43</v>
      </c>
      <c r="O400" s="47" t="s">
        <v>45</v>
      </c>
      <c r="P400" s="13">
        <f t="shared" si="223"/>
        <v>1.39</v>
      </c>
      <c r="Q400" s="1" t="str">
        <f t="shared" si="225"/>
        <v>500-990 шт - 1,39 руб / шт с НДС</v>
      </c>
      <c r="R400" s="235"/>
      <c r="S400" s="239"/>
      <c r="T400" s="226"/>
      <c r="U400" s="228"/>
      <c r="V400" s="222"/>
      <c r="W400" s="229"/>
      <c r="X400" s="227"/>
      <c r="Y400" s="229"/>
      <c r="Z400" s="236"/>
      <c r="AA400" s="237"/>
      <c r="AB400" s="238"/>
      <c r="AC400" s="223"/>
      <c r="AD400" s="222"/>
    </row>
    <row r="401" spans="1:30" x14ac:dyDescent="0.4">
      <c r="A401" s="230"/>
      <c r="B401" s="8">
        <v>81</v>
      </c>
      <c r="C401" s="14">
        <f t="shared" ca="1" si="241"/>
        <v>0.8</v>
      </c>
      <c r="D401" s="20">
        <f t="shared" ca="1" si="216"/>
        <v>0.96</v>
      </c>
      <c r="E401" s="225"/>
      <c r="F401" s="231"/>
      <c r="G401" s="172" t="str">
        <f t="shared" ca="1" si="235"/>
        <v/>
      </c>
      <c r="H401" s="93" t="str">
        <f t="shared" ca="1" si="236"/>
        <v/>
      </c>
      <c r="I401" s="21">
        <v>1000</v>
      </c>
      <c r="J401" s="68">
        <f t="shared" si="237"/>
        <v>1.0750000000000002</v>
      </c>
      <c r="K401" s="70">
        <v>1.29</v>
      </c>
      <c r="L401" s="72">
        <f t="shared" ca="1" si="232"/>
        <v>0.22000000000000011</v>
      </c>
      <c r="M401" s="73">
        <f t="shared" ca="1" si="233"/>
        <v>220.00000000000011</v>
      </c>
      <c r="N401" s="12" t="s">
        <v>44</v>
      </c>
      <c r="O401" s="47" t="s">
        <v>45</v>
      </c>
      <c r="P401" s="13">
        <f t="shared" si="223"/>
        <v>1.29</v>
      </c>
      <c r="Q401" s="1" t="str">
        <f t="shared" si="225"/>
        <v>1000 + шт - 1,29 руб / шт с НДС</v>
      </c>
      <c r="R401" s="235"/>
      <c r="S401" s="239"/>
      <c r="T401" s="226"/>
      <c r="U401" s="228"/>
      <c r="V401" s="222"/>
      <c r="W401" s="229"/>
      <c r="X401" s="227"/>
      <c r="Y401" s="229"/>
      <c r="Z401" s="236"/>
      <c r="AA401" s="237"/>
      <c r="AB401" s="238"/>
      <c r="AC401" s="223"/>
      <c r="AD401" s="222"/>
    </row>
    <row r="402" spans="1:30" x14ac:dyDescent="0.4">
      <c r="A402" s="230">
        <v>82</v>
      </c>
      <c r="B402" s="8">
        <v>82</v>
      </c>
      <c r="C402" s="14">
        <f t="shared" ca="1" si="241"/>
        <v>0.48</v>
      </c>
      <c r="D402" s="20">
        <f t="shared" ca="1" si="216"/>
        <v>0.57599999999999996</v>
      </c>
      <c r="E402" s="224" t="str">
        <f ca="1">INDIRECT("'Закуп'!D" &amp; A402)</f>
        <v>У</v>
      </c>
      <c r="F402" s="231" t="str">
        <f t="shared" ref="F402" ca="1" si="244">INDIRECT("'Закуп'!E" &amp; B402)</f>
        <v>140х90х90</v>
      </c>
      <c r="G402" s="172" t="str">
        <f t="shared" ca="1" si="235"/>
        <v/>
      </c>
      <c r="H402" s="93" t="str">
        <f t="shared" ca="1" si="236"/>
        <v/>
      </c>
      <c r="I402" s="21">
        <v>50</v>
      </c>
      <c r="J402" s="68">
        <f t="shared" si="237"/>
        <v>1.175</v>
      </c>
      <c r="K402" s="70">
        <v>1.41</v>
      </c>
      <c r="L402" s="72">
        <f t="shared" ca="1" si="232"/>
        <v>0.55600000000000005</v>
      </c>
      <c r="M402" s="73">
        <f t="shared" ca="1" si="233"/>
        <v>27.800000000000004</v>
      </c>
      <c r="N402" s="12" t="s">
        <v>40</v>
      </c>
      <c r="O402" s="47" t="s">
        <v>45</v>
      </c>
      <c r="P402" s="13">
        <f t="shared" si="223"/>
        <v>1.41</v>
      </c>
      <c r="Q402" s="1" t="str">
        <f t="shared" si="225"/>
        <v>50-90 шт - 1,41 руб / шт с НДС</v>
      </c>
      <c r="R402" s="235" t="str">
        <f ca="1">INDIRECT("'Закуп'!k" &amp; A402)</f>
        <v>K82</v>
      </c>
      <c r="S402" s="239">
        <f ca="1">INDIRECT("'Закуп'!o" &amp; A402)</f>
        <v>1.1299999999999999</v>
      </c>
      <c r="T402" s="226" t="str">
        <f ca="1">INDIRECT("'Закуп'!p" &amp; A402)</f>
        <v>1-1,9 литра</v>
      </c>
      <c r="U402" s="228" t="str">
        <f ca="1">INDIRECT("'Закуп'!v" &amp; A402)</f>
        <v/>
      </c>
      <c r="V402" s="222" t="str">
        <f ca="1">INDIRECT("'Закуп'!w" &amp; A402)</f>
        <v/>
      </c>
      <c r="W402" s="229" t="str">
        <f ca="1">INDIRECT("'Закуп'!H" &amp; A402)</f>
        <v>0427</v>
      </c>
      <c r="X402" s="227" t="str">
        <f t="shared" ref="X402" ca="1" si="245">INDIRECT("'Закуп'!g" &amp; A402)</f>
        <v>С</v>
      </c>
      <c r="Y402" s="229" t="str">
        <f ca="1">INDIRECT("'Закуп'!i" &amp; A402)</f>
        <v>В</v>
      </c>
      <c r="Z402" s="236" t="str">
        <f ca="1">INDIRECT("'Закуп'!x" &amp; A402)</f>
        <v>100-199 мм</v>
      </c>
      <c r="AA402" s="237" t="str">
        <f ca="1">INDIRECT("'Закуп'!y" &amp; A402)</f>
        <v>10-99 мм</v>
      </c>
      <c r="AB402" s="238" t="str">
        <f ca="1">INDIRECT("'Закуп'!z" &amp; A402)</f>
        <v>10-99 мм</v>
      </c>
      <c r="AC402" s="223" t="str">
        <f t="shared" ca="1" si="221"/>
        <v>140x90x90</v>
      </c>
      <c r="AD402" s="222" t="str">
        <f t="shared" ref="AD402:AD462" ca="1" si="246">SUBSTITUTE(INDEX(F:F, ROUNDUP((ROW(A401))/5,0)*5 - 3), "х", "x") &amp; " - " &amp; SUBSTITUTE(SUBSTITUTE(INDEX(F:F, ROUNDUP((ROW(A401))/5,0)*5 - 3), "х", "*"), "x", "*") &amp; " мм"</f>
        <v>140x90x90 - 140*90*90 мм</v>
      </c>
    </row>
    <row r="403" spans="1:30" x14ac:dyDescent="0.4">
      <c r="A403" s="230"/>
      <c r="B403" s="8">
        <v>82</v>
      </c>
      <c r="C403" s="14">
        <f t="shared" ca="1" si="241"/>
        <v>0.48</v>
      </c>
      <c r="D403" s="20">
        <f t="shared" ca="1" si="216"/>
        <v>0.57599999999999996</v>
      </c>
      <c r="E403" s="225"/>
      <c r="F403" s="231"/>
      <c r="G403" s="172" t="str">
        <f t="shared" ca="1" si="235"/>
        <v/>
      </c>
      <c r="H403" s="93" t="str">
        <f t="shared" ca="1" si="236"/>
        <v/>
      </c>
      <c r="I403" s="21">
        <v>100</v>
      </c>
      <c r="J403" s="68">
        <f t="shared" si="237"/>
        <v>1.0250000000000001</v>
      </c>
      <c r="K403" s="70">
        <v>1.23</v>
      </c>
      <c r="L403" s="72">
        <f t="shared" ca="1" si="232"/>
        <v>0.43600000000000011</v>
      </c>
      <c r="M403" s="73">
        <f t="shared" ca="1" si="233"/>
        <v>43.600000000000009</v>
      </c>
      <c r="N403" s="12" t="s">
        <v>41</v>
      </c>
      <c r="O403" s="47" t="s">
        <v>45</v>
      </c>
      <c r="P403" s="13">
        <f t="shared" si="223"/>
        <v>1.23</v>
      </c>
      <c r="Q403" s="1" t="str">
        <f t="shared" si="225"/>
        <v>100-290 шт - 1,23 руб / шт с НДС</v>
      </c>
      <c r="R403" s="235"/>
      <c r="S403" s="239"/>
      <c r="T403" s="226"/>
      <c r="U403" s="228"/>
      <c r="V403" s="222"/>
      <c r="W403" s="229"/>
      <c r="X403" s="227"/>
      <c r="Y403" s="229"/>
      <c r="Z403" s="236"/>
      <c r="AA403" s="237"/>
      <c r="AB403" s="238"/>
      <c r="AC403" s="223"/>
      <c r="AD403" s="222"/>
    </row>
    <row r="404" spans="1:30" x14ac:dyDescent="0.4">
      <c r="A404" s="230"/>
      <c r="B404" s="8">
        <v>82</v>
      </c>
      <c r="C404" s="14">
        <f t="shared" ca="1" si="241"/>
        <v>0.48</v>
      </c>
      <c r="D404" s="20">
        <f t="shared" ca="1" si="216"/>
        <v>0.57599999999999996</v>
      </c>
      <c r="E404" s="225"/>
      <c r="F404" s="231"/>
      <c r="G404" s="172" t="str">
        <f t="shared" ca="1" si="235"/>
        <v/>
      </c>
      <c r="H404" s="93" t="str">
        <f t="shared" ca="1" si="236"/>
        <v/>
      </c>
      <c r="I404" s="21">
        <v>300</v>
      </c>
      <c r="J404" s="68">
        <f t="shared" si="237"/>
        <v>0.87500000000000011</v>
      </c>
      <c r="K404" s="70">
        <v>1.05</v>
      </c>
      <c r="L404" s="72">
        <f t="shared" ca="1" si="232"/>
        <v>0.31600000000000011</v>
      </c>
      <c r="M404" s="73">
        <f t="shared" ca="1" si="233"/>
        <v>94.80000000000004</v>
      </c>
      <c r="N404" s="12" t="s">
        <v>42</v>
      </c>
      <c r="O404" s="47" t="s">
        <v>45</v>
      </c>
      <c r="P404" s="13">
        <f t="shared" si="223"/>
        <v>1.05</v>
      </c>
      <c r="Q404" s="1" t="str">
        <f t="shared" si="225"/>
        <v>300-490 шт - 1,05 руб / шт с НДС</v>
      </c>
      <c r="R404" s="235"/>
      <c r="S404" s="239"/>
      <c r="T404" s="226"/>
      <c r="U404" s="228"/>
      <c r="V404" s="222"/>
      <c r="W404" s="229"/>
      <c r="X404" s="227"/>
      <c r="Y404" s="229"/>
      <c r="Z404" s="236"/>
      <c r="AA404" s="237"/>
      <c r="AB404" s="238"/>
      <c r="AC404" s="223"/>
      <c r="AD404" s="222"/>
    </row>
    <row r="405" spans="1:30" x14ac:dyDescent="0.4">
      <c r="A405" s="230"/>
      <c r="B405" s="8">
        <v>82</v>
      </c>
      <c r="C405" s="14">
        <f t="shared" ca="1" si="241"/>
        <v>0.48</v>
      </c>
      <c r="D405" s="20">
        <f t="shared" ca="1" si="216"/>
        <v>0.57599999999999996</v>
      </c>
      <c r="E405" s="225"/>
      <c r="F405" s="231"/>
      <c r="G405" s="172" t="str">
        <f t="shared" ca="1" si="235"/>
        <v/>
      </c>
      <c r="H405" s="93" t="str">
        <f t="shared" ca="1" si="236"/>
        <v/>
      </c>
      <c r="I405" s="21">
        <v>500</v>
      </c>
      <c r="J405" s="68">
        <f t="shared" si="237"/>
        <v>0.81666666666666665</v>
      </c>
      <c r="K405" s="70">
        <v>0.98</v>
      </c>
      <c r="L405" s="72">
        <f t="shared" ca="1" si="232"/>
        <v>0.26933333333333331</v>
      </c>
      <c r="M405" s="73">
        <f t="shared" ca="1" si="233"/>
        <v>134.66666666666666</v>
      </c>
      <c r="N405" s="12" t="s">
        <v>43</v>
      </c>
      <c r="O405" s="47" t="s">
        <v>45</v>
      </c>
      <c r="P405" s="13">
        <f t="shared" si="223"/>
        <v>0.98</v>
      </c>
      <c r="Q405" s="1" t="str">
        <f t="shared" si="225"/>
        <v>500-990 шт - 0,98 руб / шт с НДС</v>
      </c>
      <c r="R405" s="235"/>
      <c r="S405" s="239"/>
      <c r="T405" s="226"/>
      <c r="U405" s="228"/>
      <c r="V405" s="222"/>
      <c r="W405" s="229"/>
      <c r="X405" s="227"/>
      <c r="Y405" s="229"/>
      <c r="Z405" s="236"/>
      <c r="AA405" s="237"/>
      <c r="AB405" s="238"/>
      <c r="AC405" s="223"/>
      <c r="AD405" s="222"/>
    </row>
    <row r="406" spans="1:30" x14ac:dyDescent="0.4">
      <c r="A406" s="230"/>
      <c r="B406" s="8">
        <v>82</v>
      </c>
      <c r="C406" s="14">
        <f t="shared" ca="1" si="241"/>
        <v>0.48</v>
      </c>
      <c r="D406" s="20">
        <f t="shared" ca="1" si="216"/>
        <v>0.57599999999999996</v>
      </c>
      <c r="E406" s="225"/>
      <c r="F406" s="231"/>
      <c r="G406" s="172" t="str">
        <f t="shared" ca="1" si="235"/>
        <v/>
      </c>
      <c r="H406" s="93" t="str">
        <f t="shared" ca="1" si="236"/>
        <v/>
      </c>
      <c r="I406" s="21">
        <v>1000</v>
      </c>
      <c r="J406" s="68">
        <f t="shared" si="237"/>
        <v>0.76666666666666672</v>
      </c>
      <c r="K406" s="70">
        <v>0.92</v>
      </c>
      <c r="L406" s="72">
        <f t="shared" ca="1" si="232"/>
        <v>0.22933333333333339</v>
      </c>
      <c r="M406" s="73">
        <f t="shared" ca="1" si="233"/>
        <v>229.3333333333334</v>
      </c>
      <c r="N406" s="12" t="s">
        <v>44</v>
      </c>
      <c r="O406" s="47" t="s">
        <v>45</v>
      </c>
      <c r="P406" s="13">
        <f t="shared" si="223"/>
        <v>0.92</v>
      </c>
      <c r="Q406" s="1" t="str">
        <f t="shared" si="225"/>
        <v>1000 + шт - 0,92 руб / шт с НДС</v>
      </c>
      <c r="R406" s="235"/>
      <c r="S406" s="239"/>
      <c r="T406" s="226"/>
      <c r="U406" s="228"/>
      <c r="V406" s="222"/>
      <c r="W406" s="229"/>
      <c r="X406" s="227"/>
      <c r="Y406" s="229"/>
      <c r="Z406" s="236"/>
      <c r="AA406" s="237"/>
      <c r="AB406" s="238"/>
      <c r="AC406" s="223"/>
      <c r="AD406" s="222"/>
    </row>
    <row r="407" spans="1:30" x14ac:dyDescent="0.4">
      <c r="A407" s="230">
        <v>83</v>
      </c>
      <c r="B407" s="8">
        <v>83</v>
      </c>
      <c r="C407" s="14">
        <f t="shared" ca="1" si="241"/>
        <v>0.48</v>
      </c>
      <c r="D407" s="20">
        <f t="shared" ca="1" si="216"/>
        <v>0.57599999999999996</v>
      </c>
      <c r="E407" s="224" t="str">
        <f ca="1">INDIRECT("'Закуп'!D" &amp; A407)</f>
        <v>У</v>
      </c>
      <c r="F407" s="231" t="str">
        <f t="shared" ref="F407" ca="1" si="247">INDIRECT("'Закуп'!E" &amp; B407)</f>
        <v>305х155х55</v>
      </c>
      <c r="G407" s="172" t="str">
        <f t="shared" ca="1" si="235"/>
        <v/>
      </c>
      <c r="H407" s="93" t="str">
        <f t="shared" ca="1" si="236"/>
        <v/>
      </c>
      <c r="I407" s="21">
        <v>50</v>
      </c>
      <c r="J407" s="68">
        <f t="shared" si="237"/>
        <v>1.175</v>
      </c>
      <c r="K407" s="70">
        <v>1.41</v>
      </c>
      <c r="L407" s="72">
        <f t="shared" ca="1" si="232"/>
        <v>0.55600000000000005</v>
      </c>
      <c r="M407" s="73">
        <f t="shared" ca="1" si="233"/>
        <v>27.800000000000004</v>
      </c>
      <c r="N407" s="12" t="s">
        <v>40</v>
      </c>
      <c r="O407" s="47" t="s">
        <v>45</v>
      </c>
      <c r="P407" s="13">
        <f t="shared" si="223"/>
        <v>1.41</v>
      </c>
      <c r="Q407" s="1" t="str">
        <f t="shared" si="225"/>
        <v>50-90 шт - 1,41 руб / шт с НДС</v>
      </c>
      <c r="R407" s="235" t="str">
        <f ca="1">INDIRECT("'Закуп'!k" &amp; A407)</f>
        <v>K83</v>
      </c>
      <c r="S407" s="239">
        <f ca="1">INDIRECT("'Закуп'!o" &amp; A407)</f>
        <v>2.6</v>
      </c>
      <c r="T407" s="226" t="str">
        <f ca="1">INDIRECT("'Закуп'!p" &amp; A407)</f>
        <v>2-2,9 литра</v>
      </c>
      <c r="U407" s="228" t="str">
        <f ca="1">INDIRECT("'Закуп'!v" &amp; A407)</f>
        <v/>
      </c>
      <c r="V407" s="222" t="str">
        <f ca="1">INDIRECT("'Закуп'!w" &amp; A407)</f>
        <v>Плоские</v>
      </c>
      <c r="W407" s="229" t="str">
        <f ca="1">INDIRECT("'Закуп'!H" &amp; A407)</f>
        <v>0427</v>
      </c>
      <c r="X407" s="227" t="str">
        <f t="shared" ref="X407" ca="1" si="248">INDIRECT("'Закуп'!g" &amp; A407)</f>
        <v>С</v>
      </c>
      <c r="Y407" s="229" t="str">
        <f ca="1">INDIRECT("'Закуп'!i" &amp; A407)</f>
        <v>В</v>
      </c>
      <c r="Z407" s="236" t="str">
        <f ca="1">INDIRECT("'Закуп'!x" &amp; A407)</f>
        <v>300-399 мм</v>
      </c>
      <c r="AA407" s="237" t="str">
        <f ca="1">INDIRECT("'Закуп'!y" &amp; A407)</f>
        <v>100-199 мм</v>
      </c>
      <c r="AB407" s="238" t="str">
        <f ca="1">INDIRECT("'Закуп'!z" &amp; A407)</f>
        <v>10-99 мм</v>
      </c>
      <c r="AC407" s="223" t="str">
        <f t="shared" ca="1" si="221"/>
        <v>305x155x55</v>
      </c>
      <c r="AD407" s="222" t="str">
        <f t="shared" ca="1" si="246"/>
        <v>305x155x55 - 305*155*55 мм</v>
      </c>
    </row>
    <row r="408" spans="1:30" x14ac:dyDescent="0.4">
      <c r="A408" s="230"/>
      <c r="B408" s="8">
        <v>83</v>
      </c>
      <c r="C408" s="14">
        <f t="shared" ca="1" si="241"/>
        <v>0.48</v>
      </c>
      <c r="D408" s="20">
        <f t="shared" ca="1" si="216"/>
        <v>0.57599999999999996</v>
      </c>
      <c r="E408" s="225"/>
      <c r="F408" s="231"/>
      <c r="G408" s="172" t="str">
        <f t="shared" ca="1" si="235"/>
        <v/>
      </c>
      <c r="H408" s="93" t="str">
        <f t="shared" ca="1" si="236"/>
        <v/>
      </c>
      <c r="I408" s="21">
        <v>100</v>
      </c>
      <c r="J408" s="68">
        <f t="shared" si="237"/>
        <v>1.0250000000000001</v>
      </c>
      <c r="K408" s="70">
        <v>1.23</v>
      </c>
      <c r="L408" s="72">
        <f t="shared" ca="1" si="232"/>
        <v>0.43600000000000011</v>
      </c>
      <c r="M408" s="73">
        <f t="shared" ca="1" si="233"/>
        <v>43.600000000000009</v>
      </c>
      <c r="N408" s="12" t="s">
        <v>41</v>
      </c>
      <c r="O408" s="47" t="s">
        <v>45</v>
      </c>
      <c r="P408" s="13">
        <f t="shared" si="223"/>
        <v>1.23</v>
      </c>
      <c r="Q408" s="1" t="str">
        <f t="shared" si="225"/>
        <v>100-290 шт - 1,23 руб / шт с НДС</v>
      </c>
      <c r="R408" s="235"/>
      <c r="S408" s="239"/>
      <c r="T408" s="226"/>
      <c r="U408" s="228"/>
      <c r="V408" s="222"/>
      <c r="W408" s="229"/>
      <c r="X408" s="227"/>
      <c r="Y408" s="229"/>
      <c r="Z408" s="236"/>
      <c r="AA408" s="237"/>
      <c r="AB408" s="238"/>
      <c r="AC408" s="223"/>
      <c r="AD408" s="222"/>
    </row>
    <row r="409" spans="1:30" x14ac:dyDescent="0.4">
      <c r="A409" s="230"/>
      <c r="B409" s="8">
        <v>83</v>
      </c>
      <c r="C409" s="14">
        <f t="shared" ca="1" si="241"/>
        <v>0.48</v>
      </c>
      <c r="D409" s="20">
        <f t="shared" ca="1" si="216"/>
        <v>0.57599999999999996</v>
      </c>
      <c r="E409" s="225"/>
      <c r="F409" s="231"/>
      <c r="G409" s="172" t="str">
        <f t="shared" ca="1" si="235"/>
        <v/>
      </c>
      <c r="H409" s="93" t="str">
        <f t="shared" ca="1" si="236"/>
        <v/>
      </c>
      <c r="I409" s="21">
        <v>300</v>
      </c>
      <c r="J409" s="68">
        <f t="shared" si="237"/>
        <v>0.87500000000000011</v>
      </c>
      <c r="K409" s="70">
        <v>1.05</v>
      </c>
      <c r="L409" s="72">
        <f t="shared" ca="1" si="232"/>
        <v>0.31600000000000011</v>
      </c>
      <c r="M409" s="73">
        <f t="shared" ca="1" si="233"/>
        <v>94.80000000000004</v>
      </c>
      <c r="N409" s="12" t="s">
        <v>42</v>
      </c>
      <c r="O409" s="47" t="s">
        <v>45</v>
      </c>
      <c r="P409" s="13">
        <f t="shared" si="223"/>
        <v>1.05</v>
      </c>
      <c r="Q409" s="1" t="str">
        <f t="shared" si="225"/>
        <v>300-490 шт - 1,05 руб / шт с НДС</v>
      </c>
      <c r="R409" s="235"/>
      <c r="S409" s="239"/>
      <c r="T409" s="226"/>
      <c r="U409" s="228"/>
      <c r="V409" s="222"/>
      <c r="W409" s="229"/>
      <c r="X409" s="227"/>
      <c r="Y409" s="229"/>
      <c r="Z409" s="236"/>
      <c r="AA409" s="237"/>
      <c r="AB409" s="238"/>
      <c r="AC409" s="223"/>
      <c r="AD409" s="222"/>
    </row>
    <row r="410" spans="1:30" x14ac:dyDescent="0.4">
      <c r="A410" s="230"/>
      <c r="B410" s="8">
        <v>83</v>
      </c>
      <c r="C410" s="14">
        <f t="shared" ca="1" si="241"/>
        <v>0.48</v>
      </c>
      <c r="D410" s="20">
        <f t="shared" ca="1" si="216"/>
        <v>0.57599999999999996</v>
      </c>
      <c r="E410" s="225"/>
      <c r="F410" s="231"/>
      <c r="G410" s="172" t="str">
        <f t="shared" ca="1" si="235"/>
        <v/>
      </c>
      <c r="H410" s="93" t="str">
        <f t="shared" ca="1" si="236"/>
        <v/>
      </c>
      <c r="I410" s="21">
        <v>500</v>
      </c>
      <c r="J410" s="68">
        <f t="shared" si="237"/>
        <v>0.81666666666666665</v>
      </c>
      <c r="K410" s="70">
        <v>0.98</v>
      </c>
      <c r="L410" s="72">
        <f t="shared" ca="1" si="232"/>
        <v>0.26933333333333331</v>
      </c>
      <c r="M410" s="73">
        <f t="shared" ca="1" si="233"/>
        <v>134.66666666666666</v>
      </c>
      <c r="N410" s="12" t="s">
        <v>43</v>
      </c>
      <c r="O410" s="47" t="s">
        <v>45</v>
      </c>
      <c r="P410" s="13">
        <f t="shared" si="223"/>
        <v>0.98</v>
      </c>
      <c r="Q410" s="1" t="str">
        <f t="shared" si="225"/>
        <v>500-990 шт - 0,98 руб / шт с НДС</v>
      </c>
      <c r="R410" s="235"/>
      <c r="S410" s="239"/>
      <c r="T410" s="226"/>
      <c r="U410" s="228"/>
      <c r="V410" s="222"/>
      <c r="W410" s="229"/>
      <c r="X410" s="227"/>
      <c r="Y410" s="229"/>
      <c r="Z410" s="236"/>
      <c r="AA410" s="237"/>
      <c r="AB410" s="238"/>
      <c r="AC410" s="223"/>
      <c r="AD410" s="222"/>
    </row>
    <row r="411" spans="1:30" x14ac:dyDescent="0.4">
      <c r="A411" s="230"/>
      <c r="B411" s="8">
        <v>83</v>
      </c>
      <c r="C411" s="14">
        <f t="shared" ca="1" si="241"/>
        <v>0.48</v>
      </c>
      <c r="D411" s="20">
        <f t="shared" ca="1" si="216"/>
        <v>0.57599999999999996</v>
      </c>
      <c r="E411" s="225"/>
      <c r="F411" s="231"/>
      <c r="G411" s="172" t="str">
        <f t="shared" ca="1" si="235"/>
        <v/>
      </c>
      <c r="H411" s="93" t="str">
        <f t="shared" ca="1" si="236"/>
        <v/>
      </c>
      <c r="I411" s="21">
        <v>1000</v>
      </c>
      <c r="J411" s="68">
        <f t="shared" si="237"/>
        <v>0.76666666666666672</v>
      </c>
      <c r="K411" s="70">
        <v>0.92</v>
      </c>
      <c r="L411" s="72">
        <f t="shared" ca="1" si="232"/>
        <v>0.22933333333333339</v>
      </c>
      <c r="M411" s="73">
        <f t="shared" ca="1" si="233"/>
        <v>229.3333333333334</v>
      </c>
      <c r="N411" s="12" t="s">
        <v>44</v>
      </c>
      <c r="O411" s="47" t="s">
        <v>45</v>
      </c>
      <c r="P411" s="13">
        <f t="shared" si="223"/>
        <v>0.92</v>
      </c>
      <c r="Q411" s="1" t="str">
        <f t="shared" si="225"/>
        <v>1000 + шт - 0,92 руб / шт с НДС</v>
      </c>
      <c r="R411" s="235"/>
      <c r="S411" s="239"/>
      <c r="T411" s="226"/>
      <c r="U411" s="228"/>
      <c r="V411" s="222"/>
      <c r="W411" s="229"/>
      <c r="X411" s="227"/>
      <c r="Y411" s="229"/>
      <c r="Z411" s="236"/>
      <c r="AA411" s="237"/>
      <c r="AB411" s="238"/>
      <c r="AC411" s="223"/>
      <c r="AD411" s="222"/>
    </row>
    <row r="412" spans="1:30" x14ac:dyDescent="0.4">
      <c r="A412" s="230">
        <v>84</v>
      </c>
      <c r="B412" s="8">
        <v>84</v>
      </c>
      <c r="C412" s="14">
        <f t="shared" ca="1" si="241"/>
        <v>0.23</v>
      </c>
      <c r="D412" s="20">
        <f t="shared" ca="1" si="216"/>
        <v>0.27600000000000002</v>
      </c>
      <c r="E412" s="224" t="str">
        <f ca="1">INDIRECT("'Закуп'!D" &amp; A412)</f>
        <v>У</v>
      </c>
      <c r="F412" s="231" t="str">
        <f t="shared" ref="F412" ca="1" si="249">INDIRECT("'Закуп'!E" &amp; B412)</f>
        <v>155х110х40</v>
      </c>
      <c r="G412" s="172" t="str">
        <f t="shared" ca="1" si="235"/>
        <v/>
      </c>
      <c r="H412" s="93" t="str">
        <f t="shared" ca="1" si="236"/>
        <v/>
      </c>
      <c r="I412" s="21">
        <v>50</v>
      </c>
      <c r="J412" s="68">
        <f t="shared" si="237"/>
        <v>0.8</v>
      </c>
      <c r="K412" s="70">
        <v>0.96</v>
      </c>
      <c r="L412" s="72">
        <f t="shared" ca="1" si="232"/>
        <v>0.45600000000000007</v>
      </c>
      <c r="M412" s="73">
        <f t="shared" ca="1" si="233"/>
        <v>22.800000000000004</v>
      </c>
      <c r="N412" s="12" t="s">
        <v>40</v>
      </c>
      <c r="O412" s="47" t="s">
        <v>45</v>
      </c>
      <c r="P412" s="13">
        <f t="shared" si="223"/>
        <v>0.96</v>
      </c>
      <c r="Q412" s="1" t="str">
        <f t="shared" si="225"/>
        <v>50-90 шт - 0,96 руб / шт с НДС</v>
      </c>
      <c r="R412" s="235" t="str">
        <f ca="1">INDIRECT("'Закуп'!k" &amp; A412)</f>
        <v>K84</v>
      </c>
      <c r="S412" s="239">
        <f ca="1">INDIRECT("'Закуп'!o" &amp; A412)</f>
        <v>0.68</v>
      </c>
      <c r="T412" s="226" t="str">
        <f ca="1">INDIRECT("'Закуп'!p" &amp; A412)</f>
        <v>0,1-0,9 литров</v>
      </c>
      <c r="U412" s="228" t="str">
        <f ca="1">INDIRECT("'Закуп'!v" &amp; A412)</f>
        <v/>
      </c>
      <c r="V412" s="222" t="str">
        <f ca="1">INDIRECT("'Закуп'!w" &amp; A412)</f>
        <v>Плоские</v>
      </c>
      <c r="W412" s="229" t="str">
        <f ca="1">INDIRECT("'Закуп'!H" &amp; A412)</f>
        <v>0427</v>
      </c>
      <c r="X412" s="227" t="str">
        <f t="shared" ref="X412" ca="1" si="250">INDIRECT("'Закуп'!g" &amp; A412)</f>
        <v>С</v>
      </c>
      <c r="Y412" s="229" t="str">
        <f ca="1">INDIRECT("'Закуп'!i" &amp; A412)</f>
        <v>Е</v>
      </c>
      <c r="Z412" s="236" t="str">
        <f ca="1">INDIRECT("'Закуп'!x" &amp; A412)</f>
        <v>100-199 мм</v>
      </c>
      <c r="AA412" s="237" t="str">
        <f ca="1">INDIRECT("'Закуп'!y" &amp; A412)</f>
        <v>100-199 мм</v>
      </c>
      <c r="AB412" s="238" t="str">
        <f ca="1">INDIRECT("'Закуп'!z" &amp; A412)</f>
        <v>10-99 мм</v>
      </c>
      <c r="AC412" s="223" t="str">
        <f t="shared" ca="1" si="221"/>
        <v>155x110x40</v>
      </c>
      <c r="AD412" s="222" t="str">
        <f t="shared" ca="1" si="246"/>
        <v>155x110x40 - 155*110*40 мм</v>
      </c>
    </row>
    <row r="413" spans="1:30" x14ac:dyDescent="0.4">
      <c r="A413" s="230"/>
      <c r="B413" s="8">
        <v>84</v>
      </c>
      <c r="C413" s="14">
        <f t="shared" ca="1" si="241"/>
        <v>0.23</v>
      </c>
      <c r="D413" s="20">
        <f t="shared" ca="1" si="216"/>
        <v>0.27600000000000002</v>
      </c>
      <c r="E413" s="225"/>
      <c r="F413" s="231"/>
      <c r="G413" s="172" t="str">
        <f t="shared" ca="1" si="235"/>
        <v/>
      </c>
      <c r="H413" s="93" t="str">
        <f t="shared" ca="1" si="236"/>
        <v/>
      </c>
      <c r="I413" s="21">
        <v>100</v>
      </c>
      <c r="J413" s="68">
        <f t="shared" si="237"/>
        <v>0.71666666666666667</v>
      </c>
      <c r="K413" s="70">
        <v>0.86</v>
      </c>
      <c r="L413" s="72">
        <f t="shared" ca="1" si="232"/>
        <v>0.38933333333333336</v>
      </c>
      <c r="M413" s="73">
        <f t="shared" ca="1" si="233"/>
        <v>38.933333333333337</v>
      </c>
      <c r="N413" s="12" t="s">
        <v>41</v>
      </c>
      <c r="O413" s="47" t="s">
        <v>45</v>
      </c>
      <c r="P413" s="13">
        <f t="shared" si="223"/>
        <v>0.86</v>
      </c>
      <c r="Q413" s="1" t="str">
        <f t="shared" si="225"/>
        <v>100-290 шт - 0,86 руб / шт с НДС</v>
      </c>
      <c r="R413" s="235"/>
      <c r="S413" s="239"/>
      <c r="T413" s="226"/>
      <c r="U413" s="228"/>
      <c r="V413" s="222"/>
      <c r="W413" s="229"/>
      <c r="X413" s="227"/>
      <c r="Y413" s="229"/>
      <c r="Z413" s="236"/>
      <c r="AA413" s="237"/>
      <c r="AB413" s="238"/>
      <c r="AC413" s="223"/>
      <c r="AD413" s="222"/>
    </row>
    <row r="414" spans="1:30" x14ac:dyDescent="0.4">
      <c r="A414" s="230"/>
      <c r="B414" s="8">
        <v>84</v>
      </c>
      <c r="C414" s="14">
        <f t="shared" ca="1" si="241"/>
        <v>0.23</v>
      </c>
      <c r="D414" s="20">
        <f t="shared" ca="1" si="216"/>
        <v>0.27600000000000002</v>
      </c>
      <c r="E414" s="225"/>
      <c r="F414" s="231"/>
      <c r="G414" s="172" t="str">
        <f t="shared" ca="1" si="235"/>
        <v/>
      </c>
      <c r="H414" s="93" t="str">
        <f t="shared" ca="1" si="236"/>
        <v/>
      </c>
      <c r="I414" s="21">
        <v>300</v>
      </c>
      <c r="J414" s="68">
        <f t="shared" si="237"/>
        <v>0.625</v>
      </c>
      <c r="K414" s="70">
        <v>0.75</v>
      </c>
      <c r="L414" s="72">
        <f t="shared" ca="1" si="232"/>
        <v>0.316</v>
      </c>
      <c r="M414" s="73">
        <f t="shared" ca="1" si="233"/>
        <v>94.8</v>
      </c>
      <c r="N414" s="12" t="s">
        <v>42</v>
      </c>
      <c r="O414" s="47" t="s">
        <v>45</v>
      </c>
      <c r="P414" s="13">
        <f t="shared" si="223"/>
        <v>0.75</v>
      </c>
      <c r="Q414" s="1" t="str">
        <f t="shared" si="225"/>
        <v>300-490 шт - 0,75 руб / шт с НДС</v>
      </c>
      <c r="R414" s="235"/>
      <c r="S414" s="239"/>
      <c r="T414" s="226"/>
      <c r="U414" s="228"/>
      <c r="V414" s="222"/>
      <c r="W414" s="229"/>
      <c r="X414" s="227"/>
      <c r="Y414" s="229"/>
      <c r="Z414" s="236"/>
      <c r="AA414" s="237"/>
      <c r="AB414" s="238"/>
      <c r="AC414" s="223"/>
      <c r="AD414" s="222"/>
    </row>
    <row r="415" spans="1:30" x14ac:dyDescent="0.4">
      <c r="A415" s="230"/>
      <c r="B415" s="8">
        <v>84</v>
      </c>
      <c r="C415" s="14">
        <f t="shared" ca="1" si="241"/>
        <v>0.23</v>
      </c>
      <c r="D415" s="20">
        <f t="shared" ca="1" si="216"/>
        <v>0.27600000000000002</v>
      </c>
      <c r="E415" s="225"/>
      <c r="F415" s="231"/>
      <c r="G415" s="172" t="str">
        <f t="shared" ca="1" si="235"/>
        <v/>
      </c>
      <c r="H415" s="93" t="str">
        <f t="shared" ca="1" si="236"/>
        <v/>
      </c>
      <c r="I415" s="21">
        <v>500</v>
      </c>
      <c r="J415" s="68">
        <f t="shared" si="237"/>
        <v>0.53333333333333333</v>
      </c>
      <c r="K415" s="70">
        <v>0.64</v>
      </c>
      <c r="L415" s="72">
        <f t="shared" ca="1" si="232"/>
        <v>0.24266666666666667</v>
      </c>
      <c r="M415" s="73">
        <f t="shared" ca="1" si="233"/>
        <v>121.33333333333333</v>
      </c>
      <c r="N415" s="12" t="s">
        <v>43</v>
      </c>
      <c r="O415" s="47" t="s">
        <v>45</v>
      </c>
      <c r="P415" s="13">
        <f t="shared" si="223"/>
        <v>0.64</v>
      </c>
      <c r="Q415" s="1" t="str">
        <f t="shared" si="225"/>
        <v>500-990 шт - 0,64 руб / шт с НДС</v>
      </c>
      <c r="R415" s="235"/>
      <c r="S415" s="239"/>
      <c r="T415" s="226"/>
      <c r="U415" s="228"/>
      <c r="V415" s="222"/>
      <c r="W415" s="229"/>
      <c r="X415" s="227"/>
      <c r="Y415" s="229"/>
      <c r="Z415" s="236"/>
      <c r="AA415" s="237"/>
      <c r="AB415" s="238"/>
      <c r="AC415" s="223"/>
      <c r="AD415" s="222"/>
    </row>
    <row r="416" spans="1:30" x14ac:dyDescent="0.4">
      <c r="A416" s="230"/>
      <c r="B416" s="8">
        <v>84</v>
      </c>
      <c r="C416" s="14">
        <f t="shared" ca="1" si="241"/>
        <v>0.23</v>
      </c>
      <c r="D416" s="20">
        <f t="shared" ca="1" si="216"/>
        <v>0.27600000000000002</v>
      </c>
      <c r="E416" s="225"/>
      <c r="F416" s="231"/>
      <c r="G416" s="172" t="str">
        <f t="shared" ca="1" si="235"/>
        <v/>
      </c>
      <c r="H416" s="93" t="str">
        <f t="shared" ca="1" si="236"/>
        <v/>
      </c>
      <c r="I416" s="21">
        <v>1000</v>
      </c>
      <c r="J416" s="68">
        <f t="shared" si="237"/>
        <v>0.45000000000000007</v>
      </c>
      <c r="K416" s="70">
        <v>0.54</v>
      </c>
      <c r="L416" s="72">
        <f t="shared" ca="1" si="232"/>
        <v>0.17600000000000005</v>
      </c>
      <c r="M416" s="73">
        <f t="shared" ca="1" si="233"/>
        <v>176.00000000000006</v>
      </c>
      <c r="N416" s="12" t="s">
        <v>44</v>
      </c>
      <c r="O416" s="47" t="s">
        <v>45</v>
      </c>
      <c r="P416" s="13">
        <f t="shared" si="223"/>
        <v>0.54</v>
      </c>
      <c r="Q416" s="1" t="str">
        <f t="shared" si="225"/>
        <v>1000 + шт - 0,54 руб / шт с НДС</v>
      </c>
      <c r="R416" s="235"/>
      <c r="S416" s="239"/>
      <c r="T416" s="226"/>
      <c r="U416" s="228"/>
      <c r="V416" s="222"/>
      <c r="W416" s="229"/>
      <c r="X416" s="227"/>
      <c r="Y416" s="229"/>
      <c r="Z416" s="236"/>
      <c r="AA416" s="237"/>
      <c r="AB416" s="238"/>
      <c r="AC416" s="223"/>
      <c r="AD416" s="222"/>
    </row>
    <row r="417" spans="1:30" x14ac:dyDescent="0.4">
      <c r="A417" s="230">
        <v>85</v>
      </c>
      <c r="B417" s="8">
        <v>85</v>
      </c>
      <c r="C417" s="14">
        <f t="shared" ca="1" si="241"/>
        <v>0.2</v>
      </c>
      <c r="D417" s="20">
        <f t="shared" ref="D417:D480" ca="1" si="251">C417*1.2</f>
        <v>0.24</v>
      </c>
      <c r="E417" s="224" t="str">
        <f ca="1">INDIRECT("'Закуп'!D" &amp; A417)</f>
        <v>У</v>
      </c>
      <c r="F417" s="231" t="str">
        <f t="shared" ref="F417" ca="1" si="252">INDIRECT("'Закуп'!E" &amp; B417)</f>
        <v>60х60х210</v>
      </c>
      <c r="G417" s="172" t="str">
        <f t="shared" ca="1" si="235"/>
        <v/>
      </c>
      <c r="H417" s="93" t="str">
        <f t="shared" ca="1" si="236"/>
        <v/>
      </c>
      <c r="I417" s="21">
        <v>50</v>
      </c>
      <c r="J417" s="68">
        <f t="shared" si="237"/>
        <v>0.8</v>
      </c>
      <c r="K417" s="70">
        <v>0.96</v>
      </c>
      <c r="L417" s="72">
        <f t="shared" ca="1" si="232"/>
        <v>0.48000000000000009</v>
      </c>
      <c r="M417" s="73">
        <f t="shared" ca="1" si="233"/>
        <v>24.000000000000004</v>
      </c>
      <c r="N417" s="12" t="s">
        <v>40</v>
      </c>
      <c r="O417" s="47" t="s">
        <v>45</v>
      </c>
      <c r="P417" s="13">
        <f t="shared" si="223"/>
        <v>0.96</v>
      </c>
      <c r="Q417" s="1" t="str">
        <f t="shared" si="225"/>
        <v>50-90 шт - 0,96 руб / шт с НДС</v>
      </c>
      <c r="R417" s="235" t="str">
        <f ca="1">INDIRECT("'Закуп'!k" &amp; A417)</f>
        <v>K85</v>
      </c>
      <c r="S417" s="239">
        <f ca="1">INDIRECT("'Закуп'!o" &amp; A417)</f>
        <v>0.76</v>
      </c>
      <c r="T417" s="226" t="str">
        <f ca="1">INDIRECT("'Закуп'!p" &amp; A417)</f>
        <v>0,1-0,9 литров</v>
      </c>
      <c r="U417" s="228" t="str">
        <f ca="1">INDIRECT("'Закуп'!v" &amp; A417)</f>
        <v>Длинные</v>
      </c>
      <c r="V417" s="222" t="str">
        <f ca="1">INDIRECT("'Закуп'!w" &amp; A417)</f>
        <v/>
      </c>
      <c r="W417" s="229" t="str">
        <f ca="1">INDIRECT("'Закуп'!H" &amp; A417)</f>
        <v>0215</v>
      </c>
      <c r="X417" s="227" t="str">
        <f t="shared" ref="X417" ca="1" si="253">INDIRECT("'Закуп'!g" &amp; A417)</f>
        <v>С</v>
      </c>
      <c r="Y417" s="229" t="str">
        <f ca="1">INDIRECT("'Закуп'!i" &amp; A417)</f>
        <v>Е</v>
      </c>
      <c r="Z417" s="236" t="str">
        <f ca="1">INDIRECT("'Закуп'!x" &amp; A417)</f>
        <v>200-299 мм</v>
      </c>
      <c r="AA417" s="237" t="str">
        <f ca="1">INDIRECT("'Закуп'!y" &amp; A417)</f>
        <v>10-99 мм</v>
      </c>
      <c r="AB417" s="238" t="str">
        <f ca="1">INDIRECT("'Закуп'!z" &amp; A417)</f>
        <v>10-99 мм</v>
      </c>
      <c r="AC417" s="223" t="str">
        <f t="shared" ca="1" si="221"/>
        <v>60x60x210</v>
      </c>
      <c r="AD417" s="222" t="str">
        <f t="shared" ca="1" si="246"/>
        <v>60x60x210 - 60*60*210 мм</v>
      </c>
    </row>
    <row r="418" spans="1:30" x14ac:dyDescent="0.4">
      <c r="A418" s="230"/>
      <c r="B418" s="8">
        <v>85</v>
      </c>
      <c r="C418" s="14">
        <f t="shared" ca="1" si="241"/>
        <v>0.2</v>
      </c>
      <c r="D418" s="20">
        <f t="shared" ca="1" si="251"/>
        <v>0.24</v>
      </c>
      <c r="E418" s="225"/>
      <c r="F418" s="231"/>
      <c r="G418" s="172" t="str">
        <f t="shared" ca="1" si="235"/>
        <v/>
      </c>
      <c r="H418" s="93" t="str">
        <f t="shared" ca="1" si="236"/>
        <v/>
      </c>
      <c r="I418" s="21">
        <v>100</v>
      </c>
      <c r="J418" s="68">
        <f t="shared" si="237"/>
        <v>0.69166666666666665</v>
      </c>
      <c r="K418" s="70">
        <v>0.83</v>
      </c>
      <c r="L418" s="72">
        <f t="shared" ca="1" si="232"/>
        <v>0.39333333333333331</v>
      </c>
      <c r="M418" s="73">
        <f t="shared" ca="1" si="233"/>
        <v>39.333333333333329</v>
      </c>
      <c r="N418" s="12" t="s">
        <v>41</v>
      </c>
      <c r="O418" s="47" t="s">
        <v>45</v>
      </c>
      <c r="P418" s="13">
        <f t="shared" si="223"/>
        <v>0.83</v>
      </c>
      <c r="Q418" s="1" t="str">
        <f t="shared" si="225"/>
        <v>100-290 шт - 0,83 руб / шт с НДС</v>
      </c>
      <c r="R418" s="235"/>
      <c r="S418" s="239"/>
      <c r="T418" s="226"/>
      <c r="U418" s="228"/>
      <c r="V418" s="222"/>
      <c r="W418" s="229"/>
      <c r="X418" s="227"/>
      <c r="Y418" s="229"/>
      <c r="Z418" s="236"/>
      <c r="AA418" s="237"/>
      <c r="AB418" s="238"/>
      <c r="AC418" s="223"/>
      <c r="AD418" s="222"/>
    </row>
    <row r="419" spans="1:30" x14ac:dyDescent="0.4">
      <c r="A419" s="230"/>
      <c r="B419" s="8">
        <v>85</v>
      </c>
      <c r="C419" s="14">
        <f t="shared" ca="1" si="241"/>
        <v>0.2</v>
      </c>
      <c r="D419" s="20">
        <f t="shared" ca="1" si="251"/>
        <v>0.24</v>
      </c>
      <c r="E419" s="225"/>
      <c r="F419" s="231"/>
      <c r="G419" s="172" t="str">
        <f t="shared" ca="1" si="235"/>
        <v/>
      </c>
      <c r="H419" s="93" t="str">
        <f t="shared" ca="1" si="236"/>
        <v/>
      </c>
      <c r="I419" s="21">
        <v>300</v>
      </c>
      <c r="J419" s="68">
        <f t="shared" si="237"/>
        <v>0.6</v>
      </c>
      <c r="K419" s="70">
        <v>0.72</v>
      </c>
      <c r="L419" s="72">
        <f t="shared" ca="1" si="232"/>
        <v>0.31999999999999995</v>
      </c>
      <c r="M419" s="73">
        <f t="shared" ca="1" si="233"/>
        <v>95.999999999999986</v>
      </c>
      <c r="N419" s="12" t="s">
        <v>42</v>
      </c>
      <c r="O419" s="47" t="s">
        <v>45</v>
      </c>
      <c r="P419" s="13">
        <f t="shared" si="223"/>
        <v>0.72</v>
      </c>
      <c r="Q419" s="1" t="str">
        <f t="shared" si="225"/>
        <v>300-490 шт - 0,72 руб / шт с НДС</v>
      </c>
      <c r="R419" s="235"/>
      <c r="S419" s="239"/>
      <c r="T419" s="226"/>
      <c r="U419" s="228"/>
      <c r="V419" s="222"/>
      <c r="W419" s="229"/>
      <c r="X419" s="227"/>
      <c r="Y419" s="229"/>
      <c r="Z419" s="236"/>
      <c r="AA419" s="237"/>
      <c r="AB419" s="238"/>
      <c r="AC419" s="223"/>
      <c r="AD419" s="222"/>
    </row>
    <row r="420" spans="1:30" x14ac:dyDescent="0.4">
      <c r="A420" s="230"/>
      <c r="B420" s="8">
        <v>85</v>
      </c>
      <c r="C420" s="14">
        <f t="shared" ca="1" si="241"/>
        <v>0.2</v>
      </c>
      <c r="D420" s="20">
        <f t="shared" ca="1" si="251"/>
        <v>0.24</v>
      </c>
      <c r="E420" s="225"/>
      <c r="F420" s="231"/>
      <c r="G420" s="172" t="str">
        <f t="shared" ca="1" si="235"/>
        <v/>
      </c>
      <c r="H420" s="93" t="str">
        <f t="shared" ca="1" si="236"/>
        <v/>
      </c>
      <c r="I420" s="21">
        <v>500</v>
      </c>
      <c r="J420" s="68">
        <f t="shared" si="237"/>
        <v>0.54166666666666674</v>
      </c>
      <c r="K420" s="70">
        <v>0.65</v>
      </c>
      <c r="L420" s="72">
        <f t="shared" ca="1" si="232"/>
        <v>0.27333333333333337</v>
      </c>
      <c r="M420" s="73">
        <f t="shared" ca="1" si="233"/>
        <v>136.66666666666669</v>
      </c>
      <c r="N420" s="12" t="s">
        <v>43</v>
      </c>
      <c r="O420" s="47" t="s">
        <v>45</v>
      </c>
      <c r="P420" s="13">
        <f t="shared" si="223"/>
        <v>0.65</v>
      </c>
      <c r="Q420" s="1" t="str">
        <f t="shared" si="225"/>
        <v>500-990 шт - 0,65 руб / шт с НДС</v>
      </c>
      <c r="R420" s="235"/>
      <c r="S420" s="239"/>
      <c r="T420" s="226"/>
      <c r="U420" s="228"/>
      <c r="V420" s="222"/>
      <c r="W420" s="229"/>
      <c r="X420" s="227"/>
      <c r="Y420" s="229"/>
      <c r="Z420" s="236"/>
      <c r="AA420" s="237"/>
      <c r="AB420" s="238"/>
      <c r="AC420" s="223"/>
      <c r="AD420" s="222"/>
    </row>
    <row r="421" spans="1:30" x14ac:dyDescent="0.4">
      <c r="A421" s="230"/>
      <c r="B421" s="8">
        <v>85</v>
      </c>
      <c r="C421" s="14">
        <f t="shared" ca="1" si="241"/>
        <v>0.2</v>
      </c>
      <c r="D421" s="20">
        <f t="shared" ca="1" si="251"/>
        <v>0.24</v>
      </c>
      <c r="E421" s="225"/>
      <c r="F421" s="231"/>
      <c r="G421" s="172" t="str">
        <f t="shared" ca="1" si="235"/>
        <v/>
      </c>
      <c r="H421" s="93" t="str">
        <f t="shared" ca="1" si="236"/>
        <v/>
      </c>
      <c r="I421" s="21">
        <v>1000</v>
      </c>
      <c r="J421" s="68">
        <f t="shared" si="237"/>
        <v>0.49166666666666664</v>
      </c>
      <c r="K421" s="70">
        <v>0.59</v>
      </c>
      <c r="L421" s="72">
        <f t="shared" ca="1" si="232"/>
        <v>0.23333333333333331</v>
      </c>
      <c r="M421" s="73">
        <f t="shared" ca="1" si="233"/>
        <v>233.33333333333331</v>
      </c>
      <c r="N421" s="12" t="s">
        <v>44</v>
      </c>
      <c r="O421" s="47" t="s">
        <v>45</v>
      </c>
      <c r="P421" s="13">
        <f t="shared" si="223"/>
        <v>0.59</v>
      </c>
      <c r="Q421" s="1" t="str">
        <f t="shared" si="225"/>
        <v>1000 + шт - 0,59 руб / шт с НДС</v>
      </c>
      <c r="R421" s="235"/>
      <c r="S421" s="239"/>
      <c r="T421" s="226"/>
      <c r="U421" s="228"/>
      <c r="V421" s="222"/>
      <c r="W421" s="229"/>
      <c r="X421" s="227"/>
      <c r="Y421" s="229"/>
      <c r="Z421" s="236"/>
      <c r="AA421" s="237"/>
      <c r="AB421" s="238"/>
      <c r="AC421" s="223"/>
      <c r="AD421" s="222"/>
    </row>
    <row r="422" spans="1:30" x14ac:dyDescent="0.4">
      <c r="A422" s="230">
        <v>86</v>
      </c>
      <c r="B422" s="8">
        <v>86</v>
      </c>
      <c r="C422" s="14">
        <f t="shared" ca="1" si="241"/>
        <v>0.46</v>
      </c>
      <c r="D422" s="20">
        <f t="shared" ca="1" si="251"/>
        <v>0.55200000000000005</v>
      </c>
      <c r="E422" s="224" t="str">
        <f ca="1">INDIRECT("'Закуп'!D" &amp; A422)</f>
        <v>У</v>
      </c>
      <c r="F422" s="231" t="str">
        <f t="shared" ref="F422" ca="1" si="254">INDIRECT("'Закуп'!E" &amp; B422)</f>
        <v>250х250х55</v>
      </c>
      <c r="G422" s="172" t="str">
        <f t="shared" ca="1" si="235"/>
        <v/>
      </c>
      <c r="H422" s="93" t="str">
        <f t="shared" ca="1" si="236"/>
        <v/>
      </c>
      <c r="I422" s="21">
        <v>50</v>
      </c>
      <c r="J422" s="68">
        <f t="shared" si="237"/>
        <v>1.1416666666666668</v>
      </c>
      <c r="K422" s="70">
        <v>1.37</v>
      </c>
      <c r="L422" s="72">
        <f t="shared" ca="1" si="232"/>
        <v>0.54533333333333345</v>
      </c>
      <c r="M422" s="73">
        <f t="shared" ca="1" si="233"/>
        <v>27.266666666666673</v>
      </c>
      <c r="N422" s="12" t="s">
        <v>40</v>
      </c>
      <c r="O422" s="47" t="s">
        <v>45</v>
      </c>
      <c r="P422" s="13">
        <f t="shared" si="223"/>
        <v>1.37</v>
      </c>
      <c r="Q422" s="1" t="str">
        <f t="shared" si="225"/>
        <v>50-90 шт - 1,37 руб / шт с НДС</v>
      </c>
      <c r="R422" s="235" t="str">
        <f ca="1">INDIRECT("'Закуп'!k" &amp; A422)</f>
        <v>K86</v>
      </c>
      <c r="S422" s="239">
        <f ca="1">INDIRECT("'Закуп'!o" &amp; A422)</f>
        <v>3.44</v>
      </c>
      <c r="T422" s="226" t="str">
        <f ca="1">INDIRECT("'Закуп'!p" &amp; A422)</f>
        <v>3-3,9 литра</v>
      </c>
      <c r="U422" s="228" t="str">
        <f ca="1">INDIRECT("'Закуп'!v" &amp; A422)</f>
        <v/>
      </c>
      <c r="V422" s="222" t="str">
        <f ca="1">INDIRECT("'Закуп'!w" &amp; A422)</f>
        <v>Плоские</v>
      </c>
      <c r="W422" s="229" t="str">
        <f ca="1">INDIRECT("'Закуп'!H" &amp; A422)</f>
        <v>0426</v>
      </c>
      <c r="X422" s="227" t="str">
        <f t="shared" ref="X422" ca="1" si="255">INDIRECT("'Закуп'!g" &amp; A422)</f>
        <v>С</v>
      </c>
      <c r="Y422" s="229" t="str">
        <f ca="1">INDIRECT("'Закуп'!i" &amp; A422)</f>
        <v>В</v>
      </c>
      <c r="Z422" s="236" t="str">
        <f ca="1">INDIRECT("'Закуп'!x" &amp; A422)</f>
        <v>200-299 мм</v>
      </c>
      <c r="AA422" s="237" t="str">
        <f ca="1">INDIRECT("'Закуп'!y" &amp; A422)</f>
        <v>200-299 мм</v>
      </c>
      <c r="AB422" s="238" t="str">
        <f ca="1">INDIRECT("'Закуп'!z" &amp; A422)</f>
        <v>10-99 мм</v>
      </c>
      <c r="AC422" s="223" t="str">
        <f t="shared" ca="1" si="221"/>
        <v>250x250x55</v>
      </c>
      <c r="AD422" s="222" t="str">
        <f t="shared" ca="1" si="246"/>
        <v>250x250x55 - 250*250*55 мм</v>
      </c>
    </row>
    <row r="423" spans="1:30" x14ac:dyDescent="0.4">
      <c r="A423" s="230"/>
      <c r="B423" s="8">
        <v>86</v>
      </c>
      <c r="C423" s="14">
        <f t="shared" ca="1" si="241"/>
        <v>0.46</v>
      </c>
      <c r="D423" s="20">
        <f t="shared" ca="1" si="251"/>
        <v>0.55200000000000005</v>
      </c>
      <c r="E423" s="225"/>
      <c r="F423" s="231"/>
      <c r="G423" s="172" t="str">
        <f t="shared" ca="1" si="235"/>
        <v/>
      </c>
      <c r="H423" s="93" t="str">
        <f t="shared" ca="1" si="236"/>
        <v/>
      </c>
      <c r="I423" s="21">
        <v>100</v>
      </c>
      <c r="J423" s="68">
        <f t="shared" si="237"/>
        <v>1.0166666666666666</v>
      </c>
      <c r="K423" s="70">
        <v>1.22</v>
      </c>
      <c r="L423" s="72">
        <f t="shared" ca="1" si="232"/>
        <v>0.4453333333333333</v>
      </c>
      <c r="M423" s="73">
        <f t="shared" ca="1" si="233"/>
        <v>44.533333333333331</v>
      </c>
      <c r="N423" s="12" t="s">
        <v>41</v>
      </c>
      <c r="O423" s="47" t="s">
        <v>45</v>
      </c>
      <c r="P423" s="13">
        <f t="shared" si="223"/>
        <v>1.22</v>
      </c>
      <c r="Q423" s="1" t="str">
        <f t="shared" si="225"/>
        <v>100-290 шт - 1,22 руб / шт с НДС</v>
      </c>
      <c r="R423" s="235"/>
      <c r="S423" s="239"/>
      <c r="T423" s="226"/>
      <c r="U423" s="228"/>
      <c r="V423" s="222"/>
      <c r="W423" s="229"/>
      <c r="X423" s="227"/>
      <c r="Y423" s="229"/>
      <c r="Z423" s="236"/>
      <c r="AA423" s="237"/>
      <c r="AB423" s="238"/>
      <c r="AC423" s="223"/>
      <c r="AD423" s="222"/>
    </row>
    <row r="424" spans="1:30" x14ac:dyDescent="0.4">
      <c r="A424" s="230"/>
      <c r="B424" s="8">
        <v>86</v>
      </c>
      <c r="C424" s="14">
        <f t="shared" ca="1" si="241"/>
        <v>0.46</v>
      </c>
      <c r="D424" s="20">
        <f t="shared" ca="1" si="251"/>
        <v>0.55200000000000005</v>
      </c>
      <c r="E424" s="225"/>
      <c r="F424" s="231"/>
      <c r="G424" s="172" t="str">
        <f t="shared" ca="1" si="235"/>
        <v/>
      </c>
      <c r="H424" s="93" t="str">
        <f t="shared" ca="1" si="236"/>
        <v/>
      </c>
      <c r="I424" s="21">
        <v>300</v>
      </c>
      <c r="J424" s="68">
        <f t="shared" si="237"/>
        <v>0.91666666666666674</v>
      </c>
      <c r="K424" s="70">
        <v>1.1000000000000001</v>
      </c>
      <c r="L424" s="72">
        <f t="shared" ca="1" si="232"/>
        <v>0.3653333333333334</v>
      </c>
      <c r="M424" s="73">
        <f t="shared" ca="1" si="233"/>
        <v>109.60000000000002</v>
      </c>
      <c r="N424" s="12" t="s">
        <v>42</v>
      </c>
      <c r="O424" s="47" t="s">
        <v>45</v>
      </c>
      <c r="P424" s="13">
        <f t="shared" si="223"/>
        <v>1.1000000000000001</v>
      </c>
      <c r="Q424" s="1" t="str">
        <f t="shared" si="225"/>
        <v>300-490 шт - 1,1 руб / шт с НДС</v>
      </c>
      <c r="R424" s="235"/>
      <c r="S424" s="239"/>
      <c r="T424" s="226"/>
      <c r="U424" s="228"/>
      <c r="V424" s="222"/>
      <c r="W424" s="229"/>
      <c r="X424" s="227"/>
      <c r="Y424" s="229"/>
      <c r="Z424" s="236"/>
      <c r="AA424" s="237"/>
      <c r="AB424" s="238"/>
      <c r="AC424" s="223"/>
      <c r="AD424" s="222"/>
    </row>
    <row r="425" spans="1:30" x14ac:dyDescent="0.4">
      <c r="A425" s="230"/>
      <c r="B425" s="8">
        <v>86</v>
      </c>
      <c r="C425" s="14">
        <f t="shared" ca="1" si="241"/>
        <v>0.46</v>
      </c>
      <c r="D425" s="20">
        <f t="shared" ca="1" si="251"/>
        <v>0.55200000000000005</v>
      </c>
      <c r="E425" s="225"/>
      <c r="F425" s="231"/>
      <c r="G425" s="172" t="str">
        <f t="shared" ca="1" si="235"/>
        <v/>
      </c>
      <c r="H425" s="93" t="str">
        <f t="shared" ca="1" si="236"/>
        <v/>
      </c>
      <c r="I425" s="21">
        <v>500</v>
      </c>
      <c r="J425" s="68">
        <f t="shared" si="237"/>
        <v>0.87500000000000011</v>
      </c>
      <c r="K425" s="70">
        <v>1.05</v>
      </c>
      <c r="L425" s="72">
        <f t="shared" ca="1" si="232"/>
        <v>0.33200000000000007</v>
      </c>
      <c r="M425" s="73">
        <f t="shared" ca="1" si="233"/>
        <v>166.00000000000003</v>
      </c>
      <c r="N425" s="12" t="s">
        <v>43</v>
      </c>
      <c r="O425" s="47" t="s">
        <v>45</v>
      </c>
      <c r="P425" s="13">
        <f t="shared" si="223"/>
        <v>1.05</v>
      </c>
      <c r="Q425" s="1" t="str">
        <f t="shared" si="225"/>
        <v>500-990 шт - 1,05 руб / шт с НДС</v>
      </c>
      <c r="R425" s="235"/>
      <c r="S425" s="239"/>
      <c r="T425" s="226"/>
      <c r="U425" s="228"/>
      <c r="V425" s="222"/>
      <c r="W425" s="229"/>
      <c r="X425" s="227"/>
      <c r="Y425" s="229"/>
      <c r="Z425" s="236"/>
      <c r="AA425" s="237"/>
      <c r="AB425" s="238"/>
      <c r="AC425" s="223"/>
      <c r="AD425" s="222"/>
    </row>
    <row r="426" spans="1:30" x14ac:dyDescent="0.4">
      <c r="A426" s="230"/>
      <c r="B426" s="8">
        <v>86</v>
      </c>
      <c r="C426" s="14">
        <f t="shared" ca="1" si="241"/>
        <v>0.46</v>
      </c>
      <c r="D426" s="20">
        <f t="shared" ca="1" si="251"/>
        <v>0.55200000000000005</v>
      </c>
      <c r="E426" s="225"/>
      <c r="F426" s="231"/>
      <c r="G426" s="172" t="str">
        <f t="shared" ca="1" si="235"/>
        <v/>
      </c>
      <c r="H426" s="93" t="str">
        <f t="shared" ca="1" si="236"/>
        <v/>
      </c>
      <c r="I426" s="21">
        <v>1000</v>
      </c>
      <c r="J426" s="68">
        <f t="shared" si="237"/>
        <v>0.80833333333333335</v>
      </c>
      <c r="K426" s="70">
        <v>0.97</v>
      </c>
      <c r="L426" s="72">
        <f t="shared" ca="1" si="232"/>
        <v>0.27866666666666667</v>
      </c>
      <c r="M426" s="73">
        <f t="shared" ca="1" si="233"/>
        <v>278.66666666666669</v>
      </c>
      <c r="N426" s="12" t="s">
        <v>44</v>
      </c>
      <c r="O426" s="47" t="s">
        <v>45</v>
      </c>
      <c r="P426" s="13">
        <f t="shared" si="223"/>
        <v>0.97</v>
      </c>
      <c r="Q426" s="1" t="str">
        <f t="shared" si="225"/>
        <v>1000 + шт - 0,97 руб / шт с НДС</v>
      </c>
      <c r="R426" s="235"/>
      <c r="S426" s="239"/>
      <c r="T426" s="226"/>
      <c r="U426" s="228"/>
      <c r="V426" s="222"/>
      <c r="W426" s="229"/>
      <c r="X426" s="227"/>
      <c r="Y426" s="229"/>
      <c r="Z426" s="236"/>
      <c r="AA426" s="237"/>
      <c r="AB426" s="238"/>
      <c r="AC426" s="223"/>
      <c r="AD426" s="222"/>
    </row>
    <row r="427" spans="1:30" x14ac:dyDescent="0.4">
      <c r="A427" s="230">
        <v>87</v>
      </c>
      <c r="B427" s="8">
        <v>87</v>
      </c>
      <c r="C427" s="14">
        <f t="shared" ca="1" si="241"/>
        <v>0.69</v>
      </c>
      <c r="D427" s="20">
        <f t="shared" ca="1" si="251"/>
        <v>0.82799999999999996</v>
      </c>
      <c r="E427" s="224" t="str">
        <f ca="1">INDIRECT("'Закуп'!D" &amp; A427)</f>
        <v>У</v>
      </c>
      <c r="F427" s="231" t="str">
        <f t="shared" ref="F427" ca="1" si="256">INDIRECT("'Закуп'!E" &amp; B427)</f>
        <v>370х280х60</v>
      </c>
      <c r="G427" s="172" t="str">
        <f t="shared" ca="1" si="235"/>
        <v/>
      </c>
      <c r="H427" s="93" t="str">
        <f t="shared" ca="1" si="236"/>
        <v/>
      </c>
      <c r="I427" s="21">
        <v>50</v>
      </c>
      <c r="J427" s="68">
        <f t="shared" si="237"/>
        <v>1.625</v>
      </c>
      <c r="K427" s="70">
        <v>1.95</v>
      </c>
      <c r="L427" s="72">
        <f t="shared" ca="1" si="232"/>
        <v>0.748</v>
      </c>
      <c r="M427" s="73">
        <f t="shared" ca="1" si="233"/>
        <v>37.4</v>
      </c>
      <c r="N427" s="12" t="s">
        <v>40</v>
      </c>
      <c r="O427" s="47" t="s">
        <v>45</v>
      </c>
      <c r="P427" s="13">
        <f t="shared" si="223"/>
        <v>1.95</v>
      </c>
      <c r="Q427" s="1" t="str">
        <f t="shared" si="225"/>
        <v>50-90 шт - 1,95 руб / шт с НДС</v>
      </c>
      <c r="R427" s="235" t="str">
        <f ca="1">INDIRECT("'Закуп'!k" &amp; A427)</f>
        <v>K87</v>
      </c>
      <c r="S427" s="239">
        <f ca="1">INDIRECT("'Закуп'!o" &amp; A427)</f>
        <v>6.22</v>
      </c>
      <c r="T427" s="226" t="str">
        <f ca="1">INDIRECT("'Закуп'!p" &amp; A427)</f>
        <v>6-7,9 литра</v>
      </c>
      <c r="U427" s="228" t="str">
        <f ca="1">INDIRECT("'Закуп'!v" &amp; A427)</f>
        <v/>
      </c>
      <c r="V427" s="222" t="str">
        <f ca="1">INDIRECT("'Закуп'!w" &amp; A427)</f>
        <v>Плоские</v>
      </c>
      <c r="W427" s="229" t="str">
        <f ca="1">INDIRECT("'Закуп'!H" &amp; A427)</f>
        <v>0426</v>
      </c>
      <c r="X427" s="227" t="str">
        <f t="shared" ref="X427" ca="1" si="257">INDIRECT("'Закуп'!g" &amp; A427)</f>
        <v>С</v>
      </c>
      <c r="Y427" s="229" t="str">
        <f ca="1">INDIRECT("'Закуп'!i" &amp; A427)</f>
        <v>В</v>
      </c>
      <c r="Z427" s="236" t="str">
        <f ca="1">INDIRECT("'Закуп'!x" &amp; A427)</f>
        <v>300-399 мм</v>
      </c>
      <c r="AA427" s="237" t="str">
        <f ca="1">INDIRECT("'Закуп'!y" &amp; A427)</f>
        <v>200-299 мм</v>
      </c>
      <c r="AB427" s="238" t="str">
        <f ca="1">INDIRECT("'Закуп'!z" &amp; A427)</f>
        <v>10-99 мм</v>
      </c>
      <c r="AC427" s="223" t="str">
        <f t="shared" ref="AC427:AC487" ca="1" si="258">SUBSTITUTE(INDEX(F:F, ROUNDUP((ROW(A426))/5,0)*5 - 3), "х", "x")</f>
        <v>370x280x60</v>
      </c>
      <c r="AD427" s="222" t="str">
        <f t="shared" ca="1" si="246"/>
        <v>370x280x60 - 370*280*60 мм</v>
      </c>
    </row>
    <row r="428" spans="1:30" x14ac:dyDescent="0.4">
      <c r="A428" s="230"/>
      <c r="B428" s="8">
        <v>87</v>
      </c>
      <c r="C428" s="14">
        <f t="shared" ca="1" si="241"/>
        <v>0.69</v>
      </c>
      <c r="D428" s="20">
        <f t="shared" ca="1" si="251"/>
        <v>0.82799999999999996</v>
      </c>
      <c r="E428" s="225"/>
      <c r="F428" s="231"/>
      <c r="G428" s="172" t="str">
        <f t="shared" ca="1" si="235"/>
        <v/>
      </c>
      <c r="H428" s="93" t="str">
        <f t="shared" ca="1" si="236"/>
        <v/>
      </c>
      <c r="I428" s="21">
        <v>100</v>
      </c>
      <c r="J428" s="68">
        <f t="shared" si="237"/>
        <v>1.4833333333333334</v>
      </c>
      <c r="K428" s="70">
        <v>1.78</v>
      </c>
      <c r="L428" s="72">
        <f t="shared" ca="1" si="232"/>
        <v>0.63466666666666671</v>
      </c>
      <c r="M428" s="73">
        <f t="shared" ca="1" si="233"/>
        <v>63.466666666666669</v>
      </c>
      <c r="N428" s="12" t="s">
        <v>41</v>
      </c>
      <c r="O428" s="47" t="s">
        <v>45</v>
      </c>
      <c r="P428" s="13">
        <f t="shared" si="223"/>
        <v>1.78</v>
      </c>
      <c r="Q428" s="1" t="str">
        <f t="shared" si="225"/>
        <v>100-290 шт - 1,78 руб / шт с НДС</v>
      </c>
      <c r="R428" s="235"/>
      <c r="S428" s="239"/>
      <c r="T428" s="226"/>
      <c r="U428" s="228"/>
      <c r="V428" s="222"/>
      <c r="W428" s="229"/>
      <c r="X428" s="227"/>
      <c r="Y428" s="229"/>
      <c r="Z428" s="236"/>
      <c r="AA428" s="237"/>
      <c r="AB428" s="238"/>
      <c r="AC428" s="223"/>
      <c r="AD428" s="222"/>
    </row>
    <row r="429" spans="1:30" x14ac:dyDescent="0.4">
      <c r="A429" s="230"/>
      <c r="B429" s="8">
        <v>87</v>
      </c>
      <c r="C429" s="14">
        <f t="shared" ca="1" si="241"/>
        <v>0.69</v>
      </c>
      <c r="D429" s="20">
        <f t="shared" ca="1" si="251"/>
        <v>0.82799999999999996</v>
      </c>
      <c r="E429" s="225"/>
      <c r="F429" s="231"/>
      <c r="G429" s="172" t="str">
        <f t="shared" ca="1" si="235"/>
        <v/>
      </c>
      <c r="H429" s="93" t="str">
        <f t="shared" ca="1" si="236"/>
        <v/>
      </c>
      <c r="I429" s="21">
        <v>300</v>
      </c>
      <c r="J429" s="68">
        <f t="shared" si="237"/>
        <v>1.1666666666666667</v>
      </c>
      <c r="K429" s="70">
        <v>1.4</v>
      </c>
      <c r="L429" s="72">
        <f t="shared" ca="1" si="232"/>
        <v>0.38133333333333341</v>
      </c>
      <c r="M429" s="73">
        <f t="shared" ca="1" si="233"/>
        <v>114.40000000000002</v>
      </c>
      <c r="N429" s="12" t="s">
        <v>42</v>
      </c>
      <c r="O429" s="47" t="s">
        <v>45</v>
      </c>
      <c r="P429" s="13">
        <f t="shared" si="223"/>
        <v>1.4</v>
      </c>
      <c r="Q429" s="1" t="str">
        <f t="shared" si="225"/>
        <v>300-490 шт - 1,4 руб / шт с НДС</v>
      </c>
      <c r="R429" s="235"/>
      <c r="S429" s="239"/>
      <c r="T429" s="226"/>
      <c r="U429" s="228"/>
      <c r="V429" s="222"/>
      <c r="W429" s="229"/>
      <c r="X429" s="227"/>
      <c r="Y429" s="229"/>
      <c r="Z429" s="236"/>
      <c r="AA429" s="237"/>
      <c r="AB429" s="238"/>
      <c r="AC429" s="223"/>
      <c r="AD429" s="222"/>
    </row>
    <row r="430" spans="1:30" x14ac:dyDescent="0.4">
      <c r="A430" s="230"/>
      <c r="B430" s="8">
        <v>87</v>
      </c>
      <c r="C430" s="14">
        <f t="shared" ca="1" si="241"/>
        <v>0.69</v>
      </c>
      <c r="D430" s="20">
        <f t="shared" ca="1" si="251"/>
        <v>0.82799999999999996</v>
      </c>
      <c r="E430" s="225"/>
      <c r="F430" s="231"/>
      <c r="G430" s="172" t="str">
        <f t="shared" ca="1" si="235"/>
        <v/>
      </c>
      <c r="H430" s="93" t="str">
        <f t="shared" ca="1" si="236"/>
        <v/>
      </c>
      <c r="I430" s="21">
        <v>500</v>
      </c>
      <c r="J430" s="68">
        <f t="shared" si="237"/>
        <v>1.1000000000000001</v>
      </c>
      <c r="K430" s="70">
        <v>1.32</v>
      </c>
      <c r="L430" s="72">
        <f t="shared" ca="1" si="232"/>
        <v>0.32800000000000012</v>
      </c>
      <c r="M430" s="73">
        <f t="shared" ca="1" si="233"/>
        <v>164.00000000000006</v>
      </c>
      <c r="N430" s="12" t="s">
        <v>43</v>
      </c>
      <c r="O430" s="47" t="s">
        <v>45</v>
      </c>
      <c r="P430" s="13">
        <f t="shared" si="223"/>
        <v>1.32</v>
      </c>
      <c r="Q430" s="1" t="str">
        <f t="shared" si="225"/>
        <v>500-990 шт - 1,32 руб / шт с НДС</v>
      </c>
      <c r="R430" s="235"/>
      <c r="S430" s="239"/>
      <c r="T430" s="226"/>
      <c r="U430" s="228"/>
      <c r="V430" s="222"/>
      <c r="W430" s="229"/>
      <c r="X430" s="227"/>
      <c r="Y430" s="229"/>
      <c r="Z430" s="236"/>
      <c r="AA430" s="237"/>
      <c r="AB430" s="238"/>
      <c r="AC430" s="223"/>
      <c r="AD430" s="222"/>
    </row>
    <row r="431" spans="1:30" x14ac:dyDescent="0.4">
      <c r="A431" s="230"/>
      <c r="B431" s="8">
        <v>87</v>
      </c>
      <c r="C431" s="14">
        <f t="shared" ca="1" si="241"/>
        <v>0.69</v>
      </c>
      <c r="D431" s="20">
        <f t="shared" ca="1" si="251"/>
        <v>0.82799999999999996</v>
      </c>
      <c r="E431" s="225"/>
      <c r="F431" s="231"/>
      <c r="G431" s="172" t="str">
        <f t="shared" ca="1" si="235"/>
        <v/>
      </c>
      <c r="H431" s="93" t="str">
        <f t="shared" ca="1" si="236"/>
        <v/>
      </c>
      <c r="I431" s="21">
        <v>1000</v>
      </c>
      <c r="J431" s="68">
        <f t="shared" si="237"/>
        <v>0.96666666666666667</v>
      </c>
      <c r="K431" s="70">
        <v>1.1599999999999999</v>
      </c>
      <c r="L431" s="72">
        <f t="shared" ca="1" si="232"/>
        <v>0.22133333333333338</v>
      </c>
      <c r="M431" s="73">
        <f t="shared" ca="1" si="233"/>
        <v>221.33333333333337</v>
      </c>
      <c r="N431" s="12" t="s">
        <v>44</v>
      </c>
      <c r="O431" s="47" t="s">
        <v>45</v>
      </c>
      <c r="P431" s="13">
        <f t="shared" ref="P431:P494" si="259">ROUND(K431,2)</f>
        <v>1.1599999999999999</v>
      </c>
      <c r="Q431" s="1" t="str">
        <f t="shared" si="225"/>
        <v>1000 + шт - 1,16 руб / шт с НДС</v>
      </c>
      <c r="R431" s="235"/>
      <c r="S431" s="239"/>
      <c r="T431" s="226"/>
      <c r="U431" s="228"/>
      <c r="V431" s="222"/>
      <c r="W431" s="229"/>
      <c r="X431" s="227"/>
      <c r="Y431" s="229"/>
      <c r="Z431" s="236"/>
      <c r="AA431" s="237"/>
      <c r="AB431" s="238"/>
      <c r="AC431" s="223"/>
      <c r="AD431" s="222"/>
    </row>
    <row r="432" spans="1:30" x14ac:dyDescent="0.4">
      <c r="A432" s="230">
        <v>88</v>
      </c>
      <c r="B432" s="8">
        <v>88</v>
      </c>
      <c r="C432" s="14">
        <f t="shared" ca="1" si="241"/>
        <v>0.35</v>
      </c>
      <c r="D432" s="20">
        <f t="shared" ca="1" si="251"/>
        <v>0.42</v>
      </c>
      <c r="E432" s="224" t="str">
        <f ca="1">INDIRECT("'Закуп'!D" &amp; A432)</f>
        <v>У</v>
      </c>
      <c r="F432" s="231" t="str">
        <f t="shared" ref="F432" ca="1" si="260">INDIRECT("'Закуп'!E" &amp; B432)</f>
        <v>125х125х90</v>
      </c>
      <c r="G432" s="172" t="str">
        <f t="shared" ca="1" si="235"/>
        <v/>
      </c>
      <c r="H432" s="93" t="str">
        <f t="shared" ca="1" si="236"/>
        <v/>
      </c>
      <c r="I432" s="21">
        <v>50</v>
      </c>
      <c r="J432" s="68">
        <f t="shared" si="237"/>
        <v>0.89166666666666672</v>
      </c>
      <c r="K432" s="70">
        <v>1.07</v>
      </c>
      <c r="L432" s="72">
        <f t="shared" ca="1" si="232"/>
        <v>0.4333333333333334</v>
      </c>
      <c r="M432" s="73">
        <f t="shared" ca="1" si="233"/>
        <v>21.666666666666671</v>
      </c>
      <c r="N432" s="12" t="s">
        <v>40</v>
      </c>
      <c r="O432" s="47" t="s">
        <v>45</v>
      </c>
      <c r="P432" s="13">
        <f t="shared" si="259"/>
        <v>1.07</v>
      </c>
      <c r="Q432" s="1" t="str">
        <f t="shared" ref="Q432:Q495" si="261">CONCATENATE(N432,P432,O432,)</f>
        <v>50-90 шт - 1,07 руб / шт с НДС</v>
      </c>
      <c r="R432" s="235" t="str">
        <f ca="1">INDIRECT("'Закуп'!k" &amp; A432)</f>
        <v>K88</v>
      </c>
      <c r="S432" s="239">
        <f ca="1">INDIRECT("'Закуп'!o" &amp; A432)</f>
        <v>1.41</v>
      </c>
      <c r="T432" s="226" t="str">
        <f ca="1">INDIRECT("'Закуп'!p" &amp; A432)</f>
        <v>1-1,9 литра</v>
      </c>
      <c r="U432" s="228" t="str">
        <f ca="1">INDIRECT("'Закуп'!v" &amp; A432)</f>
        <v/>
      </c>
      <c r="V432" s="222" t="str">
        <f ca="1">INDIRECT("'Закуп'!w" &amp; A432)</f>
        <v/>
      </c>
      <c r="W432" s="229" t="str">
        <f ca="1">INDIRECT("'Закуп'!H" &amp; A432)</f>
        <v>х</v>
      </c>
      <c r="X432" s="227" t="str">
        <f t="shared" ref="X432" ca="1" si="262">INDIRECT("'Закуп'!g" &amp; A432)</f>
        <v>С</v>
      </c>
      <c r="Y432" s="229" t="str">
        <f ca="1">INDIRECT("'Закуп'!i" &amp; A432)</f>
        <v>В</v>
      </c>
      <c r="Z432" s="236" t="str">
        <f ca="1">INDIRECT("'Закуп'!x" &amp; A432)</f>
        <v>100-199 мм</v>
      </c>
      <c r="AA432" s="237" t="str">
        <f ca="1">INDIRECT("'Закуп'!y" &amp; A432)</f>
        <v>100-199 мм</v>
      </c>
      <c r="AB432" s="238" t="str">
        <f ca="1">INDIRECT("'Закуп'!z" &amp; A432)</f>
        <v>10-99 мм</v>
      </c>
      <c r="AC432" s="223" t="str">
        <f t="shared" ca="1" si="258"/>
        <v>125x125x90</v>
      </c>
      <c r="AD432" s="222" t="str">
        <f t="shared" ca="1" si="246"/>
        <v>125x125x90 - 125*125*90 мм</v>
      </c>
    </row>
    <row r="433" spans="1:30" x14ac:dyDescent="0.4">
      <c r="A433" s="230"/>
      <c r="B433" s="8">
        <v>88</v>
      </c>
      <c r="C433" s="14">
        <f t="shared" ca="1" si="241"/>
        <v>0.35</v>
      </c>
      <c r="D433" s="20">
        <f t="shared" ca="1" si="251"/>
        <v>0.42</v>
      </c>
      <c r="E433" s="225"/>
      <c r="F433" s="231"/>
      <c r="G433" s="172" t="str">
        <f t="shared" ca="1" si="235"/>
        <v/>
      </c>
      <c r="H433" s="93" t="str">
        <f t="shared" ca="1" si="236"/>
        <v/>
      </c>
      <c r="I433" s="21">
        <v>100</v>
      </c>
      <c r="J433" s="68">
        <f t="shared" si="237"/>
        <v>0.75</v>
      </c>
      <c r="K433" s="70">
        <v>0.9</v>
      </c>
      <c r="L433" s="72">
        <f t="shared" ca="1" si="232"/>
        <v>0.32</v>
      </c>
      <c r="M433" s="73">
        <f t="shared" ca="1" si="233"/>
        <v>32</v>
      </c>
      <c r="N433" s="12" t="s">
        <v>41</v>
      </c>
      <c r="O433" s="47" t="s">
        <v>45</v>
      </c>
      <c r="P433" s="13">
        <f t="shared" si="259"/>
        <v>0.9</v>
      </c>
      <c r="Q433" s="1" t="str">
        <f t="shared" si="261"/>
        <v>100-290 шт - 0,9 руб / шт с НДС</v>
      </c>
      <c r="R433" s="235"/>
      <c r="S433" s="239"/>
      <c r="T433" s="226"/>
      <c r="U433" s="228"/>
      <c r="V433" s="222"/>
      <c r="W433" s="229"/>
      <c r="X433" s="227"/>
      <c r="Y433" s="229"/>
      <c r="Z433" s="236"/>
      <c r="AA433" s="237"/>
      <c r="AB433" s="238"/>
      <c r="AC433" s="223"/>
      <c r="AD433" s="222"/>
    </row>
    <row r="434" spans="1:30" x14ac:dyDescent="0.4">
      <c r="A434" s="230"/>
      <c r="B434" s="8">
        <v>88</v>
      </c>
      <c r="C434" s="14">
        <f t="shared" ca="1" si="241"/>
        <v>0.35</v>
      </c>
      <c r="D434" s="20">
        <f t="shared" ca="1" si="251"/>
        <v>0.42</v>
      </c>
      <c r="E434" s="225"/>
      <c r="F434" s="231"/>
      <c r="G434" s="172" t="str">
        <f t="shared" ca="1" si="235"/>
        <v/>
      </c>
      <c r="H434" s="93" t="str">
        <f t="shared" ca="1" si="236"/>
        <v/>
      </c>
      <c r="I434" s="21">
        <v>300</v>
      </c>
      <c r="J434" s="68">
        <f t="shared" si="237"/>
        <v>0.68333333333333335</v>
      </c>
      <c r="K434" s="70">
        <v>0.82</v>
      </c>
      <c r="L434" s="72">
        <f t="shared" ca="1" si="232"/>
        <v>0.26666666666666672</v>
      </c>
      <c r="M434" s="73">
        <f t="shared" ca="1" si="233"/>
        <v>80.000000000000014</v>
      </c>
      <c r="N434" s="12" t="s">
        <v>42</v>
      </c>
      <c r="O434" s="47" t="s">
        <v>45</v>
      </c>
      <c r="P434" s="13">
        <f t="shared" si="259"/>
        <v>0.82</v>
      </c>
      <c r="Q434" s="1" t="str">
        <f t="shared" si="261"/>
        <v>300-490 шт - 0,82 руб / шт с НДС</v>
      </c>
      <c r="R434" s="235"/>
      <c r="S434" s="239"/>
      <c r="T434" s="226"/>
      <c r="U434" s="228"/>
      <c r="V434" s="222"/>
      <c r="W434" s="229"/>
      <c r="X434" s="227"/>
      <c r="Y434" s="229"/>
      <c r="Z434" s="236"/>
      <c r="AA434" s="237"/>
      <c r="AB434" s="238"/>
      <c r="AC434" s="223"/>
      <c r="AD434" s="222"/>
    </row>
    <row r="435" spans="1:30" x14ac:dyDescent="0.4">
      <c r="A435" s="230"/>
      <c r="B435" s="8">
        <v>88</v>
      </c>
      <c r="C435" s="14">
        <f t="shared" ca="1" si="241"/>
        <v>0.35</v>
      </c>
      <c r="D435" s="20">
        <f t="shared" ca="1" si="251"/>
        <v>0.42</v>
      </c>
      <c r="E435" s="225"/>
      <c r="F435" s="231"/>
      <c r="G435" s="172" t="str">
        <f t="shared" ca="1" si="235"/>
        <v/>
      </c>
      <c r="H435" s="93" t="str">
        <f t="shared" ca="1" si="236"/>
        <v/>
      </c>
      <c r="I435" s="21">
        <v>500</v>
      </c>
      <c r="J435" s="68">
        <f t="shared" si="237"/>
        <v>0.625</v>
      </c>
      <c r="K435" s="70">
        <v>0.75</v>
      </c>
      <c r="L435" s="72">
        <f t="shared" ca="1" si="232"/>
        <v>0.22000000000000003</v>
      </c>
      <c r="M435" s="73">
        <f t="shared" ca="1" si="233"/>
        <v>110.00000000000001</v>
      </c>
      <c r="N435" s="12" t="s">
        <v>43</v>
      </c>
      <c r="O435" s="47" t="s">
        <v>45</v>
      </c>
      <c r="P435" s="13">
        <f t="shared" si="259"/>
        <v>0.75</v>
      </c>
      <c r="Q435" s="1" t="str">
        <f t="shared" si="261"/>
        <v>500-990 шт - 0,75 руб / шт с НДС</v>
      </c>
      <c r="R435" s="235"/>
      <c r="S435" s="239"/>
      <c r="T435" s="226"/>
      <c r="U435" s="228"/>
      <c r="V435" s="222"/>
      <c r="W435" s="229"/>
      <c r="X435" s="227"/>
      <c r="Y435" s="229"/>
      <c r="Z435" s="236"/>
      <c r="AA435" s="237"/>
      <c r="AB435" s="238"/>
      <c r="AC435" s="223"/>
      <c r="AD435" s="222"/>
    </row>
    <row r="436" spans="1:30" x14ac:dyDescent="0.4">
      <c r="A436" s="230"/>
      <c r="B436" s="8">
        <v>88</v>
      </c>
      <c r="C436" s="14">
        <f t="shared" ca="1" si="241"/>
        <v>0.35</v>
      </c>
      <c r="D436" s="20">
        <f t="shared" ca="1" si="251"/>
        <v>0.42</v>
      </c>
      <c r="E436" s="225"/>
      <c r="F436" s="231"/>
      <c r="G436" s="172" t="str">
        <f t="shared" ca="1" si="235"/>
        <v/>
      </c>
      <c r="H436" s="93" t="str">
        <f t="shared" ca="1" si="236"/>
        <v/>
      </c>
      <c r="I436" s="21">
        <v>1000</v>
      </c>
      <c r="J436" s="68">
        <f t="shared" si="237"/>
        <v>0.58333333333333337</v>
      </c>
      <c r="K436" s="70">
        <v>0.7</v>
      </c>
      <c r="L436" s="72">
        <f t="shared" ca="1" si="232"/>
        <v>0.1866666666666667</v>
      </c>
      <c r="M436" s="73">
        <f t="shared" ca="1" si="233"/>
        <v>186.66666666666671</v>
      </c>
      <c r="N436" s="12" t="s">
        <v>44</v>
      </c>
      <c r="O436" s="47" t="s">
        <v>45</v>
      </c>
      <c r="P436" s="13">
        <f t="shared" si="259"/>
        <v>0.7</v>
      </c>
      <c r="Q436" s="1" t="str">
        <f t="shared" si="261"/>
        <v>1000 + шт - 0,7 руб / шт с НДС</v>
      </c>
      <c r="R436" s="235"/>
      <c r="S436" s="239"/>
      <c r="T436" s="226"/>
      <c r="U436" s="228"/>
      <c r="V436" s="222"/>
      <c r="W436" s="229"/>
      <c r="X436" s="227"/>
      <c r="Y436" s="229"/>
      <c r="Z436" s="236"/>
      <c r="AA436" s="237"/>
      <c r="AB436" s="238"/>
      <c r="AC436" s="223"/>
      <c r="AD436" s="222"/>
    </row>
    <row r="437" spans="1:30" x14ac:dyDescent="0.4">
      <c r="A437" s="230">
        <v>89</v>
      </c>
      <c r="B437" s="8">
        <v>89</v>
      </c>
      <c r="C437" s="14">
        <f t="shared" ca="1" si="241"/>
        <v>0.82</v>
      </c>
      <c r="D437" s="20">
        <f t="shared" ca="1" si="251"/>
        <v>0.98399999999999987</v>
      </c>
      <c r="E437" s="224" t="str">
        <f ca="1">INDIRECT("'Закуп'!D" &amp; A437)</f>
        <v>У</v>
      </c>
      <c r="F437" s="231" t="str">
        <f t="shared" ref="F437" ca="1" si="263">INDIRECT("'Закуп'!E" &amp; B437)</f>
        <v>495х90х300</v>
      </c>
      <c r="G437" s="172" t="str">
        <f t="shared" ca="1" si="235"/>
        <v/>
      </c>
      <c r="H437" s="93" t="str">
        <f t="shared" ca="1" si="236"/>
        <v/>
      </c>
      <c r="I437" s="21">
        <v>50</v>
      </c>
      <c r="J437" s="68">
        <f t="shared" si="237"/>
        <v>1.925</v>
      </c>
      <c r="K437" s="70">
        <v>2.31</v>
      </c>
      <c r="L437" s="72">
        <f t="shared" ca="1" si="232"/>
        <v>0.88400000000000001</v>
      </c>
      <c r="M437" s="73">
        <f t="shared" ca="1" si="233"/>
        <v>44.2</v>
      </c>
      <c r="N437" s="12" t="s">
        <v>40</v>
      </c>
      <c r="O437" s="47" t="s">
        <v>45</v>
      </c>
      <c r="P437" s="13">
        <f t="shared" si="259"/>
        <v>2.31</v>
      </c>
      <c r="Q437" s="1" t="str">
        <f t="shared" si="261"/>
        <v>50-90 шт - 2,31 руб / шт с НДС</v>
      </c>
      <c r="R437" s="235" t="str">
        <f ca="1">INDIRECT("'Закуп'!k" &amp; A437)</f>
        <v>K89</v>
      </c>
      <c r="S437" s="239">
        <f ca="1">INDIRECT("'Закуп'!o" &amp; A437)</f>
        <v>13.37</v>
      </c>
      <c r="T437" s="226" t="str">
        <f ca="1">INDIRECT("'Закуп'!p" &amp; A437)</f>
        <v>10-14,9 литров</v>
      </c>
      <c r="U437" s="228" t="str">
        <f ca="1">INDIRECT("'Закуп'!v" &amp; A437)</f>
        <v/>
      </c>
      <c r="V437" s="222" t="str">
        <f ca="1">INDIRECT("'Закуп'!w" &amp; A437)</f>
        <v>Плоские</v>
      </c>
      <c r="W437" s="229" t="str">
        <f ca="1">INDIRECT("'Закуп'!H" &amp; A437)</f>
        <v>х</v>
      </c>
      <c r="X437" s="227" t="str">
        <f t="shared" ref="X437" ca="1" si="264">INDIRECT("'Закуп'!g" &amp; A437)</f>
        <v>Ч</v>
      </c>
      <c r="Y437" s="229" t="str">
        <f ca="1">INDIRECT("'Закуп'!i" &amp; A437)</f>
        <v>В</v>
      </c>
      <c r="Z437" s="236" t="str">
        <f ca="1">INDIRECT("'Закуп'!x" &amp; A437)</f>
        <v>400-499 мм</v>
      </c>
      <c r="AA437" s="237" t="str">
        <f ca="1">INDIRECT("'Закуп'!y" &amp; A437)</f>
        <v>300-399 мм</v>
      </c>
      <c r="AB437" s="238" t="str">
        <f ca="1">INDIRECT("'Закуп'!z" &amp; A437)</f>
        <v>10-99 мм</v>
      </c>
      <c r="AC437" s="223" t="str">
        <f t="shared" ca="1" si="258"/>
        <v>495x90x300</v>
      </c>
      <c r="AD437" s="222" t="str">
        <f t="shared" ca="1" si="246"/>
        <v>495x90x300 - 495*90*300 мм</v>
      </c>
    </row>
    <row r="438" spans="1:30" x14ac:dyDescent="0.4">
      <c r="A438" s="230"/>
      <c r="B438" s="8">
        <v>89</v>
      </c>
      <c r="C438" s="14">
        <f t="shared" ca="1" si="241"/>
        <v>0.82</v>
      </c>
      <c r="D438" s="20">
        <f t="shared" ca="1" si="251"/>
        <v>0.98399999999999987</v>
      </c>
      <c r="E438" s="225"/>
      <c r="F438" s="231"/>
      <c r="G438" s="172" t="str">
        <f t="shared" ca="1" si="235"/>
        <v/>
      </c>
      <c r="H438" s="93" t="str">
        <f t="shared" ca="1" si="236"/>
        <v/>
      </c>
      <c r="I438" s="21">
        <v>100</v>
      </c>
      <c r="J438" s="68">
        <f t="shared" si="237"/>
        <v>1.7583333333333333</v>
      </c>
      <c r="K438" s="70">
        <v>2.11</v>
      </c>
      <c r="L438" s="72">
        <f t="shared" ca="1" si="232"/>
        <v>0.7506666666666667</v>
      </c>
      <c r="M438" s="73">
        <f t="shared" ca="1" si="233"/>
        <v>75.066666666666677</v>
      </c>
      <c r="N438" s="12" t="s">
        <v>41</v>
      </c>
      <c r="O438" s="47" t="s">
        <v>45</v>
      </c>
      <c r="P438" s="13">
        <f t="shared" si="259"/>
        <v>2.11</v>
      </c>
      <c r="Q438" s="1" t="str">
        <f t="shared" si="261"/>
        <v>100-290 шт - 2,11 руб / шт с НДС</v>
      </c>
      <c r="R438" s="235"/>
      <c r="S438" s="239"/>
      <c r="T438" s="226"/>
      <c r="U438" s="228"/>
      <c r="V438" s="222"/>
      <c r="W438" s="229"/>
      <c r="X438" s="227"/>
      <c r="Y438" s="229"/>
      <c r="Z438" s="236"/>
      <c r="AA438" s="237"/>
      <c r="AB438" s="238"/>
      <c r="AC438" s="223"/>
      <c r="AD438" s="222"/>
    </row>
    <row r="439" spans="1:30" x14ac:dyDescent="0.4">
      <c r="A439" s="230"/>
      <c r="B439" s="8">
        <v>89</v>
      </c>
      <c r="C439" s="14">
        <f t="shared" ca="1" si="241"/>
        <v>0.82</v>
      </c>
      <c r="D439" s="20">
        <f t="shared" ca="1" si="251"/>
        <v>0.98399999999999987</v>
      </c>
      <c r="E439" s="225"/>
      <c r="F439" s="231"/>
      <c r="G439" s="172" t="str">
        <f t="shared" ca="1" si="235"/>
        <v/>
      </c>
      <c r="H439" s="93" t="str">
        <f t="shared" ca="1" si="236"/>
        <v/>
      </c>
      <c r="I439" s="21">
        <v>300</v>
      </c>
      <c r="J439" s="68">
        <f t="shared" si="237"/>
        <v>1.375</v>
      </c>
      <c r="K439" s="70">
        <v>1.65</v>
      </c>
      <c r="L439" s="72">
        <f t="shared" ca="1" si="232"/>
        <v>0.44400000000000006</v>
      </c>
      <c r="M439" s="73">
        <f t="shared" ca="1" si="233"/>
        <v>133.20000000000002</v>
      </c>
      <c r="N439" s="12" t="s">
        <v>42</v>
      </c>
      <c r="O439" s="47" t="s">
        <v>45</v>
      </c>
      <c r="P439" s="13">
        <f t="shared" si="259"/>
        <v>1.65</v>
      </c>
      <c r="Q439" s="1" t="str">
        <f t="shared" si="261"/>
        <v>300-490 шт - 1,65 руб / шт с НДС</v>
      </c>
      <c r="R439" s="235"/>
      <c r="S439" s="239"/>
      <c r="T439" s="226"/>
      <c r="U439" s="228"/>
      <c r="V439" s="222"/>
      <c r="W439" s="229"/>
      <c r="X439" s="227"/>
      <c r="Y439" s="229"/>
      <c r="Z439" s="236"/>
      <c r="AA439" s="237"/>
      <c r="AB439" s="238"/>
      <c r="AC439" s="223"/>
      <c r="AD439" s="222"/>
    </row>
    <row r="440" spans="1:30" x14ac:dyDescent="0.4">
      <c r="A440" s="230"/>
      <c r="B440" s="8">
        <v>89</v>
      </c>
      <c r="C440" s="14">
        <f t="shared" ca="1" si="241"/>
        <v>0.82</v>
      </c>
      <c r="D440" s="20">
        <f t="shared" ca="1" si="251"/>
        <v>0.98399999999999987</v>
      </c>
      <c r="E440" s="225"/>
      <c r="F440" s="231"/>
      <c r="G440" s="172" t="str">
        <f t="shared" ca="1" si="235"/>
        <v/>
      </c>
      <c r="H440" s="93" t="str">
        <f t="shared" ca="1" si="236"/>
        <v/>
      </c>
      <c r="I440" s="21">
        <v>500</v>
      </c>
      <c r="J440" s="68">
        <f t="shared" si="237"/>
        <v>1.1833333333333333</v>
      </c>
      <c r="K440" s="70">
        <v>1.42</v>
      </c>
      <c r="L440" s="72">
        <f t="shared" ca="1" si="232"/>
        <v>0.29066666666666674</v>
      </c>
      <c r="M440" s="73">
        <f t="shared" ca="1" si="233"/>
        <v>145.33333333333337</v>
      </c>
      <c r="N440" s="12" t="s">
        <v>43</v>
      </c>
      <c r="O440" s="47" t="s">
        <v>45</v>
      </c>
      <c r="P440" s="13">
        <f t="shared" si="259"/>
        <v>1.42</v>
      </c>
      <c r="Q440" s="1" t="str">
        <f t="shared" si="261"/>
        <v>500-990 шт - 1,42 руб / шт с НДС</v>
      </c>
      <c r="R440" s="235"/>
      <c r="S440" s="239"/>
      <c r="T440" s="226"/>
      <c r="U440" s="228"/>
      <c r="V440" s="222"/>
      <c r="W440" s="229"/>
      <c r="X440" s="227"/>
      <c r="Y440" s="229"/>
      <c r="Z440" s="236"/>
      <c r="AA440" s="237"/>
      <c r="AB440" s="238"/>
      <c r="AC440" s="223"/>
      <c r="AD440" s="222"/>
    </row>
    <row r="441" spans="1:30" x14ac:dyDescent="0.4">
      <c r="A441" s="230"/>
      <c r="B441" s="8">
        <v>89</v>
      </c>
      <c r="C441" s="14">
        <f t="shared" ca="1" si="241"/>
        <v>0.82</v>
      </c>
      <c r="D441" s="20">
        <f t="shared" ca="1" si="251"/>
        <v>0.98399999999999987</v>
      </c>
      <c r="E441" s="225"/>
      <c r="F441" s="231"/>
      <c r="G441" s="172" t="str">
        <f t="shared" ca="1" si="235"/>
        <v/>
      </c>
      <c r="H441" s="93" t="str">
        <f t="shared" ca="1" si="236"/>
        <v/>
      </c>
      <c r="I441" s="21">
        <v>1000</v>
      </c>
      <c r="J441" s="68">
        <f t="shared" si="237"/>
        <v>1.1083333333333334</v>
      </c>
      <c r="K441" s="70">
        <v>1.33</v>
      </c>
      <c r="L441" s="72">
        <f t="shared" ca="1" si="232"/>
        <v>0.23066666666666674</v>
      </c>
      <c r="M441" s="73">
        <f t="shared" ca="1" si="233"/>
        <v>230.66666666666674</v>
      </c>
      <c r="N441" s="12" t="s">
        <v>44</v>
      </c>
      <c r="O441" s="47" t="s">
        <v>45</v>
      </c>
      <c r="P441" s="13">
        <f t="shared" si="259"/>
        <v>1.33</v>
      </c>
      <c r="Q441" s="1" t="str">
        <f t="shared" si="261"/>
        <v>1000 + шт - 1,33 руб / шт с НДС</v>
      </c>
      <c r="R441" s="235"/>
      <c r="S441" s="239"/>
      <c r="T441" s="226"/>
      <c r="U441" s="228"/>
      <c r="V441" s="222"/>
      <c r="W441" s="229"/>
      <c r="X441" s="227"/>
      <c r="Y441" s="229"/>
      <c r="Z441" s="236"/>
      <c r="AA441" s="237"/>
      <c r="AB441" s="238"/>
      <c r="AC441" s="223"/>
      <c r="AD441" s="222"/>
    </row>
    <row r="442" spans="1:30" x14ac:dyDescent="0.4">
      <c r="A442" s="230">
        <v>90</v>
      </c>
      <c r="B442" s="8">
        <v>90</v>
      </c>
      <c r="C442" s="14">
        <f t="shared" ca="1" si="241"/>
        <v>0.47</v>
      </c>
      <c r="D442" s="20">
        <f t="shared" ca="1" si="251"/>
        <v>0.56399999999999995</v>
      </c>
      <c r="E442" s="224" t="str">
        <f ca="1">INDIRECT("'Закуп'!D" &amp; A442)</f>
        <v>У</v>
      </c>
      <c r="F442" s="231" t="str">
        <f t="shared" ref="F442" ca="1" si="265">INDIRECT("'Закуп'!E" &amp; B442)</f>
        <v>175х175х90</v>
      </c>
      <c r="G442" s="172" t="str">
        <f t="shared" ca="1" si="235"/>
        <v/>
      </c>
      <c r="H442" s="93" t="str">
        <f t="shared" ca="1" si="236"/>
        <v/>
      </c>
      <c r="I442" s="21">
        <v>50</v>
      </c>
      <c r="J442" s="68">
        <f t="shared" si="237"/>
        <v>1.1583333333333332</v>
      </c>
      <c r="K442" s="70">
        <v>1.39</v>
      </c>
      <c r="L442" s="72">
        <f t="shared" ca="1" si="232"/>
        <v>0.55066666666666664</v>
      </c>
      <c r="M442" s="73">
        <f t="shared" ca="1" si="233"/>
        <v>27.533333333333331</v>
      </c>
      <c r="N442" s="12" t="s">
        <v>40</v>
      </c>
      <c r="O442" s="47" t="s">
        <v>45</v>
      </c>
      <c r="P442" s="13">
        <f t="shared" si="259"/>
        <v>1.39</v>
      </c>
      <c r="Q442" s="1" t="str">
        <f t="shared" si="261"/>
        <v>50-90 шт - 1,39 руб / шт с НДС</v>
      </c>
      <c r="R442" s="235" t="str">
        <f ca="1">INDIRECT("'Закуп'!k" &amp; A442)</f>
        <v>K90</v>
      </c>
      <c r="S442" s="239">
        <f ca="1">INDIRECT("'Закуп'!o" &amp; A442)</f>
        <v>2.76</v>
      </c>
      <c r="T442" s="226" t="str">
        <f ca="1">INDIRECT("'Закуп'!p" &amp; A442)</f>
        <v>2-2,9 литра</v>
      </c>
      <c r="U442" s="228" t="str">
        <f ca="1">INDIRECT("'Закуп'!v" &amp; A442)</f>
        <v/>
      </c>
      <c r="V442" s="222" t="str">
        <f ca="1">INDIRECT("'Закуп'!w" &amp; A442)</f>
        <v/>
      </c>
      <c r="W442" s="229" t="str">
        <f ca="1">INDIRECT("'Закуп'!H" &amp; A442)</f>
        <v>х</v>
      </c>
      <c r="X442" s="227" t="str">
        <f t="shared" ref="X442" ca="1" si="266">INDIRECT("'Закуп'!g" &amp; A442)</f>
        <v>С</v>
      </c>
      <c r="Y442" s="229" t="str">
        <f ca="1">INDIRECT("'Закуп'!i" &amp; A442)</f>
        <v>В</v>
      </c>
      <c r="Z442" s="236" t="str">
        <f ca="1">INDIRECT("'Закуп'!x" &amp; A442)</f>
        <v>100-199 мм</v>
      </c>
      <c r="AA442" s="237" t="str">
        <f ca="1">INDIRECT("'Закуп'!y" &amp; A442)</f>
        <v>100-199 мм</v>
      </c>
      <c r="AB442" s="238" t="str">
        <f ca="1">INDIRECT("'Закуп'!z" &amp; A442)</f>
        <v>10-99 мм</v>
      </c>
      <c r="AC442" s="223" t="str">
        <f t="shared" ca="1" si="258"/>
        <v>175x175x90</v>
      </c>
      <c r="AD442" s="222" t="str">
        <f t="shared" ca="1" si="246"/>
        <v>175x175x90 - 175*175*90 мм</v>
      </c>
    </row>
    <row r="443" spans="1:30" x14ac:dyDescent="0.4">
      <c r="A443" s="230"/>
      <c r="B443" s="8">
        <v>90</v>
      </c>
      <c r="C443" s="14">
        <f t="shared" ca="1" si="241"/>
        <v>0.47</v>
      </c>
      <c r="D443" s="20">
        <f t="shared" ca="1" si="251"/>
        <v>0.56399999999999995</v>
      </c>
      <c r="E443" s="225"/>
      <c r="F443" s="231"/>
      <c r="G443" s="172" t="str">
        <f t="shared" ca="1" si="235"/>
        <v/>
      </c>
      <c r="H443" s="93" t="str">
        <f t="shared" ca="1" si="236"/>
        <v/>
      </c>
      <c r="I443" s="21">
        <v>100</v>
      </c>
      <c r="J443" s="68">
        <f t="shared" si="237"/>
        <v>1.0083333333333333</v>
      </c>
      <c r="K443" s="70">
        <v>1.21</v>
      </c>
      <c r="L443" s="72">
        <f t="shared" ca="1" si="232"/>
        <v>0.43066666666666664</v>
      </c>
      <c r="M443" s="73">
        <f t="shared" ca="1" si="233"/>
        <v>43.066666666666663</v>
      </c>
      <c r="N443" s="12" t="s">
        <v>41</v>
      </c>
      <c r="O443" s="47" t="s">
        <v>45</v>
      </c>
      <c r="P443" s="13">
        <f t="shared" si="259"/>
        <v>1.21</v>
      </c>
      <c r="Q443" s="1" t="str">
        <f t="shared" si="261"/>
        <v>100-290 шт - 1,21 руб / шт с НДС</v>
      </c>
      <c r="R443" s="235"/>
      <c r="S443" s="239"/>
      <c r="T443" s="226"/>
      <c r="U443" s="228"/>
      <c r="V443" s="222"/>
      <c r="W443" s="229"/>
      <c r="X443" s="227"/>
      <c r="Y443" s="229"/>
      <c r="Z443" s="236"/>
      <c r="AA443" s="237"/>
      <c r="AB443" s="238"/>
      <c r="AC443" s="223"/>
      <c r="AD443" s="222"/>
    </row>
    <row r="444" spans="1:30" x14ac:dyDescent="0.4">
      <c r="A444" s="230"/>
      <c r="B444" s="8">
        <v>90</v>
      </c>
      <c r="C444" s="14">
        <f t="shared" ca="1" si="241"/>
        <v>0.47</v>
      </c>
      <c r="D444" s="20">
        <f t="shared" ca="1" si="251"/>
        <v>0.56399999999999995</v>
      </c>
      <c r="E444" s="225"/>
      <c r="F444" s="231"/>
      <c r="G444" s="172" t="str">
        <f t="shared" ca="1" si="235"/>
        <v/>
      </c>
      <c r="H444" s="93" t="str">
        <f t="shared" ca="1" si="236"/>
        <v/>
      </c>
      <c r="I444" s="21">
        <v>300</v>
      </c>
      <c r="J444" s="68">
        <f t="shared" si="237"/>
        <v>0.85833333333333339</v>
      </c>
      <c r="K444" s="70">
        <v>1.03</v>
      </c>
      <c r="L444" s="72">
        <f t="shared" ca="1" si="232"/>
        <v>0.31066666666666676</v>
      </c>
      <c r="M444" s="73">
        <f t="shared" ca="1" si="233"/>
        <v>93.200000000000031</v>
      </c>
      <c r="N444" s="12" t="s">
        <v>42</v>
      </c>
      <c r="O444" s="47" t="s">
        <v>45</v>
      </c>
      <c r="P444" s="13">
        <f t="shared" si="259"/>
        <v>1.03</v>
      </c>
      <c r="Q444" s="1" t="str">
        <f t="shared" si="261"/>
        <v>300-490 шт - 1,03 руб / шт с НДС</v>
      </c>
      <c r="R444" s="235"/>
      <c r="S444" s="239"/>
      <c r="T444" s="226"/>
      <c r="U444" s="228"/>
      <c r="V444" s="222"/>
      <c r="W444" s="229"/>
      <c r="X444" s="227"/>
      <c r="Y444" s="229"/>
      <c r="Z444" s="236"/>
      <c r="AA444" s="237"/>
      <c r="AB444" s="238"/>
      <c r="AC444" s="223"/>
      <c r="AD444" s="222"/>
    </row>
    <row r="445" spans="1:30" x14ac:dyDescent="0.4">
      <c r="A445" s="230"/>
      <c r="B445" s="8">
        <v>90</v>
      </c>
      <c r="C445" s="14">
        <f t="shared" ca="1" si="241"/>
        <v>0.47</v>
      </c>
      <c r="D445" s="20">
        <f t="shared" ca="1" si="251"/>
        <v>0.56399999999999995</v>
      </c>
      <c r="E445" s="225"/>
      <c r="F445" s="231"/>
      <c r="G445" s="172" t="str">
        <f t="shared" ca="1" si="235"/>
        <v/>
      </c>
      <c r="H445" s="93" t="str">
        <f t="shared" ca="1" si="236"/>
        <v/>
      </c>
      <c r="I445" s="21">
        <v>500</v>
      </c>
      <c r="J445" s="68">
        <f t="shared" si="237"/>
        <v>0.8</v>
      </c>
      <c r="K445" s="70">
        <v>0.96</v>
      </c>
      <c r="L445" s="72">
        <f t="shared" ca="1" si="232"/>
        <v>0.26400000000000007</v>
      </c>
      <c r="M445" s="73">
        <f t="shared" ca="1" si="233"/>
        <v>132.00000000000003</v>
      </c>
      <c r="N445" s="12" t="s">
        <v>43</v>
      </c>
      <c r="O445" s="47" t="s">
        <v>45</v>
      </c>
      <c r="P445" s="13">
        <f t="shared" si="259"/>
        <v>0.96</v>
      </c>
      <c r="Q445" s="1" t="str">
        <f t="shared" si="261"/>
        <v>500-990 шт - 0,96 руб / шт с НДС</v>
      </c>
      <c r="R445" s="235"/>
      <c r="S445" s="239"/>
      <c r="T445" s="226"/>
      <c r="U445" s="228"/>
      <c r="V445" s="222"/>
      <c r="W445" s="229"/>
      <c r="X445" s="227"/>
      <c r="Y445" s="229"/>
      <c r="Z445" s="236"/>
      <c r="AA445" s="237"/>
      <c r="AB445" s="238"/>
      <c r="AC445" s="223"/>
      <c r="AD445" s="222"/>
    </row>
    <row r="446" spans="1:30" x14ac:dyDescent="0.4">
      <c r="A446" s="230"/>
      <c r="B446" s="8">
        <v>90</v>
      </c>
      <c r="C446" s="14">
        <f t="shared" ca="1" si="241"/>
        <v>0.47</v>
      </c>
      <c r="D446" s="20">
        <f t="shared" ca="1" si="251"/>
        <v>0.56399999999999995</v>
      </c>
      <c r="E446" s="225"/>
      <c r="F446" s="231"/>
      <c r="G446" s="172" t="str">
        <f t="shared" ca="1" si="235"/>
        <v/>
      </c>
      <c r="H446" s="93" t="str">
        <f t="shared" ca="1" si="236"/>
        <v/>
      </c>
      <c r="I446" s="21">
        <v>1000</v>
      </c>
      <c r="J446" s="68">
        <f t="shared" si="237"/>
        <v>0.75</v>
      </c>
      <c r="K446" s="70">
        <v>0.9</v>
      </c>
      <c r="L446" s="72">
        <f t="shared" ca="1" si="232"/>
        <v>0.22400000000000003</v>
      </c>
      <c r="M446" s="73">
        <f t="shared" ca="1" si="233"/>
        <v>224.00000000000003</v>
      </c>
      <c r="N446" s="12" t="s">
        <v>44</v>
      </c>
      <c r="O446" s="47" t="s">
        <v>45</v>
      </c>
      <c r="P446" s="13">
        <f t="shared" si="259"/>
        <v>0.9</v>
      </c>
      <c r="Q446" s="1" t="str">
        <f t="shared" si="261"/>
        <v>1000 + шт - 0,9 руб / шт с НДС</v>
      </c>
      <c r="R446" s="235"/>
      <c r="S446" s="239"/>
      <c r="T446" s="226"/>
      <c r="U446" s="228"/>
      <c r="V446" s="222"/>
      <c r="W446" s="229"/>
      <c r="X446" s="227"/>
      <c r="Y446" s="229"/>
      <c r="Z446" s="236"/>
      <c r="AA446" s="237"/>
      <c r="AB446" s="238"/>
      <c r="AC446" s="223"/>
      <c r="AD446" s="222"/>
    </row>
    <row r="447" spans="1:30" x14ac:dyDescent="0.4">
      <c r="A447" s="230">
        <v>91</v>
      </c>
      <c r="B447" s="8">
        <v>91</v>
      </c>
      <c r="C447" s="14">
        <f t="shared" ca="1" si="241"/>
        <v>0.47</v>
      </c>
      <c r="D447" s="20">
        <f t="shared" ca="1" si="251"/>
        <v>0.56399999999999995</v>
      </c>
      <c r="E447" s="224" t="str">
        <f ca="1">INDIRECT("'Закуп'!D" &amp; A447)</f>
        <v>У</v>
      </c>
      <c r="F447" s="231" t="str">
        <f t="shared" ref="F447" ca="1" si="267">INDIRECT("'Закуп'!E" &amp; B447)</f>
        <v>220х120х155</v>
      </c>
      <c r="G447" s="172" t="str">
        <f t="shared" ca="1" si="235"/>
        <v/>
      </c>
      <c r="H447" s="93" t="str">
        <f t="shared" ca="1" si="236"/>
        <v/>
      </c>
      <c r="I447" s="21">
        <v>50</v>
      </c>
      <c r="J447" s="68">
        <f t="shared" si="237"/>
        <v>1.1583333333333332</v>
      </c>
      <c r="K447" s="70">
        <v>1.39</v>
      </c>
      <c r="L447" s="72">
        <f t="shared" ca="1" si="232"/>
        <v>0.55066666666666664</v>
      </c>
      <c r="M447" s="73">
        <f t="shared" ca="1" si="233"/>
        <v>27.533333333333331</v>
      </c>
      <c r="N447" s="12" t="s">
        <v>40</v>
      </c>
      <c r="O447" s="47" t="s">
        <v>45</v>
      </c>
      <c r="P447" s="13">
        <f t="shared" si="259"/>
        <v>1.39</v>
      </c>
      <c r="Q447" s="1" t="str">
        <f t="shared" si="261"/>
        <v>50-90 шт - 1,39 руб / шт с НДС</v>
      </c>
      <c r="R447" s="235" t="str">
        <f ca="1">INDIRECT("'Закуп'!k" &amp; A447)</f>
        <v>K91</v>
      </c>
      <c r="S447" s="239">
        <f ca="1">INDIRECT("'Закуп'!o" &amp; A447)</f>
        <v>4.09</v>
      </c>
      <c r="T447" s="226" t="str">
        <f ca="1">INDIRECT("'Закуп'!p" &amp; A447)</f>
        <v>4-5,9 литра</v>
      </c>
      <c r="U447" s="228" t="str">
        <f ca="1">INDIRECT("'Закуп'!v" &amp; A447)</f>
        <v/>
      </c>
      <c r="V447" s="222" t="str">
        <f ca="1">INDIRECT("'Закуп'!w" &amp; A447)</f>
        <v/>
      </c>
      <c r="W447" s="229" t="str">
        <f ca="1">INDIRECT("'Закуп'!H" &amp; A447)</f>
        <v>0215</v>
      </c>
      <c r="X447" s="227" t="str">
        <f t="shared" ref="X447" ca="1" si="268">INDIRECT("'Закуп'!g" &amp; A447)</f>
        <v>С</v>
      </c>
      <c r="Y447" s="229" t="str">
        <f ca="1">INDIRECT("'Закуп'!i" &amp; A447)</f>
        <v>в</v>
      </c>
      <c r="Z447" s="236" t="str">
        <f ca="1">INDIRECT("'Закуп'!x" &amp; A447)</f>
        <v>200-299 мм</v>
      </c>
      <c r="AA447" s="237" t="str">
        <f ca="1">INDIRECT("'Закуп'!y" &amp; A447)</f>
        <v>100-199 мм</v>
      </c>
      <c r="AB447" s="238" t="str">
        <f ca="1">INDIRECT("'Закуп'!z" &amp; A447)</f>
        <v>100-199 мм</v>
      </c>
      <c r="AC447" s="223" t="str">
        <f t="shared" ca="1" si="258"/>
        <v>220x120x155</v>
      </c>
      <c r="AD447" s="222" t="str">
        <f t="shared" ca="1" si="246"/>
        <v>220x120x155 - 220*120*155 мм</v>
      </c>
    </row>
    <row r="448" spans="1:30" x14ac:dyDescent="0.4">
      <c r="A448" s="230"/>
      <c r="B448" s="8">
        <v>91</v>
      </c>
      <c r="C448" s="14">
        <f t="shared" ca="1" si="241"/>
        <v>0.47</v>
      </c>
      <c r="D448" s="20">
        <f t="shared" ca="1" si="251"/>
        <v>0.56399999999999995</v>
      </c>
      <c r="E448" s="225"/>
      <c r="F448" s="231"/>
      <c r="G448" s="172" t="str">
        <f t="shared" ca="1" si="235"/>
        <v/>
      </c>
      <c r="H448" s="93" t="str">
        <f t="shared" ca="1" si="236"/>
        <v/>
      </c>
      <c r="I448" s="21">
        <v>100</v>
      </c>
      <c r="J448" s="68">
        <f t="shared" si="237"/>
        <v>1.0083333333333333</v>
      </c>
      <c r="K448" s="70">
        <v>1.21</v>
      </c>
      <c r="L448" s="72">
        <f t="shared" ca="1" si="232"/>
        <v>0.43066666666666664</v>
      </c>
      <c r="M448" s="73">
        <f t="shared" ca="1" si="233"/>
        <v>43.066666666666663</v>
      </c>
      <c r="N448" s="12" t="s">
        <v>41</v>
      </c>
      <c r="O448" s="47" t="s">
        <v>45</v>
      </c>
      <c r="P448" s="13">
        <f t="shared" si="259"/>
        <v>1.21</v>
      </c>
      <c r="Q448" s="1" t="str">
        <f t="shared" si="261"/>
        <v>100-290 шт - 1,21 руб / шт с НДС</v>
      </c>
      <c r="R448" s="235"/>
      <c r="S448" s="239"/>
      <c r="T448" s="226"/>
      <c r="U448" s="228"/>
      <c r="V448" s="222"/>
      <c r="W448" s="229"/>
      <c r="X448" s="227"/>
      <c r="Y448" s="229"/>
      <c r="Z448" s="236"/>
      <c r="AA448" s="237"/>
      <c r="AB448" s="238"/>
      <c r="AC448" s="223"/>
      <c r="AD448" s="222"/>
    </row>
    <row r="449" spans="1:30" x14ac:dyDescent="0.4">
      <c r="A449" s="230"/>
      <c r="B449" s="8">
        <v>91</v>
      </c>
      <c r="C449" s="14">
        <f t="shared" ca="1" si="241"/>
        <v>0.47</v>
      </c>
      <c r="D449" s="20">
        <f t="shared" ca="1" si="251"/>
        <v>0.56399999999999995</v>
      </c>
      <c r="E449" s="225"/>
      <c r="F449" s="231"/>
      <c r="G449" s="172" t="str">
        <f t="shared" ca="1" si="235"/>
        <v/>
      </c>
      <c r="H449" s="93" t="str">
        <f t="shared" ca="1" si="236"/>
        <v/>
      </c>
      <c r="I449" s="21">
        <v>300</v>
      </c>
      <c r="J449" s="68">
        <f t="shared" si="237"/>
        <v>0.85833333333333339</v>
      </c>
      <c r="K449" s="70">
        <v>1.03</v>
      </c>
      <c r="L449" s="72">
        <f t="shared" ca="1" si="232"/>
        <v>0.31066666666666676</v>
      </c>
      <c r="M449" s="73">
        <f t="shared" ca="1" si="233"/>
        <v>93.200000000000031</v>
      </c>
      <c r="N449" s="12" t="s">
        <v>42</v>
      </c>
      <c r="O449" s="47" t="s">
        <v>45</v>
      </c>
      <c r="P449" s="13">
        <f t="shared" si="259"/>
        <v>1.03</v>
      </c>
      <c r="Q449" s="1" t="str">
        <f t="shared" si="261"/>
        <v>300-490 шт - 1,03 руб / шт с НДС</v>
      </c>
      <c r="R449" s="235"/>
      <c r="S449" s="239"/>
      <c r="T449" s="226"/>
      <c r="U449" s="228"/>
      <c r="V449" s="222"/>
      <c r="W449" s="229"/>
      <c r="X449" s="227"/>
      <c r="Y449" s="229"/>
      <c r="Z449" s="236"/>
      <c r="AA449" s="237"/>
      <c r="AB449" s="238"/>
      <c r="AC449" s="223"/>
      <c r="AD449" s="222"/>
    </row>
    <row r="450" spans="1:30" x14ac:dyDescent="0.4">
      <c r="A450" s="230"/>
      <c r="B450" s="8">
        <v>91</v>
      </c>
      <c r="C450" s="14">
        <f t="shared" ca="1" si="241"/>
        <v>0.47</v>
      </c>
      <c r="D450" s="20">
        <f t="shared" ca="1" si="251"/>
        <v>0.56399999999999995</v>
      </c>
      <c r="E450" s="225"/>
      <c r="F450" s="231"/>
      <c r="G450" s="172" t="str">
        <f t="shared" ca="1" si="235"/>
        <v/>
      </c>
      <c r="H450" s="93" t="str">
        <f t="shared" ca="1" si="236"/>
        <v/>
      </c>
      <c r="I450" s="21">
        <v>500</v>
      </c>
      <c r="J450" s="68">
        <f t="shared" si="237"/>
        <v>0.8</v>
      </c>
      <c r="K450" s="70">
        <v>0.96</v>
      </c>
      <c r="L450" s="72">
        <f t="shared" ref="L450:L513" ca="1" si="269">J450-C450-(J450-C450)*0.2</f>
        <v>0.26400000000000007</v>
      </c>
      <c r="M450" s="73">
        <f t="shared" ref="M450:M513" ca="1" si="270">L450*I450</f>
        <v>132.00000000000003</v>
      </c>
      <c r="N450" s="12" t="s">
        <v>43</v>
      </c>
      <c r="O450" s="47" t="s">
        <v>45</v>
      </c>
      <c r="P450" s="13">
        <f t="shared" si="259"/>
        <v>0.96</v>
      </c>
      <c r="Q450" s="1" t="str">
        <f t="shared" si="261"/>
        <v>500-990 шт - 0,96 руб / шт с НДС</v>
      </c>
      <c r="R450" s="235"/>
      <c r="S450" s="239"/>
      <c r="T450" s="226"/>
      <c r="U450" s="228"/>
      <c r="V450" s="222"/>
      <c r="W450" s="229"/>
      <c r="X450" s="227"/>
      <c r="Y450" s="229"/>
      <c r="Z450" s="236"/>
      <c r="AA450" s="237"/>
      <c r="AB450" s="238"/>
      <c r="AC450" s="223"/>
      <c r="AD450" s="222"/>
    </row>
    <row r="451" spans="1:30" x14ac:dyDescent="0.4">
      <c r="A451" s="230"/>
      <c r="B451" s="8">
        <v>91</v>
      </c>
      <c r="C451" s="14">
        <f t="shared" ca="1" si="241"/>
        <v>0.47</v>
      </c>
      <c r="D451" s="20">
        <f t="shared" ca="1" si="251"/>
        <v>0.56399999999999995</v>
      </c>
      <c r="E451" s="225"/>
      <c r="F451" s="231"/>
      <c r="G451" s="172" t="str">
        <f t="shared" ref="G451:G514" ca="1" si="271">IF(INDIRECT("'Закуп'!L" &amp; B451)="Sale","Sale","")</f>
        <v/>
      </c>
      <c r="H451" s="93" t="str">
        <f t="shared" ref="H451:H514" ca="1" si="272">IF(INDIRECT("'Закуп'!F" &amp; B451)=0,"",INDIRECT("'Закуп'!F" &amp; B451))</f>
        <v/>
      </c>
      <c r="I451" s="21">
        <v>1000</v>
      </c>
      <c r="J451" s="68">
        <f t="shared" ref="J451:J514" si="273">K451/1.2</f>
        <v>0.75</v>
      </c>
      <c r="K451" s="70">
        <v>0.9</v>
      </c>
      <c r="L451" s="72">
        <f t="shared" ca="1" si="269"/>
        <v>0.22400000000000003</v>
      </c>
      <c r="M451" s="73">
        <f t="shared" ca="1" si="270"/>
        <v>224.00000000000003</v>
      </c>
      <c r="N451" s="12" t="s">
        <v>44</v>
      </c>
      <c r="O451" s="47" t="s">
        <v>45</v>
      </c>
      <c r="P451" s="13">
        <f t="shared" si="259"/>
        <v>0.9</v>
      </c>
      <c r="Q451" s="1" t="str">
        <f t="shared" si="261"/>
        <v>1000 + шт - 0,9 руб / шт с НДС</v>
      </c>
      <c r="R451" s="235"/>
      <c r="S451" s="239"/>
      <c r="T451" s="226"/>
      <c r="U451" s="228"/>
      <c r="V451" s="222"/>
      <c r="W451" s="229"/>
      <c r="X451" s="227"/>
      <c r="Y451" s="229"/>
      <c r="Z451" s="236"/>
      <c r="AA451" s="237"/>
      <c r="AB451" s="238"/>
      <c r="AC451" s="223"/>
      <c r="AD451" s="222"/>
    </row>
    <row r="452" spans="1:30" x14ac:dyDescent="0.4">
      <c r="A452" s="230">
        <v>92</v>
      </c>
      <c r="B452" s="8">
        <v>92</v>
      </c>
      <c r="C452" s="14">
        <f t="shared" ca="1" si="241"/>
        <v>1.78</v>
      </c>
      <c r="D452" s="20">
        <f t="shared" ca="1" si="251"/>
        <v>2.1360000000000001</v>
      </c>
      <c r="E452" s="224" t="str">
        <f ca="1">INDIRECT("'Закуп'!D" &amp; A452)</f>
        <v>У</v>
      </c>
      <c r="F452" s="231" t="str">
        <f t="shared" ref="F452" ca="1" si="274">INDIRECT("'Закуп'!E" &amp; B452)</f>
        <v>390х325х370</v>
      </c>
      <c r="G452" s="172" t="str">
        <f t="shared" ca="1" si="271"/>
        <v/>
      </c>
      <c r="H452" s="93" t="str">
        <f t="shared" ca="1" si="272"/>
        <v/>
      </c>
      <c r="I452" s="21">
        <v>50</v>
      </c>
      <c r="J452" s="68">
        <f t="shared" si="273"/>
        <v>3.8083333333333336</v>
      </c>
      <c r="K452" s="70">
        <v>4.57</v>
      </c>
      <c r="L452" s="72">
        <f t="shared" ca="1" si="269"/>
        <v>1.6226666666666667</v>
      </c>
      <c r="M452" s="73">
        <f t="shared" ca="1" si="270"/>
        <v>81.13333333333334</v>
      </c>
      <c r="N452" s="12" t="s">
        <v>40</v>
      </c>
      <c r="O452" s="47" t="s">
        <v>45</v>
      </c>
      <c r="P452" s="13">
        <f t="shared" si="259"/>
        <v>4.57</v>
      </c>
      <c r="Q452" s="1" t="str">
        <f t="shared" si="261"/>
        <v>50-90 шт - 4,57 руб / шт с НДС</v>
      </c>
      <c r="R452" s="235" t="str">
        <f ca="1">INDIRECT("'Закуп'!k" &amp; A452)</f>
        <v>K92</v>
      </c>
      <c r="S452" s="239">
        <f ca="1">INDIRECT("'Закуп'!o" &amp; A452)</f>
        <v>46.9</v>
      </c>
      <c r="T452" s="226" t="str">
        <f ca="1">INDIRECT("'Закуп'!p" &amp; A452)</f>
        <v>30-49 литров</v>
      </c>
      <c r="U452" s="228" t="str">
        <f ca="1">INDIRECT("'Закуп'!v" &amp; A452)</f>
        <v/>
      </c>
      <c r="V452" s="222" t="str">
        <f ca="1">INDIRECT("'Закуп'!w" &amp; A452)</f>
        <v/>
      </c>
      <c r="W452" s="229" t="str">
        <f ca="1">INDIRECT("'Закуп'!H" &amp; A452)</f>
        <v>0201</v>
      </c>
      <c r="X452" s="227" t="str">
        <f t="shared" ref="X452" ca="1" si="275">INDIRECT("'Закуп'!g" &amp; A452)</f>
        <v>Ч</v>
      </c>
      <c r="Y452" s="229" t="str">
        <f ca="1">INDIRECT("'Закуп'!i" &amp; A452)</f>
        <v>В</v>
      </c>
      <c r="Z452" s="236" t="str">
        <f ca="1">INDIRECT("'Закуп'!x" &amp; A452)</f>
        <v>300-399 мм</v>
      </c>
      <c r="AA452" s="237" t="str">
        <f ca="1">INDIRECT("'Закуп'!y" &amp; A452)</f>
        <v>300-399 мм</v>
      </c>
      <c r="AB452" s="238" t="str">
        <f ca="1">INDIRECT("'Закуп'!z" &amp; A452)</f>
        <v>300-399 мм</v>
      </c>
      <c r="AC452" s="223" t="str">
        <f t="shared" ca="1" si="258"/>
        <v>390x325x370</v>
      </c>
      <c r="AD452" s="222" t="str">
        <f t="shared" ca="1" si="246"/>
        <v>390x325x370 - 390*325*370 мм</v>
      </c>
    </row>
    <row r="453" spans="1:30" x14ac:dyDescent="0.4">
      <c r="A453" s="230"/>
      <c r="B453" s="8">
        <v>92</v>
      </c>
      <c r="C453" s="14">
        <f t="shared" ca="1" si="241"/>
        <v>1.78</v>
      </c>
      <c r="D453" s="20">
        <f t="shared" ca="1" si="251"/>
        <v>2.1360000000000001</v>
      </c>
      <c r="E453" s="225"/>
      <c r="F453" s="231"/>
      <c r="G453" s="172" t="str">
        <f t="shared" ca="1" si="271"/>
        <v/>
      </c>
      <c r="H453" s="93" t="str">
        <f t="shared" ca="1" si="272"/>
        <v/>
      </c>
      <c r="I453" s="21">
        <v>100</v>
      </c>
      <c r="J453" s="68">
        <f t="shared" si="273"/>
        <v>3.0083333333333333</v>
      </c>
      <c r="K453" s="70">
        <v>3.61</v>
      </c>
      <c r="L453" s="72">
        <f t="shared" ca="1" si="269"/>
        <v>0.98266666666666658</v>
      </c>
      <c r="M453" s="73">
        <f t="shared" ca="1" si="270"/>
        <v>98.266666666666652</v>
      </c>
      <c r="N453" s="12" t="s">
        <v>41</v>
      </c>
      <c r="O453" s="47" t="s">
        <v>45</v>
      </c>
      <c r="P453" s="13">
        <f t="shared" si="259"/>
        <v>3.61</v>
      </c>
      <c r="Q453" s="1" t="str">
        <f t="shared" si="261"/>
        <v>100-290 шт - 3,61 руб / шт с НДС</v>
      </c>
      <c r="R453" s="235"/>
      <c r="S453" s="239"/>
      <c r="T453" s="226"/>
      <c r="U453" s="228"/>
      <c r="V453" s="222"/>
      <c r="W453" s="229"/>
      <c r="X453" s="227"/>
      <c r="Y453" s="229"/>
      <c r="Z453" s="236"/>
      <c r="AA453" s="237"/>
      <c r="AB453" s="238"/>
      <c r="AC453" s="223"/>
      <c r="AD453" s="222"/>
    </row>
    <row r="454" spans="1:30" x14ac:dyDescent="0.4">
      <c r="A454" s="230"/>
      <c r="B454" s="8">
        <v>92</v>
      </c>
      <c r="C454" s="14">
        <f t="shared" ca="1" si="241"/>
        <v>1.78</v>
      </c>
      <c r="D454" s="20">
        <f t="shared" ca="1" si="251"/>
        <v>2.1360000000000001</v>
      </c>
      <c r="E454" s="225"/>
      <c r="F454" s="231"/>
      <c r="G454" s="172" t="str">
        <f t="shared" ca="1" si="271"/>
        <v/>
      </c>
      <c r="H454" s="93" t="str">
        <f t="shared" ca="1" si="272"/>
        <v/>
      </c>
      <c r="I454" s="21">
        <v>300</v>
      </c>
      <c r="J454" s="68">
        <f t="shared" si="273"/>
        <v>2.4750000000000001</v>
      </c>
      <c r="K454" s="70">
        <v>2.97</v>
      </c>
      <c r="L454" s="72">
        <f t="shared" ca="1" si="269"/>
        <v>0.55600000000000005</v>
      </c>
      <c r="M454" s="73">
        <f t="shared" ca="1" si="270"/>
        <v>166.8</v>
      </c>
      <c r="N454" s="12" t="s">
        <v>42</v>
      </c>
      <c r="O454" s="47" t="s">
        <v>45</v>
      </c>
      <c r="P454" s="13">
        <f t="shared" si="259"/>
        <v>2.97</v>
      </c>
      <c r="Q454" s="1" t="str">
        <f t="shared" si="261"/>
        <v>300-490 шт - 2,97 руб / шт с НДС</v>
      </c>
      <c r="R454" s="235"/>
      <c r="S454" s="239"/>
      <c r="T454" s="226"/>
      <c r="U454" s="228"/>
      <c r="V454" s="222"/>
      <c r="W454" s="229"/>
      <c r="X454" s="227"/>
      <c r="Y454" s="229"/>
      <c r="Z454" s="236"/>
      <c r="AA454" s="237"/>
      <c r="AB454" s="238"/>
      <c r="AC454" s="223"/>
      <c r="AD454" s="222"/>
    </row>
    <row r="455" spans="1:30" x14ac:dyDescent="0.4">
      <c r="A455" s="230"/>
      <c r="B455" s="8">
        <v>92</v>
      </c>
      <c r="C455" s="14">
        <f t="shared" ca="1" si="241"/>
        <v>1.78</v>
      </c>
      <c r="D455" s="20">
        <f t="shared" ca="1" si="251"/>
        <v>2.1360000000000001</v>
      </c>
      <c r="E455" s="225"/>
      <c r="F455" s="231"/>
      <c r="G455" s="172" t="str">
        <f t="shared" ca="1" si="271"/>
        <v/>
      </c>
      <c r="H455" s="93" t="str">
        <f t="shared" ca="1" si="272"/>
        <v/>
      </c>
      <c r="I455" s="21">
        <v>500</v>
      </c>
      <c r="J455" s="68">
        <f t="shared" si="273"/>
        <v>2.4</v>
      </c>
      <c r="K455" s="70">
        <v>2.88</v>
      </c>
      <c r="L455" s="72">
        <f t="shared" ca="1" si="269"/>
        <v>0.49599999999999989</v>
      </c>
      <c r="M455" s="73">
        <f t="shared" ca="1" si="270"/>
        <v>247.99999999999994</v>
      </c>
      <c r="N455" s="12" t="s">
        <v>43</v>
      </c>
      <c r="O455" s="47" t="s">
        <v>45</v>
      </c>
      <c r="P455" s="13">
        <f t="shared" si="259"/>
        <v>2.88</v>
      </c>
      <c r="Q455" s="1" t="str">
        <f t="shared" si="261"/>
        <v>500-990 шт - 2,88 руб / шт с НДС</v>
      </c>
      <c r="R455" s="235"/>
      <c r="S455" s="239"/>
      <c r="T455" s="226"/>
      <c r="U455" s="228"/>
      <c r="V455" s="222"/>
      <c r="W455" s="229"/>
      <c r="X455" s="227"/>
      <c r="Y455" s="229"/>
      <c r="Z455" s="236"/>
      <c r="AA455" s="237"/>
      <c r="AB455" s="238"/>
      <c r="AC455" s="223"/>
      <c r="AD455" s="222"/>
    </row>
    <row r="456" spans="1:30" x14ac:dyDescent="0.4">
      <c r="A456" s="230"/>
      <c r="B456" s="8">
        <v>92</v>
      </c>
      <c r="C456" s="14">
        <f t="shared" ca="1" si="241"/>
        <v>1.78</v>
      </c>
      <c r="D456" s="20">
        <f t="shared" ca="1" si="251"/>
        <v>2.1360000000000001</v>
      </c>
      <c r="E456" s="225"/>
      <c r="F456" s="231"/>
      <c r="G456" s="172" t="str">
        <f t="shared" ca="1" si="271"/>
        <v/>
      </c>
      <c r="H456" s="93" t="str">
        <f t="shared" ca="1" si="272"/>
        <v/>
      </c>
      <c r="I456" s="21">
        <v>1000</v>
      </c>
      <c r="J456" s="68">
        <f t="shared" si="273"/>
        <v>2.3250000000000002</v>
      </c>
      <c r="K456" s="70">
        <v>2.79</v>
      </c>
      <c r="L456" s="72">
        <f t="shared" ca="1" si="269"/>
        <v>0.43600000000000011</v>
      </c>
      <c r="M456" s="73">
        <f t="shared" ca="1" si="270"/>
        <v>436.00000000000011</v>
      </c>
      <c r="N456" s="12" t="s">
        <v>44</v>
      </c>
      <c r="O456" s="47" t="s">
        <v>45</v>
      </c>
      <c r="P456" s="13">
        <f t="shared" si="259"/>
        <v>2.79</v>
      </c>
      <c r="Q456" s="1" t="str">
        <f t="shared" si="261"/>
        <v>1000 + шт - 2,79 руб / шт с НДС</v>
      </c>
      <c r="R456" s="235"/>
      <c r="S456" s="239"/>
      <c r="T456" s="226"/>
      <c r="U456" s="228"/>
      <c r="V456" s="222"/>
      <c r="W456" s="229"/>
      <c r="X456" s="227"/>
      <c r="Y456" s="229"/>
      <c r="Z456" s="236"/>
      <c r="AA456" s="237"/>
      <c r="AB456" s="238"/>
      <c r="AC456" s="223"/>
      <c r="AD456" s="222"/>
    </row>
    <row r="457" spans="1:30" x14ac:dyDescent="0.4">
      <c r="A457" s="230">
        <v>93</v>
      </c>
      <c r="B457" s="8">
        <v>93</v>
      </c>
      <c r="C457" s="14">
        <f t="shared" ref="C457:C520" ca="1" si="276">INDIRECT("'Закуп'!A" &amp; B457)</f>
        <v>1.77</v>
      </c>
      <c r="D457" s="20">
        <f t="shared" ca="1" si="251"/>
        <v>2.1240000000000001</v>
      </c>
      <c r="E457" s="224" t="str">
        <f ca="1">INDIRECT("'Закуп'!D" &amp; A457)</f>
        <v>У</v>
      </c>
      <c r="F457" s="231" t="str">
        <f t="shared" ref="F457" ca="1" si="277">INDIRECT("'Закуп'!E" &amp; B457)</f>
        <v>570х350х190</v>
      </c>
      <c r="G457" s="172" t="str">
        <f t="shared" ca="1" si="271"/>
        <v/>
      </c>
      <c r="H457" s="93" t="str">
        <f t="shared" ca="1" si="272"/>
        <v/>
      </c>
      <c r="I457" s="21">
        <v>50</v>
      </c>
      <c r="J457" s="68">
        <f t="shared" si="273"/>
        <v>3.7916666666666665</v>
      </c>
      <c r="K457" s="70">
        <v>4.55</v>
      </c>
      <c r="L457" s="72">
        <f t="shared" ca="1" si="269"/>
        <v>1.6173333333333333</v>
      </c>
      <c r="M457" s="73">
        <f t="shared" ca="1" si="270"/>
        <v>80.86666666666666</v>
      </c>
      <c r="N457" s="12" t="s">
        <v>40</v>
      </c>
      <c r="O457" s="47" t="s">
        <v>45</v>
      </c>
      <c r="P457" s="13">
        <f t="shared" si="259"/>
        <v>4.55</v>
      </c>
      <c r="Q457" s="1" t="str">
        <f t="shared" si="261"/>
        <v>50-90 шт - 4,55 руб / шт с НДС</v>
      </c>
      <c r="R457" s="235" t="str">
        <f ca="1">INDIRECT("'Закуп'!k" &amp; A457)</f>
        <v>K93</v>
      </c>
      <c r="S457" s="239">
        <f ca="1">INDIRECT("'Закуп'!o" &amp; A457)</f>
        <v>37.909999999999997</v>
      </c>
      <c r="T457" s="226" t="str">
        <f ca="1">INDIRECT("'Закуп'!p" &amp; A457)</f>
        <v>30-49 литров</v>
      </c>
      <c r="U457" s="228" t="str">
        <f ca="1">INDIRECT("'Закуп'!v" &amp; A457)</f>
        <v/>
      </c>
      <c r="V457" s="222" t="str">
        <f ca="1">INDIRECT("'Закуп'!w" &amp; A457)</f>
        <v/>
      </c>
      <c r="W457" s="229" t="str">
        <f ca="1">INDIRECT("'Закуп'!H" &amp; A457)</f>
        <v>0201</v>
      </c>
      <c r="X457" s="227" t="str">
        <f t="shared" ref="X457" ca="1" si="278">INDIRECT("'Закуп'!g" &amp; A457)</f>
        <v>Ч</v>
      </c>
      <c r="Y457" s="229" t="str">
        <f ca="1">INDIRECT("'Закуп'!i" &amp; A457)</f>
        <v>В</v>
      </c>
      <c r="Z457" s="236" t="str">
        <f ca="1">INDIRECT("'Закуп'!x" &amp; A457)</f>
        <v>500-599 мм</v>
      </c>
      <c r="AA457" s="237" t="str">
        <f ca="1">INDIRECT("'Закуп'!y" &amp; A457)</f>
        <v>300-399 мм</v>
      </c>
      <c r="AB457" s="238" t="str">
        <f ca="1">INDIRECT("'Закуп'!z" &amp; A457)</f>
        <v>100-199 мм</v>
      </c>
      <c r="AC457" s="223" t="str">
        <f t="shared" ca="1" si="258"/>
        <v>570x350x190</v>
      </c>
      <c r="AD457" s="222" t="str">
        <f t="shared" ca="1" si="246"/>
        <v>570x350x190 - 570*350*190 мм</v>
      </c>
    </row>
    <row r="458" spans="1:30" x14ac:dyDescent="0.4">
      <c r="A458" s="230"/>
      <c r="B458" s="8">
        <v>93</v>
      </c>
      <c r="C458" s="14">
        <f t="shared" ca="1" si="276"/>
        <v>1.77</v>
      </c>
      <c r="D458" s="20">
        <f t="shared" ca="1" si="251"/>
        <v>2.1240000000000001</v>
      </c>
      <c r="E458" s="225"/>
      <c r="F458" s="231"/>
      <c r="G458" s="172" t="str">
        <f t="shared" ca="1" si="271"/>
        <v/>
      </c>
      <c r="H458" s="93" t="str">
        <f t="shared" ca="1" si="272"/>
        <v/>
      </c>
      <c r="I458" s="21">
        <v>100</v>
      </c>
      <c r="J458" s="68">
        <f t="shared" si="273"/>
        <v>3</v>
      </c>
      <c r="K458" s="70">
        <v>3.6</v>
      </c>
      <c r="L458" s="72">
        <f t="shared" ca="1" si="269"/>
        <v>0.98399999999999999</v>
      </c>
      <c r="M458" s="73">
        <f t="shared" ca="1" si="270"/>
        <v>98.4</v>
      </c>
      <c r="N458" s="12" t="s">
        <v>41</v>
      </c>
      <c r="O458" s="47" t="s">
        <v>45</v>
      </c>
      <c r="P458" s="13">
        <f t="shared" si="259"/>
        <v>3.6</v>
      </c>
      <c r="Q458" s="1" t="str">
        <f t="shared" si="261"/>
        <v>100-290 шт - 3,6 руб / шт с НДС</v>
      </c>
      <c r="R458" s="235"/>
      <c r="S458" s="239"/>
      <c r="T458" s="226"/>
      <c r="U458" s="228"/>
      <c r="V458" s="222"/>
      <c r="W458" s="229"/>
      <c r="X458" s="227"/>
      <c r="Y458" s="229"/>
      <c r="Z458" s="236"/>
      <c r="AA458" s="237"/>
      <c r="AB458" s="238"/>
      <c r="AC458" s="223"/>
      <c r="AD458" s="222"/>
    </row>
    <row r="459" spans="1:30" x14ac:dyDescent="0.4">
      <c r="A459" s="230"/>
      <c r="B459" s="8">
        <v>93</v>
      </c>
      <c r="C459" s="14">
        <f t="shared" ca="1" si="276"/>
        <v>1.77</v>
      </c>
      <c r="D459" s="20">
        <f t="shared" ca="1" si="251"/>
        <v>2.1240000000000001</v>
      </c>
      <c r="E459" s="225"/>
      <c r="F459" s="231"/>
      <c r="G459" s="172" t="str">
        <f t="shared" ca="1" si="271"/>
        <v/>
      </c>
      <c r="H459" s="93" t="str">
        <f t="shared" ca="1" si="272"/>
        <v/>
      </c>
      <c r="I459" s="21">
        <v>300</v>
      </c>
      <c r="J459" s="68">
        <f t="shared" si="273"/>
        <v>2.4583333333333335</v>
      </c>
      <c r="K459" s="70">
        <v>2.95</v>
      </c>
      <c r="L459" s="72">
        <f t="shared" ca="1" si="269"/>
        <v>0.55066666666666675</v>
      </c>
      <c r="M459" s="73">
        <f t="shared" ca="1" si="270"/>
        <v>165.20000000000002</v>
      </c>
      <c r="N459" s="12" t="s">
        <v>42</v>
      </c>
      <c r="O459" s="47" t="s">
        <v>45</v>
      </c>
      <c r="P459" s="13">
        <f t="shared" si="259"/>
        <v>2.95</v>
      </c>
      <c r="Q459" s="1" t="str">
        <f t="shared" si="261"/>
        <v>300-490 шт - 2,95 руб / шт с НДС</v>
      </c>
      <c r="R459" s="235"/>
      <c r="S459" s="239"/>
      <c r="T459" s="226"/>
      <c r="U459" s="228"/>
      <c r="V459" s="222"/>
      <c r="W459" s="229"/>
      <c r="X459" s="227"/>
      <c r="Y459" s="229"/>
      <c r="Z459" s="236"/>
      <c r="AA459" s="237"/>
      <c r="AB459" s="238"/>
      <c r="AC459" s="223"/>
      <c r="AD459" s="222"/>
    </row>
    <row r="460" spans="1:30" x14ac:dyDescent="0.4">
      <c r="A460" s="230"/>
      <c r="B460" s="8">
        <v>93</v>
      </c>
      <c r="C460" s="14">
        <f t="shared" ca="1" si="276"/>
        <v>1.77</v>
      </c>
      <c r="D460" s="20">
        <f t="shared" ca="1" si="251"/>
        <v>2.1240000000000001</v>
      </c>
      <c r="E460" s="225"/>
      <c r="F460" s="231"/>
      <c r="G460" s="172" t="str">
        <f t="shared" ca="1" si="271"/>
        <v/>
      </c>
      <c r="H460" s="93" t="str">
        <f t="shared" ca="1" si="272"/>
        <v/>
      </c>
      <c r="I460" s="21">
        <v>500</v>
      </c>
      <c r="J460" s="68">
        <f t="shared" si="273"/>
        <v>2.3916666666666671</v>
      </c>
      <c r="K460" s="70">
        <v>2.87</v>
      </c>
      <c r="L460" s="72">
        <f t="shared" ca="1" si="269"/>
        <v>0.49733333333333363</v>
      </c>
      <c r="M460" s="73">
        <f t="shared" ca="1" si="270"/>
        <v>248.6666666666668</v>
      </c>
      <c r="N460" s="12" t="s">
        <v>43</v>
      </c>
      <c r="O460" s="47" t="s">
        <v>45</v>
      </c>
      <c r="P460" s="13">
        <f t="shared" si="259"/>
        <v>2.87</v>
      </c>
      <c r="Q460" s="1" t="str">
        <f t="shared" si="261"/>
        <v>500-990 шт - 2,87 руб / шт с НДС</v>
      </c>
      <c r="R460" s="235"/>
      <c r="S460" s="239"/>
      <c r="T460" s="226"/>
      <c r="U460" s="228"/>
      <c r="V460" s="222"/>
      <c r="W460" s="229"/>
      <c r="X460" s="227"/>
      <c r="Y460" s="229"/>
      <c r="Z460" s="236"/>
      <c r="AA460" s="237"/>
      <c r="AB460" s="238"/>
      <c r="AC460" s="223"/>
      <c r="AD460" s="222"/>
    </row>
    <row r="461" spans="1:30" x14ac:dyDescent="0.4">
      <c r="A461" s="230"/>
      <c r="B461" s="8">
        <v>93</v>
      </c>
      <c r="C461" s="14">
        <f t="shared" ca="1" si="276"/>
        <v>1.77</v>
      </c>
      <c r="D461" s="20">
        <f t="shared" ca="1" si="251"/>
        <v>2.1240000000000001</v>
      </c>
      <c r="E461" s="225"/>
      <c r="F461" s="231"/>
      <c r="G461" s="172" t="str">
        <f t="shared" ca="1" si="271"/>
        <v/>
      </c>
      <c r="H461" s="93" t="str">
        <f t="shared" ca="1" si="272"/>
        <v/>
      </c>
      <c r="I461" s="21">
        <v>1000</v>
      </c>
      <c r="J461" s="68">
        <f t="shared" si="273"/>
        <v>2.3083333333333336</v>
      </c>
      <c r="K461" s="70">
        <v>2.77</v>
      </c>
      <c r="L461" s="72">
        <f t="shared" ca="1" si="269"/>
        <v>0.43066666666666686</v>
      </c>
      <c r="M461" s="73">
        <f t="shared" ca="1" si="270"/>
        <v>430.66666666666686</v>
      </c>
      <c r="N461" s="12" t="s">
        <v>44</v>
      </c>
      <c r="O461" s="47" t="s">
        <v>45</v>
      </c>
      <c r="P461" s="13">
        <f t="shared" si="259"/>
        <v>2.77</v>
      </c>
      <c r="Q461" s="1" t="str">
        <f t="shared" si="261"/>
        <v>1000 + шт - 2,77 руб / шт с НДС</v>
      </c>
      <c r="R461" s="235"/>
      <c r="S461" s="239"/>
      <c r="T461" s="226"/>
      <c r="U461" s="228"/>
      <c r="V461" s="222"/>
      <c r="W461" s="229"/>
      <c r="X461" s="227"/>
      <c r="Y461" s="229"/>
      <c r="Z461" s="236"/>
      <c r="AA461" s="237"/>
      <c r="AB461" s="238"/>
      <c r="AC461" s="223"/>
      <c r="AD461" s="222"/>
    </row>
    <row r="462" spans="1:30" x14ac:dyDescent="0.4">
      <c r="A462" s="230">
        <v>94</v>
      </c>
      <c r="B462" s="8">
        <v>94</v>
      </c>
      <c r="C462" s="14">
        <f t="shared" ca="1" si="276"/>
        <v>0.26</v>
      </c>
      <c r="D462" s="20">
        <f t="shared" ca="1" si="251"/>
        <v>0.312</v>
      </c>
      <c r="E462" s="224" t="str">
        <f ca="1">INDIRECT("'Закуп'!D" &amp; A462)</f>
        <v>У</v>
      </c>
      <c r="F462" s="231" t="str">
        <f t="shared" ref="F462" ca="1" si="279">INDIRECT("'Закуп'!E" &amp; B462)</f>
        <v>200х90х40</v>
      </c>
      <c r="G462" s="172" t="str">
        <f t="shared" ca="1" si="271"/>
        <v/>
      </c>
      <c r="H462" s="93" t="str">
        <f t="shared" ca="1" si="272"/>
        <v/>
      </c>
      <c r="I462" s="21">
        <v>50</v>
      </c>
      <c r="J462" s="68">
        <f t="shared" si="273"/>
        <v>0.85833333333333339</v>
      </c>
      <c r="K462" s="70">
        <v>1.03</v>
      </c>
      <c r="L462" s="72">
        <f t="shared" ca="1" si="269"/>
        <v>0.47866666666666668</v>
      </c>
      <c r="M462" s="73">
        <f t="shared" ca="1" si="270"/>
        <v>23.933333333333334</v>
      </c>
      <c r="N462" s="12" t="s">
        <v>40</v>
      </c>
      <c r="O462" s="47" t="s">
        <v>45</v>
      </c>
      <c r="P462" s="13">
        <f t="shared" si="259"/>
        <v>1.03</v>
      </c>
      <c r="Q462" s="1" t="str">
        <f t="shared" si="261"/>
        <v>50-90 шт - 1,03 руб / шт с НДС</v>
      </c>
      <c r="R462" s="235" t="str">
        <f ca="1">INDIRECT("'Закуп'!k" &amp; A462)</f>
        <v>K94</v>
      </c>
      <c r="S462" s="239">
        <f ca="1">INDIRECT("'Закуп'!o" &amp; A462)</f>
        <v>0.72</v>
      </c>
      <c r="T462" s="226" t="str">
        <f ca="1">INDIRECT("'Закуп'!p" &amp; A462)</f>
        <v>0,1-0,9 литров</v>
      </c>
      <c r="U462" s="228" t="str">
        <f ca="1">INDIRECT("'Закуп'!v" &amp; A462)</f>
        <v>Длинные</v>
      </c>
      <c r="V462" s="222" t="str">
        <f ca="1">INDIRECT("'Закуп'!w" &amp; A462)</f>
        <v>Плоские</v>
      </c>
      <c r="W462" s="229" t="str">
        <f ca="1">INDIRECT("'Закуп'!H" &amp; A462)</f>
        <v>0427</v>
      </c>
      <c r="X462" s="227" t="str">
        <f t="shared" ref="X462" ca="1" si="280">INDIRECT("'Закуп'!g" &amp; A462)</f>
        <v>С</v>
      </c>
      <c r="Y462" s="229" t="str">
        <f ca="1">INDIRECT("'Закуп'!i" &amp; A462)</f>
        <v>в</v>
      </c>
      <c r="Z462" s="236" t="str">
        <f ca="1">INDIRECT("'Закуп'!x" &amp; A462)</f>
        <v>200-299 мм</v>
      </c>
      <c r="AA462" s="237" t="str">
        <f ca="1">INDIRECT("'Закуп'!y" &amp; A462)</f>
        <v>10-99 мм</v>
      </c>
      <c r="AB462" s="238" t="str">
        <f ca="1">INDIRECT("'Закуп'!z" &amp; A462)</f>
        <v>10-99 мм</v>
      </c>
      <c r="AC462" s="223" t="str">
        <f t="shared" ca="1" si="258"/>
        <v>200x90x40</v>
      </c>
      <c r="AD462" s="222" t="str">
        <f t="shared" ca="1" si="246"/>
        <v>200x90x40 - 200*90*40 мм</v>
      </c>
    </row>
    <row r="463" spans="1:30" x14ac:dyDescent="0.4">
      <c r="A463" s="230"/>
      <c r="B463" s="8">
        <v>94</v>
      </c>
      <c r="C463" s="14">
        <f t="shared" ca="1" si="276"/>
        <v>0.26</v>
      </c>
      <c r="D463" s="20">
        <f t="shared" ca="1" si="251"/>
        <v>0.312</v>
      </c>
      <c r="E463" s="225"/>
      <c r="F463" s="231"/>
      <c r="G463" s="172" t="str">
        <f t="shared" ca="1" si="271"/>
        <v/>
      </c>
      <c r="H463" s="93" t="str">
        <f t="shared" ca="1" si="272"/>
        <v/>
      </c>
      <c r="I463" s="21">
        <v>100</v>
      </c>
      <c r="J463" s="68">
        <f t="shared" si="273"/>
        <v>0.7416666666666667</v>
      </c>
      <c r="K463" s="70">
        <v>0.89</v>
      </c>
      <c r="L463" s="72">
        <f t="shared" ca="1" si="269"/>
        <v>0.38533333333333336</v>
      </c>
      <c r="M463" s="73">
        <f t="shared" ca="1" si="270"/>
        <v>38.533333333333339</v>
      </c>
      <c r="N463" s="12" t="s">
        <v>41</v>
      </c>
      <c r="O463" s="47" t="s">
        <v>45</v>
      </c>
      <c r="P463" s="13">
        <f t="shared" si="259"/>
        <v>0.89</v>
      </c>
      <c r="Q463" s="1" t="str">
        <f t="shared" si="261"/>
        <v>100-290 шт - 0,89 руб / шт с НДС</v>
      </c>
      <c r="R463" s="235"/>
      <c r="S463" s="239"/>
      <c r="T463" s="226"/>
      <c r="U463" s="228"/>
      <c r="V463" s="222"/>
      <c r="W463" s="229"/>
      <c r="X463" s="227"/>
      <c r="Y463" s="229"/>
      <c r="Z463" s="236"/>
      <c r="AA463" s="237"/>
      <c r="AB463" s="238"/>
      <c r="AC463" s="223"/>
      <c r="AD463" s="222"/>
    </row>
    <row r="464" spans="1:30" x14ac:dyDescent="0.4">
      <c r="A464" s="230"/>
      <c r="B464" s="8">
        <v>94</v>
      </c>
      <c r="C464" s="14">
        <f t="shared" ca="1" si="276"/>
        <v>0.26</v>
      </c>
      <c r="D464" s="20">
        <f t="shared" ca="1" si="251"/>
        <v>0.312</v>
      </c>
      <c r="E464" s="225"/>
      <c r="F464" s="231"/>
      <c r="G464" s="172" t="str">
        <f t="shared" ca="1" si="271"/>
        <v/>
      </c>
      <c r="H464" s="93" t="str">
        <f t="shared" ca="1" si="272"/>
        <v/>
      </c>
      <c r="I464" s="21">
        <v>300</v>
      </c>
      <c r="J464" s="68">
        <f t="shared" si="273"/>
        <v>0.59166666666666667</v>
      </c>
      <c r="K464" s="70">
        <v>0.71</v>
      </c>
      <c r="L464" s="72">
        <f t="shared" ca="1" si="269"/>
        <v>0.26533333333333331</v>
      </c>
      <c r="M464" s="73">
        <f t="shared" ca="1" si="270"/>
        <v>79.599999999999994</v>
      </c>
      <c r="N464" s="12" t="s">
        <v>42</v>
      </c>
      <c r="O464" s="47" t="s">
        <v>45</v>
      </c>
      <c r="P464" s="13">
        <f t="shared" si="259"/>
        <v>0.71</v>
      </c>
      <c r="Q464" s="1" t="str">
        <f t="shared" si="261"/>
        <v>300-490 шт - 0,71 руб / шт с НДС</v>
      </c>
      <c r="R464" s="235"/>
      <c r="S464" s="239"/>
      <c r="T464" s="226"/>
      <c r="U464" s="228"/>
      <c r="V464" s="222"/>
      <c r="W464" s="229"/>
      <c r="X464" s="227"/>
      <c r="Y464" s="229"/>
      <c r="Z464" s="236"/>
      <c r="AA464" s="237"/>
      <c r="AB464" s="238"/>
      <c r="AC464" s="223"/>
      <c r="AD464" s="222"/>
    </row>
    <row r="465" spans="1:30" x14ac:dyDescent="0.4">
      <c r="A465" s="230"/>
      <c r="B465" s="8">
        <v>94</v>
      </c>
      <c r="C465" s="14">
        <f t="shared" ca="1" si="276"/>
        <v>0.26</v>
      </c>
      <c r="D465" s="20">
        <f t="shared" ca="1" si="251"/>
        <v>0.312</v>
      </c>
      <c r="E465" s="225"/>
      <c r="F465" s="231"/>
      <c r="G465" s="172" t="str">
        <f t="shared" ca="1" si="271"/>
        <v/>
      </c>
      <c r="H465" s="93" t="str">
        <f t="shared" ca="1" si="272"/>
        <v/>
      </c>
      <c r="I465" s="21">
        <v>500</v>
      </c>
      <c r="J465" s="68">
        <f t="shared" si="273"/>
        <v>0.54166666666666674</v>
      </c>
      <c r="K465" s="70">
        <v>0.65</v>
      </c>
      <c r="L465" s="72">
        <f t="shared" ca="1" si="269"/>
        <v>0.22533333333333339</v>
      </c>
      <c r="M465" s="73">
        <f t="shared" ca="1" si="270"/>
        <v>112.66666666666669</v>
      </c>
      <c r="N465" s="12" t="s">
        <v>43</v>
      </c>
      <c r="O465" s="47" t="s">
        <v>45</v>
      </c>
      <c r="P465" s="13">
        <f t="shared" si="259"/>
        <v>0.65</v>
      </c>
      <c r="Q465" s="1" t="str">
        <f t="shared" si="261"/>
        <v>500-990 шт - 0,65 руб / шт с НДС</v>
      </c>
      <c r="R465" s="235"/>
      <c r="S465" s="239"/>
      <c r="T465" s="226"/>
      <c r="U465" s="228"/>
      <c r="V465" s="222"/>
      <c r="W465" s="229"/>
      <c r="X465" s="227"/>
      <c r="Y465" s="229"/>
      <c r="Z465" s="236"/>
      <c r="AA465" s="237"/>
      <c r="AB465" s="238"/>
      <c r="AC465" s="223"/>
      <c r="AD465" s="222"/>
    </row>
    <row r="466" spans="1:30" x14ac:dyDescent="0.4">
      <c r="A466" s="230"/>
      <c r="B466" s="8">
        <v>94</v>
      </c>
      <c r="C466" s="14">
        <f t="shared" ca="1" si="276"/>
        <v>0.26</v>
      </c>
      <c r="D466" s="20">
        <f t="shared" ca="1" si="251"/>
        <v>0.312</v>
      </c>
      <c r="E466" s="225"/>
      <c r="F466" s="231"/>
      <c r="G466" s="172" t="str">
        <f t="shared" ca="1" si="271"/>
        <v/>
      </c>
      <c r="H466" s="93" t="str">
        <f t="shared" ca="1" si="272"/>
        <v/>
      </c>
      <c r="I466" s="21">
        <v>1000</v>
      </c>
      <c r="J466" s="68">
        <f t="shared" si="273"/>
        <v>0.46666666666666673</v>
      </c>
      <c r="K466" s="70">
        <v>0.56000000000000005</v>
      </c>
      <c r="L466" s="72">
        <f t="shared" ca="1" si="269"/>
        <v>0.16533333333333339</v>
      </c>
      <c r="M466" s="73">
        <f t="shared" ca="1" si="270"/>
        <v>165.3333333333334</v>
      </c>
      <c r="N466" s="12" t="s">
        <v>44</v>
      </c>
      <c r="O466" s="47" t="s">
        <v>45</v>
      </c>
      <c r="P466" s="13">
        <f t="shared" si="259"/>
        <v>0.56000000000000005</v>
      </c>
      <c r="Q466" s="1" t="str">
        <f t="shared" si="261"/>
        <v>1000 + шт - 0,56 руб / шт с НДС</v>
      </c>
      <c r="R466" s="235"/>
      <c r="S466" s="239"/>
      <c r="T466" s="226"/>
      <c r="U466" s="228"/>
      <c r="V466" s="222"/>
      <c r="W466" s="229"/>
      <c r="X466" s="227"/>
      <c r="Y466" s="229"/>
      <c r="Z466" s="236"/>
      <c r="AA466" s="237"/>
      <c r="AB466" s="238"/>
      <c r="AC466" s="223"/>
      <c r="AD466" s="222"/>
    </row>
    <row r="467" spans="1:30" x14ac:dyDescent="0.4">
      <c r="A467" s="230">
        <v>95</v>
      </c>
      <c r="B467" s="8">
        <v>95</v>
      </c>
      <c r="C467" s="14">
        <f t="shared" ca="1" si="276"/>
        <v>0.26</v>
      </c>
      <c r="D467" s="20">
        <f t="shared" ca="1" si="251"/>
        <v>0.312</v>
      </c>
      <c r="E467" s="224" t="str">
        <f ca="1">INDIRECT("'Закуп'!D" &amp; A467)</f>
        <v>У</v>
      </c>
      <c r="F467" s="231" t="str">
        <f t="shared" ref="F467" ca="1" si="281">INDIRECT("'Закуп'!E" &amp; B467)</f>
        <v>74х71х247</v>
      </c>
      <c r="G467" s="172" t="str">
        <f t="shared" ca="1" si="271"/>
        <v/>
      </c>
      <c r="H467" s="93" t="str">
        <f t="shared" ca="1" si="272"/>
        <v/>
      </c>
      <c r="I467" s="21">
        <v>50</v>
      </c>
      <c r="J467" s="68">
        <f t="shared" si="273"/>
        <v>0.85833333333333339</v>
      </c>
      <c r="K467" s="70">
        <v>1.03</v>
      </c>
      <c r="L467" s="72">
        <f t="shared" ca="1" si="269"/>
        <v>0.47866666666666668</v>
      </c>
      <c r="M467" s="73">
        <f t="shared" ca="1" si="270"/>
        <v>23.933333333333334</v>
      </c>
      <c r="N467" s="12" t="s">
        <v>40</v>
      </c>
      <c r="O467" s="47" t="s">
        <v>45</v>
      </c>
      <c r="P467" s="13">
        <f t="shared" si="259"/>
        <v>1.03</v>
      </c>
      <c r="Q467" s="1" t="str">
        <f t="shared" si="261"/>
        <v>50-90 шт - 1,03 руб / шт с НДС</v>
      </c>
      <c r="R467" s="235" t="str">
        <f ca="1">INDIRECT("'Закуп'!k" &amp; A467)</f>
        <v>K95</v>
      </c>
      <c r="S467" s="239">
        <f ca="1">INDIRECT("'Закуп'!o" &amp; A467)</f>
        <v>1.3</v>
      </c>
      <c r="T467" s="226" t="str">
        <f ca="1">INDIRECT("'Закуп'!p" &amp; A467)</f>
        <v>1-1,9 литра</v>
      </c>
      <c r="U467" s="228" t="str">
        <f ca="1">INDIRECT("'Закуп'!v" &amp; A467)</f>
        <v>Длинные</v>
      </c>
      <c r="V467" s="222" t="str">
        <f ca="1">INDIRECT("'Закуп'!w" &amp; A467)</f>
        <v/>
      </c>
      <c r="W467" s="229" t="str">
        <f ca="1">INDIRECT("'Закуп'!H" &amp; A467)</f>
        <v>0215</v>
      </c>
      <c r="X467" s="227" t="str">
        <f t="shared" ref="X467" ca="1" si="282">INDIRECT("'Закуп'!g" &amp; A467)</f>
        <v>С</v>
      </c>
      <c r="Y467" s="229" t="str">
        <f ca="1">INDIRECT("'Закуп'!i" &amp; A467)</f>
        <v>В</v>
      </c>
      <c r="Z467" s="236" t="str">
        <f ca="1">INDIRECT("'Закуп'!x" &amp; A467)</f>
        <v>200-299 мм</v>
      </c>
      <c r="AA467" s="237" t="str">
        <f ca="1">INDIRECT("'Закуп'!y" &amp; A467)</f>
        <v>10-99 мм</v>
      </c>
      <c r="AB467" s="238" t="str">
        <f ca="1">INDIRECT("'Закуп'!z" &amp; A467)</f>
        <v>10-99 мм</v>
      </c>
      <c r="AC467" s="223" t="str">
        <f t="shared" ca="1" si="258"/>
        <v>74x71x247</v>
      </c>
      <c r="AD467" s="222" t="str">
        <f t="shared" ref="AD467:AD527" ca="1" si="283">SUBSTITUTE(INDEX(F:F, ROUNDUP((ROW(A466))/5,0)*5 - 3), "х", "x") &amp; " - " &amp; SUBSTITUTE(SUBSTITUTE(INDEX(F:F, ROUNDUP((ROW(A466))/5,0)*5 - 3), "х", "*"), "x", "*") &amp; " мм"</f>
        <v>74x71x247 - 74*71*247 мм</v>
      </c>
    </row>
    <row r="468" spans="1:30" x14ac:dyDescent="0.4">
      <c r="A468" s="230"/>
      <c r="B468" s="8">
        <v>95</v>
      </c>
      <c r="C468" s="14">
        <f t="shared" ca="1" si="276"/>
        <v>0.26</v>
      </c>
      <c r="D468" s="20">
        <f t="shared" ca="1" si="251"/>
        <v>0.312</v>
      </c>
      <c r="E468" s="225"/>
      <c r="F468" s="231"/>
      <c r="G468" s="172" t="str">
        <f t="shared" ca="1" si="271"/>
        <v/>
      </c>
      <c r="H468" s="93" t="str">
        <f t="shared" ca="1" si="272"/>
        <v/>
      </c>
      <c r="I468" s="21">
        <v>100</v>
      </c>
      <c r="J468" s="68">
        <f t="shared" si="273"/>
        <v>0.7416666666666667</v>
      </c>
      <c r="K468" s="70">
        <v>0.89</v>
      </c>
      <c r="L468" s="72">
        <f t="shared" ca="1" si="269"/>
        <v>0.38533333333333336</v>
      </c>
      <c r="M468" s="73">
        <f t="shared" ca="1" si="270"/>
        <v>38.533333333333339</v>
      </c>
      <c r="N468" s="12" t="s">
        <v>41</v>
      </c>
      <c r="O468" s="47" t="s">
        <v>45</v>
      </c>
      <c r="P468" s="13">
        <f t="shared" si="259"/>
        <v>0.89</v>
      </c>
      <c r="Q468" s="1" t="str">
        <f t="shared" si="261"/>
        <v>100-290 шт - 0,89 руб / шт с НДС</v>
      </c>
      <c r="R468" s="235"/>
      <c r="S468" s="239"/>
      <c r="T468" s="226"/>
      <c r="U468" s="228"/>
      <c r="V468" s="222"/>
      <c r="W468" s="229"/>
      <c r="X468" s="227"/>
      <c r="Y468" s="229"/>
      <c r="Z468" s="236"/>
      <c r="AA468" s="237"/>
      <c r="AB468" s="238"/>
      <c r="AC468" s="223"/>
      <c r="AD468" s="222"/>
    </row>
    <row r="469" spans="1:30" x14ac:dyDescent="0.4">
      <c r="A469" s="230"/>
      <c r="B469" s="8">
        <v>95</v>
      </c>
      <c r="C469" s="14">
        <f t="shared" ca="1" si="276"/>
        <v>0.26</v>
      </c>
      <c r="D469" s="20">
        <f t="shared" ca="1" si="251"/>
        <v>0.312</v>
      </c>
      <c r="E469" s="225"/>
      <c r="F469" s="231"/>
      <c r="G469" s="172" t="str">
        <f t="shared" ca="1" si="271"/>
        <v/>
      </c>
      <c r="H469" s="93" t="str">
        <f t="shared" ca="1" si="272"/>
        <v/>
      </c>
      <c r="I469" s="21">
        <v>300</v>
      </c>
      <c r="J469" s="68">
        <f t="shared" si="273"/>
        <v>0.59166666666666667</v>
      </c>
      <c r="K469" s="70">
        <v>0.71</v>
      </c>
      <c r="L469" s="72">
        <f t="shared" ca="1" si="269"/>
        <v>0.26533333333333331</v>
      </c>
      <c r="M469" s="73">
        <f t="shared" ca="1" si="270"/>
        <v>79.599999999999994</v>
      </c>
      <c r="N469" s="12" t="s">
        <v>42</v>
      </c>
      <c r="O469" s="47" t="s">
        <v>45</v>
      </c>
      <c r="P469" s="13">
        <f t="shared" si="259"/>
        <v>0.71</v>
      </c>
      <c r="Q469" s="1" t="str">
        <f t="shared" si="261"/>
        <v>300-490 шт - 0,71 руб / шт с НДС</v>
      </c>
      <c r="R469" s="235"/>
      <c r="S469" s="239"/>
      <c r="T469" s="226"/>
      <c r="U469" s="228"/>
      <c r="V469" s="222"/>
      <c r="W469" s="229"/>
      <c r="X469" s="227"/>
      <c r="Y469" s="229"/>
      <c r="Z469" s="236"/>
      <c r="AA469" s="237"/>
      <c r="AB469" s="238"/>
      <c r="AC469" s="223"/>
      <c r="AD469" s="222"/>
    </row>
    <row r="470" spans="1:30" x14ac:dyDescent="0.4">
      <c r="A470" s="230"/>
      <c r="B470" s="8">
        <v>95</v>
      </c>
      <c r="C470" s="14">
        <f t="shared" ca="1" si="276"/>
        <v>0.26</v>
      </c>
      <c r="D470" s="20">
        <f t="shared" ca="1" si="251"/>
        <v>0.312</v>
      </c>
      <c r="E470" s="225"/>
      <c r="F470" s="231"/>
      <c r="G470" s="172" t="str">
        <f t="shared" ca="1" si="271"/>
        <v/>
      </c>
      <c r="H470" s="93" t="str">
        <f t="shared" ca="1" si="272"/>
        <v/>
      </c>
      <c r="I470" s="21">
        <v>500</v>
      </c>
      <c r="J470" s="68">
        <f t="shared" si="273"/>
        <v>0.54166666666666674</v>
      </c>
      <c r="K470" s="70">
        <v>0.65</v>
      </c>
      <c r="L470" s="72">
        <f t="shared" ca="1" si="269"/>
        <v>0.22533333333333339</v>
      </c>
      <c r="M470" s="73">
        <f t="shared" ca="1" si="270"/>
        <v>112.66666666666669</v>
      </c>
      <c r="N470" s="12" t="s">
        <v>43</v>
      </c>
      <c r="O470" s="47" t="s">
        <v>45</v>
      </c>
      <c r="P470" s="13">
        <f t="shared" si="259"/>
        <v>0.65</v>
      </c>
      <c r="Q470" s="1" t="str">
        <f t="shared" si="261"/>
        <v>500-990 шт - 0,65 руб / шт с НДС</v>
      </c>
      <c r="R470" s="235"/>
      <c r="S470" s="239"/>
      <c r="T470" s="226"/>
      <c r="U470" s="228"/>
      <c r="V470" s="222"/>
      <c r="W470" s="229"/>
      <c r="X470" s="227"/>
      <c r="Y470" s="229"/>
      <c r="Z470" s="236"/>
      <c r="AA470" s="237"/>
      <c r="AB470" s="238"/>
      <c r="AC470" s="223"/>
      <c r="AD470" s="222"/>
    </row>
    <row r="471" spans="1:30" x14ac:dyDescent="0.4">
      <c r="A471" s="230"/>
      <c r="B471" s="8">
        <v>95</v>
      </c>
      <c r="C471" s="14">
        <f t="shared" ca="1" si="276"/>
        <v>0.26</v>
      </c>
      <c r="D471" s="20">
        <f t="shared" ca="1" si="251"/>
        <v>0.312</v>
      </c>
      <c r="E471" s="225"/>
      <c r="F471" s="231"/>
      <c r="G471" s="172" t="str">
        <f t="shared" ca="1" si="271"/>
        <v/>
      </c>
      <c r="H471" s="93" t="str">
        <f t="shared" ca="1" si="272"/>
        <v/>
      </c>
      <c r="I471" s="21">
        <v>1000</v>
      </c>
      <c r="J471" s="68">
        <f t="shared" si="273"/>
        <v>0.46666666666666673</v>
      </c>
      <c r="K471" s="70">
        <v>0.56000000000000005</v>
      </c>
      <c r="L471" s="72">
        <f t="shared" ca="1" si="269"/>
        <v>0.16533333333333339</v>
      </c>
      <c r="M471" s="73">
        <f t="shared" ca="1" si="270"/>
        <v>165.3333333333334</v>
      </c>
      <c r="N471" s="12" t="s">
        <v>44</v>
      </c>
      <c r="O471" s="47" t="s">
        <v>45</v>
      </c>
      <c r="P471" s="13">
        <f t="shared" si="259"/>
        <v>0.56000000000000005</v>
      </c>
      <c r="Q471" s="1" t="str">
        <f t="shared" si="261"/>
        <v>1000 + шт - 0,56 руб / шт с НДС</v>
      </c>
      <c r="R471" s="235"/>
      <c r="S471" s="239"/>
      <c r="T471" s="226"/>
      <c r="U471" s="228"/>
      <c r="V471" s="222"/>
      <c r="W471" s="229"/>
      <c r="X471" s="227"/>
      <c r="Y471" s="229"/>
      <c r="Z471" s="236"/>
      <c r="AA471" s="237"/>
      <c r="AB471" s="238"/>
      <c r="AC471" s="223"/>
      <c r="AD471" s="222"/>
    </row>
    <row r="472" spans="1:30" x14ac:dyDescent="0.4">
      <c r="A472" s="230">
        <v>96</v>
      </c>
      <c r="B472" s="8">
        <v>96</v>
      </c>
      <c r="C472" s="14">
        <f t="shared" ca="1" si="276"/>
        <v>0.12</v>
      </c>
      <c r="D472" s="20">
        <f t="shared" ca="1" si="251"/>
        <v>0.14399999999999999</v>
      </c>
      <c r="E472" s="224" t="str">
        <f ca="1">INDIRECT("'Закуп'!D" &amp; A472)</f>
        <v>У</v>
      </c>
      <c r="F472" s="231" t="str">
        <f t="shared" ref="F472" ca="1" si="284">INDIRECT("'Закуп'!E" &amp; B472)</f>
        <v>235х35х35</v>
      </c>
      <c r="G472" s="172" t="str">
        <f t="shared" ca="1" si="271"/>
        <v/>
      </c>
      <c r="H472" s="93" t="str">
        <f t="shared" ca="1" si="272"/>
        <v/>
      </c>
      <c r="I472" s="21">
        <v>50</v>
      </c>
      <c r="J472" s="68">
        <f t="shared" si="273"/>
        <v>0.96666666666666667</v>
      </c>
      <c r="K472" s="70">
        <v>1.1599999999999999</v>
      </c>
      <c r="L472" s="72">
        <f t="shared" ca="1" si="269"/>
        <v>0.67733333333333334</v>
      </c>
      <c r="M472" s="73">
        <f t="shared" ca="1" si="270"/>
        <v>33.866666666666667</v>
      </c>
      <c r="N472" s="12" t="s">
        <v>40</v>
      </c>
      <c r="O472" s="47" t="s">
        <v>45</v>
      </c>
      <c r="P472" s="13">
        <f t="shared" si="259"/>
        <v>1.1599999999999999</v>
      </c>
      <c r="Q472" s="1" t="str">
        <f t="shared" si="261"/>
        <v>50-90 шт - 1,16 руб / шт с НДС</v>
      </c>
      <c r="R472" s="235" t="str">
        <f ca="1">INDIRECT("'Закуп'!k" &amp; A472)</f>
        <v>K96</v>
      </c>
      <c r="S472" s="239">
        <f ca="1">INDIRECT("'Закуп'!o" &amp; A472)</f>
        <v>0.28999999999999998</v>
      </c>
      <c r="T472" s="226" t="str">
        <f ca="1">INDIRECT("'Закуп'!p" &amp; A472)</f>
        <v>0,1-0,9 литров</v>
      </c>
      <c r="U472" s="228" t="str">
        <f ca="1">INDIRECT("'Закуп'!v" &amp; A472)</f>
        <v>Длинные</v>
      </c>
      <c r="V472" s="222" t="str">
        <f ca="1">INDIRECT("'Закуп'!w" &amp; A472)</f>
        <v/>
      </c>
      <c r="W472" s="229" t="str">
        <f ca="1">INDIRECT("'Закуп'!H" &amp; A472)</f>
        <v>0470</v>
      </c>
      <c r="X472" s="227" t="str">
        <f t="shared" ref="X472" ca="1" si="285">INDIRECT("'Закуп'!g" &amp; A472)</f>
        <v>С</v>
      </c>
      <c r="Y472" s="229" t="str">
        <f ca="1">INDIRECT("'Закуп'!i" &amp; A472)</f>
        <v>В</v>
      </c>
      <c r="Z472" s="236" t="str">
        <f ca="1">INDIRECT("'Закуп'!x" &amp; A472)</f>
        <v>200-299 мм</v>
      </c>
      <c r="AA472" s="237" t="str">
        <f ca="1">INDIRECT("'Закуп'!y" &amp; A472)</f>
        <v>10-99 мм</v>
      </c>
      <c r="AB472" s="238" t="str">
        <f ca="1">INDIRECT("'Закуп'!z" &amp; A472)</f>
        <v>10-99 мм</v>
      </c>
      <c r="AC472" s="223" t="str">
        <f t="shared" ca="1" si="258"/>
        <v>235x35x35</v>
      </c>
      <c r="AD472" s="222" t="str">
        <f t="shared" ca="1" si="283"/>
        <v>235x35x35 - 235*35*35 мм</v>
      </c>
    </row>
    <row r="473" spans="1:30" x14ac:dyDescent="0.4">
      <c r="A473" s="230"/>
      <c r="B473" s="8">
        <v>96</v>
      </c>
      <c r="C473" s="14">
        <f t="shared" ca="1" si="276"/>
        <v>0.12</v>
      </c>
      <c r="D473" s="20">
        <f t="shared" ca="1" si="251"/>
        <v>0.14399999999999999</v>
      </c>
      <c r="E473" s="225"/>
      <c r="F473" s="231"/>
      <c r="G473" s="172" t="str">
        <f t="shared" ca="1" si="271"/>
        <v/>
      </c>
      <c r="H473" s="93" t="str">
        <f t="shared" ca="1" si="272"/>
        <v/>
      </c>
      <c r="I473" s="21">
        <v>100</v>
      </c>
      <c r="J473" s="68">
        <f t="shared" si="273"/>
        <v>0.85000000000000009</v>
      </c>
      <c r="K473" s="70">
        <v>1.02</v>
      </c>
      <c r="L473" s="72">
        <f t="shared" ca="1" si="269"/>
        <v>0.58400000000000007</v>
      </c>
      <c r="M473" s="73">
        <f t="shared" ca="1" si="270"/>
        <v>58.400000000000006</v>
      </c>
      <c r="N473" s="12" t="s">
        <v>41</v>
      </c>
      <c r="O473" s="47" t="s">
        <v>45</v>
      </c>
      <c r="P473" s="13">
        <f t="shared" si="259"/>
        <v>1.02</v>
      </c>
      <c r="Q473" s="1" t="str">
        <f t="shared" si="261"/>
        <v>100-290 шт - 1,02 руб / шт с НДС</v>
      </c>
      <c r="R473" s="235"/>
      <c r="S473" s="239"/>
      <c r="T473" s="226"/>
      <c r="U473" s="228"/>
      <c r="V473" s="222"/>
      <c r="W473" s="229"/>
      <c r="X473" s="227"/>
      <c r="Y473" s="229"/>
      <c r="Z473" s="236"/>
      <c r="AA473" s="237"/>
      <c r="AB473" s="238"/>
      <c r="AC473" s="223"/>
      <c r="AD473" s="222"/>
    </row>
    <row r="474" spans="1:30" x14ac:dyDescent="0.4">
      <c r="A474" s="230"/>
      <c r="B474" s="8">
        <v>96</v>
      </c>
      <c r="C474" s="14">
        <f t="shared" ca="1" si="276"/>
        <v>0.12</v>
      </c>
      <c r="D474" s="20">
        <f t="shared" ca="1" si="251"/>
        <v>0.14399999999999999</v>
      </c>
      <c r="E474" s="225"/>
      <c r="F474" s="231"/>
      <c r="G474" s="172" t="str">
        <f t="shared" ca="1" si="271"/>
        <v/>
      </c>
      <c r="H474" s="93" t="str">
        <f t="shared" ca="1" si="272"/>
        <v/>
      </c>
      <c r="I474" s="21">
        <v>300</v>
      </c>
      <c r="J474" s="68">
        <f t="shared" si="273"/>
        <v>0.72499999999999998</v>
      </c>
      <c r="K474" s="70">
        <v>0.87</v>
      </c>
      <c r="L474" s="72">
        <f t="shared" ca="1" si="269"/>
        <v>0.48399999999999999</v>
      </c>
      <c r="M474" s="73">
        <f t="shared" ca="1" si="270"/>
        <v>145.19999999999999</v>
      </c>
      <c r="N474" s="12" t="s">
        <v>42</v>
      </c>
      <c r="O474" s="47" t="s">
        <v>45</v>
      </c>
      <c r="P474" s="13">
        <f t="shared" si="259"/>
        <v>0.87</v>
      </c>
      <c r="Q474" s="1" t="str">
        <f t="shared" si="261"/>
        <v>300-490 шт - 0,87 руб / шт с НДС</v>
      </c>
      <c r="R474" s="235"/>
      <c r="S474" s="239"/>
      <c r="T474" s="226"/>
      <c r="U474" s="228"/>
      <c r="V474" s="222"/>
      <c r="W474" s="229"/>
      <c r="X474" s="227"/>
      <c r="Y474" s="229"/>
      <c r="Z474" s="236"/>
      <c r="AA474" s="237"/>
      <c r="AB474" s="238"/>
      <c r="AC474" s="223"/>
      <c r="AD474" s="222"/>
    </row>
    <row r="475" spans="1:30" x14ac:dyDescent="0.4">
      <c r="A475" s="230"/>
      <c r="B475" s="8">
        <v>96</v>
      </c>
      <c r="C475" s="14">
        <f t="shared" ca="1" si="276"/>
        <v>0.12</v>
      </c>
      <c r="D475" s="20">
        <f t="shared" ca="1" si="251"/>
        <v>0.14399999999999999</v>
      </c>
      <c r="E475" s="225"/>
      <c r="F475" s="231"/>
      <c r="G475" s="172" t="str">
        <f t="shared" ca="1" si="271"/>
        <v/>
      </c>
      <c r="H475" s="93" t="str">
        <f t="shared" ca="1" si="272"/>
        <v/>
      </c>
      <c r="I475" s="21">
        <v>500</v>
      </c>
      <c r="J475" s="68">
        <f t="shared" si="273"/>
        <v>0.60833333333333339</v>
      </c>
      <c r="K475" s="70">
        <v>0.73</v>
      </c>
      <c r="L475" s="72">
        <f t="shared" ca="1" si="269"/>
        <v>0.39066666666666672</v>
      </c>
      <c r="M475" s="73">
        <f t="shared" ca="1" si="270"/>
        <v>195.33333333333337</v>
      </c>
      <c r="N475" s="12" t="s">
        <v>43</v>
      </c>
      <c r="O475" s="47" t="s">
        <v>45</v>
      </c>
      <c r="P475" s="13">
        <f t="shared" si="259"/>
        <v>0.73</v>
      </c>
      <c r="Q475" s="1" t="str">
        <f t="shared" si="261"/>
        <v>500-990 шт - 0,73 руб / шт с НДС</v>
      </c>
      <c r="R475" s="235"/>
      <c r="S475" s="239"/>
      <c r="T475" s="226"/>
      <c r="U475" s="228"/>
      <c r="V475" s="222"/>
      <c r="W475" s="229"/>
      <c r="X475" s="227"/>
      <c r="Y475" s="229"/>
      <c r="Z475" s="236"/>
      <c r="AA475" s="237"/>
      <c r="AB475" s="238"/>
      <c r="AC475" s="223"/>
      <c r="AD475" s="222"/>
    </row>
    <row r="476" spans="1:30" x14ac:dyDescent="0.4">
      <c r="A476" s="230"/>
      <c r="B476" s="8">
        <v>96</v>
      </c>
      <c r="C476" s="14">
        <f t="shared" ca="1" si="276"/>
        <v>0.12</v>
      </c>
      <c r="D476" s="20">
        <f t="shared" ca="1" si="251"/>
        <v>0.14399999999999999</v>
      </c>
      <c r="E476" s="225"/>
      <c r="F476" s="231"/>
      <c r="G476" s="172" t="str">
        <f t="shared" ca="1" si="271"/>
        <v/>
      </c>
      <c r="H476" s="93" t="str">
        <f t="shared" ca="1" si="272"/>
        <v/>
      </c>
      <c r="I476" s="21">
        <v>1000</v>
      </c>
      <c r="J476" s="68">
        <f t="shared" si="273"/>
        <v>0.49166666666666664</v>
      </c>
      <c r="K476" s="70">
        <v>0.59</v>
      </c>
      <c r="L476" s="72">
        <f t="shared" ca="1" si="269"/>
        <v>0.29733333333333334</v>
      </c>
      <c r="M476" s="73">
        <f t="shared" ca="1" si="270"/>
        <v>297.33333333333331</v>
      </c>
      <c r="N476" s="12" t="s">
        <v>44</v>
      </c>
      <c r="O476" s="47" t="s">
        <v>45</v>
      </c>
      <c r="P476" s="13">
        <f t="shared" si="259"/>
        <v>0.59</v>
      </c>
      <c r="Q476" s="1" t="str">
        <f t="shared" si="261"/>
        <v>1000 + шт - 0,59 руб / шт с НДС</v>
      </c>
      <c r="R476" s="235"/>
      <c r="S476" s="239"/>
      <c r="T476" s="226"/>
      <c r="U476" s="228"/>
      <c r="V476" s="222"/>
      <c r="W476" s="229"/>
      <c r="X476" s="227"/>
      <c r="Y476" s="229"/>
      <c r="Z476" s="236"/>
      <c r="AA476" s="237"/>
      <c r="AB476" s="238"/>
      <c r="AC476" s="223"/>
      <c r="AD476" s="222"/>
    </row>
    <row r="477" spans="1:30" x14ac:dyDescent="0.4">
      <c r="A477" s="230">
        <v>97</v>
      </c>
      <c r="B477" s="8">
        <v>97</v>
      </c>
      <c r="C477" s="14">
        <f t="shared" ca="1" si="276"/>
        <v>0.73</v>
      </c>
      <c r="D477" s="20">
        <f t="shared" ca="1" si="251"/>
        <v>0.876</v>
      </c>
      <c r="E477" s="224" t="str">
        <f ca="1">INDIRECT("'Закуп'!D" &amp; A477)</f>
        <v>У</v>
      </c>
      <c r="F477" s="231" t="str">
        <f t="shared" ref="F477" ca="1" si="286">INDIRECT("'Закуп'!E" &amp; B477)</f>
        <v>290х230х155</v>
      </c>
      <c r="G477" s="172" t="str">
        <f t="shared" ca="1" si="271"/>
        <v/>
      </c>
      <c r="H477" s="93" t="str">
        <f t="shared" ca="1" si="272"/>
        <v/>
      </c>
      <c r="I477" s="21">
        <v>50</v>
      </c>
      <c r="J477" s="68">
        <f t="shared" si="273"/>
        <v>1.4750000000000001</v>
      </c>
      <c r="K477" s="70">
        <v>1.77</v>
      </c>
      <c r="L477" s="72">
        <f t="shared" ca="1" si="269"/>
        <v>0.59600000000000009</v>
      </c>
      <c r="M477" s="73">
        <f t="shared" ca="1" si="270"/>
        <v>29.800000000000004</v>
      </c>
      <c r="N477" s="12" t="s">
        <v>40</v>
      </c>
      <c r="O477" s="47" t="s">
        <v>45</v>
      </c>
      <c r="P477" s="13">
        <f t="shared" si="259"/>
        <v>1.77</v>
      </c>
      <c r="Q477" s="1" t="str">
        <f t="shared" si="261"/>
        <v>50-90 шт - 1,77 руб / шт с НДС</v>
      </c>
      <c r="R477" s="235" t="str">
        <f ca="1">INDIRECT("'Закуп'!k" &amp; A477)</f>
        <v>K97</v>
      </c>
      <c r="S477" s="239">
        <f ca="1">INDIRECT("'Закуп'!o" &amp; A477)</f>
        <v>10.34</v>
      </c>
      <c r="T477" s="226" t="str">
        <f ca="1">INDIRECT("'Закуп'!p" &amp; A477)</f>
        <v>10-14,9 литров</v>
      </c>
      <c r="U477" s="228" t="str">
        <f ca="1">INDIRECT("'Закуп'!v" &amp; A477)</f>
        <v/>
      </c>
      <c r="V477" s="222" t="str">
        <f ca="1">INDIRECT("'Закуп'!w" &amp; A477)</f>
        <v/>
      </c>
      <c r="W477" s="229" t="str">
        <f ca="1">INDIRECT("'Закуп'!H" &amp; A477)</f>
        <v>0201</v>
      </c>
      <c r="X477" s="227" t="str">
        <f t="shared" ref="X477" ca="1" si="287">INDIRECT("'Закуп'!g" &amp; A477)</f>
        <v>Ч</v>
      </c>
      <c r="Y477" s="229" t="str">
        <f ca="1">INDIRECT("'Закуп'!i" &amp; A477)</f>
        <v>В</v>
      </c>
      <c r="Z477" s="236" t="str">
        <f ca="1">INDIRECT("'Закуп'!x" &amp; A477)</f>
        <v>200-299 мм</v>
      </c>
      <c r="AA477" s="237" t="str">
        <f ca="1">INDIRECT("'Закуп'!y" &amp; A477)</f>
        <v>200-299 мм</v>
      </c>
      <c r="AB477" s="238" t="str">
        <f ca="1">INDIRECT("'Закуп'!z" &amp; A477)</f>
        <v>100-199 мм</v>
      </c>
      <c r="AC477" s="223" t="str">
        <f t="shared" ca="1" si="258"/>
        <v>290x230x155</v>
      </c>
      <c r="AD477" s="222" t="str">
        <f t="shared" ca="1" si="283"/>
        <v>290x230x155 - 290*230*155 мм</v>
      </c>
    </row>
    <row r="478" spans="1:30" x14ac:dyDescent="0.4">
      <c r="A478" s="230"/>
      <c r="B478" s="8">
        <v>97</v>
      </c>
      <c r="C478" s="14">
        <f t="shared" ca="1" si="276"/>
        <v>0.73</v>
      </c>
      <c r="D478" s="20">
        <f t="shared" ca="1" si="251"/>
        <v>0.876</v>
      </c>
      <c r="E478" s="225"/>
      <c r="F478" s="231"/>
      <c r="G478" s="172" t="str">
        <f t="shared" ca="1" si="271"/>
        <v/>
      </c>
      <c r="H478" s="93" t="str">
        <f t="shared" ca="1" si="272"/>
        <v/>
      </c>
      <c r="I478" s="21">
        <v>100</v>
      </c>
      <c r="J478" s="68">
        <f t="shared" si="273"/>
        <v>1.3416666666666668</v>
      </c>
      <c r="K478" s="70">
        <v>1.61</v>
      </c>
      <c r="L478" s="72">
        <f t="shared" ca="1" si="269"/>
        <v>0.48933333333333345</v>
      </c>
      <c r="M478" s="73">
        <f t="shared" ca="1" si="270"/>
        <v>48.933333333333344</v>
      </c>
      <c r="N478" s="12" t="s">
        <v>41</v>
      </c>
      <c r="O478" s="47" t="s">
        <v>45</v>
      </c>
      <c r="P478" s="13">
        <f t="shared" si="259"/>
        <v>1.61</v>
      </c>
      <c r="Q478" s="1" t="str">
        <f t="shared" si="261"/>
        <v>100-290 шт - 1,61 руб / шт с НДС</v>
      </c>
      <c r="R478" s="235"/>
      <c r="S478" s="239"/>
      <c r="T478" s="226"/>
      <c r="U478" s="228"/>
      <c r="V478" s="222"/>
      <c r="W478" s="229"/>
      <c r="X478" s="227"/>
      <c r="Y478" s="229"/>
      <c r="Z478" s="236"/>
      <c r="AA478" s="237"/>
      <c r="AB478" s="238"/>
      <c r="AC478" s="223"/>
      <c r="AD478" s="222"/>
    </row>
    <row r="479" spans="1:30" x14ac:dyDescent="0.4">
      <c r="A479" s="230"/>
      <c r="B479" s="8">
        <v>97</v>
      </c>
      <c r="C479" s="14">
        <f t="shared" ca="1" si="276"/>
        <v>0.73</v>
      </c>
      <c r="D479" s="20">
        <f t="shared" ca="1" si="251"/>
        <v>0.876</v>
      </c>
      <c r="E479" s="225"/>
      <c r="F479" s="231"/>
      <c r="G479" s="172" t="str">
        <f t="shared" ca="1" si="271"/>
        <v/>
      </c>
      <c r="H479" s="93" t="str">
        <f t="shared" ca="1" si="272"/>
        <v/>
      </c>
      <c r="I479" s="21">
        <v>300</v>
      </c>
      <c r="J479" s="68">
        <f t="shared" si="273"/>
        <v>1.2250000000000001</v>
      </c>
      <c r="K479" s="70">
        <v>1.47</v>
      </c>
      <c r="L479" s="72">
        <f t="shared" ca="1" si="269"/>
        <v>0.39600000000000007</v>
      </c>
      <c r="M479" s="73">
        <f t="shared" ca="1" si="270"/>
        <v>118.80000000000003</v>
      </c>
      <c r="N479" s="12" t="s">
        <v>42</v>
      </c>
      <c r="O479" s="47" t="s">
        <v>45</v>
      </c>
      <c r="P479" s="13">
        <f t="shared" si="259"/>
        <v>1.47</v>
      </c>
      <c r="Q479" s="1" t="str">
        <f t="shared" si="261"/>
        <v>300-490 шт - 1,47 руб / шт с НДС</v>
      </c>
      <c r="R479" s="235"/>
      <c r="S479" s="239"/>
      <c r="T479" s="226"/>
      <c r="U479" s="228"/>
      <c r="V479" s="222"/>
      <c r="W479" s="229"/>
      <c r="X479" s="227"/>
      <c r="Y479" s="229"/>
      <c r="Z479" s="236"/>
      <c r="AA479" s="237"/>
      <c r="AB479" s="238"/>
      <c r="AC479" s="223"/>
      <c r="AD479" s="222"/>
    </row>
    <row r="480" spans="1:30" x14ac:dyDescent="0.4">
      <c r="A480" s="230"/>
      <c r="B480" s="8">
        <v>97</v>
      </c>
      <c r="C480" s="14">
        <f t="shared" ca="1" si="276"/>
        <v>0.73</v>
      </c>
      <c r="D480" s="20">
        <f t="shared" ca="1" si="251"/>
        <v>0.876</v>
      </c>
      <c r="E480" s="225"/>
      <c r="F480" s="231"/>
      <c r="G480" s="172" t="str">
        <f t="shared" ca="1" si="271"/>
        <v/>
      </c>
      <c r="H480" s="93" t="str">
        <f t="shared" ca="1" si="272"/>
        <v/>
      </c>
      <c r="I480" s="21">
        <v>500</v>
      </c>
      <c r="J480" s="68">
        <f t="shared" si="273"/>
        <v>1.1250000000000002</v>
      </c>
      <c r="K480" s="70">
        <v>1.35</v>
      </c>
      <c r="L480" s="72">
        <f t="shared" ca="1" si="269"/>
        <v>0.31600000000000017</v>
      </c>
      <c r="M480" s="73">
        <f t="shared" ca="1" si="270"/>
        <v>158.00000000000009</v>
      </c>
      <c r="N480" s="12" t="s">
        <v>43</v>
      </c>
      <c r="O480" s="47" t="s">
        <v>45</v>
      </c>
      <c r="P480" s="13">
        <f t="shared" si="259"/>
        <v>1.35</v>
      </c>
      <c r="Q480" s="1" t="str">
        <f t="shared" si="261"/>
        <v>500-990 шт - 1,35 руб / шт с НДС</v>
      </c>
      <c r="R480" s="235"/>
      <c r="S480" s="239"/>
      <c r="T480" s="226"/>
      <c r="U480" s="228"/>
      <c r="V480" s="222"/>
      <c r="W480" s="229"/>
      <c r="X480" s="227"/>
      <c r="Y480" s="229"/>
      <c r="Z480" s="236"/>
      <c r="AA480" s="237"/>
      <c r="AB480" s="238"/>
      <c r="AC480" s="223"/>
      <c r="AD480" s="222"/>
    </row>
    <row r="481" spans="1:30" x14ac:dyDescent="0.4">
      <c r="A481" s="230"/>
      <c r="B481" s="8">
        <v>97</v>
      </c>
      <c r="C481" s="14">
        <f t="shared" ca="1" si="276"/>
        <v>0.73</v>
      </c>
      <c r="D481" s="20">
        <f t="shared" ref="D481:D544" ca="1" si="288">C481*1.2</f>
        <v>0.876</v>
      </c>
      <c r="E481" s="225"/>
      <c r="F481" s="231"/>
      <c r="G481" s="172" t="str">
        <f t="shared" ca="1" si="271"/>
        <v/>
      </c>
      <c r="H481" s="93" t="str">
        <f t="shared" ca="1" si="272"/>
        <v/>
      </c>
      <c r="I481" s="21">
        <v>1000</v>
      </c>
      <c r="J481" s="68">
        <f t="shared" si="273"/>
        <v>1</v>
      </c>
      <c r="K481" s="70">
        <v>1.2</v>
      </c>
      <c r="L481" s="72">
        <f t="shared" ca="1" si="269"/>
        <v>0.21600000000000003</v>
      </c>
      <c r="M481" s="73">
        <f t="shared" ca="1" si="270"/>
        <v>216.00000000000003</v>
      </c>
      <c r="N481" s="12" t="s">
        <v>44</v>
      </c>
      <c r="O481" s="47" t="s">
        <v>45</v>
      </c>
      <c r="P481" s="13">
        <f t="shared" si="259"/>
        <v>1.2</v>
      </c>
      <c r="Q481" s="1" t="str">
        <f t="shared" si="261"/>
        <v>1000 + шт - 1,2 руб / шт с НДС</v>
      </c>
      <c r="R481" s="235"/>
      <c r="S481" s="239"/>
      <c r="T481" s="226"/>
      <c r="U481" s="228"/>
      <c r="V481" s="222"/>
      <c r="W481" s="229"/>
      <c r="X481" s="227"/>
      <c r="Y481" s="229"/>
      <c r="Z481" s="236"/>
      <c r="AA481" s="237"/>
      <c r="AB481" s="238"/>
      <c r="AC481" s="223"/>
      <c r="AD481" s="222"/>
    </row>
    <row r="482" spans="1:30" x14ac:dyDescent="0.4">
      <c r="A482" s="230">
        <v>98</v>
      </c>
      <c r="B482" s="8">
        <v>98</v>
      </c>
      <c r="C482" s="14">
        <f t="shared" ca="1" si="276"/>
        <v>1.71</v>
      </c>
      <c r="D482" s="20">
        <f t="shared" ca="1" si="288"/>
        <v>2.052</v>
      </c>
      <c r="E482" s="224" t="str">
        <f ca="1">INDIRECT("'Закуп'!D" &amp; A482)</f>
        <v>У</v>
      </c>
      <c r="F482" s="231" t="str">
        <f t="shared" ref="F482" ca="1" si="289">INDIRECT("'Закуп'!E" &amp; B482)</f>
        <v>600х270х280</v>
      </c>
      <c r="G482" s="172" t="str">
        <f t="shared" ca="1" si="271"/>
        <v/>
      </c>
      <c r="H482" s="93" t="str">
        <f t="shared" ca="1" si="272"/>
        <v/>
      </c>
      <c r="I482" s="21">
        <v>50</v>
      </c>
      <c r="J482" s="68">
        <f t="shared" si="273"/>
        <v>3.6583333333333332</v>
      </c>
      <c r="K482" s="70">
        <v>4.3899999999999997</v>
      </c>
      <c r="L482" s="72">
        <f t="shared" ca="1" si="269"/>
        <v>1.5586666666666666</v>
      </c>
      <c r="M482" s="73">
        <f t="shared" ca="1" si="270"/>
        <v>77.933333333333337</v>
      </c>
      <c r="N482" s="12" t="s">
        <v>40</v>
      </c>
      <c r="O482" s="47" t="s">
        <v>45</v>
      </c>
      <c r="P482" s="13">
        <f t="shared" si="259"/>
        <v>4.3899999999999997</v>
      </c>
      <c r="Q482" s="1" t="str">
        <f t="shared" si="261"/>
        <v>50-90 шт - 4,39 руб / шт с НДС</v>
      </c>
      <c r="R482" s="235" t="str">
        <f ca="1">INDIRECT("'Закуп'!k" &amp; A482)</f>
        <v>K98</v>
      </c>
      <c r="S482" s="239">
        <f ca="1">INDIRECT("'Закуп'!o" &amp; A482)</f>
        <v>45.36</v>
      </c>
      <c r="T482" s="226" t="str">
        <f ca="1">INDIRECT("'Закуп'!p" &amp; A482)</f>
        <v>30-49 литров</v>
      </c>
      <c r="U482" s="228" t="str">
        <f ca="1">INDIRECT("'Закуп'!v" &amp; A482)</f>
        <v>Длинные</v>
      </c>
      <c r="V482" s="222" t="str">
        <f ca="1">INDIRECT("'Закуп'!w" &amp; A482)</f>
        <v/>
      </c>
      <c r="W482" s="229" t="str">
        <f ca="1">INDIRECT("'Закуп'!H" &amp; A482)</f>
        <v>0201</v>
      </c>
      <c r="X482" s="227" t="str">
        <f t="shared" ref="X482" ca="1" si="290">INDIRECT("'Закуп'!g" &amp; A482)</f>
        <v>Ч</v>
      </c>
      <c r="Y482" s="229" t="str">
        <f ca="1">INDIRECT("'Закуп'!i" &amp; A482)</f>
        <v>В</v>
      </c>
      <c r="Z482" s="236" t="str">
        <f ca="1">INDIRECT("'Закуп'!x" &amp; A482)</f>
        <v>600-699 мм</v>
      </c>
      <c r="AA482" s="237" t="str">
        <f ca="1">INDIRECT("'Закуп'!y" &amp; A482)</f>
        <v>200-299 мм</v>
      </c>
      <c r="AB482" s="238" t="str">
        <f ca="1">INDIRECT("'Закуп'!z" &amp; A482)</f>
        <v>200-299 мм</v>
      </c>
      <c r="AC482" s="223" t="str">
        <f t="shared" ca="1" si="258"/>
        <v>600x270x280</v>
      </c>
      <c r="AD482" s="222" t="str">
        <f t="shared" ca="1" si="283"/>
        <v>600x270x280 - 600*270*280 мм</v>
      </c>
    </row>
    <row r="483" spans="1:30" x14ac:dyDescent="0.4">
      <c r="A483" s="230"/>
      <c r="B483" s="8">
        <v>98</v>
      </c>
      <c r="C483" s="14">
        <f t="shared" ca="1" si="276"/>
        <v>1.71</v>
      </c>
      <c r="D483" s="20">
        <f t="shared" ca="1" si="288"/>
        <v>2.052</v>
      </c>
      <c r="E483" s="225"/>
      <c r="F483" s="231"/>
      <c r="G483" s="172" t="str">
        <f t="shared" ca="1" si="271"/>
        <v/>
      </c>
      <c r="H483" s="93" t="str">
        <f t="shared" ca="1" si="272"/>
        <v/>
      </c>
      <c r="I483" s="21">
        <v>100</v>
      </c>
      <c r="J483" s="68">
        <f t="shared" si="273"/>
        <v>2.8916666666666671</v>
      </c>
      <c r="K483" s="70">
        <v>3.47</v>
      </c>
      <c r="L483" s="72">
        <f t="shared" ca="1" si="269"/>
        <v>0.94533333333333369</v>
      </c>
      <c r="M483" s="73">
        <f t="shared" ca="1" si="270"/>
        <v>94.533333333333374</v>
      </c>
      <c r="N483" s="12" t="s">
        <v>41</v>
      </c>
      <c r="O483" s="47" t="s">
        <v>45</v>
      </c>
      <c r="P483" s="13">
        <f t="shared" si="259"/>
        <v>3.47</v>
      </c>
      <c r="Q483" s="1" t="str">
        <f t="shared" si="261"/>
        <v>100-290 шт - 3,47 руб / шт с НДС</v>
      </c>
      <c r="R483" s="235"/>
      <c r="S483" s="239"/>
      <c r="T483" s="226"/>
      <c r="U483" s="228"/>
      <c r="V483" s="222"/>
      <c r="W483" s="229"/>
      <c r="X483" s="227"/>
      <c r="Y483" s="229"/>
      <c r="Z483" s="236"/>
      <c r="AA483" s="237"/>
      <c r="AB483" s="238"/>
      <c r="AC483" s="223"/>
      <c r="AD483" s="222"/>
    </row>
    <row r="484" spans="1:30" x14ac:dyDescent="0.4">
      <c r="A484" s="230"/>
      <c r="B484" s="8">
        <v>98</v>
      </c>
      <c r="C484" s="14">
        <f t="shared" ca="1" si="276"/>
        <v>1.71</v>
      </c>
      <c r="D484" s="20">
        <f t="shared" ca="1" si="288"/>
        <v>2.052</v>
      </c>
      <c r="E484" s="225"/>
      <c r="F484" s="231"/>
      <c r="G484" s="172" t="str">
        <f t="shared" ca="1" si="271"/>
        <v/>
      </c>
      <c r="H484" s="93" t="str">
        <f t="shared" ca="1" si="272"/>
        <v/>
      </c>
      <c r="I484" s="21">
        <v>300</v>
      </c>
      <c r="J484" s="68">
        <f t="shared" si="273"/>
        <v>2.3833333333333333</v>
      </c>
      <c r="K484" s="70">
        <v>2.86</v>
      </c>
      <c r="L484" s="72">
        <f t="shared" ca="1" si="269"/>
        <v>0.53866666666666663</v>
      </c>
      <c r="M484" s="73">
        <f t="shared" ca="1" si="270"/>
        <v>161.6</v>
      </c>
      <c r="N484" s="12" t="s">
        <v>42</v>
      </c>
      <c r="O484" s="47" t="s">
        <v>45</v>
      </c>
      <c r="P484" s="13">
        <f t="shared" si="259"/>
        <v>2.86</v>
      </c>
      <c r="Q484" s="1" t="str">
        <f t="shared" si="261"/>
        <v>300-490 шт - 2,86 руб / шт с НДС</v>
      </c>
      <c r="R484" s="235"/>
      <c r="S484" s="239"/>
      <c r="T484" s="226"/>
      <c r="U484" s="228"/>
      <c r="V484" s="222"/>
      <c r="W484" s="229"/>
      <c r="X484" s="227"/>
      <c r="Y484" s="229"/>
      <c r="Z484" s="236"/>
      <c r="AA484" s="237"/>
      <c r="AB484" s="238"/>
      <c r="AC484" s="223"/>
      <c r="AD484" s="222"/>
    </row>
    <row r="485" spans="1:30" x14ac:dyDescent="0.4">
      <c r="A485" s="230"/>
      <c r="B485" s="8">
        <v>98</v>
      </c>
      <c r="C485" s="14">
        <f t="shared" ca="1" si="276"/>
        <v>1.71</v>
      </c>
      <c r="D485" s="20">
        <f t="shared" ca="1" si="288"/>
        <v>2.052</v>
      </c>
      <c r="E485" s="225"/>
      <c r="F485" s="231"/>
      <c r="G485" s="172" t="str">
        <f t="shared" ca="1" si="271"/>
        <v/>
      </c>
      <c r="H485" s="93" t="str">
        <f t="shared" ca="1" si="272"/>
        <v/>
      </c>
      <c r="I485" s="21">
        <v>500</v>
      </c>
      <c r="J485" s="68">
        <f t="shared" si="273"/>
        <v>2.3083333333333336</v>
      </c>
      <c r="K485" s="70">
        <v>2.77</v>
      </c>
      <c r="L485" s="72">
        <f t="shared" ca="1" si="269"/>
        <v>0.47866666666666691</v>
      </c>
      <c r="M485" s="73">
        <f t="shared" ca="1" si="270"/>
        <v>239.33333333333346</v>
      </c>
      <c r="N485" s="12" t="s">
        <v>43</v>
      </c>
      <c r="O485" s="47" t="s">
        <v>45</v>
      </c>
      <c r="P485" s="13">
        <f t="shared" si="259"/>
        <v>2.77</v>
      </c>
      <c r="Q485" s="1" t="str">
        <f t="shared" si="261"/>
        <v>500-990 шт - 2,77 руб / шт с НДС</v>
      </c>
      <c r="R485" s="235"/>
      <c r="S485" s="239"/>
      <c r="T485" s="226"/>
      <c r="U485" s="228"/>
      <c r="V485" s="222"/>
      <c r="W485" s="229"/>
      <c r="X485" s="227"/>
      <c r="Y485" s="229"/>
      <c r="Z485" s="236"/>
      <c r="AA485" s="237"/>
      <c r="AB485" s="238"/>
      <c r="AC485" s="223"/>
      <c r="AD485" s="222"/>
    </row>
    <row r="486" spans="1:30" x14ac:dyDescent="0.4">
      <c r="A486" s="230"/>
      <c r="B486" s="8">
        <v>98</v>
      </c>
      <c r="C486" s="14">
        <f t="shared" ca="1" si="276"/>
        <v>1.71</v>
      </c>
      <c r="D486" s="20">
        <f t="shared" ca="1" si="288"/>
        <v>2.052</v>
      </c>
      <c r="E486" s="225"/>
      <c r="F486" s="231"/>
      <c r="G486" s="172" t="str">
        <f t="shared" ca="1" si="271"/>
        <v/>
      </c>
      <c r="H486" s="93" t="str">
        <f t="shared" ca="1" si="272"/>
        <v/>
      </c>
      <c r="I486" s="21">
        <v>1000</v>
      </c>
      <c r="J486" s="68">
        <f t="shared" si="273"/>
        <v>2.2333333333333334</v>
      </c>
      <c r="K486" s="70">
        <v>2.68</v>
      </c>
      <c r="L486" s="72">
        <f t="shared" ca="1" si="269"/>
        <v>0.41866666666666674</v>
      </c>
      <c r="M486" s="73">
        <f t="shared" ca="1" si="270"/>
        <v>418.66666666666674</v>
      </c>
      <c r="N486" s="12" t="s">
        <v>44</v>
      </c>
      <c r="O486" s="47" t="s">
        <v>45</v>
      </c>
      <c r="P486" s="13">
        <f t="shared" si="259"/>
        <v>2.68</v>
      </c>
      <c r="Q486" s="1" t="str">
        <f t="shared" si="261"/>
        <v>1000 + шт - 2,68 руб / шт с НДС</v>
      </c>
      <c r="R486" s="235"/>
      <c r="S486" s="239"/>
      <c r="T486" s="226"/>
      <c r="U486" s="228"/>
      <c r="V486" s="222"/>
      <c r="W486" s="229"/>
      <c r="X486" s="227"/>
      <c r="Y486" s="229"/>
      <c r="Z486" s="236"/>
      <c r="AA486" s="237"/>
      <c r="AB486" s="238"/>
      <c r="AC486" s="223"/>
      <c r="AD486" s="222"/>
    </row>
    <row r="487" spans="1:30" x14ac:dyDescent="0.4">
      <c r="A487" s="230">
        <v>99</v>
      </c>
      <c r="B487" s="8">
        <v>99</v>
      </c>
      <c r="C487" s="14">
        <f t="shared" ca="1" si="276"/>
        <v>0.49</v>
      </c>
      <c r="D487" s="20">
        <f t="shared" ca="1" si="288"/>
        <v>0.58799999999999997</v>
      </c>
      <c r="E487" s="224" t="str">
        <f ca="1">INDIRECT("'Закуп'!D" &amp; A487)</f>
        <v>У</v>
      </c>
      <c r="F487" s="231" t="str">
        <f t="shared" ref="F487" ca="1" si="291">INDIRECT("'Закуп'!E" &amp; B487)</f>
        <v>175х175х200</v>
      </c>
      <c r="G487" s="172" t="str">
        <f t="shared" ca="1" si="271"/>
        <v/>
      </c>
      <c r="H487" s="93" t="str">
        <f t="shared" ca="1" si="272"/>
        <v/>
      </c>
      <c r="I487" s="21">
        <v>50</v>
      </c>
      <c r="J487" s="68">
        <f t="shared" si="273"/>
        <v>1.2</v>
      </c>
      <c r="K487" s="70">
        <v>1.44</v>
      </c>
      <c r="L487" s="72">
        <f t="shared" ca="1" si="269"/>
        <v>0.56799999999999995</v>
      </c>
      <c r="M487" s="73">
        <f t="shared" ca="1" si="270"/>
        <v>28.4</v>
      </c>
      <c r="N487" s="12" t="s">
        <v>40</v>
      </c>
      <c r="O487" s="47" t="s">
        <v>45</v>
      </c>
      <c r="P487" s="13">
        <f t="shared" si="259"/>
        <v>1.44</v>
      </c>
      <c r="Q487" s="1" t="str">
        <f t="shared" si="261"/>
        <v>50-90 шт - 1,44 руб / шт с НДС</v>
      </c>
      <c r="R487" s="235" t="str">
        <f ca="1">INDIRECT("'Закуп'!k" &amp; A487)</f>
        <v>K99</v>
      </c>
      <c r="S487" s="239">
        <f ca="1">INDIRECT("'Закуп'!o" &amp; A487)</f>
        <v>6.13</v>
      </c>
      <c r="T487" s="226" t="str">
        <f ca="1">INDIRECT("'Закуп'!p" &amp; A487)</f>
        <v>6-7,9 литра</v>
      </c>
      <c r="U487" s="228" t="str">
        <f ca="1">INDIRECT("'Закуп'!v" &amp; A487)</f>
        <v/>
      </c>
      <c r="V487" s="222" t="str">
        <f ca="1">INDIRECT("'Закуп'!w" &amp; A487)</f>
        <v/>
      </c>
      <c r="W487" s="229" t="str">
        <f ca="1">INDIRECT("'Закуп'!H" &amp; A487)</f>
        <v>0201</v>
      </c>
      <c r="X487" s="227" t="str">
        <f t="shared" ref="X487" ca="1" si="292">INDIRECT("'Закуп'!g" &amp; A487)</f>
        <v>Ч</v>
      </c>
      <c r="Y487" s="229" t="str">
        <f ca="1">INDIRECT("'Закуп'!i" &amp; A487)</f>
        <v>В</v>
      </c>
      <c r="Z487" s="236" t="str">
        <f ca="1">INDIRECT("'Закуп'!x" &amp; A487)</f>
        <v>200-299 мм</v>
      </c>
      <c r="AA487" s="237" t="str">
        <f ca="1">INDIRECT("'Закуп'!y" &amp; A487)</f>
        <v>100-199 мм</v>
      </c>
      <c r="AB487" s="238" t="str">
        <f ca="1">INDIRECT("'Закуп'!z" &amp; A487)</f>
        <v>100-199 мм</v>
      </c>
      <c r="AC487" s="223" t="str">
        <f t="shared" ca="1" si="258"/>
        <v>175x175x200</v>
      </c>
      <c r="AD487" s="222" t="str">
        <f t="shared" ca="1" si="283"/>
        <v>175x175x200 - 175*175*200 мм</v>
      </c>
    </row>
    <row r="488" spans="1:30" x14ac:dyDescent="0.4">
      <c r="A488" s="230"/>
      <c r="B488" s="8">
        <v>99</v>
      </c>
      <c r="C488" s="14">
        <f t="shared" ca="1" si="276"/>
        <v>0.49</v>
      </c>
      <c r="D488" s="20">
        <f t="shared" ca="1" si="288"/>
        <v>0.58799999999999997</v>
      </c>
      <c r="E488" s="225"/>
      <c r="F488" s="231"/>
      <c r="G488" s="172" t="str">
        <f t="shared" ca="1" si="271"/>
        <v/>
      </c>
      <c r="H488" s="93" t="str">
        <f t="shared" ca="1" si="272"/>
        <v/>
      </c>
      <c r="I488" s="21">
        <v>100</v>
      </c>
      <c r="J488" s="68">
        <f t="shared" si="273"/>
        <v>1.05</v>
      </c>
      <c r="K488" s="70">
        <v>1.26</v>
      </c>
      <c r="L488" s="72">
        <f t="shared" ca="1" si="269"/>
        <v>0.44800000000000006</v>
      </c>
      <c r="M488" s="73">
        <f t="shared" ca="1" si="270"/>
        <v>44.800000000000004</v>
      </c>
      <c r="N488" s="12" t="s">
        <v>41</v>
      </c>
      <c r="O488" s="47" t="s">
        <v>45</v>
      </c>
      <c r="P488" s="13">
        <f t="shared" si="259"/>
        <v>1.26</v>
      </c>
      <c r="Q488" s="1" t="str">
        <f t="shared" si="261"/>
        <v>100-290 шт - 1,26 руб / шт с НДС</v>
      </c>
      <c r="R488" s="235"/>
      <c r="S488" s="239"/>
      <c r="T488" s="226"/>
      <c r="U488" s="228"/>
      <c r="V488" s="222"/>
      <c r="W488" s="229"/>
      <c r="X488" s="227"/>
      <c r="Y488" s="229"/>
      <c r="Z488" s="236"/>
      <c r="AA488" s="237"/>
      <c r="AB488" s="238"/>
      <c r="AC488" s="223"/>
      <c r="AD488" s="222"/>
    </row>
    <row r="489" spans="1:30" x14ac:dyDescent="0.4">
      <c r="A489" s="230"/>
      <c r="B489" s="8">
        <v>99</v>
      </c>
      <c r="C489" s="14">
        <f t="shared" ca="1" si="276"/>
        <v>0.49</v>
      </c>
      <c r="D489" s="20">
        <f t="shared" ca="1" si="288"/>
        <v>0.58799999999999997</v>
      </c>
      <c r="E489" s="225"/>
      <c r="F489" s="231"/>
      <c r="G489" s="172" t="str">
        <f t="shared" ca="1" si="271"/>
        <v/>
      </c>
      <c r="H489" s="93" t="str">
        <f t="shared" ca="1" si="272"/>
        <v/>
      </c>
      <c r="I489" s="21">
        <v>300</v>
      </c>
      <c r="J489" s="68">
        <f t="shared" si="273"/>
        <v>0.89166666666666672</v>
      </c>
      <c r="K489" s="70">
        <v>1.07</v>
      </c>
      <c r="L489" s="72">
        <f t="shared" ca="1" si="269"/>
        <v>0.32133333333333336</v>
      </c>
      <c r="M489" s="73">
        <f t="shared" ca="1" si="270"/>
        <v>96.4</v>
      </c>
      <c r="N489" s="12" t="s">
        <v>42</v>
      </c>
      <c r="O489" s="47" t="s">
        <v>45</v>
      </c>
      <c r="P489" s="13">
        <f t="shared" si="259"/>
        <v>1.07</v>
      </c>
      <c r="Q489" s="1" t="str">
        <f t="shared" si="261"/>
        <v>300-490 шт - 1,07 руб / шт с НДС</v>
      </c>
      <c r="R489" s="235"/>
      <c r="S489" s="239"/>
      <c r="T489" s="226"/>
      <c r="U489" s="228"/>
      <c r="V489" s="222"/>
      <c r="W489" s="229"/>
      <c r="X489" s="227"/>
      <c r="Y489" s="229"/>
      <c r="Z489" s="236"/>
      <c r="AA489" s="237"/>
      <c r="AB489" s="238"/>
      <c r="AC489" s="223"/>
      <c r="AD489" s="222"/>
    </row>
    <row r="490" spans="1:30" x14ac:dyDescent="0.4">
      <c r="A490" s="230"/>
      <c r="B490" s="8">
        <v>99</v>
      </c>
      <c r="C490" s="14">
        <f t="shared" ca="1" si="276"/>
        <v>0.49</v>
      </c>
      <c r="D490" s="20">
        <f t="shared" ca="1" si="288"/>
        <v>0.58799999999999997</v>
      </c>
      <c r="E490" s="225"/>
      <c r="F490" s="231"/>
      <c r="G490" s="172" t="str">
        <f t="shared" ca="1" si="271"/>
        <v/>
      </c>
      <c r="H490" s="93" t="str">
        <f t="shared" ca="1" si="272"/>
        <v/>
      </c>
      <c r="I490" s="21">
        <v>500</v>
      </c>
      <c r="J490" s="68">
        <f t="shared" si="273"/>
        <v>0.84166666666666667</v>
      </c>
      <c r="K490" s="70">
        <v>1.01</v>
      </c>
      <c r="L490" s="72">
        <f t="shared" ca="1" si="269"/>
        <v>0.28133333333333332</v>
      </c>
      <c r="M490" s="73">
        <f t="shared" ca="1" si="270"/>
        <v>140.66666666666666</v>
      </c>
      <c r="N490" s="12" t="s">
        <v>43</v>
      </c>
      <c r="O490" s="47" t="s">
        <v>45</v>
      </c>
      <c r="P490" s="13">
        <f t="shared" si="259"/>
        <v>1.01</v>
      </c>
      <c r="Q490" s="1" t="str">
        <f t="shared" si="261"/>
        <v>500-990 шт - 1,01 руб / шт с НДС</v>
      </c>
      <c r="R490" s="235"/>
      <c r="S490" s="239"/>
      <c r="T490" s="226"/>
      <c r="U490" s="228"/>
      <c r="V490" s="222"/>
      <c r="W490" s="229"/>
      <c r="X490" s="227"/>
      <c r="Y490" s="229"/>
      <c r="Z490" s="236"/>
      <c r="AA490" s="237"/>
      <c r="AB490" s="238"/>
      <c r="AC490" s="223"/>
      <c r="AD490" s="222"/>
    </row>
    <row r="491" spans="1:30" x14ac:dyDescent="0.4">
      <c r="A491" s="230"/>
      <c r="B491" s="8">
        <v>99</v>
      </c>
      <c r="C491" s="14">
        <f t="shared" ca="1" si="276"/>
        <v>0.49</v>
      </c>
      <c r="D491" s="20">
        <f t="shared" ca="1" si="288"/>
        <v>0.58799999999999997</v>
      </c>
      <c r="E491" s="225"/>
      <c r="F491" s="231"/>
      <c r="G491" s="172" t="str">
        <f t="shared" ca="1" si="271"/>
        <v/>
      </c>
      <c r="H491" s="93" t="str">
        <f t="shared" ca="1" si="272"/>
        <v/>
      </c>
      <c r="I491" s="21">
        <v>1000</v>
      </c>
      <c r="J491" s="68">
        <f t="shared" si="273"/>
        <v>0.78333333333333333</v>
      </c>
      <c r="K491" s="70">
        <v>0.94</v>
      </c>
      <c r="L491" s="72">
        <f t="shared" ca="1" si="269"/>
        <v>0.23466666666666666</v>
      </c>
      <c r="M491" s="73">
        <f t="shared" ca="1" si="270"/>
        <v>234.66666666666666</v>
      </c>
      <c r="N491" s="12" t="s">
        <v>44</v>
      </c>
      <c r="O491" s="47" t="s">
        <v>45</v>
      </c>
      <c r="P491" s="13">
        <f t="shared" si="259"/>
        <v>0.94</v>
      </c>
      <c r="Q491" s="1" t="str">
        <f t="shared" si="261"/>
        <v>1000 + шт - 0,94 руб / шт с НДС</v>
      </c>
      <c r="R491" s="235"/>
      <c r="S491" s="239"/>
      <c r="T491" s="226"/>
      <c r="U491" s="228"/>
      <c r="V491" s="222"/>
      <c r="W491" s="229"/>
      <c r="X491" s="227"/>
      <c r="Y491" s="229"/>
      <c r="Z491" s="236"/>
      <c r="AA491" s="237"/>
      <c r="AB491" s="238"/>
      <c r="AC491" s="223"/>
      <c r="AD491" s="222"/>
    </row>
    <row r="492" spans="1:30" x14ac:dyDescent="0.4">
      <c r="A492" s="230">
        <v>100</v>
      </c>
      <c r="B492" s="8">
        <v>100</v>
      </c>
      <c r="C492" s="14">
        <f t="shared" ca="1" si="276"/>
        <v>1.41</v>
      </c>
      <c r="D492" s="20">
        <f t="shared" ca="1" si="288"/>
        <v>1.6919999999999999</v>
      </c>
      <c r="E492" s="224" t="str">
        <f ca="1">INDIRECT("'Закуп'!D" &amp; A492)</f>
        <v>У</v>
      </c>
      <c r="F492" s="231" t="str">
        <f t="shared" ref="F492" ca="1" si="293">INDIRECT("'Закуп'!E" &amp; B492)</f>
        <v>390х290х290</v>
      </c>
      <c r="G492" s="172" t="str">
        <f t="shared" ca="1" si="271"/>
        <v/>
      </c>
      <c r="H492" s="93" t="str">
        <f t="shared" ca="1" si="272"/>
        <v/>
      </c>
      <c r="I492" s="21">
        <v>50</v>
      </c>
      <c r="J492" s="68">
        <f t="shared" si="273"/>
        <v>3.0166666666666671</v>
      </c>
      <c r="K492" s="70">
        <v>3.62</v>
      </c>
      <c r="L492" s="72">
        <f t="shared" ca="1" si="269"/>
        <v>1.2853333333333337</v>
      </c>
      <c r="M492" s="73">
        <f t="shared" ca="1" si="270"/>
        <v>64.26666666666668</v>
      </c>
      <c r="N492" s="12" t="s">
        <v>40</v>
      </c>
      <c r="O492" s="47" t="s">
        <v>45</v>
      </c>
      <c r="P492" s="13">
        <f t="shared" si="259"/>
        <v>3.62</v>
      </c>
      <c r="Q492" s="1" t="str">
        <f t="shared" si="261"/>
        <v>50-90 шт - 3,62 руб / шт с НДС</v>
      </c>
      <c r="R492" s="235" t="str">
        <f ca="1">INDIRECT("'Закуп'!k" &amp; A492)</f>
        <v>K100</v>
      </c>
      <c r="S492" s="239">
        <f ca="1">INDIRECT("'Закуп'!o" &amp; A492)</f>
        <v>32.799999999999997</v>
      </c>
      <c r="T492" s="226" t="str">
        <f ca="1">INDIRECT("'Закуп'!p" &amp; A492)</f>
        <v>30-49 литров</v>
      </c>
      <c r="U492" s="228" t="str">
        <f ca="1">INDIRECT("'Закуп'!v" &amp; A492)</f>
        <v/>
      </c>
      <c r="V492" s="222" t="str">
        <f ca="1">INDIRECT("'Закуп'!w" &amp; A492)</f>
        <v/>
      </c>
      <c r="W492" s="229" t="str">
        <f ca="1">INDIRECT("'Закуп'!H" &amp; A492)</f>
        <v>0201</v>
      </c>
      <c r="X492" s="227" t="str">
        <f t="shared" ref="X492" ca="1" si="294">INDIRECT("'Закуп'!g" &amp; A492)</f>
        <v>Ч</v>
      </c>
      <c r="Y492" s="229" t="str">
        <f ca="1">INDIRECT("'Закуп'!i" &amp; A492)</f>
        <v>В</v>
      </c>
      <c r="Z492" s="236" t="str">
        <f ca="1">INDIRECT("'Закуп'!x" &amp; A492)</f>
        <v>300-399 мм</v>
      </c>
      <c r="AA492" s="237" t="str">
        <f ca="1">INDIRECT("'Закуп'!y" &amp; A492)</f>
        <v>200-299 мм</v>
      </c>
      <c r="AB492" s="238" t="str">
        <f ca="1">INDIRECT("'Закуп'!z" &amp; A492)</f>
        <v>200-299 мм</v>
      </c>
      <c r="AC492" s="223" t="str">
        <f t="shared" ref="AC492:AC552" ca="1" si="295">SUBSTITUTE(INDEX(F:F, ROUNDUP((ROW(A491))/5,0)*5 - 3), "х", "x")</f>
        <v>390x290x290</v>
      </c>
      <c r="AD492" s="222" t="str">
        <f t="shared" ca="1" si="283"/>
        <v>390x290x290 - 390*290*290 мм</v>
      </c>
    </row>
    <row r="493" spans="1:30" x14ac:dyDescent="0.4">
      <c r="A493" s="230"/>
      <c r="B493" s="8">
        <v>100</v>
      </c>
      <c r="C493" s="14">
        <f t="shared" ca="1" si="276"/>
        <v>1.41</v>
      </c>
      <c r="D493" s="20">
        <f t="shared" ca="1" si="288"/>
        <v>1.6919999999999999</v>
      </c>
      <c r="E493" s="225"/>
      <c r="F493" s="231"/>
      <c r="G493" s="172" t="str">
        <f t="shared" ca="1" si="271"/>
        <v/>
      </c>
      <c r="H493" s="93" t="str">
        <f t="shared" ca="1" si="272"/>
        <v/>
      </c>
      <c r="I493" s="21">
        <v>100</v>
      </c>
      <c r="J493" s="68">
        <f t="shared" si="273"/>
        <v>2.4166666666666665</v>
      </c>
      <c r="K493" s="70">
        <v>2.9</v>
      </c>
      <c r="L493" s="72">
        <f t="shared" ca="1" si="269"/>
        <v>0.80533333333333323</v>
      </c>
      <c r="M493" s="73">
        <f t="shared" ca="1" si="270"/>
        <v>80.533333333333317</v>
      </c>
      <c r="N493" s="12" t="s">
        <v>41</v>
      </c>
      <c r="O493" s="47" t="s">
        <v>45</v>
      </c>
      <c r="P493" s="13">
        <f t="shared" si="259"/>
        <v>2.9</v>
      </c>
      <c r="Q493" s="1" t="str">
        <f t="shared" si="261"/>
        <v>100-290 шт - 2,9 руб / шт с НДС</v>
      </c>
      <c r="R493" s="235"/>
      <c r="S493" s="239"/>
      <c r="T493" s="226"/>
      <c r="U493" s="228"/>
      <c r="V493" s="222"/>
      <c r="W493" s="229"/>
      <c r="X493" s="227"/>
      <c r="Y493" s="229"/>
      <c r="Z493" s="236"/>
      <c r="AA493" s="237"/>
      <c r="AB493" s="238"/>
      <c r="AC493" s="223"/>
      <c r="AD493" s="222"/>
    </row>
    <row r="494" spans="1:30" x14ac:dyDescent="0.4">
      <c r="A494" s="230"/>
      <c r="B494" s="8">
        <v>100</v>
      </c>
      <c r="C494" s="14">
        <f t="shared" ca="1" si="276"/>
        <v>1.41</v>
      </c>
      <c r="D494" s="20">
        <f t="shared" ca="1" si="288"/>
        <v>1.6919999999999999</v>
      </c>
      <c r="E494" s="225"/>
      <c r="F494" s="231"/>
      <c r="G494" s="172" t="str">
        <f t="shared" ca="1" si="271"/>
        <v/>
      </c>
      <c r="H494" s="93" t="str">
        <f t="shared" ca="1" si="272"/>
        <v/>
      </c>
      <c r="I494" s="21">
        <v>300</v>
      </c>
      <c r="J494" s="68">
        <f t="shared" si="273"/>
        <v>2.0333333333333332</v>
      </c>
      <c r="K494" s="70">
        <v>2.44</v>
      </c>
      <c r="L494" s="72">
        <f t="shared" ca="1" si="269"/>
        <v>0.49866666666666665</v>
      </c>
      <c r="M494" s="73">
        <f t="shared" ca="1" si="270"/>
        <v>149.6</v>
      </c>
      <c r="N494" s="12" t="s">
        <v>42</v>
      </c>
      <c r="O494" s="47" t="s">
        <v>45</v>
      </c>
      <c r="P494" s="13">
        <f t="shared" si="259"/>
        <v>2.44</v>
      </c>
      <c r="Q494" s="1" t="str">
        <f t="shared" si="261"/>
        <v>300-490 шт - 2,44 руб / шт с НДС</v>
      </c>
      <c r="R494" s="235"/>
      <c r="S494" s="239"/>
      <c r="T494" s="226"/>
      <c r="U494" s="228"/>
      <c r="V494" s="222"/>
      <c r="W494" s="229"/>
      <c r="X494" s="227"/>
      <c r="Y494" s="229"/>
      <c r="Z494" s="236"/>
      <c r="AA494" s="237"/>
      <c r="AB494" s="238"/>
      <c r="AC494" s="223"/>
      <c r="AD494" s="222"/>
    </row>
    <row r="495" spans="1:30" x14ac:dyDescent="0.4">
      <c r="A495" s="230"/>
      <c r="B495" s="8">
        <v>100</v>
      </c>
      <c r="C495" s="14">
        <f t="shared" ca="1" si="276"/>
        <v>1.41</v>
      </c>
      <c r="D495" s="20">
        <f t="shared" ca="1" si="288"/>
        <v>1.6919999999999999</v>
      </c>
      <c r="E495" s="225"/>
      <c r="F495" s="231"/>
      <c r="G495" s="172" t="str">
        <f t="shared" ca="1" si="271"/>
        <v/>
      </c>
      <c r="H495" s="93" t="str">
        <f t="shared" ca="1" si="272"/>
        <v/>
      </c>
      <c r="I495" s="21">
        <v>500</v>
      </c>
      <c r="J495" s="68">
        <f t="shared" si="273"/>
        <v>1.9333333333333333</v>
      </c>
      <c r="K495" s="70">
        <v>2.3199999999999998</v>
      </c>
      <c r="L495" s="72">
        <f t="shared" ca="1" si="269"/>
        <v>0.41866666666666674</v>
      </c>
      <c r="M495" s="73">
        <f t="shared" ca="1" si="270"/>
        <v>209.33333333333337</v>
      </c>
      <c r="N495" s="12" t="s">
        <v>43</v>
      </c>
      <c r="O495" s="47" t="s">
        <v>45</v>
      </c>
      <c r="P495" s="13">
        <f t="shared" ref="P495:P558" si="296">ROUND(K495,2)</f>
        <v>2.3199999999999998</v>
      </c>
      <c r="Q495" s="1" t="str">
        <f t="shared" si="261"/>
        <v>500-990 шт - 2,32 руб / шт с НДС</v>
      </c>
      <c r="R495" s="235"/>
      <c r="S495" s="239"/>
      <c r="T495" s="226"/>
      <c r="U495" s="228"/>
      <c r="V495" s="222"/>
      <c r="W495" s="229"/>
      <c r="X495" s="227"/>
      <c r="Y495" s="229"/>
      <c r="Z495" s="236"/>
      <c r="AA495" s="237"/>
      <c r="AB495" s="238"/>
      <c r="AC495" s="223"/>
      <c r="AD495" s="222"/>
    </row>
    <row r="496" spans="1:30" x14ac:dyDescent="0.4">
      <c r="A496" s="230"/>
      <c r="B496" s="8">
        <v>100</v>
      </c>
      <c r="C496" s="14">
        <f t="shared" ca="1" si="276"/>
        <v>1.41</v>
      </c>
      <c r="D496" s="20">
        <f t="shared" ca="1" si="288"/>
        <v>1.6919999999999999</v>
      </c>
      <c r="E496" s="225"/>
      <c r="F496" s="231"/>
      <c r="G496" s="172" t="str">
        <f t="shared" ca="1" si="271"/>
        <v/>
      </c>
      <c r="H496" s="93" t="str">
        <f t="shared" ca="1" si="272"/>
        <v/>
      </c>
      <c r="I496" s="21">
        <v>1000</v>
      </c>
      <c r="J496" s="68">
        <f t="shared" si="273"/>
        <v>1.8333333333333335</v>
      </c>
      <c r="K496" s="70">
        <v>2.2000000000000002</v>
      </c>
      <c r="L496" s="72">
        <f t="shared" ca="1" si="269"/>
        <v>0.33866666666666684</v>
      </c>
      <c r="M496" s="73">
        <f t="shared" ca="1" si="270"/>
        <v>338.66666666666686</v>
      </c>
      <c r="N496" s="12" t="s">
        <v>44</v>
      </c>
      <c r="O496" s="47" t="s">
        <v>45</v>
      </c>
      <c r="P496" s="13">
        <f t="shared" si="296"/>
        <v>2.2000000000000002</v>
      </c>
      <c r="Q496" s="1" t="str">
        <f t="shared" ref="Q496:Q559" si="297">CONCATENATE(N496,P496,O496,)</f>
        <v>1000 + шт - 2,2 руб / шт с НДС</v>
      </c>
      <c r="R496" s="235"/>
      <c r="S496" s="239"/>
      <c r="T496" s="226"/>
      <c r="U496" s="228"/>
      <c r="V496" s="222"/>
      <c r="W496" s="229"/>
      <c r="X496" s="227"/>
      <c r="Y496" s="229"/>
      <c r="Z496" s="236"/>
      <c r="AA496" s="237"/>
      <c r="AB496" s="238"/>
      <c r="AC496" s="223"/>
      <c r="AD496" s="222"/>
    </row>
    <row r="497" spans="1:30" x14ac:dyDescent="0.4">
      <c r="A497" s="230">
        <v>101</v>
      </c>
      <c r="B497" s="8">
        <v>101</v>
      </c>
      <c r="C497" s="14">
        <f t="shared" ca="1" si="276"/>
        <v>0.85</v>
      </c>
      <c r="D497" s="20">
        <f t="shared" ca="1" si="288"/>
        <v>1.02</v>
      </c>
      <c r="E497" s="224" t="str">
        <f ca="1">INDIRECT("'Закуп'!D" &amp; A497)</f>
        <v>У</v>
      </c>
      <c r="F497" s="231" t="str">
        <f t="shared" ref="F497" ca="1" si="298">INDIRECT("'Закуп'!E" &amp; B497)</f>
        <v>290х225х230</v>
      </c>
      <c r="G497" s="172" t="str">
        <f t="shared" ca="1" si="271"/>
        <v/>
      </c>
      <c r="H497" s="93" t="str">
        <f t="shared" ca="1" si="272"/>
        <v/>
      </c>
      <c r="I497" s="21">
        <v>50</v>
      </c>
      <c r="J497" s="68">
        <f t="shared" si="273"/>
        <v>2</v>
      </c>
      <c r="K497" s="70">
        <v>2.4</v>
      </c>
      <c r="L497" s="72">
        <f t="shared" ca="1" si="269"/>
        <v>0.91999999999999993</v>
      </c>
      <c r="M497" s="73">
        <f t="shared" ca="1" si="270"/>
        <v>46</v>
      </c>
      <c r="N497" s="12" t="s">
        <v>40</v>
      </c>
      <c r="O497" s="47" t="s">
        <v>45</v>
      </c>
      <c r="P497" s="13">
        <f t="shared" si="296"/>
        <v>2.4</v>
      </c>
      <c r="Q497" s="1" t="str">
        <f t="shared" si="297"/>
        <v>50-90 шт - 2,4 руб / шт с НДС</v>
      </c>
      <c r="R497" s="235" t="str">
        <f ca="1">INDIRECT("'Закуп'!k" &amp; A497)</f>
        <v>K101</v>
      </c>
      <c r="S497" s="239">
        <f ca="1">INDIRECT("'Закуп'!o" &amp; A497)</f>
        <v>15.01</v>
      </c>
      <c r="T497" s="226" t="str">
        <f ca="1">INDIRECT("'Закуп'!p" &amp; A497)</f>
        <v>15-19,9 литров</v>
      </c>
      <c r="U497" s="228" t="str">
        <f ca="1">INDIRECT("'Закуп'!v" &amp; A497)</f>
        <v/>
      </c>
      <c r="V497" s="222" t="str">
        <f ca="1">INDIRECT("'Закуп'!w" &amp; A497)</f>
        <v/>
      </c>
      <c r="W497" s="229" t="str">
        <f ca="1">INDIRECT("'Закуп'!H" &amp; A497)</f>
        <v>0201</v>
      </c>
      <c r="X497" s="227" t="str">
        <f t="shared" ref="X497" ca="1" si="299">INDIRECT("'Закуп'!g" &amp; A497)</f>
        <v>Ч</v>
      </c>
      <c r="Y497" s="229" t="str">
        <f ca="1">INDIRECT("'Закуп'!i" &amp; A497)</f>
        <v>В</v>
      </c>
      <c r="Z497" s="236" t="str">
        <f ca="1">INDIRECT("'Закуп'!x" &amp; A497)</f>
        <v>200-299 мм</v>
      </c>
      <c r="AA497" s="237" t="str">
        <f ca="1">INDIRECT("'Закуп'!y" &amp; A497)</f>
        <v>200-299 мм</v>
      </c>
      <c r="AB497" s="238" t="str">
        <f ca="1">INDIRECT("'Закуп'!z" &amp; A497)</f>
        <v>200-299 мм</v>
      </c>
      <c r="AC497" s="223" t="str">
        <f t="shared" ca="1" si="295"/>
        <v>290x225x230</v>
      </c>
      <c r="AD497" s="222" t="str">
        <f t="shared" ca="1" si="283"/>
        <v>290x225x230 - 290*225*230 мм</v>
      </c>
    </row>
    <row r="498" spans="1:30" x14ac:dyDescent="0.4">
      <c r="A498" s="230"/>
      <c r="B498" s="8">
        <v>101</v>
      </c>
      <c r="C498" s="14">
        <f t="shared" ca="1" si="276"/>
        <v>0.85</v>
      </c>
      <c r="D498" s="20">
        <f t="shared" ca="1" si="288"/>
        <v>1.02</v>
      </c>
      <c r="E498" s="225"/>
      <c r="F498" s="231"/>
      <c r="G498" s="172" t="str">
        <f t="shared" ca="1" si="271"/>
        <v/>
      </c>
      <c r="H498" s="93" t="str">
        <f t="shared" ca="1" si="272"/>
        <v/>
      </c>
      <c r="I498" s="21">
        <v>100</v>
      </c>
      <c r="J498" s="68">
        <f t="shared" si="273"/>
        <v>1.8166666666666669</v>
      </c>
      <c r="K498" s="70">
        <v>2.1800000000000002</v>
      </c>
      <c r="L498" s="72">
        <f t="shared" ca="1" si="269"/>
        <v>0.77333333333333354</v>
      </c>
      <c r="M498" s="73">
        <f t="shared" ca="1" si="270"/>
        <v>77.333333333333357</v>
      </c>
      <c r="N498" s="12" t="s">
        <v>41</v>
      </c>
      <c r="O498" s="47" t="s">
        <v>45</v>
      </c>
      <c r="P498" s="13">
        <f t="shared" si="296"/>
        <v>2.1800000000000002</v>
      </c>
      <c r="Q498" s="1" t="str">
        <f t="shared" si="297"/>
        <v>100-290 шт - 2,18 руб / шт с НДС</v>
      </c>
      <c r="R498" s="235"/>
      <c r="S498" s="239"/>
      <c r="T498" s="226"/>
      <c r="U498" s="228"/>
      <c r="V498" s="222"/>
      <c r="W498" s="229"/>
      <c r="X498" s="227"/>
      <c r="Y498" s="229"/>
      <c r="Z498" s="236"/>
      <c r="AA498" s="237"/>
      <c r="AB498" s="238"/>
      <c r="AC498" s="223"/>
      <c r="AD498" s="222"/>
    </row>
    <row r="499" spans="1:30" x14ac:dyDescent="0.4">
      <c r="A499" s="230"/>
      <c r="B499" s="8">
        <v>101</v>
      </c>
      <c r="C499" s="14">
        <f t="shared" ca="1" si="276"/>
        <v>0.85</v>
      </c>
      <c r="D499" s="20">
        <f t="shared" ca="1" si="288"/>
        <v>1.02</v>
      </c>
      <c r="E499" s="225"/>
      <c r="F499" s="231"/>
      <c r="G499" s="172" t="str">
        <f t="shared" ca="1" si="271"/>
        <v/>
      </c>
      <c r="H499" s="93" t="str">
        <f t="shared" ca="1" si="272"/>
        <v/>
      </c>
      <c r="I499" s="21">
        <v>300</v>
      </c>
      <c r="J499" s="68">
        <f t="shared" si="273"/>
        <v>1.4166666666666667</v>
      </c>
      <c r="K499" s="70">
        <v>1.7</v>
      </c>
      <c r="L499" s="72">
        <f t="shared" ca="1" si="269"/>
        <v>0.45333333333333342</v>
      </c>
      <c r="M499" s="73">
        <f t="shared" ca="1" si="270"/>
        <v>136.00000000000003</v>
      </c>
      <c r="N499" s="12" t="s">
        <v>42</v>
      </c>
      <c r="O499" s="47" t="s">
        <v>45</v>
      </c>
      <c r="P499" s="13">
        <f t="shared" si="296"/>
        <v>1.7</v>
      </c>
      <c r="Q499" s="1" t="str">
        <f t="shared" si="297"/>
        <v>300-490 шт - 1,7 руб / шт с НДС</v>
      </c>
      <c r="R499" s="235"/>
      <c r="S499" s="239"/>
      <c r="T499" s="226"/>
      <c r="U499" s="228"/>
      <c r="V499" s="222"/>
      <c r="W499" s="229"/>
      <c r="X499" s="227"/>
      <c r="Y499" s="229"/>
      <c r="Z499" s="236"/>
      <c r="AA499" s="237"/>
      <c r="AB499" s="238"/>
      <c r="AC499" s="223"/>
      <c r="AD499" s="222"/>
    </row>
    <row r="500" spans="1:30" x14ac:dyDescent="0.4">
      <c r="A500" s="230"/>
      <c r="B500" s="8">
        <v>101</v>
      </c>
      <c r="C500" s="14">
        <f t="shared" ca="1" si="276"/>
        <v>0.85</v>
      </c>
      <c r="D500" s="20">
        <f t="shared" ca="1" si="288"/>
        <v>1.02</v>
      </c>
      <c r="E500" s="225"/>
      <c r="F500" s="231"/>
      <c r="G500" s="172" t="str">
        <f t="shared" ca="1" si="271"/>
        <v/>
      </c>
      <c r="H500" s="93" t="str">
        <f t="shared" ca="1" si="272"/>
        <v/>
      </c>
      <c r="I500" s="21">
        <v>500</v>
      </c>
      <c r="J500" s="68">
        <f t="shared" si="273"/>
        <v>1.2333333333333334</v>
      </c>
      <c r="K500" s="70">
        <v>1.48</v>
      </c>
      <c r="L500" s="72">
        <f t="shared" ca="1" si="269"/>
        <v>0.30666666666666675</v>
      </c>
      <c r="M500" s="73">
        <f t="shared" ca="1" si="270"/>
        <v>153.33333333333337</v>
      </c>
      <c r="N500" s="12" t="s">
        <v>43</v>
      </c>
      <c r="O500" s="47" t="s">
        <v>45</v>
      </c>
      <c r="P500" s="13">
        <f t="shared" si="296"/>
        <v>1.48</v>
      </c>
      <c r="Q500" s="1" t="str">
        <f t="shared" si="297"/>
        <v>500-990 шт - 1,48 руб / шт с НДС</v>
      </c>
      <c r="R500" s="235"/>
      <c r="S500" s="239"/>
      <c r="T500" s="226"/>
      <c r="U500" s="228"/>
      <c r="V500" s="222"/>
      <c r="W500" s="229"/>
      <c r="X500" s="227"/>
      <c r="Y500" s="229"/>
      <c r="Z500" s="236"/>
      <c r="AA500" s="237"/>
      <c r="AB500" s="238"/>
      <c r="AC500" s="223"/>
      <c r="AD500" s="222"/>
    </row>
    <row r="501" spans="1:30" x14ac:dyDescent="0.4">
      <c r="A501" s="230"/>
      <c r="B501" s="8">
        <v>101</v>
      </c>
      <c r="C501" s="14">
        <f t="shared" ca="1" si="276"/>
        <v>0.85</v>
      </c>
      <c r="D501" s="20">
        <f t="shared" ca="1" si="288"/>
        <v>1.02</v>
      </c>
      <c r="E501" s="225"/>
      <c r="F501" s="231"/>
      <c r="G501" s="172" t="str">
        <f t="shared" ca="1" si="271"/>
        <v/>
      </c>
      <c r="H501" s="93" t="str">
        <f t="shared" ca="1" si="272"/>
        <v/>
      </c>
      <c r="I501" s="21">
        <v>1000</v>
      </c>
      <c r="J501" s="68">
        <f t="shared" si="273"/>
        <v>1.1499999999999999</v>
      </c>
      <c r="K501" s="70">
        <v>1.38</v>
      </c>
      <c r="L501" s="72">
        <f t="shared" ca="1" si="269"/>
        <v>0.23999999999999994</v>
      </c>
      <c r="M501" s="73">
        <f t="shared" ca="1" si="270"/>
        <v>239.99999999999994</v>
      </c>
      <c r="N501" s="12" t="s">
        <v>44</v>
      </c>
      <c r="O501" s="47" t="s">
        <v>45</v>
      </c>
      <c r="P501" s="13">
        <f t="shared" si="296"/>
        <v>1.38</v>
      </c>
      <c r="Q501" s="1" t="str">
        <f t="shared" si="297"/>
        <v>1000 + шт - 1,38 руб / шт с НДС</v>
      </c>
      <c r="R501" s="235"/>
      <c r="S501" s="239"/>
      <c r="T501" s="226"/>
      <c r="U501" s="228"/>
      <c r="V501" s="222"/>
      <c r="W501" s="229"/>
      <c r="X501" s="227"/>
      <c r="Y501" s="229"/>
      <c r="Z501" s="236"/>
      <c r="AA501" s="237"/>
      <c r="AB501" s="238"/>
      <c r="AC501" s="223"/>
      <c r="AD501" s="222"/>
    </row>
    <row r="502" spans="1:30" x14ac:dyDescent="0.4">
      <c r="A502" s="230">
        <v>102</v>
      </c>
      <c r="B502" s="8">
        <v>102</v>
      </c>
      <c r="C502" s="14">
        <f t="shared" ca="1" si="276"/>
        <v>0.25</v>
      </c>
      <c r="D502" s="20">
        <f t="shared" ca="1" si="288"/>
        <v>0.3</v>
      </c>
      <c r="E502" s="224" t="str">
        <f ca="1">INDIRECT("'Закуп'!D" &amp; A502)</f>
        <v>У</v>
      </c>
      <c r="F502" s="231" t="str">
        <f t="shared" ref="F502" ca="1" si="300">INDIRECT("'Закуп'!E" &amp; B502)</f>
        <v>100х100х100</v>
      </c>
      <c r="G502" s="172" t="str">
        <f t="shared" ca="1" si="271"/>
        <v/>
      </c>
      <c r="H502" s="93" t="str">
        <f t="shared" ca="1" si="272"/>
        <v/>
      </c>
      <c r="I502" s="21">
        <v>50</v>
      </c>
      <c r="J502" s="68">
        <f t="shared" si="273"/>
        <v>0.81666666666666665</v>
      </c>
      <c r="K502" s="70">
        <v>0.98</v>
      </c>
      <c r="L502" s="72">
        <f t="shared" ca="1" si="269"/>
        <v>0.45333333333333331</v>
      </c>
      <c r="M502" s="73">
        <f t="shared" ca="1" si="270"/>
        <v>22.666666666666664</v>
      </c>
      <c r="N502" s="12" t="s">
        <v>40</v>
      </c>
      <c r="O502" s="47" t="s">
        <v>45</v>
      </c>
      <c r="P502" s="13">
        <f t="shared" si="296"/>
        <v>0.98</v>
      </c>
      <c r="Q502" s="1" t="str">
        <f t="shared" si="297"/>
        <v>50-90 шт - 0,98 руб / шт с НДС</v>
      </c>
      <c r="R502" s="235" t="str">
        <f ca="1">INDIRECT("'Закуп'!k" &amp; A502)</f>
        <v>K102</v>
      </c>
      <c r="S502" s="239">
        <f ca="1">INDIRECT("'Закуп'!o" &amp; A502)</f>
        <v>1</v>
      </c>
      <c r="T502" s="226" t="str">
        <f ca="1">INDIRECT("'Закуп'!p" &amp; A502)</f>
        <v>1-1,9 литра</v>
      </c>
      <c r="U502" s="228" t="str">
        <f ca="1">INDIRECT("'Закуп'!v" &amp; A502)</f>
        <v/>
      </c>
      <c r="V502" s="222" t="str">
        <f ca="1">INDIRECT("'Закуп'!w" &amp; A502)</f>
        <v/>
      </c>
      <c r="W502" s="229" t="str">
        <f ca="1">INDIRECT("'Закуп'!H" &amp; A502)</f>
        <v>0215</v>
      </c>
      <c r="X502" s="227" t="str">
        <f t="shared" ref="X502" ca="1" si="301">INDIRECT("'Закуп'!g" &amp; A502)</f>
        <v>С</v>
      </c>
      <c r="Y502" s="229" t="str">
        <f ca="1">INDIRECT("'Закуп'!i" &amp; A502)</f>
        <v>В</v>
      </c>
      <c r="Z502" s="236" t="str">
        <f ca="1">INDIRECT("'Закуп'!x" &amp; A502)</f>
        <v>100-199 мм</v>
      </c>
      <c r="AA502" s="237" t="str">
        <f ca="1">INDIRECT("'Закуп'!y" &amp; A502)</f>
        <v>100-199 мм</v>
      </c>
      <c r="AB502" s="238" t="str">
        <f ca="1">INDIRECT("'Закуп'!z" &amp; A502)</f>
        <v>100-199 мм</v>
      </c>
      <c r="AC502" s="223" t="str">
        <f t="shared" ca="1" si="295"/>
        <v>100x100x100</v>
      </c>
      <c r="AD502" s="222" t="str">
        <f t="shared" ca="1" si="283"/>
        <v>100x100x100 - 100*100*100 мм</v>
      </c>
    </row>
    <row r="503" spans="1:30" x14ac:dyDescent="0.4">
      <c r="A503" s="230"/>
      <c r="B503" s="8">
        <v>102</v>
      </c>
      <c r="C503" s="14">
        <f t="shared" ca="1" si="276"/>
        <v>0.25</v>
      </c>
      <c r="D503" s="20">
        <f t="shared" ca="1" si="288"/>
        <v>0.3</v>
      </c>
      <c r="E503" s="225"/>
      <c r="F503" s="231"/>
      <c r="G503" s="172" t="str">
        <f t="shared" ca="1" si="271"/>
        <v/>
      </c>
      <c r="H503" s="93" t="str">
        <f t="shared" ca="1" si="272"/>
        <v/>
      </c>
      <c r="I503" s="21">
        <v>100</v>
      </c>
      <c r="J503" s="68">
        <f t="shared" si="273"/>
        <v>0.71666666666666667</v>
      </c>
      <c r="K503" s="70">
        <v>0.86</v>
      </c>
      <c r="L503" s="72">
        <f t="shared" ca="1" si="269"/>
        <v>0.37333333333333335</v>
      </c>
      <c r="M503" s="73">
        <f t="shared" ca="1" si="270"/>
        <v>37.333333333333336</v>
      </c>
      <c r="N503" s="12" t="s">
        <v>41</v>
      </c>
      <c r="O503" s="47" t="s">
        <v>45</v>
      </c>
      <c r="P503" s="13">
        <f t="shared" si="296"/>
        <v>0.86</v>
      </c>
      <c r="Q503" s="1" t="str">
        <f t="shared" si="297"/>
        <v>100-290 шт - 0,86 руб / шт с НДС</v>
      </c>
      <c r="R503" s="235"/>
      <c r="S503" s="239"/>
      <c r="T503" s="226"/>
      <c r="U503" s="228"/>
      <c r="V503" s="222"/>
      <c r="W503" s="229"/>
      <c r="X503" s="227"/>
      <c r="Y503" s="229"/>
      <c r="Z503" s="236"/>
      <c r="AA503" s="237"/>
      <c r="AB503" s="238"/>
      <c r="AC503" s="223"/>
      <c r="AD503" s="222"/>
    </row>
    <row r="504" spans="1:30" x14ac:dyDescent="0.4">
      <c r="A504" s="230"/>
      <c r="B504" s="8">
        <v>102</v>
      </c>
      <c r="C504" s="14">
        <f t="shared" ca="1" si="276"/>
        <v>0.25</v>
      </c>
      <c r="D504" s="20">
        <f t="shared" ca="1" si="288"/>
        <v>0.3</v>
      </c>
      <c r="E504" s="225"/>
      <c r="F504" s="231"/>
      <c r="G504" s="172" t="str">
        <f t="shared" ca="1" si="271"/>
        <v/>
      </c>
      <c r="H504" s="93" t="str">
        <f t="shared" ca="1" si="272"/>
        <v/>
      </c>
      <c r="I504" s="21">
        <v>300</v>
      </c>
      <c r="J504" s="68">
        <f t="shared" si="273"/>
        <v>0.6166666666666667</v>
      </c>
      <c r="K504" s="70">
        <v>0.74</v>
      </c>
      <c r="L504" s="72">
        <f t="shared" ca="1" si="269"/>
        <v>0.29333333333333333</v>
      </c>
      <c r="M504" s="73">
        <f t="shared" ca="1" si="270"/>
        <v>88</v>
      </c>
      <c r="N504" s="12" t="s">
        <v>42</v>
      </c>
      <c r="O504" s="47" t="s">
        <v>45</v>
      </c>
      <c r="P504" s="13">
        <f t="shared" si="296"/>
        <v>0.74</v>
      </c>
      <c r="Q504" s="1" t="str">
        <f t="shared" si="297"/>
        <v>300-490 шт - 0,74 руб / шт с НДС</v>
      </c>
      <c r="R504" s="235"/>
      <c r="S504" s="239"/>
      <c r="T504" s="226"/>
      <c r="U504" s="228"/>
      <c r="V504" s="222"/>
      <c r="W504" s="229"/>
      <c r="X504" s="227"/>
      <c r="Y504" s="229"/>
      <c r="Z504" s="236"/>
      <c r="AA504" s="237"/>
      <c r="AB504" s="238"/>
      <c r="AC504" s="223"/>
      <c r="AD504" s="222"/>
    </row>
    <row r="505" spans="1:30" x14ac:dyDescent="0.4">
      <c r="A505" s="230"/>
      <c r="B505" s="8">
        <v>102</v>
      </c>
      <c r="C505" s="14">
        <f t="shared" ca="1" si="276"/>
        <v>0.25</v>
      </c>
      <c r="D505" s="20">
        <f t="shared" ca="1" si="288"/>
        <v>0.3</v>
      </c>
      <c r="E505" s="225"/>
      <c r="F505" s="231"/>
      <c r="G505" s="172" t="str">
        <f t="shared" ca="1" si="271"/>
        <v/>
      </c>
      <c r="H505" s="93" t="str">
        <f t="shared" ca="1" si="272"/>
        <v/>
      </c>
      <c r="I505" s="21">
        <v>500</v>
      </c>
      <c r="J505" s="68">
        <f t="shared" si="273"/>
        <v>0.55833333333333335</v>
      </c>
      <c r="K505" s="70">
        <v>0.67</v>
      </c>
      <c r="L505" s="72">
        <f t="shared" ca="1" si="269"/>
        <v>0.24666666666666667</v>
      </c>
      <c r="M505" s="73">
        <f t="shared" ca="1" si="270"/>
        <v>123.33333333333334</v>
      </c>
      <c r="N505" s="12" t="s">
        <v>43</v>
      </c>
      <c r="O505" s="47" t="s">
        <v>45</v>
      </c>
      <c r="P505" s="13">
        <f t="shared" si="296"/>
        <v>0.67</v>
      </c>
      <c r="Q505" s="1" t="str">
        <f t="shared" si="297"/>
        <v>500-990 шт - 0,67 руб / шт с НДС</v>
      </c>
      <c r="R505" s="235"/>
      <c r="S505" s="239"/>
      <c r="T505" s="226"/>
      <c r="U505" s="228"/>
      <c r="V505" s="222"/>
      <c r="W505" s="229"/>
      <c r="X505" s="227"/>
      <c r="Y505" s="229"/>
      <c r="Z505" s="236"/>
      <c r="AA505" s="237"/>
      <c r="AB505" s="238"/>
      <c r="AC505" s="223"/>
      <c r="AD505" s="222"/>
    </row>
    <row r="506" spans="1:30" x14ac:dyDescent="0.4">
      <c r="A506" s="230"/>
      <c r="B506" s="8">
        <v>102</v>
      </c>
      <c r="C506" s="14">
        <f t="shared" ca="1" si="276"/>
        <v>0.25</v>
      </c>
      <c r="D506" s="20">
        <f t="shared" ca="1" si="288"/>
        <v>0.3</v>
      </c>
      <c r="E506" s="225"/>
      <c r="F506" s="231"/>
      <c r="G506" s="172" t="str">
        <f t="shared" ca="1" si="271"/>
        <v/>
      </c>
      <c r="H506" s="93" t="str">
        <f t="shared" ca="1" si="272"/>
        <v/>
      </c>
      <c r="I506" s="21">
        <v>1000</v>
      </c>
      <c r="J506" s="68">
        <f t="shared" si="273"/>
        <v>0.49166666666666664</v>
      </c>
      <c r="K506" s="70">
        <v>0.59</v>
      </c>
      <c r="L506" s="72">
        <f t="shared" ca="1" si="269"/>
        <v>0.1933333333333333</v>
      </c>
      <c r="M506" s="73">
        <f t="shared" ca="1" si="270"/>
        <v>193.33333333333331</v>
      </c>
      <c r="N506" s="12" t="s">
        <v>44</v>
      </c>
      <c r="O506" s="47" t="s">
        <v>45</v>
      </c>
      <c r="P506" s="13">
        <f t="shared" si="296"/>
        <v>0.59</v>
      </c>
      <c r="Q506" s="1" t="str">
        <f t="shared" si="297"/>
        <v>1000 + шт - 0,59 руб / шт с НДС</v>
      </c>
      <c r="R506" s="235"/>
      <c r="S506" s="239"/>
      <c r="T506" s="226"/>
      <c r="U506" s="228"/>
      <c r="V506" s="222"/>
      <c r="W506" s="229"/>
      <c r="X506" s="227"/>
      <c r="Y506" s="229"/>
      <c r="Z506" s="236"/>
      <c r="AA506" s="237"/>
      <c r="AB506" s="238"/>
      <c r="AC506" s="223"/>
      <c r="AD506" s="222"/>
    </row>
    <row r="507" spans="1:30" x14ac:dyDescent="0.4">
      <c r="A507" s="230">
        <v>103</v>
      </c>
      <c r="B507" s="8">
        <v>103</v>
      </c>
      <c r="C507" s="14">
        <f t="shared" ca="1" si="276"/>
        <v>0.25</v>
      </c>
      <c r="D507" s="20">
        <f t="shared" ca="1" si="288"/>
        <v>0.3</v>
      </c>
      <c r="E507" s="224" t="str">
        <f ca="1">INDIRECT("'Закуп'!D" &amp; A507)</f>
        <v>У</v>
      </c>
      <c r="F507" s="231" t="str">
        <f t="shared" ref="F507" ca="1" si="302">INDIRECT("'Закуп'!E" &amp; B507)</f>
        <v>150х115х135</v>
      </c>
      <c r="G507" s="172" t="str">
        <f t="shared" ca="1" si="271"/>
        <v/>
      </c>
      <c r="H507" s="93" t="str">
        <f t="shared" ca="1" si="272"/>
        <v/>
      </c>
      <c r="I507" s="21">
        <v>50</v>
      </c>
      <c r="J507" s="68">
        <f t="shared" si="273"/>
        <v>0.7416666666666667</v>
      </c>
      <c r="K507" s="70">
        <v>0.89</v>
      </c>
      <c r="L507" s="72">
        <f t="shared" ca="1" si="269"/>
        <v>0.39333333333333337</v>
      </c>
      <c r="M507" s="73">
        <f t="shared" ca="1" si="270"/>
        <v>19.666666666666668</v>
      </c>
      <c r="N507" s="12" t="s">
        <v>40</v>
      </c>
      <c r="O507" s="47" t="s">
        <v>45</v>
      </c>
      <c r="P507" s="13">
        <f t="shared" si="296"/>
        <v>0.89</v>
      </c>
      <c r="Q507" s="1" t="str">
        <f t="shared" si="297"/>
        <v>50-90 шт - 0,89 руб / шт с НДС</v>
      </c>
      <c r="R507" s="235" t="str">
        <f ca="1">INDIRECT("'Закуп'!k" &amp; A507)</f>
        <v>K103</v>
      </c>
      <c r="S507" s="239">
        <f ca="1">INDIRECT("'Закуп'!o" &amp; A507)</f>
        <v>2.33</v>
      </c>
      <c r="T507" s="226" t="str">
        <f ca="1">INDIRECT("'Закуп'!p" &amp; A507)</f>
        <v>2-2,9 литра</v>
      </c>
      <c r="U507" s="228" t="str">
        <f ca="1">INDIRECT("'Закуп'!v" &amp; A507)</f>
        <v/>
      </c>
      <c r="V507" s="222" t="str">
        <f ca="1">INDIRECT("'Закуп'!w" &amp; A507)</f>
        <v/>
      </c>
      <c r="W507" s="229" t="str">
        <f ca="1">INDIRECT("'Закуп'!H" &amp; A507)</f>
        <v>0201</v>
      </c>
      <c r="X507" s="227" t="str">
        <f t="shared" ref="X507" ca="1" si="303">INDIRECT("'Закуп'!g" &amp; A507)</f>
        <v>Ч</v>
      </c>
      <c r="Y507" s="229" t="str">
        <f ca="1">INDIRECT("'Закуп'!i" &amp; A507)</f>
        <v>В</v>
      </c>
      <c r="Z507" s="236" t="str">
        <f ca="1">INDIRECT("'Закуп'!x" &amp; A507)</f>
        <v>100-199 мм</v>
      </c>
      <c r="AA507" s="237" t="str">
        <f ca="1">INDIRECT("'Закуп'!y" &amp; A507)</f>
        <v>100-199 мм</v>
      </c>
      <c r="AB507" s="238" t="str">
        <f ca="1">INDIRECT("'Закуп'!z" &amp; A507)</f>
        <v>100-199 мм</v>
      </c>
      <c r="AC507" s="223" t="str">
        <f t="shared" ca="1" si="295"/>
        <v>150x115x135</v>
      </c>
      <c r="AD507" s="222" t="str">
        <f t="shared" ca="1" si="283"/>
        <v>150x115x135 - 150*115*135 мм</v>
      </c>
    </row>
    <row r="508" spans="1:30" x14ac:dyDescent="0.4">
      <c r="A508" s="230"/>
      <c r="B508" s="8">
        <v>103</v>
      </c>
      <c r="C508" s="14">
        <f t="shared" ca="1" si="276"/>
        <v>0.25</v>
      </c>
      <c r="D508" s="20">
        <f t="shared" ca="1" si="288"/>
        <v>0.3</v>
      </c>
      <c r="E508" s="225"/>
      <c r="F508" s="231"/>
      <c r="G508" s="172" t="str">
        <f t="shared" ca="1" si="271"/>
        <v/>
      </c>
      <c r="H508" s="93" t="str">
        <f t="shared" ca="1" si="272"/>
        <v/>
      </c>
      <c r="I508" s="21">
        <v>100</v>
      </c>
      <c r="J508" s="68">
        <f t="shared" si="273"/>
        <v>0.63333333333333341</v>
      </c>
      <c r="K508" s="70">
        <v>0.76</v>
      </c>
      <c r="L508" s="72">
        <f t="shared" ca="1" si="269"/>
        <v>0.30666666666666675</v>
      </c>
      <c r="M508" s="73">
        <f t="shared" ca="1" si="270"/>
        <v>30.666666666666675</v>
      </c>
      <c r="N508" s="12" t="s">
        <v>41</v>
      </c>
      <c r="O508" s="47" t="s">
        <v>45</v>
      </c>
      <c r="P508" s="13">
        <f t="shared" si="296"/>
        <v>0.76</v>
      </c>
      <c r="Q508" s="1" t="str">
        <f t="shared" si="297"/>
        <v>100-290 шт - 0,76 руб / шт с НДС</v>
      </c>
      <c r="R508" s="235"/>
      <c r="S508" s="239"/>
      <c r="T508" s="226"/>
      <c r="U508" s="228"/>
      <c r="V508" s="222"/>
      <c r="W508" s="229"/>
      <c r="X508" s="227"/>
      <c r="Y508" s="229"/>
      <c r="Z508" s="236"/>
      <c r="AA508" s="237"/>
      <c r="AB508" s="238"/>
      <c r="AC508" s="223"/>
      <c r="AD508" s="222"/>
    </row>
    <row r="509" spans="1:30" x14ac:dyDescent="0.4">
      <c r="A509" s="230"/>
      <c r="B509" s="8">
        <v>103</v>
      </c>
      <c r="C509" s="14">
        <f t="shared" ca="1" si="276"/>
        <v>0.25</v>
      </c>
      <c r="D509" s="20">
        <f t="shared" ca="1" si="288"/>
        <v>0.3</v>
      </c>
      <c r="E509" s="225"/>
      <c r="F509" s="231"/>
      <c r="G509" s="172" t="str">
        <f t="shared" ca="1" si="271"/>
        <v/>
      </c>
      <c r="H509" s="93" t="str">
        <f t="shared" ca="1" si="272"/>
        <v/>
      </c>
      <c r="I509" s="21">
        <v>300</v>
      </c>
      <c r="J509" s="68">
        <f t="shared" si="273"/>
        <v>0.5083333333333333</v>
      </c>
      <c r="K509" s="70">
        <v>0.61</v>
      </c>
      <c r="L509" s="72">
        <f t="shared" ca="1" si="269"/>
        <v>0.20666666666666664</v>
      </c>
      <c r="M509" s="73">
        <f t="shared" ca="1" si="270"/>
        <v>61.999999999999993</v>
      </c>
      <c r="N509" s="12" t="s">
        <v>42</v>
      </c>
      <c r="O509" s="47" t="s">
        <v>45</v>
      </c>
      <c r="P509" s="13">
        <f t="shared" si="296"/>
        <v>0.61</v>
      </c>
      <c r="Q509" s="1" t="str">
        <f t="shared" si="297"/>
        <v>300-490 шт - 0,61 руб / шт с НДС</v>
      </c>
      <c r="R509" s="235"/>
      <c r="S509" s="239"/>
      <c r="T509" s="226"/>
      <c r="U509" s="228"/>
      <c r="V509" s="222"/>
      <c r="W509" s="229"/>
      <c r="X509" s="227"/>
      <c r="Y509" s="229"/>
      <c r="Z509" s="236"/>
      <c r="AA509" s="237"/>
      <c r="AB509" s="238"/>
      <c r="AC509" s="223"/>
      <c r="AD509" s="222"/>
    </row>
    <row r="510" spans="1:30" x14ac:dyDescent="0.4">
      <c r="A510" s="230"/>
      <c r="B510" s="8">
        <v>103</v>
      </c>
      <c r="C510" s="14">
        <f t="shared" ca="1" si="276"/>
        <v>0.25</v>
      </c>
      <c r="D510" s="20">
        <f t="shared" ca="1" si="288"/>
        <v>0.3</v>
      </c>
      <c r="E510" s="225"/>
      <c r="F510" s="231"/>
      <c r="G510" s="172" t="str">
        <f t="shared" ca="1" si="271"/>
        <v/>
      </c>
      <c r="H510" s="93" t="str">
        <f t="shared" ca="1" si="272"/>
        <v/>
      </c>
      <c r="I510" s="21">
        <v>500</v>
      </c>
      <c r="J510" s="68">
        <f t="shared" si="273"/>
        <v>0.47499999999999998</v>
      </c>
      <c r="K510" s="70">
        <v>0.56999999999999995</v>
      </c>
      <c r="L510" s="72">
        <f t="shared" ca="1" si="269"/>
        <v>0.18</v>
      </c>
      <c r="M510" s="73">
        <f t="shared" ca="1" si="270"/>
        <v>90</v>
      </c>
      <c r="N510" s="12" t="s">
        <v>43</v>
      </c>
      <c r="O510" s="47" t="s">
        <v>45</v>
      </c>
      <c r="P510" s="13">
        <f t="shared" si="296"/>
        <v>0.56999999999999995</v>
      </c>
      <c r="Q510" s="1" t="str">
        <f t="shared" si="297"/>
        <v>500-990 шт - 0,57 руб / шт с НДС</v>
      </c>
      <c r="R510" s="235"/>
      <c r="S510" s="239"/>
      <c r="T510" s="226"/>
      <c r="U510" s="228"/>
      <c r="V510" s="222"/>
      <c r="W510" s="229"/>
      <c r="X510" s="227"/>
      <c r="Y510" s="229"/>
      <c r="Z510" s="236"/>
      <c r="AA510" s="237"/>
      <c r="AB510" s="238"/>
      <c r="AC510" s="223"/>
      <c r="AD510" s="222"/>
    </row>
    <row r="511" spans="1:30" x14ac:dyDescent="0.4">
      <c r="A511" s="230"/>
      <c r="B511" s="8">
        <v>103</v>
      </c>
      <c r="C511" s="14">
        <f t="shared" ca="1" si="276"/>
        <v>0.25</v>
      </c>
      <c r="D511" s="20">
        <f t="shared" ca="1" si="288"/>
        <v>0.3</v>
      </c>
      <c r="E511" s="225"/>
      <c r="F511" s="231"/>
      <c r="G511" s="172" t="str">
        <f t="shared" ca="1" si="271"/>
        <v/>
      </c>
      <c r="H511" s="93" t="str">
        <f t="shared" ca="1" si="272"/>
        <v/>
      </c>
      <c r="I511" s="21">
        <v>1000</v>
      </c>
      <c r="J511" s="68">
        <f t="shared" si="273"/>
        <v>0.4</v>
      </c>
      <c r="K511" s="70">
        <v>0.48</v>
      </c>
      <c r="L511" s="72">
        <f t="shared" ca="1" si="269"/>
        <v>0.12000000000000002</v>
      </c>
      <c r="M511" s="73">
        <f t="shared" ca="1" si="270"/>
        <v>120.00000000000003</v>
      </c>
      <c r="N511" s="12" t="s">
        <v>44</v>
      </c>
      <c r="O511" s="47" t="s">
        <v>45</v>
      </c>
      <c r="P511" s="13">
        <f t="shared" si="296"/>
        <v>0.48</v>
      </c>
      <c r="Q511" s="1" t="str">
        <f t="shared" si="297"/>
        <v>1000 + шт - 0,48 руб / шт с НДС</v>
      </c>
      <c r="R511" s="235"/>
      <c r="S511" s="239"/>
      <c r="T511" s="226"/>
      <c r="U511" s="228"/>
      <c r="V511" s="222"/>
      <c r="W511" s="229"/>
      <c r="X511" s="227"/>
      <c r="Y511" s="229"/>
      <c r="Z511" s="236"/>
      <c r="AA511" s="237"/>
      <c r="AB511" s="238"/>
      <c r="AC511" s="223"/>
      <c r="AD511" s="222"/>
    </row>
    <row r="512" spans="1:30" x14ac:dyDescent="0.4">
      <c r="A512" s="230">
        <v>104</v>
      </c>
      <c r="B512" s="8">
        <v>104</v>
      </c>
      <c r="C512" s="14">
        <f t="shared" ca="1" si="276"/>
        <v>0.63</v>
      </c>
      <c r="D512" s="20">
        <f t="shared" ca="1" si="288"/>
        <v>0.75600000000000001</v>
      </c>
      <c r="E512" s="224" t="str">
        <f ca="1">INDIRECT("'Закуп'!D" &amp; A512)</f>
        <v>У</v>
      </c>
      <c r="F512" s="231" t="str">
        <f t="shared" ref="F512" ca="1" si="304">INDIRECT("'Закуп'!E" &amp; B512)</f>
        <v>290х225х110</v>
      </c>
      <c r="G512" s="172" t="str">
        <f t="shared" ca="1" si="271"/>
        <v/>
      </c>
      <c r="H512" s="93" t="str">
        <f t="shared" ca="1" si="272"/>
        <v/>
      </c>
      <c r="I512" s="21">
        <v>50</v>
      </c>
      <c r="J512" s="68">
        <f t="shared" si="273"/>
        <v>1.4833333333333334</v>
      </c>
      <c r="K512" s="70">
        <v>1.78</v>
      </c>
      <c r="L512" s="72">
        <f t="shared" ca="1" si="269"/>
        <v>0.68266666666666675</v>
      </c>
      <c r="M512" s="73">
        <f t="shared" ca="1" si="270"/>
        <v>34.13333333333334</v>
      </c>
      <c r="N512" s="12" t="s">
        <v>40</v>
      </c>
      <c r="O512" s="47" t="s">
        <v>45</v>
      </c>
      <c r="P512" s="13">
        <f t="shared" si="296"/>
        <v>1.78</v>
      </c>
      <c r="Q512" s="1" t="str">
        <f t="shared" si="297"/>
        <v>50-90 шт - 1,78 руб / шт с НДС</v>
      </c>
      <c r="R512" s="235" t="str">
        <f ca="1">INDIRECT("'Закуп'!k" &amp; A512)</f>
        <v>K104</v>
      </c>
      <c r="S512" s="239">
        <f ca="1">INDIRECT("'Закуп'!o" &amp; A512)</f>
        <v>7.18</v>
      </c>
      <c r="T512" s="226" t="str">
        <f ca="1">INDIRECT("'Закуп'!p" &amp; A512)</f>
        <v>6-7,9 литра</v>
      </c>
      <c r="U512" s="228" t="str">
        <f ca="1">INDIRECT("'Закуп'!v" &amp; A512)</f>
        <v/>
      </c>
      <c r="V512" s="222" t="str">
        <f ca="1">INDIRECT("'Закуп'!w" &amp; A512)</f>
        <v>Плоские</v>
      </c>
      <c r="W512" s="229" t="str">
        <f ca="1">INDIRECT("'Закуп'!H" &amp; A512)</f>
        <v>0201</v>
      </c>
      <c r="X512" s="227" t="str">
        <f t="shared" ref="X512" ca="1" si="305">INDIRECT("'Закуп'!g" &amp; A512)</f>
        <v>Ч</v>
      </c>
      <c r="Y512" s="229" t="str">
        <f ca="1">INDIRECT("'Закуп'!i" &amp; A512)</f>
        <v>В</v>
      </c>
      <c r="Z512" s="236" t="str">
        <f ca="1">INDIRECT("'Закуп'!x" &amp; A512)</f>
        <v>200-299 мм</v>
      </c>
      <c r="AA512" s="237" t="str">
        <f ca="1">INDIRECT("'Закуп'!y" &amp; A512)</f>
        <v>200-299 мм</v>
      </c>
      <c r="AB512" s="238" t="str">
        <f ca="1">INDIRECT("'Закуп'!z" &amp; A512)</f>
        <v>100-199 мм</v>
      </c>
      <c r="AC512" s="223" t="str">
        <f t="shared" ca="1" si="295"/>
        <v>290x225x110</v>
      </c>
      <c r="AD512" s="222" t="str">
        <f t="shared" ca="1" si="283"/>
        <v>290x225x110 - 290*225*110 мм</v>
      </c>
    </row>
    <row r="513" spans="1:30" x14ac:dyDescent="0.4">
      <c r="A513" s="230"/>
      <c r="B513" s="8">
        <v>104</v>
      </c>
      <c r="C513" s="14">
        <f t="shared" ca="1" si="276"/>
        <v>0.63</v>
      </c>
      <c r="D513" s="20">
        <f t="shared" ca="1" si="288"/>
        <v>0.75600000000000001</v>
      </c>
      <c r="E513" s="225"/>
      <c r="F513" s="231"/>
      <c r="G513" s="172" t="str">
        <f t="shared" ca="1" si="271"/>
        <v/>
      </c>
      <c r="H513" s="93" t="str">
        <f t="shared" ca="1" si="272"/>
        <v/>
      </c>
      <c r="I513" s="21">
        <v>100</v>
      </c>
      <c r="J513" s="68">
        <f t="shared" si="273"/>
        <v>1.35</v>
      </c>
      <c r="K513" s="70">
        <v>1.62</v>
      </c>
      <c r="L513" s="72">
        <f t="shared" ca="1" si="269"/>
        <v>0.57600000000000007</v>
      </c>
      <c r="M513" s="73">
        <f t="shared" ca="1" si="270"/>
        <v>57.600000000000009</v>
      </c>
      <c r="N513" s="12" t="s">
        <v>41</v>
      </c>
      <c r="O513" s="47" t="s">
        <v>45</v>
      </c>
      <c r="P513" s="13">
        <f t="shared" si="296"/>
        <v>1.62</v>
      </c>
      <c r="Q513" s="1" t="str">
        <f t="shared" si="297"/>
        <v>100-290 шт - 1,62 руб / шт с НДС</v>
      </c>
      <c r="R513" s="235"/>
      <c r="S513" s="239"/>
      <c r="T513" s="226"/>
      <c r="U513" s="228"/>
      <c r="V513" s="222"/>
      <c r="W513" s="229"/>
      <c r="X513" s="227"/>
      <c r="Y513" s="229"/>
      <c r="Z513" s="236"/>
      <c r="AA513" s="237"/>
      <c r="AB513" s="238"/>
      <c r="AC513" s="223"/>
      <c r="AD513" s="222"/>
    </row>
    <row r="514" spans="1:30" x14ac:dyDescent="0.4">
      <c r="A514" s="230"/>
      <c r="B514" s="8">
        <v>104</v>
      </c>
      <c r="C514" s="14">
        <f t="shared" ca="1" si="276"/>
        <v>0.63</v>
      </c>
      <c r="D514" s="20">
        <f t="shared" ca="1" si="288"/>
        <v>0.75600000000000001</v>
      </c>
      <c r="E514" s="225"/>
      <c r="F514" s="231"/>
      <c r="G514" s="172" t="str">
        <f t="shared" ca="1" si="271"/>
        <v/>
      </c>
      <c r="H514" s="93" t="str">
        <f t="shared" ca="1" si="272"/>
        <v/>
      </c>
      <c r="I514" s="21">
        <v>300</v>
      </c>
      <c r="J514" s="68">
        <f t="shared" si="273"/>
        <v>1.0583333333333333</v>
      </c>
      <c r="K514" s="70">
        <v>1.27</v>
      </c>
      <c r="L514" s="72">
        <f t="shared" ref="L514:L577" ca="1" si="306">J514-C514-(J514-C514)*0.2</f>
        <v>0.34266666666666667</v>
      </c>
      <c r="M514" s="73">
        <f t="shared" ref="M514:M577" ca="1" si="307">L514*I514</f>
        <v>102.8</v>
      </c>
      <c r="N514" s="12" t="s">
        <v>42</v>
      </c>
      <c r="O514" s="47" t="s">
        <v>45</v>
      </c>
      <c r="P514" s="13">
        <f t="shared" si="296"/>
        <v>1.27</v>
      </c>
      <c r="Q514" s="1" t="str">
        <f t="shared" si="297"/>
        <v>300-490 шт - 1,27 руб / шт с НДС</v>
      </c>
      <c r="R514" s="235"/>
      <c r="S514" s="239"/>
      <c r="T514" s="226"/>
      <c r="U514" s="228"/>
      <c r="V514" s="222"/>
      <c r="W514" s="229"/>
      <c r="X514" s="227"/>
      <c r="Y514" s="229"/>
      <c r="Z514" s="236"/>
      <c r="AA514" s="237"/>
      <c r="AB514" s="238"/>
      <c r="AC514" s="223"/>
      <c r="AD514" s="222"/>
    </row>
    <row r="515" spans="1:30" x14ac:dyDescent="0.4">
      <c r="A515" s="230"/>
      <c r="B515" s="8">
        <v>104</v>
      </c>
      <c r="C515" s="14">
        <f t="shared" ca="1" si="276"/>
        <v>0.63</v>
      </c>
      <c r="D515" s="20">
        <f t="shared" ca="1" si="288"/>
        <v>0.75600000000000001</v>
      </c>
      <c r="E515" s="225"/>
      <c r="F515" s="231"/>
      <c r="G515" s="172" t="str">
        <f t="shared" ref="G515:G578" ca="1" si="308">IF(INDIRECT("'Закуп'!L" &amp; B515)="Sale","Sale","")</f>
        <v/>
      </c>
      <c r="H515" s="93" t="str">
        <f t="shared" ref="H515:H578" ca="1" si="309">IF(INDIRECT("'Закуп'!F" &amp; B515)=0,"",INDIRECT("'Закуп'!F" &amp; B515))</f>
        <v/>
      </c>
      <c r="I515" s="21">
        <v>500</v>
      </c>
      <c r="J515" s="68">
        <f t="shared" ref="J515:J578" si="310">K515/1.2</f>
        <v>1</v>
      </c>
      <c r="K515" s="70">
        <v>1.2</v>
      </c>
      <c r="L515" s="72">
        <f t="shared" ca="1" si="306"/>
        <v>0.29599999999999999</v>
      </c>
      <c r="M515" s="73">
        <f t="shared" ca="1" si="307"/>
        <v>148</v>
      </c>
      <c r="N515" s="12" t="s">
        <v>43</v>
      </c>
      <c r="O515" s="47" t="s">
        <v>45</v>
      </c>
      <c r="P515" s="13">
        <f t="shared" si="296"/>
        <v>1.2</v>
      </c>
      <c r="Q515" s="1" t="str">
        <f t="shared" si="297"/>
        <v>500-990 шт - 1,2 руб / шт с НДС</v>
      </c>
      <c r="R515" s="235"/>
      <c r="S515" s="239"/>
      <c r="T515" s="226"/>
      <c r="U515" s="228"/>
      <c r="V515" s="222"/>
      <c r="W515" s="229"/>
      <c r="X515" s="227"/>
      <c r="Y515" s="229"/>
      <c r="Z515" s="236"/>
      <c r="AA515" s="237"/>
      <c r="AB515" s="238"/>
      <c r="AC515" s="223"/>
      <c r="AD515" s="222"/>
    </row>
    <row r="516" spans="1:30" x14ac:dyDescent="0.4">
      <c r="A516" s="230"/>
      <c r="B516" s="8">
        <v>104</v>
      </c>
      <c r="C516" s="14">
        <f t="shared" ca="1" si="276"/>
        <v>0.63</v>
      </c>
      <c r="D516" s="20">
        <f t="shared" ca="1" si="288"/>
        <v>0.75600000000000001</v>
      </c>
      <c r="E516" s="225"/>
      <c r="F516" s="231"/>
      <c r="G516" s="172" t="str">
        <f t="shared" ca="1" si="308"/>
        <v/>
      </c>
      <c r="H516" s="93" t="str">
        <f t="shared" ca="1" si="309"/>
        <v/>
      </c>
      <c r="I516" s="21">
        <v>1000</v>
      </c>
      <c r="J516" s="68">
        <f t="shared" si="310"/>
        <v>0.87500000000000011</v>
      </c>
      <c r="K516" s="70">
        <v>1.05</v>
      </c>
      <c r="L516" s="72">
        <f t="shared" ca="1" si="306"/>
        <v>0.19600000000000009</v>
      </c>
      <c r="M516" s="73">
        <f t="shared" ca="1" si="307"/>
        <v>196.00000000000009</v>
      </c>
      <c r="N516" s="12" t="s">
        <v>44</v>
      </c>
      <c r="O516" s="47" t="s">
        <v>45</v>
      </c>
      <c r="P516" s="13">
        <f t="shared" si="296"/>
        <v>1.05</v>
      </c>
      <c r="Q516" s="1" t="str">
        <f t="shared" si="297"/>
        <v>1000 + шт - 1,05 руб / шт с НДС</v>
      </c>
      <c r="R516" s="235"/>
      <c r="S516" s="239"/>
      <c r="T516" s="226"/>
      <c r="U516" s="228"/>
      <c r="V516" s="222"/>
      <c r="W516" s="229"/>
      <c r="X516" s="227"/>
      <c r="Y516" s="229"/>
      <c r="Z516" s="236"/>
      <c r="AA516" s="237"/>
      <c r="AB516" s="238"/>
      <c r="AC516" s="223"/>
      <c r="AD516" s="222"/>
    </row>
    <row r="517" spans="1:30" x14ac:dyDescent="0.4">
      <c r="A517" s="230">
        <v>105</v>
      </c>
      <c r="B517" s="8">
        <v>105</v>
      </c>
      <c r="C517" s="14">
        <f t="shared" ca="1" si="276"/>
        <v>0.51</v>
      </c>
      <c r="D517" s="20">
        <f t="shared" ca="1" si="288"/>
        <v>0.61199999999999999</v>
      </c>
      <c r="E517" s="224" t="str">
        <f ca="1">INDIRECT("'Закуп'!D" &amp; A517)</f>
        <v>У</v>
      </c>
      <c r="F517" s="231" t="str">
        <f t="shared" ref="F517" ca="1" si="311">INDIRECT("'Закуп'!E" &amp; B517)</f>
        <v>330х180х95</v>
      </c>
      <c r="G517" s="172" t="str">
        <f t="shared" ca="1" si="308"/>
        <v/>
      </c>
      <c r="H517" s="93" t="str">
        <f t="shared" ca="1" si="309"/>
        <v/>
      </c>
      <c r="I517" s="21">
        <v>50</v>
      </c>
      <c r="J517" s="68">
        <f t="shared" si="310"/>
        <v>1.2</v>
      </c>
      <c r="K517" s="70">
        <v>1.44</v>
      </c>
      <c r="L517" s="72">
        <f t="shared" ca="1" si="306"/>
        <v>0.55199999999999994</v>
      </c>
      <c r="M517" s="73">
        <f t="shared" ca="1" si="307"/>
        <v>27.599999999999998</v>
      </c>
      <c r="N517" s="12" t="s">
        <v>40</v>
      </c>
      <c r="O517" s="47" t="s">
        <v>45</v>
      </c>
      <c r="P517" s="13">
        <f t="shared" si="296"/>
        <v>1.44</v>
      </c>
      <c r="Q517" s="1" t="str">
        <f t="shared" si="297"/>
        <v>50-90 шт - 1,44 руб / шт с НДС</v>
      </c>
      <c r="R517" s="235" t="str">
        <f ca="1">INDIRECT("'Закуп'!k" &amp; A517)</f>
        <v>K105</v>
      </c>
      <c r="S517" s="239">
        <f ca="1">INDIRECT("'Закуп'!o" &amp; A517)</f>
        <v>5.64</v>
      </c>
      <c r="T517" s="226" t="str">
        <f ca="1">INDIRECT("'Закуп'!p" &amp; A517)</f>
        <v>4-5,9 литра</v>
      </c>
      <c r="U517" s="228" t="str">
        <f ca="1">INDIRECT("'Закуп'!v" &amp; A517)</f>
        <v/>
      </c>
      <c r="V517" s="222" t="str">
        <f ca="1">INDIRECT("'Закуп'!w" &amp; A517)</f>
        <v/>
      </c>
      <c r="W517" s="229" t="str">
        <f ca="1">INDIRECT("'Закуп'!H" &amp; A517)</f>
        <v>0201</v>
      </c>
      <c r="X517" s="227" t="str">
        <f t="shared" ref="X517" ca="1" si="312">INDIRECT("'Закуп'!g" &amp; A517)</f>
        <v>Ч</v>
      </c>
      <c r="Y517" s="229" t="str">
        <f ca="1">INDIRECT("'Закуп'!i" &amp; A517)</f>
        <v>В</v>
      </c>
      <c r="Z517" s="236" t="str">
        <f ca="1">INDIRECT("'Закуп'!x" &amp; A517)</f>
        <v>300-399 мм</v>
      </c>
      <c r="AA517" s="237" t="str">
        <f ca="1">INDIRECT("'Закуп'!y" &amp; A517)</f>
        <v>100-199 мм</v>
      </c>
      <c r="AB517" s="238" t="str">
        <f ca="1">INDIRECT("'Закуп'!z" &amp; A517)</f>
        <v>10-99 мм</v>
      </c>
      <c r="AC517" s="223" t="str">
        <f t="shared" ca="1" si="295"/>
        <v>330x180x95</v>
      </c>
      <c r="AD517" s="222" t="str">
        <f t="shared" ca="1" si="283"/>
        <v>330x180x95 - 330*180*95 мм</v>
      </c>
    </row>
    <row r="518" spans="1:30" x14ac:dyDescent="0.4">
      <c r="A518" s="230"/>
      <c r="B518" s="8">
        <v>105</v>
      </c>
      <c r="C518" s="14">
        <f t="shared" ca="1" si="276"/>
        <v>0.51</v>
      </c>
      <c r="D518" s="20">
        <f t="shared" ca="1" si="288"/>
        <v>0.61199999999999999</v>
      </c>
      <c r="E518" s="225"/>
      <c r="F518" s="231"/>
      <c r="G518" s="172" t="str">
        <f t="shared" ca="1" si="308"/>
        <v/>
      </c>
      <c r="H518" s="93" t="str">
        <f t="shared" ca="1" si="309"/>
        <v/>
      </c>
      <c r="I518" s="21">
        <v>100</v>
      </c>
      <c r="J518" s="68">
        <f t="shared" si="310"/>
        <v>1.0916666666666668</v>
      </c>
      <c r="K518" s="70">
        <v>1.31</v>
      </c>
      <c r="L518" s="72">
        <f t="shared" ca="1" si="306"/>
        <v>0.46533333333333343</v>
      </c>
      <c r="M518" s="73">
        <f t="shared" ca="1" si="307"/>
        <v>46.533333333333346</v>
      </c>
      <c r="N518" s="12" t="s">
        <v>41</v>
      </c>
      <c r="O518" s="47" t="s">
        <v>45</v>
      </c>
      <c r="P518" s="13">
        <f t="shared" si="296"/>
        <v>1.31</v>
      </c>
      <c r="Q518" s="1" t="str">
        <f t="shared" si="297"/>
        <v>100-290 шт - 1,31 руб / шт с НДС</v>
      </c>
      <c r="R518" s="235"/>
      <c r="S518" s="239"/>
      <c r="T518" s="226"/>
      <c r="U518" s="228"/>
      <c r="V518" s="222"/>
      <c r="W518" s="229"/>
      <c r="X518" s="227"/>
      <c r="Y518" s="229"/>
      <c r="Z518" s="236"/>
      <c r="AA518" s="237"/>
      <c r="AB518" s="238"/>
      <c r="AC518" s="223"/>
      <c r="AD518" s="222"/>
    </row>
    <row r="519" spans="1:30" x14ac:dyDescent="0.4">
      <c r="A519" s="230"/>
      <c r="B519" s="8">
        <v>105</v>
      </c>
      <c r="C519" s="14">
        <f t="shared" ca="1" si="276"/>
        <v>0.51</v>
      </c>
      <c r="D519" s="20">
        <f t="shared" ca="1" si="288"/>
        <v>0.61199999999999999</v>
      </c>
      <c r="E519" s="225"/>
      <c r="F519" s="231"/>
      <c r="G519" s="172" t="str">
        <f t="shared" ca="1" si="308"/>
        <v/>
      </c>
      <c r="H519" s="93" t="str">
        <f t="shared" ca="1" si="309"/>
        <v/>
      </c>
      <c r="I519" s="21">
        <v>300</v>
      </c>
      <c r="J519" s="68">
        <f t="shared" si="310"/>
        <v>0.8666666666666667</v>
      </c>
      <c r="K519" s="70">
        <v>1.04</v>
      </c>
      <c r="L519" s="72">
        <f t="shared" ca="1" si="306"/>
        <v>0.28533333333333333</v>
      </c>
      <c r="M519" s="73">
        <f t="shared" ca="1" si="307"/>
        <v>85.6</v>
      </c>
      <c r="N519" s="12" t="s">
        <v>42</v>
      </c>
      <c r="O519" s="47" t="s">
        <v>45</v>
      </c>
      <c r="P519" s="13">
        <f t="shared" si="296"/>
        <v>1.04</v>
      </c>
      <c r="Q519" s="1" t="str">
        <f t="shared" si="297"/>
        <v>300-490 шт - 1,04 руб / шт с НДС</v>
      </c>
      <c r="R519" s="235"/>
      <c r="S519" s="239"/>
      <c r="T519" s="226"/>
      <c r="U519" s="228"/>
      <c r="V519" s="222"/>
      <c r="W519" s="229"/>
      <c r="X519" s="227"/>
      <c r="Y519" s="229"/>
      <c r="Z519" s="236"/>
      <c r="AA519" s="237"/>
      <c r="AB519" s="238"/>
      <c r="AC519" s="223"/>
      <c r="AD519" s="222"/>
    </row>
    <row r="520" spans="1:30" x14ac:dyDescent="0.4">
      <c r="A520" s="230"/>
      <c r="B520" s="8">
        <v>105</v>
      </c>
      <c r="C520" s="14">
        <f t="shared" ca="1" si="276"/>
        <v>0.51</v>
      </c>
      <c r="D520" s="20">
        <f t="shared" ca="1" si="288"/>
        <v>0.61199999999999999</v>
      </c>
      <c r="E520" s="225"/>
      <c r="F520" s="231"/>
      <c r="G520" s="172" t="str">
        <f t="shared" ca="1" si="308"/>
        <v/>
      </c>
      <c r="H520" s="93" t="str">
        <f t="shared" ca="1" si="309"/>
        <v/>
      </c>
      <c r="I520" s="21">
        <v>500</v>
      </c>
      <c r="J520" s="68">
        <f t="shared" si="310"/>
        <v>0.80833333333333335</v>
      </c>
      <c r="K520" s="70">
        <v>0.97</v>
      </c>
      <c r="L520" s="72">
        <f t="shared" ca="1" si="306"/>
        <v>0.23866666666666667</v>
      </c>
      <c r="M520" s="73">
        <f t="shared" ca="1" si="307"/>
        <v>119.33333333333333</v>
      </c>
      <c r="N520" s="12" t="s">
        <v>43</v>
      </c>
      <c r="O520" s="47" t="s">
        <v>45</v>
      </c>
      <c r="P520" s="13">
        <f t="shared" si="296"/>
        <v>0.97</v>
      </c>
      <c r="Q520" s="1" t="str">
        <f t="shared" si="297"/>
        <v>500-990 шт - 0,97 руб / шт с НДС</v>
      </c>
      <c r="R520" s="235"/>
      <c r="S520" s="239"/>
      <c r="T520" s="226"/>
      <c r="U520" s="228"/>
      <c r="V520" s="222"/>
      <c r="W520" s="229"/>
      <c r="X520" s="227"/>
      <c r="Y520" s="229"/>
      <c r="Z520" s="236"/>
      <c r="AA520" s="237"/>
      <c r="AB520" s="238"/>
      <c r="AC520" s="223"/>
      <c r="AD520" s="222"/>
    </row>
    <row r="521" spans="1:30" x14ac:dyDescent="0.4">
      <c r="A521" s="230"/>
      <c r="B521" s="8">
        <v>105</v>
      </c>
      <c r="C521" s="14">
        <f t="shared" ref="C521:C584" ca="1" si="313">INDIRECT("'Закуп'!A" &amp; B521)</f>
        <v>0.51</v>
      </c>
      <c r="D521" s="20">
        <f t="shared" ca="1" si="288"/>
        <v>0.61199999999999999</v>
      </c>
      <c r="E521" s="225"/>
      <c r="F521" s="231"/>
      <c r="G521" s="172" t="str">
        <f t="shared" ca="1" si="308"/>
        <v/>
      </c>
      <c r="H521" s="93" t="str">
        <f t="shared" ca="1" si="309"/>
        <v/>
      </c>
      <c r="I521" s="21">
        <v>1000</v>
      </c>
      <c r="J521" s="68">
        <f t="shared" si="310"/>
        <v>0.76666666666666672</v>
      </c>
      <c r="K521" s="70">
        <v>0.92</v>
      </c>
      <c r="L521" s="72">
        <f t="shared" ca="1" si="306"/>
        <v>0.20533333333333337</v>
      </c>
      <c r="M521" s="73">
        <f t="shared" ca="1" si="307"/>
        <v>205.33333333333337</v>
      </c>
      <c r="N521" s="12" t="s">
        <v>44</v>
      </c>
      <c r="O521" s="47" t="s">
        <v>45</v>
      </c>
      <c r="P521" s="13">
        <f t="shared" si="296"/>
        <v>0.92</v>
      </c>
      <c r="Q521" s="1" t="str">
        <f t="shared" si="297"/>
        <v>1000 + шт - 0,92 руб / шт с НДС</v>
      </c>
      <c r="R521" s="235"/>
      <c r="S521" s="239"/>
      <c r="T521" s="226"/>
      <c r="U521" s="228"/>
      <c r="V521" s="222"/>
      <c r="W521" s="229"/>
      <c r="X521" s="227"/>
      <c r="Y521" s="229"/>
      <c r="Z521" s="236"/>
      <c r="AA521" s="237"/>
      <c r="AB521" s="238"/>
      <c r="AC521" s="223"/>
      <c r="AD521" s="222"/>
    </row>
    <row r="522" spans="1:30" x14ac:dyDescent="0.4">
      <c r="A522" s="230">
        <v>106</v>
      </c>
      <c r="B522" s="8">
        <v>106</v>
      </c>
      <c r="C522" s="14">
        <f t="shared" ca="1" si="313"/>
        <v>1.03</v>
      </c>
      <c r="D522" s="20">
        <f t="shared" ca="1" si="288"/>
        <v>1.236</v>
      </c>
      <c r="E522" s="224" t="str">
        <f ca="1">INDIRECT("'Закуп'!D" &amp; A522)</f>
        <v>У</v>
      </c>
      <c r="F522" s="231" t="str">
        <f t="shared" ref="F522" ca="1" si="314">INDIRECT("'Закуп'!E" &amp; B522)</f>
        <v>515х200х200</v>
      </c>
      <c r="G522" s="172" t="str">
        <f t="shared" ca="1" si="308"/>
        <v/>
      </c>
      <c r="H522" s="93" t="str">
        <f t="shared" ca="1" si="309"/>
        <v/>
      </c>
      <c r="I522" s="21">
        <v>50</v>
      </c>
      <c r="J522" s="68">
        <f t="shared" si="310"/>
        <v>2.2000000000000002</v>
      </c>
      <c r="K522" s="70">
        <v>2.64</v>
      </c>
      <c r="L522" s="72">
        <f t="shared" ca="1" si="306"/>
        <v>0.93600000000000017</v>
      </c>
      <c r="M522" s="73">
        <f t="shared" ca="1" si="307"/>
        <v>46.800000000000011</v>
      </c>
      <c r="N522" s="12" t="s">
        <v>40</v>
      </c>
      <c r="O522" s="47" t="s">
        <v>45</v>
      </c>
      <c r="P522" s="13">
        <f t="shared" si="296"/>
        <v>2.64</v>
      </c>
      <c r="Q522" s="1" t="str">
        <f t="shared" si="297"/>
        <v>50-90 шт - 2,64 руб / шт с НДС</v>
      </c>
      <c r="R522" s="235" t="str">
        <f ca="1">INDIRECT("'Закуп'!k" &amp; A522)</f>
        <v>K106</v>
      </c>
      <c r="S522" s="239">
        <f ca="1">INDIRECT("'Закуп'!o" &amp; A522)</f>
        <v>20.6</v>
      </c>
      <c r="T522" s="226" t="str">
        <f ca="1">INDIRECT("'Закуп'!p" &amp; A522)</f>
        <v>20-29 литров</v>
      </c>
      <c r="U522" s="228" t="str">
        <f ca="1">INDIRECT("'Закуп'!v" &amp; A522)</f>
        <v>Длинные</v>
      </c>
      <c r="V522" s="222" t="str">
        <f ca="1">INDIRECT("'Закуп'!w" &amp; A522)</f>
        <v/>
      </c>
      <c r="W522" s="229" t="str">
        <f ca="1">INDIRECT("'Закуп'!H" &amp; A522)</f>
        <v>0201</v>
      </c>
      <c r="X522" s="227" t="str">
        <f t="shared" ref="X522" ca="1" si="315">INDIRECT("'Закуп'!g" &amp; A522)</f>
        <v>Ч</v>
      </c>
      <c r="Y522" s="229" t="str">
        <f ca="1">INDIRECT("'Закуп'!i" &amp; A522)</f>
        <v>В</v>
      </c>
      <c r="Z522" s="236" t="str">
        <f ca="1">INDIRECT("'Закуп'!x" &amp; A522)</f>
        <v>500-599 мм</v>
      </c>
      <c r="AA522" s="237" t="str">
        <f ca="1">INDIRECT("'Закуп'!y" &amp; A522)</f>
        <v>200-299 мм</v>
      </c>
      <c r="AB522" s="238" t="str">
        <f ca="1">INDIRECT("'Закуп'!z" &amp; A522)</f>
        <v>200-299 мм</v>
      </c>
      <c r="AC522" s="223" t="str">
        <f t="shared" ca="1" si="295"/>
        <v>515x200x200</v>
      </c>
      <c r="AD522" s="222" t="str">
        <f t="shared" ca="1" si="283"/>
        <v>515x200x200 - 515*200*200 мм</v>
      </c>
    </row>
    <row r="523" spans="1:30" x14ac:dyDescent="0.4">
      <c r="A523" s="230"/>
      <c r="B523" s="8">
        <v>106</v>
      </c>
      <c r="C523" s="14">
        <f t="shared" ca="1" si="313"/>
        <v>1.03</v>
      </c>
      <c r="D523" s="20">
        <f t="shared" ca="1" si="288"/>
        <v>1.236</v>
      </c>
      <c r="E523" s="225"/>
      <c r="F523" s="231"/>
      <c r="G523" s="172" t="str">
        <f t="shared" ca="1" si="308"/>
        <v/>
      </c>
      <c r="H523" s="93" t="str">
        <f t="shared" ca="1" si="309"/>
        <v/>
      </c>
      <c r="I523" s="21">
        <v>100</v>
      </c>
      <c r="J523" s="68">
        <f t="shared" si="310"/>
        <v>1.7666666666666668</v>
      </c>
      <c r="K523" s="70">
        <v>2.12</v>
      </c>
      <c r="L523" s="72">
        <f t="shared" ca="1" si="306"/>
        <v>0.58933333333333349</v>
      </c>
      <c r="M523" s="73">
        <f t="shared" ca="1" si="307"/>
        <v>58.933333333333351</v>
      </c>
      <c r="N523" s="12" t="s">
        <v>41</v>
      </c>
      <c r="O523" s="47" t="s">
        <v>45</v>
      </c>
      <c r="P523" s="13">
        <f t="shared" si="296"/>
        <v>2.12</v>
      </c>
      <c r="Q523" s="1" t="str">
        <f t="shared" si="297"/>
        <v>100-290 шт - 2,12 руб / шт с НДС</v>
      </c>
      <c r="R523" s="235"/>
      <c r="S523" s="239"/>
      <c r="T523" s="226"/>
      <c r="U523" s="228"/>
      <c r="V523" s="222"/>
      <c r="W523" s="229"/>
      <c r="X523" s="227"/>
      <c r="Y523" s="229"/>
      <c r="Z523" s="236"/>
      <c r="AA523" s="237"/>
      <c r="AB523" s="238"/>
      <c r="AC523" s="223"/>
      <c r="AD523" s="222"/>
    </row>
    <row r="524" spans="1:30" x14ac:dyDescent="0.4">
      <c r="A524" s="230"/>
      <c r="B524" s="8">
        <v>106</v>
      </c>
      <c r="C524" s="14">
        <f t="shared" ca="1" si="313"/>
        <v>1.03</v>
      </c>
      <c r="D524" s="20">
        <f t="shared" ca="1" si="288"/>
        <v>1.236</v>
      </c>
      <c r="E524" s="225"/>
      <c r="F524" s="231"/>
      <c r="G524" s="172" t="str">
        <f t="shared" ca="1" si="308"/>
        <v/>
      </c>
      <c r="H524" s="93" t="str">
        <f t="shared" ca="1" si="309"/>
        <v/>
      </c>
      <c r="I524" s="21">
        <v>300</v>
      </c>
      <c r="J524" s="68">
        <f t="shared" si="310"/>
        <v>1.6083333333333334</v>
      </c>
      <c r="K524" s="70">
        <v>1.93</v>
      </c>
      <c r="L524" s="72">
        <f t="shared" ca="1" si="306"/>
        <v>0.46266666666666667</v>
      </c>
      <c r="M524" s="73">
        <f t="shared" ca="1" si="307"/>
        <v>138.80000000000001</v>
      </c>
      <c r="N524" s="12" t="s">
        <v>42</v>
      </c>
      <c r="O524" s="47" t="s">
        <v>45</v>
      </c>
      <c r="P524" s="13">
        <f t="shared" si="296"/>
        <v>1.93</v>
      </c>
      <c r="Q524" s="1" t="str">
        <f t="shared" si="297"/>
        <v>300-490 шт - 1,93 руб / шт с НДС</v>
      </c>
      <c r="R524" s="235"/>
      <c r="S524" s="239"/>
      <c r="T524" s="226"/>
      <c r="U524" s="228"/>
      <c r="V524" s="222"/>
      <c r="W524" s="229"/>
      <c r="X524" s="227"/>
      <c r="Y524" s="229"/>
      <c r="Z524" s="236"/>
      <c r="AA524" s="237"/>
      <c r="AB524" s="238"/>
      <c r="AC524" s="223"/>
      <c r="AD524" s="222"/>
    </row>
    <row r="525" spans="1:30" x14ac:dyDescent="0.4">
      <c r="A525" s="230"/>
      <c r="B525" s="8">
        <v>106</v>
      </c>
      <c r="C525" s="14">
        <f t="shared" ca="1" si="313"/>
        <v>1.03</v>
      </c>
      <c r="D525" s="20">
        <f t="shared" ca="1" si="288"/>
        <v>1.236</v>
      </c>
      <c r="E525" s="225"/>
      <c r="F525" s="231"/>
      <c r="G525" s="172" t="str">
        <f t="shared" ca="1" si="308"/>
        <v/>
      </c>
      <c r="H525" s="93" t="str">
        <f t="shared" ca="1" si="309"/>
        <v/>
      </c>
      <c r="I525" s="21">
        <v>500</v>
      </c>
      <c r="J525" s="68">
        <f t="shared" si="310"/>
        <v>1.4333333333333333</v>
      </c>
      <c r="K525" s="70">
        <v>1.72</v>
      </c>
      <c r="L525" s="72">
        <f t="shared" ca="1" si="306"/>
        <v>0.32266666666666666</v>
      </c>
      <c r="M525" s="73">
        <f t="shared" ca="1" si="307"/>
        <v>161.33333333333331</v>
      </c>
      <c r="N525" s="12" t="s">
        <v>43</v>
      </c>
      <c r="O525" s="47" t="s">
        <v>45</v>
      </c>
      <c r="P525" s="13">
        <f t="shared" si="296"/>
        <v>1.72</v>
      </c>
      <c r="Q525" s="1" t="str">
        <f t="shared" si="297"/>
        <v>500-990 шт - 1,72 руб / шт с НДС</v>
      </c>
      <c r="R525" s="235"/>
      <c r="S525" s="239"/>
      <c r="T525" s="226"/>
      <c r="U525" s="228"/>
      <c r="V525" s="222"/>
      <c r="W525" s="229"/>
      <c r="X525" s="227"/>
      <c r="Y525" s="229"/>
      <c r="Z525" s="236"/>
      <c r="AA525" s="237"/>
      <c r="AB525" s="238"/>
      <c r="AC525" s="223"/>
      <c r="AD525" s="222"/>
    </row>
    <row r="526" spans="1:30" x14ac:dyDescent="0.4">
      <c r="A526" s="230"/>
      <c r="B526" s="8">
        <v>106</v>
      </c>
      <c r="C526" s="14">
        <f t="shared" ca="1" si="313"/>
        <v>1.03</v>
      </c>
      <c r="D526" s="20">
        <f t="shared" ca="1" si="288"/>
        <v>1.236</v>
      </c>
      <c r="E526" s="225"/>
      <c r="F526" s="231"/>
      <c r="G526" s="172" t="str">
        <f t="shared" ca="1" si="308"/>
        <v/>
      </c>
      <c r="H526" s="93" t="str">
        <f t="shared" ca="1" si="309"/>
        <v/>
      </c>
      <c r="I526" s="21">
        <v>1000</v>
      </c>
      <c r="J526" s="68">
        <f t="shared" si="310"/>
        <v>1.3916666666666666</v>
      </c>
      <c r="K526" s="70">
        <v>1.67</v>
      </c>
      <c r="L526" s="72">
        <f t="shared" ca="1" si="306"/>
        <v>0.28933333333333328</v>
      </c>
      <c r="M526" s="73">
        <f t="shared" ca="1" si="307"/>
        <v>289.33333333333326</v>
      </c>
      <c r="N526" s="12" t="s">
        <v>44</v>
      </c>
      <c r="O526" s="47" t="s">
        <v>45</v>
      </c>
      <c r="P526" s="13">
        <f t="shared" si="296"/>
        <v>1.67</v>
      </c>
      <c r="Q526" s="1" t="str">
        <f t="shared" si="297"/>
        <v>1000 + шт - 1,67 руб / шт с НДС</v>
      </c>
      <c r="R526" s="235"/>
      <c r="S526" s="239"/>
      <c r="T526" s="226"/>
      <c r="U526" s="228"/>
      <c r="V526" s="222"/>
      <c r="W526" s="229"/>
      <c r="X526" s="227"/>
      <c r="Y526" s="229"/>
      <c r="Z526" s="236"/>
      <c r="AA526" s="237"/>
      <c r="AB526" s="238"/>
      <c r="AC526" s="223"/>
      <c r="AD526" s="222"/>
    </row>
    <row r="527" spans="1:30" x14ac:dyDescent="0.4">
      <c r="A527" s="230">
        <v>107</v>
      </c>
      <c r="B527" s="8">
        <v>107</v>
      </c>
      <c r="C527" s="14">
        <f t="shared" ca="1" si="313"/>
        <v>1.29</v>
      </c>
      <c r="D527" s="20">
        <f t="shared" ca="1" si="288"/>
        <v>1.548</v>
      </c>
      <c r="E527" s="224" t="str">
        <f ca="1">INDIRECT("'Закуп'!D" &amp; A527)</f>
        <v>У</v>
      </c>
      <c r="F527" s="231" t="str">
        <f t="shared" ref="F527" ca="1" si="316">INDIRECT("'Закуп'!E" &amp; B527)</f>
        <v>350х265х320</v>
      </c>
      <c r="G527" s="172" t="str">
        <f t="shared" ca="1" si="308"/>
        <v/>
      </c>
      <c r="H527" s="93" t="str">
        <f t="shared" ca="1" si="309"/>
        <v/>
      </c>
      <c r="I527" s="21">
        <v>50</v>
      </c>
      <c r="J527" s="68">
        <f t="shared" si="310"/>
        <v>2.7666666666666666</v>
      </c>
      <c r="K527" s="70">
        <v>3.32</v>
      </c>
      <c r="L527" s="72">
        <f t="shared" ca="1" si="306"/>
        <v>1.1813333333333333</v>
      </c>
      <c r="M527" s="73">
        <f t="shared" ca="1" si="307"/>
        <v>59.06666666666667</v>
      </c>
      <c r="N527" s="12" t="s">
        <v>40</v>
      </c>
      <c r="O527" s="47" t="s">
        <v>45</v>
      </c>
      <c r="P527" s="13">
        <f t="shared" si="296"/>
        <v>3.32</v>
      </c>
      <c r="Q527" s="1" t="str">
        <f t="shared" si="297"/>
        <v>50-90 шт - 3,32 руб / шт с НДС</v>
      </c>
      <c r="R527" s="235" t="str">
        <f ca="1">INDIRECT("'Закуп'!k" &amp; A527)</f>
        <v>K107</v>
      </c>
      <c r="S527" s="239">
        <f ca="1">INDIRECT("'Закуп'!o" &amp; A527)</f>
        <v>29.68</v>
      </c>
      <c r="T527" s="226" t="str">
        <f ca="1">INDIRECT("'Закуп'!p" &amp; A527)</f>
        <v>20-29 литров</v>
      </c>
      <c r="U527" s="228" t="str">
        <f ca="1">INDIRECT("'Закуп'!v" &amp; A527)</f>
        <v/>
      </c>
      <c r="V527" s="222" t="str">
        <f ca="1">INDIRECT("'Закуп'!w" &amp; A527)</f>
        <v/>
      </c>
      <c r="W527" s="229" t="str">
        <f ca="1">INDIRECT("'Закуп'!H" &amp; A527)</f>
        <v>0201</v>
      </c>
      <c r="X527" s="227" t="str">
        <f t="shared" ref="X527" ca="1" si="317">INDIRECT("'Закуп'!g" &amp; A527)</f>
        <v>Ч</v>
      </c>
      <c r="Y527" s="229" t="str">
        <f ca="1">INDIRECT("'Закуп'!i" &amp; A527)</f>
        <v>В</v>
      </c>
      <c r="Z527" s="236" t="str">
        <f ca="1">INDIRECT("'Закуп'!x" &amp; A527)</f>
        <v>300-399 мм</v>
      </c>
      <c r="AA527" s="237" t="str">
        <f ca="1">INDIRECT("'Закуп'!y" &amp; A527)</f>
        <v>300-399 мм</v>
      </c>
      <c r="AB527" s="238" t="str">
        <f ca="1">INDIRECT("'Закуп'!z" &amp; A527)</f>
        <v>200-299 мм</v>
      </c>
      <c r="AC527" s="223" t="str">
        <f t="shared" ca="1" si="295"/>
        <v>350x265x320</v>
      </c>
      <c r="AD527" s="222" t="str">
        <f t="shared" ca="1" si="283"/>
        <v>350x265x320 - 350*265*320 мм</v>
      </c>
    </row>
    <row r="528" spans="1:30" x14ac:dyDescent="0.4">
      <c r="A528" s="230"/>
      <c r="B528" s="8">
        <v>107</v>
      </c>
      <c r="C528" s="14">
        <f t="shared" ca="1" si="313"/>
        <v>1.29</v>
      </c>
      <c r="D528" s="20">
        <f t="shared" ca="1" si="288"/>
        <v>1.548</v>
      </c>
      <c r="E528" s="225"/>
      <c r="F528" s="231"/>
      <c r="G528" s="172" t="str">
        <f t="shared" ca="1" si="308"/>
        <v/>
      </c>
      <c r="H528" s="93" t="str">
        <f t="shared" ca="1" si="309"/>
        <v/>
      </c>
      <c r="I528" s="21">
        <v>100</v>
      </c>
      <c r="J528" s="68">
        <f t="shared" si="310"/>
        <v>2.2083333333333335</v>
      </c>
      <c r="K528" s="70">
        <v>2.65</v>
      </c>
      <c r="L528" s="72">
        <f t="shared" ca="1" si="306"/>
        <v>0.7346666666666668</v>
      </c>
      <c r="M528" s="73">
        <f t="shared" ca="1" si="307"/>
        <v>73.466666666666683</v>
      </c>
      <c r="N528" s="12" t="s">
        <v>41</v>
      </c>
      <c r="O528" s="47" t="s">
        <v>45</v>
      </c>
      <c r="P528" s="13">
        <f t="shared" si="296"/>
        <v>2.65</v>
      </c>
      <c r="Q528" s="1" t="str">
        <f t="shared" si="297"/>
        <v>100-290 шт - 2,65 руб / шт с НДС</v>
      </c>
      <c r="R528" s="235"/>
      <c r="S528" s="239"/>
      <c r="T528" s="226"/>
      <c r="U528" s="228"/>
      <c r="V528" s="222"/>
      <c r="W528" s="229"/>
      <c r="X528" s="227"/>
      <c r="Y528" s="229"/>
      <c r="Z528" s="236"/>
      <c r="AA528" s="237"/>
      <c r="AB528" s="238"/>
      <c r="AC528" s="223"/>
      <c r="AD528" s="222"/>
    </row>
    <row r="529" spans="1:30" x14ac:dyDescent="0.4">
      <c r="A529" s="230"/>
      <c r="B529" s="8">
        <v>107</v>
      </c>
      <c r="C529" s="14">
        <f t="shared" ca="1" si="313"/>
        <v>1.29</v>
      </c>
      <c r="D529" s="20">
        <f t="shared" ca="1" si="288"/>
        <v>1.548</v>
      </c>
      <c r="E529" s="225"/>
      <c r="F529" s="231"/>
      <c r="G529" s="172" t="str">
        <f t="shared" ca="1" si="308"/>
        <v/>
      </c>
      <c r="H529" s="93" t="str">
        <f t="shared" ca="1" si="309"/>
        <v/>
      </c>
      <c r="I529" s="21">
        <v>300</v>
      </c>
      <c r="J529" s="68">
        <f t="shared" si="310"/>
        <v>1.9916666666666669</v>
      </c>
      <c r="K529" s="70">
        <v>2.39</v>
      </c>
      <c r="L529" s="72">
        <f t="shared" ca="1" si="306"/>
        <v>0.56133333333333346</v>
      </c>
      <c r="M529" s="73">
        <f t="shared" ca="1" si="307"/>
        <v>168.40000000000003</v>
      </c>
      <c r="N529" s="12" t="s">
        <v>42</v>
      </c>
      <c r="O529" s="47" t="s">
        <v>45</v>
      </c>
      <c r="P529" s="13">
        <f t="shared" si="296"/>
        <v>2.39</v>
      </c>
      <c r="Q529" s="1" t="str">
        <f t="shared" si="297"/>
        <v>300-490 шт - 2,39 руб / шт с НДС</v>
      </c>
      <c r="R529" s="235"/>
      <c r="S529" s="239"/>
      <c r="T529" s="226"/>
      <c r="U529" s="228"/>
      <c r="V529" s="222"/>
      <c r="W529" s="229"/>
      <c r="X529" s="227"/>
      <c r="Y529" s="229"/>
      <c r="Z529" s="236"/>
      <c r="AA529" s="237"/>
      <c r="AB529" s="238"/>
      <c r="AC529" s="223"/>
      <c r="AD529" s="222"/>
    </row>
    <row r="530" spans="1:30" x14ac:dyDescent="0.4">
      <c r="A530" s="230"/>
      <c r="B530" s="8">
        <v>107</v>
      </c>
      <c r="C530" s="14">
        <f t="shared" ca="1" si="313"/>
        <v>1.29</v>
      </c>
      <c r="D530" s="20">
        <f t="shared" ca="1" si="288"/>
        <v>1.548</v>
      </c>
      <c r="E530" s="225"/>
      <c r="F530" s="231"/>
      <c r="G530" s="172" t="str">
        <f t="shared" ca="1" si="308"/>
        <v/>
      </c>
      <c r="H530" s="93" t="str">
        <f t="shared" ca="1" si="309"/>
        <v/>
      </c>
      <c r="I530" s="21">
        <v>500</v>
      </c>
      <c r="J530" s="68">
        <f t="shared" si="310"/>
        <v>1.7916666666666667</v>
      </c>
      <c r="K530" s="70">
        <v>2.15</v>
      </c>
      <c r="L530" s="72">
        <f t="shared" ca="1" si="306"/>
        <v>0.40133333333333338</v>
      </c>
      <c r="M530" s="73">
        <f t="shared" ca="1" si="307"/>
        <v>200.66666666666669</v>
      </c>
      <c r="N530" s="12" t="s">
        <v>43</v>
      </c>
      <c r="O530" s="47" t="s">
        <v>45</v>
      </c>
      <c r="P530" s="13">
        <f t="shared" si="296"/>
        <v>2.15</v>
      </c>
      <c r="Q530" s="1" t="str">
        <f t="shared" si="297"/>
        <v>500-990 шт - 2,15 руб / шт с НДС</v>
      </c>
      <c r="R530" s="235"/>
      <c r="S530" s="239"/>
      <c r="T530" s="226"/>
      <c r="U530" s="228"/>
      <c r="V530" s="222"/>
      <c r="W530" s="229"/>
      <c r="X530" s="227"/>
      <c r="Y530" s="229"/>
      <c r="Z530" s="236"/>
      <c r="AA530" s="237"/>
      <c r="AB530" s="238"/>
      <c r="AC530" s="223"/>
      <c r="AD530" s="222"/>
    </row>
    <row r="531" spans="1:30" x14ac:dyDescent="0.4">
      <c r="A531" s="230"/>
      <c r="B531" s="8">
        <v>107</v>
      </c>
      <c r="C531" s="14">
        <f t="shared" ca="1" si="313"/>
        <v>1.29</v>
      </c>
      <c r="D531" s="20">
        <f t="shared" ca="1" si="288"/>
        <v>1.548</v>
      </c>
      <c r="E531" s="225"/>
      <c r="F531" s="231"/>
      <c r="G531" s="172" t="str">
        <f t="shared" ca="1" si="308"/>
        <v/>
      </c>
      <c r="H531" s="93" t="str">
        <f t="shared" ca="1" si="309"/>
        <v/>
      </c>
      <c r="I531" s="21">
        <v>1000</v>
      </c>
      <c r="J531" s="68">
        <f t="shared" si="310"/>
        <v>1.7083333333333333</v>
      </c>
      <c r="K531" s="70">
        <v>2.0499999999999998</v>
      </c>
      <c r="L531" s="72">
        <f t="shared" ca="1" si="306"/>
        <v>0.33466666666666656</v>
      </c>
      <c r="M531" s="73">
        <f t="shared" ca="1" si="307"/>
        <v>334.66666666666657</v>
      </c>
      <c r="N531" s="12" t="s">
        <v>44</v>
      </c>
      <c r="O531" s="47" t="s">
        <v>45</v>
      </c>
      <c r="P531" s="13">
        <f t="shared" si="296"/>
        <v>2.0499999999999998</v>
      </c>
      <c r="Q531" s="1" t="str">
        <f t="shared" si="297"/>
        <v>1000 + шт - 2,05 руб / шт с НДС</v>
      </c>
      <c r="R531" s="235"/>
      <c r="S531" s="239"/>
      <c r="T531" s="226"/>
      <c r="U531" s="228"/>
      <c r="V531" s="222"/>
      <c r="W531" s="229"/>
      <c r="X531" s="227"/>
      <c r="Y531" s="229"/>
      <c r="Z531" s="236"/>
      <c r="AA531" s="237"/>
      <c r="AB531" s="238"/>
      <c r="AC531" s="223"/>
      <c r="AD531" s="222"/>
    </row>
    <row r="532" spans="1:30" x14ac:dyDescent="0.4">
      <c r="A532" s="230">
        <v>108</v>
      </c>
      <c r="B532" s="8">
        <v>108</v>
      </c>
      <c r="C532" s="14">
        <f t="shared" ca="1" si="313"/>
        <v>1.55</v>
      </c>
      <c r="D532" s="20">
        <f t="shared" ca="1" si="288"/>
        <v>1.8599999999999999</v>
      </c>
      <c r="E532" s="224" t="str">
        <f ca="1">INDIRECT("'Закуп'!D" &amp; A532)</f>
        <v>У</v>
      </c>
      <c r="F532" s="231" t="str">
        <f t="shared" ref="F532" ca="1" si="318">INDIRECT("'Закуп'!E" &amp; B532)</f>
        <v>500х335х185</v>
      </c>
      <c r="G532" s="172" t="str">
        <f t="shared" ca="1" si="308"/>
        <v/>
      </c>
      <c r="H532" s="93" t="str">
        <f t="shared" ca="1" si="309"/>
        <v/>
      </c>
      <c r="I532" s="21">
        <v>50</v>
      </c>
      <c r="J532" s="68">
        <f t="shared" si="310"/>
        <v>3.3166666666666669</v>
      </c>
      <c r="K532" s="70">
        <v>3.98</v>
      </c>
      <c r="L532" s="72">
        <f t="shared" ca="1" si="306"/>
        <v>1.4133333333333336</v>
      </c>
      <c r="M532" s="73">
        <f t="shared" ca="1" si="307"/>
        <v>70.666666666666671</v>
      </c>
      <c r="N532" s="12" t="s">
        <v>40</v>
      </c>
      <c r="O532" s="47" t="s">
        <v>45</v>
      </c>
      <c r="P532" s="13">
        <f t="shared" si="296"/>
        <v>3.98</v>
      </c>
      <c r="Q532" s="1" t="str">
        <f t="shared" si="297"/>
        <v>50-90 шт - 3,98 руб / шт с НДС</v>
      </c>
      <c r="R532" s="235" t="str">
        <f ca="1">INDIRECT("'Закуп'!k" &amp; A532)</f>
        <v>K108</v>
      </c>
      <c r="S532" s="239">
        <f ca="1">INDIRECT("'Закуп'!o" &amp; A532)</f>
        <v>30.99</v>
      </c>
      <c r="T532" s="226" t="str">
        <f ca="1">INDIRECT("'Закуп'!p" &amp; A532)</f>
        <v>30-49 литров</v>
      </c>
      <c r="U532" s="228" t="str">
        <f ca="1">INDIRECT("'Закуп'!v" &amp; A532)</f>
        <v/>
      </c>
      <c r="V532" s="222" t="str">
        <f ca="1">INDIRECT("'Закуп'!w" &amp; A532)</f>
        <v/>
      </c>
      <c r="W532" s="229" t="str">
        <f ca="1">INDIRECT("'Закуп'!H" &amp; A532)</f>
        <v>0201</v>
      </c>
      <c r="X532" s="227" t="str">
        <f t="shared" ref="X532" ca="1" si="319">INDIRECT("'Закуп'!g" &amp; A532)</f>
        <v>Ч</v>
      </c>
      <c r="Y532" s="229" t="str">
        <f ca="1">INDIRECT("'Закуп'!i" &amp; A532)</f>
        <v>В</v>
      </c>
      <c r="Z532" s="236" t="str">
        <f ca="1">INDIRECT("'Закуп'!x" &amp; A532)</f>
        <v>500-599 мм</v>
      </c>
      <c r="AA532" s="237" t="str">
        <f ca="1">INDIRECT("'Закуп'!y" &amp; A532)</f>
        <v>300-399 мм</v>
      </c>
      <c r="AB532" s="238" t="str">
        <f ca="1">INDIRECT("'Закуп'!z" &amp; A532)</f>
        <v>100-199 мм</v>
      </c>
      <c r="AC532" s="223" t="str">
        <f t="shared" ca="1" si="295"/>
        <v>500x335x185</v>
      </c>
      <c r="AD532" s="222" t="str">
        <f t="shared" ref="AD532:AD592" ca="1" si="320">SUBSTITUTE(INDEX(F:F, ROUNDUP((ROW(A531))/5,0)*5 - 3), "х", "x") &amp; " - " &amp; SUBSTITUTE(SUBSTITUTE(INDEX(F:F, ROUNDUP((ROW(A531))/5,0)*5 - 3), "х", "*"), "x", "*") &amp; " мм"</f>
        <v>500x335x185 - 500*335*185 мм</v>
      </c>
    </row>
    <row r="533" spans="1:30" x14ac:dyDescent="0.4">
      <c r="A533" s="230"/>
      <c r="B533" s="8">
        <v>108</v>
      </c>
      <c r="C533" s="14">
        <f t="shared" ca="1" si="313"/>
        <v>1.55</v>
      </c>
      <c r="D533" s="20">
        <f t="shared" ca="1" si="288"/>
        <v>1.8599999999999999</v>
      </c>
      <c r="E533" s="225"/>
      <c r="F533" s="231"/>
      <c r="G533" s="172" t="str">
        <f t="shared" ca="1" si="308"/>
        <v/>
      </c>
      <c r="H533" s="93" t="str">
        <f t="shared" ca="1" si="309"/>
        <v/>
      </c>
      <c r="I533" s="21">
        <v>100</v>
      </c>
      <c r="J533" s="68">
        <f t="shared" si="310"/>
        <v>2.625</v>
      </c>
      <c r="K533" s="70">
        <v>3.15</v>
      </c>
      <c r="L533" s="72">
        <f t="shared" ca="1" si="306"/>
        <v>0.86</v>
      </c>
      <c r="M533" s="73">
        <f t="shared" ca="1" si="307"/>
        <v>86</v>
      </c>
      <c r="N533" s="12" t="s">
        <v>41</v>
      </c>
      <c r="O533" s="47" t="s">
        <v>45</v>
      </c>
      <c r="P533" s="13">
        <f t="shared" si="296"/>
        <v>3.15</v>
      </c>
      <c r="Q533" s="1" t="str">
        <f t="shared" si="297"/>
        <v>100-290 шт - 3,15 руб / шт с НДС</v>
      </c>
      <c r="R533" s="235"/>
      <c r="S533" s="239"/>
      <c r="T533" s="226"/>
      <c r="U533" s="228"/>
      <c r="V533" s="222"/>
      <c r="W533" s="229"/>
      <c r="X533" s="227"/>
      <c r="Y533" s="229"/>
      <c r="Z533" s="236"/>
      <c r="AA533" s="237"/>
      <c r="AB533" s="238"/>
      <c r="AC533" s="223"/>
      <c r="AD533" s="222"/>
    </row>
    <row r="534" spans="1:30" x14ac:dyDescent="0.4">
      <c r="A534" s="230"/>
      <c r="B534" s="8">
        <v>108</v>
      </c>
      <c r="C534" s="14">
        <f t="shared" ca="1" si="313"/>
        <v>1.55</v>
      </c>
      <c r="D534" s="20">
        <f t="shared" ca="1" si="288"/>
        <v>1.8599999999999999</v>
      </c>
      <c r="E534" s="225"/>
      <c r="F534" s="231"/>
      <c r="G534" s="172" t="str">
        <f t="shared" ca="1" si="308"/>
        <v/>
      </c>
      <c r="H534" s="93" t="str">
        <f t="shared" ca="1" si="309"/>
        <v/>
      </c>
      <c r="I534" s="21">
        <v>300</v>
      </c>
      <c r="J534" s="68">
        <f t="shared" si="310"/>
        <v>2.2000000000000002</v>
      </c>
      <c r="K534" s="70">
        <v>2.64</v>
      </c>
      <c r="L534" s="72">
        <f t="shared" ca="1" si="306"/>
        <v>0.52000000000000013</v>
      </c>
      <c r="M534" s="73">
        <f t="shared" ca="1" si="307"/>
        <v>156.00000000000003</v>
      </c>
      <c r="N534" s="12" t="s">
        <v>42</v>
      </c>
      <c r="O534" s="47" t="s">
        <v>45</v>
      </c>
      <c r="P534" s="13">
        <f t="shared" si="296"/>
        <v>2.64</v>
      </c>
      <c r="Q534" s="1" t="str">
        <f t="shared" si="297"/>
        <v>300-490 шт - 2,64 руб / шт с НДС</v>
      </c>
      <c r="R534" s="235"/>
      <c r="S534" s="239"/>
      <c r="T534" s="226"/>
      <c r="U534" s="228"/>
      <c r="V534" s="222"/>
      <c r="W534" s="229"/>
      <c r="X534" s="227"/>
      <c r="Y534" s="229"/>
      <c r="Z534" s="236"/>
      <c r="AA534" s="237"/>
      <c r="AB534" s="238"/>
      <c r="AC534" s="223"/>
      <c r="AD534" s="222"/>
    </row>
    <row r="535" spans="1:30" x14ac:dyDescent="0.4">
      <c r="A535" s="230"/>
      <c r="B535" s="8">
        <v>108</v>
      </c>
      <c r="C535" s="14">
        <f t="shared" ca="1" si="313"/>
        <v>1.55</v>
      </c>
      <c r="D535" s="20">
        <f t="shared" ca="1" si="288"/>
        <v>1.8599999999999999</v>
      </c>
      <c r="E535" s="225"/>
      <c r="F535" s="231"/>
      <c r="G535" s="172" t="str">
        <f t="shared" ca="1" si="308"/>
        <v/>
      </c>
      <c r="H535" s="93" t="str">
        <f t="shared" ca="1" si="309"/>
        <v/>
      </c>
      <c r="I535" s="21">
        <v>500</v>
      </c>
      <c r="J535" s="68">
        <f t="shared" si="310"/>
        <v>2.0833333333333335</v>
      </c>
      <c r="K535" s="70">
        <v>2.5</v>
      </c>
      <c r="L535" s="72">
        <f t="shared" ca="1" si="306"/>
        <v>0.42666666666666675</v>
      </c>
      <c r="M535" s="73">
        <f t="shared" ca="1" si="307"/>
        <v>213.33333333333337</v>
      </c>
      <c r="N535" s="12" t="s">
        <v>43</v>
      </c>
      <c r="O535" s="47" t="s">
        <v>45</v>
      </c>
      <c r="P535" s="13">
        <f t="shared" si="296"/>
        <v>2.5</v>
      </c>
      <c r="Q535" s="1" t="str">
        <f t="shared" si="297"/>
        <v>500-990 шт - 2,5 руб / шт с НДС</v>
      </c>
      <c r="R535" s="235"/>
      <c r="S535" s="239"/>
      <c r="T535" s="226"/>
      <c r="U535" s="228"/>
      <c r="V535" s="222"/>
      <c r="W535" s="229"/>
      <c r="X535" s="227"/>
      <c r="Y535" s="229"/>
      <c r="Z535" s="236"/>
      <c r="AA535" s="237"/>
      <c r="AB535" s="238"/>
      <c r="AC535" s="223"/>
      <c r="AD535" s="222"/>
    </row>
    <row r="536" spans="1:30" x14ac:dyDescent="0.4">
      <c r="A536" s="230"/>
      <c r="B536" s="8">
        <v>108</v>
      </c>
      <c r="C536" s="14">
        <f t="shared" ca="1" si="313"/>
        <v>1.55</v>
      </c>
      <c r="D536" s="20">
        <f t="shared" ca="1" si="288"/>
        <v>1.8599999999999999</v>
      </c>
      <c r="E536" s="225"/>
      <c r="F536" s="231"/>
      <c r="G536" s="172" t="str">
        <f t="shared" ca="1" si="308"/>
        <v/>
      </c>
      <c r="H536" s="93" t="str">
        <f t="shared" ca="1" si="309"/>
        <v/>
      </c>
      <c r="I536" s="21">
        <v>1000</v>
      </c>
      <c r="J536" s="68">
        <f t="shared" si="310"/>
        <v>2.0250000000000004</v>
      </c>
      <c r="K536" s="70">
        <v>2.4300000000000002</v>
      </c>
      <c r="L536" s="72">
        <f t="shared" ca="1" si="306"/>
        <v>0.38000000000000023</v>
      </c>
      <c r="M536" s="73">
        <f t="shared" ca="1" si="307"/>
        <v>380.00000000000023</v>
      </c>
      <c r="N536" s="12" t="s">
        <v>44</v>
      </c>
      <c r="O536" s="47" t="s">
        <v>45</v>
      </c>
      <c r="P536" s="13">
        <f t="shared" si="296"/>
        <v>2.4300000000000002</v>
      </c>
      <c r="Q536" s="1" t="str">
        <f t="shared" si="297"/>
        <v>1000 + шт - 2,43 руб / шт с НДС</v>
      </c>
      <c r="R536" s="235"/>
      <c r="S536" s="239"/>
      <c r="T536" s="226"/>
      <c r="U536" s="228"/>
      <c r="V536" s="222"/>
      <c r="W536" s="229"/>
      <c r="X536" s="227"/>
      <c r="Y536" s="229"/>
      <c r="Z536" s="236"/>
      <c r="AA536" s="237"/>
      <c r="AB536" s="238"/>
      <c r="AC536" s="223"/>
      <c r="AD536" s="222"/>
    </row>
    <row r="537" spans="1:30" x14ac:dyDescent="0.4">
      <c r="A537" s="230">
        <v>109</v>
      </c>
      <c r="B537" s="8">
        <v>109</v>
      </c>
      <c r="C537" s="14">
        <f t="shared" ca="1" si="313"/>
        <v>5.72</v>
      </c>
      <c r="D537" s="20">
        <f t="shared" ca="1" si="288"/>
        <v>6.8639999999999999</v>
      </c>
      <c r="E537" s="224" t="str">
        <f ca="1">INDIRECT("'Закуп'!D" &amp; A537)</f>
        <v>У</v>
      </c>
      <c r="F537" s="231" t="str">
        <f t="shared" ref="F537" ca="1" si="321">INDIRECT("'Закуп'!E" &amp; B537)</f>
        <v>985х585х450</v>
      </c>
      <c r="G537" s="172" t="str">
        <f t="shared" ca="1" si="308"/>
        <v/>
      </c>
      <c r="H537" s="93" t="str">
        <f t="shared" ca="1" si="309"/>
        <v/>
      </c>
      <c r="I537" s="21">
        <v>50</v>
      </c>
      <c r="J537" s="68">
        <f t="shared" si="310"/>
        <v>8.2249999999999996</v>
      </c>
      <c r="K537" s="70">
        <v>9.8699999999999992</v>
      </c>
      <c r="L537" s="72">
        <f t="shared" ca="1" si="306"/>
        <v>2.004</v>
      </c>
      <c r="M537" s="73">
        <f t="shared" ca="1" si="307"/>
        <v>100.2</v>
      </c>
      <c r="N537" s="12" t="s">
        <v>40</v>
      </c>
      <c r="O537" s="47" t="s">
        <v>45</v>
      </c>
      <c r="P537" s="13">
        <f t="shared" si="296"/>
        <v>9.8699999999999992</v>
      </c>
      <c r="Q537" s="1" t="str">
        <f t="shared" si="297"/>
        <v>50-90 шт - 9,87 руб / шт с НДС</v>
      </c>
      <c r="R537" s="235" t="str">
        <f ca="1">INDIRECT("'Закуп'!k" &amp; A537)</f>
        <v>K110</v>
      </c>
      <c r="S537" s="239">
        <f ca="1">INDIRECT("'Закуп'!o" &amp; A537)</f>
        <v>259.3</v>
      </c>
      <c r="T537" s="226" t="str">
        <f ca="1">INDIRECT("'Закуп'!p" &amp; A537)</f>
        <v>200+ литров</v>
      </c>
      <c r="U537" s="228" t="str">
        <f ca="1">INDIRECT("'Закуп'!v" &amp; A537)</f>
        <v/>
      </c>
      <c r="V537" s="222" t="str">
        <f ca="1">INDIRECT("'Закуп'!w" &amp; A537)</f>
        <v/>
      </c>
      <c r="W537" s="229" t="str">
        <f ca="1">INDIRECT("'Закуп'!H" &amp; A537)</f>
        <v>0201</v>
      </c>
      <c r="X537" s="227" t="str">
        <f t="shared" ref="X537" ca="1" si="322">INDIRECT("'Закуп'!g" &amp; A537)</f>
        <v>Ч</v>
      </c>
      <c r="Y537" s="229" t="str">
        <f ca="1">INDIRECT("'Закуп'!i" &amp; A537)</f>
        <v>В</v>
      </c>
      <c r="Z537" s="236" t="str">
        <f ca="1">INDIRECT("'Закуп'!x" &amp; A537)</f>
        <v>700-999 мм</v>
      </c>
      <c r="AA537" s="237" t="str">
        <f ca="1">INDIRECT("'Закуп'!y" &amp; A537)</f>
        <v>500-599 мм</v>
      </c>
      <c r="AB537" s="238" t="str">
        <f ca="1">INDIRECT("'Закуп'!z" &amp; A537)</f>
        <v>400-499 мм</v>
      </c>
      <c r="AC537" s="223" t="str">
        <f t="shared" ca="1" si="295"/>
        <v>985x585x450</v>
      </c>
      <c r="AD537" s="222" t="str">
        <f t="shared" ca="1" si="320"/>
        <v>985x585x450 - 985*585*450 мм</v>
      </c>
    </row>
    <row r="538" spans="1:30" x14ac:dyDescent="0.4">
      <c r="A538" s="230"/>
      <c r="B538" s="8">
        <v>109</v>
      </c>
      <c r="C538" s="14">
        <f t="shared" ca="1" si="313"/>
        <v>5.72</v>
      </c>
      <c r="D538" s="20">
        <f t="shared" ca="1" si="288"/>
        <v>6.8639999999999999</v>
      </c>
      <c r="E538" s="225"/>
      <c r="F538" s="231"/>
      <c r="G538" s="172" t="str">
        <f t="shared" ca="1" si="308"/>
        <v/>
      </c>
      <c r="H538" s="93" t="str">
        <f t="shared" ca="1" si="309"/>
        <v/>
      </c>
      <c r="I538" s="21">
        <v>100</v>
      </c>
      <c r="J538" s="68">
        <f t="shared" si="310"/>
        <v>7.9333333333333336</v>
      </c>
      <c r="K538" s="70">
        <v>9.52</v>
      </c>
      <c r="L538" s="72">
        <f t="shared" ca="1" si="306"/>
        <v>1.7706666666666671</v>
      </c>
      <c r="M538" s="73">
        <f t="shared" ca="1" si="307"/>
        <v>177.06666666666672</v>
      </c>
      <c r="N538" s="12" t="s">
        <v>41</v>
      </c>
      <c r="O538" s="47" t="s">
        <v>45</v>
      </c>
      <c r="P538" s="13">
        <f t="shared" si="296"/>
        <v>9.52</v>
      </c>
      <c r="Q538" s="1" t="str">
        <f t="shared" si="297"/>
        <v>100-290 шт - 9,52 руб / шт с НДС</v>
      </c>
      <c r="R538" s="235"/>
      <c r="S538" s="239"/>
      <c r="T538" s="226"/>
      <c r="U538" s="228"/>
      <c r="V538" s="222"/>
      <c r="W538" s="229"/>
      <c r="X538" s="227"/>
      <c r="Y538" s="229"/>
      <c r="Z538" s="236"/>
      <c r="AA538" s="237"/>
      <c r="AB538" s="238"/>
      <c r="AC538" s="223"/>
      <c r="AD538" s="222"/>
    </row>
    <row r="539" spans="1:30" x14ac:dyDescent="0.4">
      <c r="A539" s="230"/>
      <c r="B539" s="8">
        <v>109</v>
      </c>
      <c r="C539" s="14">
        <f t="shared" ca="1" si="313"/>
        <v>5.72</v>
      </c>
      <c r="D539" s="20">
        <f t="shared" ca="1" si="288"/>
        <v>6.8639999999999999</v>
      </c>
      <c r="E539" s="225"/>
      <c r="F539" s="231"/>
      <c r="G539" s="172" t="str">
        <f t="shared" ca="1" si="308"/>
        <v/>
      </c>
      <c r="H539" s="93" t="str">
        <f t="shared" ca="1" si="309"/>
        <v/>
      </c>
      <c r="I539" s="21">
        <v>300</v>
      </c>
      <c r="J539" s="68">
        <f t="shared" si="310"/>
        <v>7.65</v>
      </c>
      <c r="K539" s="70">
        <v>9.18</v>
      </c>
      <c r="L539" s="72">
        <f t="shared" ca="1" si="306"/>
        <v>1.5440000000000005</v>
      </c>
      <c r="M539" s="73">
        <f t="shared" ca="1" si="307"/>
        <v>463.20000000000016</v>
      </c>
      <c r="N539" s="12" t="s">
        <v>42</v>
      </c>
      <c r="O539" s="47" t="s">
        <v>45</v>
      </c>
      <c r="P539" s="13">
        <f t="shared" si="296"/>
        <v>9.18</v>
      </c>
      <c r="Q539" s="1" t="str">
        <f t="shared" si="297"/>
        <v>300-490 шт - 9,18 руб / шт с НДС</v>
      </c>
      <c r="R539" s="235"/>
      <c r="S539" s="239"/>
      <c r="T539" s="226"/>
      <c r="U539" s="228"/>
      <c r="V539" s="222"/>
      <c r="W539" s="229"/>
      <c r="X539" s="227"/>
      <c r="Y539" s="229"/>
      <c r="Z539" s="236"/>
      <c r="AA539" s="237"/>
      <c r="AB539" s="238"/>
      <c r="AC539" s="223"/>
      <c r="AD539" s="222"/>
    </row>
    <row r="540" spans="1:30" x14ac:dyDescent="0.4">
      <c r="A540" s="230"/>
      <c r="B540" s="8">
        <v>109</v>
      </c>
      <c r="C540" s="14">
        <f t="shared" ca="1" si="313"/>
        <v>5.72</v>
      </c>
      <c r="D540" s="20">
        <f t="shared" ca="1" si="288"/>
        <v>6.8639999999999999</v>
      </c>
      <c r="E540" s="225"/>
      <c r="F540" s="231"/>
      <c r="G540" s="172" t="str">
        <f t="shared" ca="1" si="308"/>
        <v/>
      </c>
      <c r="H540" s="93" t="str">
        <f t="shared" ca="1" si="309"/>
        <v/>
      </c>
      <c r="I540" s="21">
        <v>500</v>
      </c>
      <c r="J540" s="68">
        <f t="shared" si="310"/>
        <v>7.3666666666666671</v>
      </c>
      <c r="K540" s="70">
        <v>8.84</v>
      </c>
      <c r="L540" s="72">
        <f t="shared" ca="1" si="306"/>
        <v>1.3173333333333339</v>
      </c>
      <c r="M540" s="73">
        <f t="shared" ca="1" si="307"/>
        <v>658.66666666666697</v>
      </c>
      <c r="N540" s="12" t="s">
        <v>43</v>
      </c>
      <c r="O540" s="47" t="s">
        <v>45</v>
      </c>
      <c r="P540" s="13">
        <f t="shared" si="296"/>
        <v>8.84</v>
      </c>
      <c r="Q540" s="1" t="str">
        <f t="shared" si="297"/>
        <v>500-990 шт - 8,84 руб / шт с НДС</v>
      </c>
      <c r="R540" s="235"/>
      <c r="S540" s="239"/>
      <c r="T540" s="226"/>
      <c r="U540" s="228"/>
      <c r="V540" s="222"/>
      <c r="W540" s="229"/>
      <c r="X540" s="227"/>
      <c r="Y540" s="229"/>
      <c r="Z540" s="236"/>
      <c r="AA540" s="237"/>
      <c r="AB540" s="238"/>
      <c r="AC540" s="223"/>
      <c r="AD540" s="222"/>
    </row>
    <row r="541" spans="1:30" x14ac:dyDescent="0.4">
      <c r="A541" s="230"/>
      <c r="B541" s="8">
        <v>109</v>
      </c>
      <c r="C541" s="14">
        <f t="shared" ca="1" si="313"/>
        <v>5.72</v>
      </c>
      <c r="D541" s="20">
        <f t="shared" ca="1" si="288"/>
        <v>6.8639999999999999</v>
      </c>
      <c r="E541" s="225"/>
      <c r="F541" s="231"/>
      <c r="G541" s="172" t="str">
        <f t="shared" ca="1" si="308"/>
        <v/>
      </c>
      <c r="H541" s="93" t="str">
        <f t="shared" ca="1" si="309"/>
        <v/>
      </c>
      <c r="I541" s="21">
        <v>1000</v>
      </c>
      <c r="J541" s="68">
        <f t="shared" si="310"/>
        <v>7.0916666666666668</v>
      </c>
      <c r="K541" s="70">
        <v>8.51</v>
      </c>
      <c r="L541" s="72">
        <f t="shared" ca="1" si="306"/>
        <v>1.0973333333333337</v>
      </c>
      <c r="M541" s="73">
        <f t="shared" ca="1" si="307"/>
        <v>1097.3333333333337</v>
      </c>
      <c r="N541" s="12" t="s">
        <v>44</v>
      </c>
      <c r="O541" s="47" t="s">
        <v>45</v>
      </c>
      <c r="P541" s="13">
        <f t="shared" si="296"/>
        <v>8.51</v>
      </c>
      <c r="Q541" s="1" t="str">
        <f t="shared" si="297"/>
        <v>1000 + шт - 8,51 руб / шт с НДС</v>
      </c>
      <c r="R541" s="235"/>
      <c r="S541" s="239"/>
      <c r="T541" s="226"/>
      <c r="U541" s="228"/>
      <c r="V541" s="222"/>
      <c r="W541" s="229"/>
      <c r="X541" s="227"/>
      <c r="Y541" s="229"/>
      <c r="Z541" s="236"/>
      <c r="AA541" s="237"/>
      <c r="AB541" s="238"/>
      <c r="AC541" s="223"/>
      <c r="AD541" s="222"/>
    </row>
    <row r="542" spans="1:30" x14ac:dyDescent="0.4">
      <c r="A542" s="230">
        <v>110</v>
      </c>
      <c r="B542" s="8">
        <v>110</v>
      </c>
      <c r="C542" s="14">
        <f t="shared" ca="1" si="313"/>
        <v>1.43</v>
      </c>
      <c r="D542" s="20">
        <f t="shared" ca="1" si="288"/>
        <v>1.716</v>
      </c>
      <c r="E542" s="224" t="str">
        <f ca="1">INDIRECT("'Закуп'!D" &amp; A542)</f>
        <v>У</v>
      </c>
      <c r="F542" s="231" t="str">
        <f t="shared" ref="F542" ca="1" si="323">INDIRECT("'Закуп'!E" &amp; B542)</f>
        <v>400х400х100</v>
      </c>
      <c r="G542" s="172" t="str">
        <f t="shared" ca="1" si="308"/>
        <v/>
      </c>
      <c r="H542" s="93" t="str">
        <f t="shared" ca="1" si="309"/>
        <v/>
      </c>
      <c r="I542" s="21">
        <v>50</v>
      </c>
      <c r="J542" s="68">
        <f t="shared" si="310"/>
        <v>3.0583333333333336</v>
      </c>
      <c r="K542" s="70">
        <v>3.67</v>
      </c>
      <c r="L542" s="72">
        <f t="shared" ca="1" si="306"/>
        <v>1.3026666666666669</v>
      </c>
      <c r="M542" s="73">
        <f t="shared" ca="1" si="307"/>
        <v>65.13333333333334</v>
      </c>
      <c r="N542" s="12" t="s">
        <v>40</v>
      </c>
      <c r="O542" s="47" t="s">
        <v>45</v>
      </c>
      <c r="P542" s="13">
        <f t="shared" si="296"/>
        <v>3.67</v>
      </c>
      <c r="Q542" s="1" t="str">
        <f t="shared" si="297"/>
        <v>50-90 шт - 3,67 руб / шт с НДС</v>
      </c>
      <c r="R542" s="235" t="str">
        <f ca="1">INDIRECT("'Закуп'!k" &amp; A542)</f>
        <v>K111</v>
      </c>
      <c r="S542" s="239">
        <f ca="1">INDIRECT("'Закуп'!o" &amp; A542)</f>
        <v>16</v>
      </c>
      <c r="T542" s="226" t="str">
        <f ca="1">INDIRECT("'Закуп'!p" &amp; A542)</f>
        <v>15-19,9 литров</v>
      </c>
      <c r="U542" s="228" t="str">
        <f ca="1">INDIRECT("'Закуп'!v" &amp; A542)</f>
        <v/>
      </c>
      <c r="V542" s="222" t="str">
        <f ca="1">INDIRECT("'Закуп'!w" &amp; A542)</f>
        <v>Плоские</v>
      </c>
      <c r="W542" s="229" t="str">
        <f ca="1">INDIRECT("'Закуп'!H" &amp; A542)</f>
        <v>0201</v>
      </c>
      <c r="X542" s="227" t="str">
        <f t="shared" ref="X542" ca="1" si="324">INDIRECT("'Закуп'!g" &amp; A542)</f>
        <v>Ч</v>
      </c>
      <c r="Y542" s="229" t="str">
        <f ca="1">INDIRECT("'Закуп'!i" &amp; A542)</f>
        <v>В</v>
      </c>
      <c r="Z542" s="236" t="str">
        <f ca="1">INDIRECT("'Закуп'!x" &amp; A542)</f>
        <v>400-499 мм</v>
      </c>
      <c r="AA542" s="237" t="str">
        <f ca="1">INDIRECT("'Закуп'!y" &amp; A542)</f>
        <v>400-499 мм</v>
      </c>
      <c r="AB542" s="238" t="str">
        <f ca="1">INDIRECT("'Закуп'!z" &amp; A542)</f>
        <v>100-199 мм</v>
      </c>
      <c r="AC542" s="223" t="str">
        <f t="shared" ca="1" si="295"/>
        <v>400x400x100</v>
      </c>
      <c r="AD542" s="222" t="str">
        <f t="shared" ca="1" si="320"/>
        <v>400x400x100 - 400*400*100 мм</v>
      </c>
    </row>
    <row r="543" spans="1:30" x14ac:dyDescent="0.4">
      <c r="A543" s="230"/>
      <c r="B543" s="8">
        <v>110</v>
      </c>
      <c r="C543" s="14">
        <f t="shared" ca="1" si="313"/>
        <v>1.43</v>
      </c>
      <c r="D543" s="20">
        <f t="shared" ca="1" si="288"/>
        <v>1.716</v>
      </c>
      <c r="E543" s="225"/>
      <c r="F543" s="231"/>
      <c r="G543" s="172" t="str">
        <f t="shared" ca="1" si="308"/>
        <v/>
      </c>
      <c r="H543" s="93" t="str">
        <f t="shared" ca="1" si="309"/>
        <v/>
      </c>
      <c r="I543" s="21">
        <v>100</v>
      </c>
      <c r="J543" s="68">
        <f t="shared" si="310"/>
        <v>2.4500000000000002</v>
      </c>
      <c r="K543" s="70">
        <v>2.94</v>
      </c>
      <c r="L543" s="72">
        <f t="shared" ca="1" si="306"/>
        <v>0.81600000000000017</v>
      </c>
      <c r="M543" s="73">
        <f t="shared" ca="1" si="307"/>
        <v>81.600000000000023</v>
      </c>
      <c r="N543" s="12" t="s">
        <v>41</v>
      </c>
      <c r="O543" s="47" t="s">
        <v>45</v>
      </c>
      <c r="P543" s="13">
        <f t="shared" si="296"/>
        <v>2.94</v>
      </c>
      <c r="Q543" s="1" t="str">
        <f t="shared" si="297"/>
        <v>100-290 шт - 2,94 руб / шт с НДС</v>
      </c>
      <c r="R543" s="235"/>
      <c r="S543" s="239"/>
      <c r="T543" s="226"/>
      <c r="U543" s="228"/>
      <c r="V543" s="222"/>
      <c r="W543" s="229"/>
      <c r="X543" s="227"/>
      <c r="Y543" s="229"/>
      <c r="Z543" s="236"/>
      <c r="AA543" s="237"/>
      <c r="AB543" s="238"/>
      <c r="AC543" s="223"/>
      <c r="AD543" s="222"/>
    </row>
    <row r="544" spans="1:30" x14ac:dyDescent="0.4">
      <c r="A544" s="230"/>
      <c r="B544" s="8">
        <v>110</v>
      </c>
      <c r="C544" s="14">
        <f t="shared" ca="1" si="313"/>
        <v>1.43</v>
      </c>
      <c r="D544" s="20">
        <f t="shared" ca="1" si="288"/>
        <v>1.716</v>
      </c>
      <c r="E544" s="225"/>
      <c r="F544" s="231"/>
      <c r="G544" s="172" t="str">
        <f t="shared" ca="1" si="308"/>
        <v/>
      </c>
      <c r="H544" s="93" t="str">
        <f t="shared" ca="1" si="309"/>
        <v/>
      </c>
      <c r="I544" s="21">
        <v>300</v>
      </c>
      <c r="J544" s="68">
        <f t="shared" si="310"/>
        <v>2.0666666666666669</v>
      </c>
      <c r="K544" s="70">
        <v>2.48</v>
      </c>
      <c r="L544" s="72">
        <f t="shared" ca="1" si="306"/>
        <v>0.50933333333333353</v>
      </c>
      <c r="M544" s="73">
        <f t="shared" ca="1" si="307"/>
        <v>152.80000000000007</v>
      </c>
      <c r="N544" s="12" t="s">
        <v>42</v>
      </c>
      <c r="O544" s="47" t="s">
        <v>45</v>
      </c>
      <c r="P544" s="13">
        <f t="shared" si="296"/>
        <v>2.48</v>
      </c>
      <c r="Q544" s="1" t="str">
        <f t="shared" si="297"/>
        <v>300-490 шт - 2,48 руб / шт с НДС</v>
      </c>
      <c r="R544" s="235"/>
      <c r="S544" s="239"/>
      <c r="T544" s="226"/>
      <c r="U544" s="228"/>
      <c r="V544" s="222"/>
      <c r="W544" s="229"/>
      <c r="X544" s="227"/>
      <c r="Y544" s="229"/>
      <c r="Z544" s="236"/>
      <c r="AA544" s="237"/>
      <c r="AB544" s="238"/>
      <c r="AC544" s="223"/>
      <c r="AD544" s="222"/>
    </row>
    <row r="545" spans="1:30" x14ac:dyDescent="0.4">
      <c r="A545" s="230"/>
      <c r="B545" s="8">
        <v>110</v>
      </c>
      <c r="C545" s="14">
        <f t="shared" ca="1" si="313"/>
        <v>1.43</v>
      </c>
      <c r="D545" s="20">
        <f t="shared" ref="D545:D608" ca="1" si="325">C545*1.2</f>
        <v>1.716</v>
      </c>
      <c r="E545" s="225"/>
      <c r="F545" s="231"/>
      <c r="G545" s="172" t="str">
        <f t="shared" ca="1" si="308"/>
        <v/>
      </c>
      <c r="H545" s="93" t="str">
        <f t="shared" ca="1" si="309"/>
        <v/>
      </c>
      <c r="I545" s="21">
        <v>500</v>
      </c>
      <c r="J545" s="68">
        <f t="shared" si="310"/>
        <v>1.9583333333333335</v>
      </c>
      <c r="K545" s="70">
        <v>2.35</v>
      </c>
      <c r="L545" s="72">
        <f t="shared" ca="1" si="306"/>
        <v>0.42266666666666686</v>
      </c>
      <c r="M545" s="73">
        <f t="shared" ca="1" si="307"/>
        <v>211.33333333333343</v>
      </c>
      <c r="N545" s="12" t="s">
        <v>43</v>
      </c>
      <c r="O545" s="47" t="s">
        <v>45</v>
      </c>
      <c r="P545" s="13">
        <f t="shared" si="296"/>
        <v>2.35</v>
      </c>
      <c r="Q545" s="1" t="str">
        <f t="shared" si="297"/>
        <v>500-990 шт - 2,35 руб / шт с НДС</v>
      </c>
      <c r="R545" s="235"/>
      <c r="S545" s="239"/>
      <c r="T545" s="226"/>
      <c r="U545" s="228"/>
      <c r="V545" s="222"/>
      <c r="W545" s="229"/>
      <c r="X545" s="227"/>
      <c r="Y545" s="229"/>
      <c r="Z545" s="236"/>
      <c r="AA545" s="237"/>
      <c r="AB545" s="238"/>
      <c r="AC545" s="223"/>
      <c r="AD545" s="222"/>
    </row>
    <row r="546" spans="1:30" x14ac:dyDescent="0.4">
      <c r="A546" s="230"/>
      <c r="B546" s="8">
        <v>110</v>
      </c>
      <c r="C546" s="14">
        <f t="shared" ca="1" si="313"/>
        <v>1.43</v>
      </c>
      <c r="D546" s="20">
        <f t="shared" ca="1" si="325"/>
        <v>1.716</v>
      </c>
      <c r="E546" s="225"/>
      <c r="F546" s="231"/>
      <c r="G546" s="172" t="str">
        <f t="shared" ca="1" si="308"/>
        <v/>
      </c>
      <c r="H546" s="93" t="str">
        <f t="shared" ca="1" si="309"/>
        <v/>
      </c>
      <c r="I546" s="21">
        <v>1000</v>
      </c>
      <c r="J546" s="68">
        <f t="shared" si="310"/>
        <v>1.8666666666666669</v>
      </c>
      <c r="K546" s="70">
        <v>2.2400000000000002</v>
      </c>
      <c r="L546" s="72">
        <f t="shared" ca="1" si="306"/>
        <v>0.34933333333333361</v>
      </c>
      <c r="M546" s="73">
        <f t="shared" ca="1" si="307"/>
        <v>349.3333333333336</v>
      </c>
      <c r="N546" s="12" t="s">
        <v>44</v>
      </c>
      <c r="O546" s="47" t="s">
        <v>45</v>
      </c>
      <c r="P546" s="13">
        <f t="shared" si="296"/>
        <v>2.2400000000000002</v>
      </c>
      <c r="Q546" s="1" t="str">
        <f t="shared" si="297"/>
        <v>1000 + шт - 2,24 руб / шт с НДС</v>
      </c>
      <c r="R546" s="235"/>
      <c r="S546" s="239"/>
      <c r="T546" s="226"/>
      <c r="U546" s="228"/>
      <c r="V546" s="222"/>
      <c r="W546" s="229"/>
      <c r="X546" s="227"/>
      <c r="Y546" s="229"/>
      <c r="Z546" s="236"/>
      <c r="AA546" s="237"/>
      <c r="AB546" s="238"/>
      <c r="AC546" s="223"/>
      <c r="AD546" s="222"/>
    </row>
    <row r="547" spans="1:30" x14ac:dyDescent="0.4">
      <c r="A547" s="230">
        <v>111</v>
      </c>
      <c r="B547" s="8">
        <v>111</v>
      </c>
      <c r="C547" s="14">
        <f t="shared" ca="1" si="313"/>
        <v>0.27</v>
      </c>
      <c r="D547" s="20">
        <f t="shared" ca="1" si="325"/>
        <v>0.32400000000000001</v>
      </c>
      <c r="E547" s="224" t="str">
        <f ca="1">INDIRECT("'Закуп'!D" &amp; A547)</f>
        <v>У</v>
      </c>
      <c r="F547" s="231" t="str">
        <f t="shared" ref="F547" ca="1" si="326">INDIRECT("'Закуп'!E" &amp; B547)</f>
        <v>125х110х95</v>
      </c>
      <c r="G547" s="172" t="str">
        <f t="shared" ca="1" si="308"/>
        <v/>
      </c>
      <c r="H547" s="93" t="str">
        <f t="shared" ca="1" si="309"/>
        <v/>
      </c>
      <c r="I547" s="21">
        <v>50</v>
      </c>
      <c r="J547" s="68">
        <f t="shared" si="310"/>
        <v>0.89166666666666672</v>
      </c>
      <c r="K547" s="70">
        <v>1.07</v>
      </c>
      <c r="L547" s="72">
        <f t="shared" ca="1" si="306"/>
        <v>0.49733333333333335</v>
      </c>
      <c r="M547" s="73">
        <f t="shared" ca="1" si="307"/>
        <v>24.866666666666667</v>
      </c>
      <c r="N547" s="12" t="s">
        <v>40</v>
      </c>
      <c r="O547" s="47" t="s">
        <v>45</v>
      </c>
      <c r="P547" s="13">
        <f t="shared" si="296"/>
        <v>1.07</v>
      </c>
      <c r="Q547" s="1" t="str">
        <f t="shared" si="297"/>
        <v>50-90 шт - 1,07 руб / шт с НДС</v>
      </c>
      <c r="R547" s="235" t="str">
        <f ca="1">INDIRECT("'Закуп'!k" &amp; A547)</f>
        <v>K112</v>
      </c>
      <c r="S547" s="239">
        <f ca="1">INDIRECT("'Закуп'!o" &amp; A547)</f>
        <v>1.31</v>
      </c>
      <c r="T547" s="226" t="str">
        <f ca="1">INDIRECT("'Закуп'!p" &amp; A547)</f>
        <v>1-1,9 литра</v>
      </c>
      <c r="U547" s="228" t="str">
        <f ca="1">INDIRECT("'Закуп'!v" &amp; A547)</f>
        <v/>
      </c>
      <c r="V547" s="222" t="str">
        <f ca="1">INDIRECT("'Закуп'!w" &amp; A547)</f>
        <v/>
      </c>
      <c r="W547" s="229" t="str">
        <f ca="1">INDIRECT("'Закуп'!H" &amp; A547)</f>
        <v>х</v>
      </c>
      <c r="X547" s="227" t="str">
        <f t="shared" ref="X547" ca="1" si="327">INDIRECT("'Закуп'!g" &amp; A547)</f>
        <v>С</v>
      </c>
      <c r="Y547" s="229" t="str">
        <f ca="1">INDIRECT("'Закуп'!i" &amp; A547)</f>
        <v>В</v>
      </c>
      <c r="Z547" s="236" t="str">
        <f ca="1">INDIRECT("'Закуп'!x" &amp; A547)</f>
        <v>100-199 мм</v>
      </c>
      <c r="AA547" s="237" t="str">
        <f ca="1">INDIRECT("'Закуп'!y" &amp; A547)</f>
        <v>100-199 мм</v>
      </c>
      <c r="AB547" s="238" t="str">
        <f ca="1">INDIRECT("'Закуп'!z" &amp; A547)</f>
        <v>10-99 мм</v>
      </c>
      <c r="AC547" s="223" t="str">
        <f t="shared" ca="1" si="295"/>
        <v>125x110x95</v>
      </c>
      <c r="AD547" s="222" t="str">
        <f t="shared" ca="1" si="320"/>
        <v>125x110x95 - 125*110*95 мм</v>
      </c>
    </row>
    <row r="548" spans="1:30" x14ac:dyDescent="0.4">
      <c r="A548" s="230"/>
      <c r="B548" s="8">
        <v>111</v>
      </c>
      <c r="C548" s="14">
        <f t="shared" ca="1" si="313"/>
        <v>0.27</v>
      </c>
      <c r="D548" s="20">
        <f t="shared" ca="1" si="325"/>
        <v>0.32400000000000001</v>
      </c>
      <c r="E548" s="225"/>
      <c r="F548" s="231"/>
      <c r="G548" s="172" t="str">
        <f t="shared" ca="1" si="308"/>
        <v/>
      </c>
      <c r="H548" s="93" t="str">
        <f t="shared" ca="1" si="309"/>
        <v/>
      </c>
      <c r="I548" s="21">
        <v>100</v>
      </c>
      <c r="J548" s="68">
        <f t="shared" si="310"/>
        <v>0.72499999999999998</v>
      </c>
      <c r="K548" s="70">
        <v>0.87</v>
      </c>
      <c r="L548" s="72">
        <f t="shared" ca="1" si="306"/>
        <v>0.36399999999999999</v>
      </c>
      <c r="M548" s="73">
        <f t="shared" ca="1" si="307"/>
        <v>36.4</v>
      </c>
      <c r="N548" s="12" t="s">
        <v>41</v>
      </c>
      <c r="O548" s="47" t="s">
        <v>45</v>
      </c>
      <c r="P548" s="13">
        <f t="shared" si="296"/>
        <v>0.87</v>
      </c>
      <c r="Q548" s="1" t="str">
        <f t="shared" si="297"/>
        <v>100-290 шт - 0,87 руб / шт с НДС</v>
      </c>
      <c r="R548" s="235"/>
      <c r="S548" s="239"/>
      <c r="T548" s="226"/>
      <c r="U548" s="228"/>
      <c r="V548" s="222"/>
      <c r="W548" s="229"/>
      <c r="X548" s="227"/>
      <c r="Y548" s="229"/>
      <c r="Z548" s="236"/>
      <c r="AA548" s="237"/>
      <c r="AB548" s="238"/>
      <c r="AC548" s="223"/>
      <c r="AD548" s="222"/>
    </row>
    <row r="549" spans="1:30" x14ac:dyDescent="0.4">
      <c r="A549" s="230"/>
      <c r="B549" s="8">
        <v>111</v>
      </c>
      <c r="C549" s="14">
        <f t="shared" ca="1" si="313"/>
        <v>0.27</v>
      </c>
      <c r="D549" s="20">
        <f t="shared" ca="1" si="325"/>
        <v>0.32400000000000001</v>
      </c>
      <c r="E549" s="225"/>
      <c r="F549" s="231"/>
      <c r="G549" s="172" t="str">
        <f t="shared" ca="1" si="308"/>
        <v/>
      </c>
      <c r="H549" s="93" t="str">
        <f t="shared" ca="1" si="309"/>
        <v/>
      </c>
      <c r="I549" s="21">
        <v>300</v>
      </c>
      <c r="J549" s="68">
        <f t="shared" si="310"/>
        <v>0.56666666666666676</v>
      </c>
      <c r="K549" s="70">
        <v>0.68</v>
      </c>
      <c r="L549" s="72">
        <f t="shared" ca="1" si="306"/>
        <v>0.2373333333333334</v>
      </c>
      <c r="M549" s="73">
        <f t="shared" ca="1" si="307"/>
        <v>71.200000000000017</v>
      </c>
      <c r="N549" s="12" t="s">
        <v>42</v>
      </c>
      <c r="O549" s="47" t="s">
        <v>45</v>
      </c>
      <c r="P549" s="13">
        <f t="shared" si="296"/>
        <v>0.68</v>
      </c>
      <c r="Q549" s="1" t="str">
        <f t="shared" si="297"/>
        <v>300-490 шт - 0,68 руб / шт с НДС</v>
      </c>
      <c r="R549" s="235"/>
      <c r="S549" s="239"/>
      <c r="T549" s="226"/>
      <c r="U549" s="228"/>
      <c r="V549" s="222"/>
      <c r="W549" s="229"/>
      <c r="X549" s="227"/>
      <c r="Y549" s="229"/>
      <c r="Z549" s="236"/>
      <c r="AA549" s="237"/>
      <c r="AB549" s="238"/>
      <c r="AC549" s="223"/>
      <c r="AD549" s="222"/>
    </row>
    <row r="550" spans="1:30" x14ac:dyDescent="0.4">
      <c r="A550" s="230"/>
      <c r="B550" s="8">
        <v>111</v>
      </c>
      <c r="C550" s="14">
        <f t="shared" ca="1" si="313"/>
        <v>0.27</v>
      </c>
      <c r="D550" s="20">
        <f t="shared" ca="1" si="325"/>
        <v>0.32400000000000001</v>
      </c>
      <c r="E550" s="225"/>
      <c r="F550" s="231"/>
      <c r="G550" s="172" t="str">
        <f t="shared" ca="1" si="308"/>
        <v/>
      </c>
      <c r="H550" s="93" t="str">
        <f t="shared" ca="1" si="309"/>
        <v/>
      </c>
      <c r="I550" s="21">
        <v>500</v>
      </c>
      <c r="J550" s="68">
        <f t="shared" si="310"/>
        <v>0.52500000000000002</v>
      </c>
      <c r="K550" s="70">
        <v>0.63</v>
      </c>
      <c r="L550" s="72">
        <f t="shared" ca="1" si="306"/>
        <v>0.20400000000000001</v>
      </c>
      <c r="M550" s="73">
        <f t="shared" ca="1" si="307"/>
        <v>102.00000000000001</v>
      </c>
      <c r="N550" s="12" t="s">
        <v>43</v>
      </c>
      <c r="O550" s="47" t="s">
        <v>45</v>
      </c>
      <c r="P550" s="13">
        <f t="shared" si="296"/>
        <v>0.63</v>
      </c>
      <c r="Q550" s="1" t="str">
        <f t="shared" si="297"/>
        <v>500-990 шт - 0,63 руб / шт с НДС</v>
      </c>
      <c r="R550" s="235"/>
      <c r="S550" s="239"/>
      <c r="T550" s="226"/>
      <c r="U550" s="228"/>
      <c r="V550" s="222"/>
      <c r="W550" s="229"/>
      <c r="X550" s="227"/>
      <c r="Y550" s="229"/>
      <c r="Z550" s="236"/>
      <c r="AA550" s="237"/>
      <c r="AB550" s="238"/>
      <c r="AC550" s="223"/>
      <c r="AD550" s="222"/>
    </row>
    <row r="551" spans="1:30" x14ac:dyDescent="0.4">
      <c r="A551" s="230"/>
      <c r="B551" s="8">
        <v>111</v>
      </c>
      <c r="C551" s="14">
        <f t="shared" ca="1" si="313"/>
        <v>0.27</v>
      </c>
      <c r="D551" s="20">
        <f t="shared" ca="1" si="325"/>
        <v>0.32400000000000001</v>
      </c>
      <c r="E551" s="225"/>
      <c r="F551" s="231"/>
      <c r="G551" s="172" t="str">
        <f t="shared" ca="1" si="308"/>
        <v/>
      </c>
      <c r="H551" s="93" t="str">
        <f t="shared" ca="1" si="309"/>
        <v/>
      </c>
      <c r="I551" s="21">
        <v>1000</v>
      </c>
      <c r="J551" s="68">
        <f t="shared" si="310"/>
        <v>0.49166666666666664</v>
      </c>
      <c r="K551" s="70">
        <v>0.59</v>
      </c>
      <c r="L551" s="72">
        <f t="shared" ca="1" si="306"/>
        <v>0.17733333333333329</v>
      </c>
      <c r="M551" s="73">
        <f t="shared" ca="1" si="307"/>
        <v>177.33333333333329</v>
      </c>
      <c r="N551" s="12" t="s">
        <v>44</v>
      </c>
      <c r="O551" s="47" t="s">
        <v>45</v>
      </c>
      <c r="P551" s="13">
        <f t="shared" si="296"/>
        <v>0.59</v>
      </c>
      <c r="Q551" s="1" t="str">
        <f t="shared" si="297"/>
        <v>1000 + шт - 0,59 руб / шт с НДС</v>
      </c>
      <c r="R551" s="235"/>
      <c r="S551" s="239"/>
      <c r="T551" s="226"/>
      <c r="U551" s="228"/>
      <c r="V551" s="222"/>
      <c r="W551" s="229"/>
      <c r="X551" s="227"/>
      <c r="Y551" s="229"/>
      <c r="Z551" s="236"/>
      <c r="AA551" s="237"/>
      <c r="AB551" s="238"/>
      <c r="AC551" s="223"/>
      <c r="AD551" s="222"/>
    </row>
    <row r="552" spans="1:30" x14ac:dyDescent="0.4">
      <c r="A552" s="230">
        <v>112</v>
      </c>
      <c r="B552" s="8">
        <v>112</v>
      </c>
      <c r="C552" s="14">
        <f t="shared" ca="1" si="313"/>
        <v>1.08</v>
      </c>
      <c r="D552" s="20">
        <f t="shared" ca="1" si="325"/>
        <v>1.296</v>
      </c>
      <c r="E552" s="224" t="str">
        <f ca="1">INDIRECT("'Закуп'!D" &amp; A552)</f>
        <v>У</v>
      </c>
      <c r="F552" s="231" t="str">
        <f t="shared" ref="F552" ca="1" si="328">INDIRECT("'Закуп'!E" &amp; B552)</f>
        <v>375х250х230</v>
      </c>
      <c r="G552" s="172" t="str">
        <f t="shared" ca="1" si="308"/>
        <v/>
      </c>
      <c r="H552" s="93" t="str">
        <f t="shared" ca="1" si="309"/>
        <v/>
      </c>
      <c r="I552" s="21">
        <v>50</v>
      </c>
      <c r="J552" s="68">
        <f t="shared" si="310"/>
        <v>2.3083333333333336</v>
      </c>
      <c r="K552" s="70">
        <v>2.77</v>
      </c>
      <c r="L552" s="72">
        <f t="shared" ca="1" si="306"/>
        <v>0.9826666666666668</v>
      </c>
      <c r="M552" s="73">
        <f t="shared" ca="1" si="307"/>
        <v>49.13333333333334</v>
      </c>
      <c r="N552" s="12" t="s">
        <v>40</v>
      </c>
      <c r="O552" s="47" t="s">
        <v>45</v>
      </c>
      <c r="P552" s="13">
        <f t="shared" si="296"/>
        <v>2.77</v>
      </c>
      <c r="Q552" s="1" t="str">
        <f t="shared" si="297"/>
        <v>50-90 шт - 2,77 руб / шт с НДС</v>
      </c>
      <c r="R552" s="235" t="str">
        <f ca="1">INDIRECT("'Закуп'!k" &amp; A552)</f>
        <v>K113</v>
      </c>
      <c r="S552" s="239">
        <f ca="1">INDIRECT("'Закуп'!o" &amp; A552)</f>
        <v>21.56</v>
      </c>
      <c r="T552" s="226" t="str">
        <f ca="1">INDIRECT("'Закуп'!p" &amp; A552)</f>
        <v>20-29 литров</v>
      </c>
      <c r="U552" s="228" t="str">
        <f ca="1">INDIRECT("'Закуп'!v" &amp; A552)</f>
        <v/>
      </c>
      <c r="V552" s="222" t="str">
        <f ca="1">INDIRECT("'Закуп'!w" &amp; A552)</f>
        <v/>
      </c>
      <c r="W552" s="229" t="str">
        <f ca="1">INDIRECT("'Закуп'!H" &amp; A552)</f>
        <v>х</v>
      </c>
      <c r="X552" s="227" t="str">
        <f t="shared" ref="X552" ca="1" si="329">INDIRECT("'Закуп'!g" &amp; A552)</f>
        <v>Ч</v>
      </c>
      <c r="Y552" s="229" t="str">
        <f ca="1">INDIRECT("'Закуп'!i" &amp; A552)</f>
        <v>В</v>
      </c>
      <c r="Z552" s="236" t="str">
        <f ca="1">INDIRECT("'Закуп'!x" &amp; A552)</f>
        <v>300-399 мм</v>
      </c>
      <c r="AA552" s="237" t="str">
        <f ca="1">INDIRECT("'Закуп'!y" &amp; A552)</f>
        <v>200-299 мм</v>
      </c>
      <c r="AB552" s="238" t="str">
        <f ca="1">INDIRECT("'Закуп'!z" &amp; A552)</f>
        <v>200-299 мм</v>
      </c>
      <c r="AC552" s="223" t="str">
        <f t="shared" ca="1" si="295"/>
        <v>375x250x230</v>
      </c>
      <c r="AD552" s="222" t="str">
        <f t="shared" ca="1" si="320"/>
        <v>375x250x230 - 375*250*230 мм</v>
      </c>
    </row>
    <row r="553" spans="1:30" x14ac:dyDescent="0.4">
      <c r="A553" s="230"/>
      <c r="B553" s="8">
        <v>112</v>
      </c>
      <c r="C553" s="14">
        <f t="shared" ca="1" si="313"/>
        <v>1.08</v>
      </c>
      <c r="D553" s="20">
        <f t="shared" ca="1" si="325"/>
        <v>1.296</v>
      </c>
      <c r="E553" s="225"/>
      <c r="F553" s="231"/>
      <c r="G553" s="172" t="str">
        <f t="shared" ca="1" si="308"/>
        <v/>
      </c>
      <c r="H553" s="93" t="str">
        <f t="shared" ca="1" si="309"/>
        <v/>
      </c>
      <c r="I553" s="21">
        <v>100</v>
      </c>
      <c r="J553" s="68">
        <f t="shared" si="310"/>
        <v>1.8416666666666668</v>
      </c>
      <c r="K553" s="70">
        <v>2.21</v>
      </c>
      <c r="L553" s="72">
        <f t="shared" ca="1" si="306"/>
        <v>0.60933333333333339</v>
      </c>
      <c r="M553" s="73">
        <f t="shared" ca="1" si="307"/>
        <v>60.933333333333337</v>
      </c>
      <c r="N553" s="12" t="s">
        <v>41</v>
      </c>
      <c r="O553" s="47" t="s">
        <v>45</v>
      </c>
      <c r="P553" s="13">
        <f t="shared" si="296"/>
        <v>2.21</v>
      </c>
      <c r="Q553" s="1" t="str">
        <f t="shared" si="297"/>
        <v>100-290 шт - 2,21 руб / шт с НДС</v>
      </c>
      <c r="R553" s="235"/>
      <c r="S553" s="239"/>
      <c r="T553" s="226"/>
      <c r="U553" s="228"/>
      <c r="V553" s="222"/>
      <c r="W553" s="229"/>
      <c r="X553" s="227"/>
      <c r="Y553" s="229"/>
      <c r="Z553" s="236"/>
      <c r="AA553" s="237"/>
      <c r="AB553" s="238"/>
      <c r="AC553" s="223"/>
      <c r="AD553" s="222"/>
    </row>
    <row r="554" spans="1:30" x14ac:dyDescent="0.4">
      <c r="A554" s="230"/>
      <c r="B554" s="8">
        <v>112</v>
      </c>
      <c r="C554" s="14">
        <f t="shared" ca="1" si="313"/>
        <v>1.08</v>
      </c>
      <c r="D554" s="20">
        <f t="shared" ca="1" si="325"/>
        <v>1.296</v>
      </c>
      <c r="E554" s="225"/>
      <c r="F554" s="231"/>
      <c r="G554" s="172" t="str">
        <f t="shared" ca="1" si="308"/>
        <v/>
      </c>
      <c r="H554" s="93" t="str">
        <f t="shared" ca="1" si="309"/>
        <v/>
      </c>
      <c r="I554" s="21">
        <v>300</v>
      </c>
      <c r="J554" s="68">
        <f t="shared" si="310"/>
        <v>1.6833333333333333</v>
      </c>
      <c r="K554" s="70">
        <v>2.02</v>
      </c>
      <c r="L554" s="72">
        <f t="shared" ca="1" si="306"/>
        <v>0.48266666666666663</v>
      </c>
      <c r="M554" s="73">
        <f t="shared" ca="1" si="307"/>
        <v>144.79999999999998</v>
      </c>
      <c r="N554" s="12" t="s">
        <v>42</v>
      </c>
      <c r="O554" s="47" t="s">
        <v>45</v>
      </c>
      <c r="P554" s="13">
        <f t="shared" si="296"/>
        <v>2.02</v>
      </c>
      <c r="Q554" s="1" t="str">
        <f t="shared" si="297"/>
        <v>300-490 шт - 2,02 руб / шт с НДС</v>
      </c>
      <c r="R554" s="235"/>
      <c r="S554" s="239"/>
      <c r="T554" s="226"/>
      <c r="U554" s="228"/>
      <c r="V554" s="222"/>
      <c r="W554" s="229"/>
      <c r="X554" s="227"/>
      <c r="Y554" s="229"/>
      <c r="Z554" s="236"/>
      <c r="AA554" s="237"/>
      <c r="AB554" s="238"/>
      <c r="AC554" s="223"/>
      <c r="AD554" s="222"/>
    </row>
    <row r="555" spans="1:30" x14ac:dyDescent="0.4">
      <c r="A555" s="230"/>
      <c r="B555" s="8">
        <v>112</v>
      </c>
      <c r="C555" s="14">
        <f t="shared" ca="1" si="313"/>
        <v>1.08</v>
      </c>
      <c r="D555" s="20">
        <f t="shared" ca="1" si="325"/>
        <v>1.296</v>
      </c>
      <c r="E555" s="225"/>
      <c r="F555" s="231"/>
      <c r="G555" s="172" t="str">
        <f t="shared" ca="1" si="308"/>
        <v/>
      </c>
      <c r="H555" s="93" t="str">
        <f t="shared" ca="1" si="309"/>
        <v/>
      </c>
      <c r="I555" s="21">
        <v>500</v>
      </c>
      <c r="J555" s="68">
        <f t="shared" si="310"/>
        <v>1.5</v>
      </c>
      <c r="K555" s="70">
        <v>1.8</v>
      </c>
      <c r="L555" s="72">
        <f t="shared" ca="1" si="306"/>
        <v>0.33599999999999997</v>
      </c>
      <c r="M555" s="73">
        <f t="shared" ca="1" si="307"/>
        <v>167.99999999999997</v>
      </c>
      <c r="N555" s="12" t="s">
        <v>43</v>
      </c>
      <c r="O555" s="47" t="s">
        <v>45</v>
      </c>
      <c r="P555" s="13">
        <f t="shared" si="296"/>
        <v>1.8</v>
      </c>
      <c r="Q555" s="1" t="str">
        <f t="shared" si="297"/>
        <v>500-990 шт - 1,8 руб / шт с НДС</v>
      </c>
      <c r="R555" s="235"/>
      <c r="S555" s="239"/>
      <c r="T555" s="226"/>
      <c r="U555" s="228"/>
      <c r="V555" s="222"/>
      <c r="W555" s="229"/>
      <c r="X555" s="227"/>
      <c r="Y555" s="229"/>
      <c r="Z555" s="236"/>
      <c r="AA555" s="237"/>
      <c r="AB555" s="238"/>
      <c r="AC555" s="223"/>
      <c r="AD555" s="222"/>
    </row>
    <row r="556" spans="1:30" x14ac:dyDescent="0.4">
      <c r="A556" s="230"/>
      <c r="B556" s="8">
        <v>112</v>
      </c>
      <c r="C556" s="14">
        <f t="shared" ca="1" si="313"/>
        <v>1.08</v>
      </c>
      <c r="D556" s="20">
        <f t="shared" ca="1" si="325"/>
        <v>1.296</v>
      </c>
      <c r="E556" s="225"/>
      <c r="F556" s="231"/>
      <c r="G556" s="172" t="str">
        <f t="shared" ca="1" si="308"/>
        <v/>
      </c>
      <c r="H556" s="93" t="str">
        <f t="shared" ca="1" si="309"/>
        <v/>
      </c>
      <c r="I556" s="21">
        <v>1000</v>
      </c>
      <c r="J556" s="68">
        <f t="shared" si="310"/>
        <v>1.45</v>
      </c>
      <c r="K556" s="70">
        <v>1.74</v>
      </c>
      <c r="L556" s="72">
        <f t="shared" ca="1" si="306"/>
        <v>0.29599999999999993</v>
      </c>
      <c r="M556" s="73">
        <f t="shared" ca="1" si="307"/>
        <v>295.99999999999994</v>
      </c>
      <c r="N556" s="12" t="s">
        <v>44</v>
      </c>
      <c r="O556" s="47" t="s">
        <v>45</v>
      </c>
      <c r="P556" s="13">
        <f t="shared" si="296"/>
        <v>1.74</v>
      </c>
      <c r="Q556" s="1" t="str">
        <f t="shared" si="297"/>
        <v>1000 + шт - 1,74 руб / шт с НДС</v>
      </c>
      <c r="R556" s="235"/>
      <c r="S556" s="239"/>
      <c r="T556" s="226"/>
      <c r="U556" s="228"/>
      <c r="V556" s="222"/>
      <c r="W556" s="229"/>
      <c r="X556" s="227"/>
      <c r="Y556" s="229"/>
      <c r="Z556" s="236"/>
      <c r="AA556" s="237"/>
      <c r="AB556" s="238"/>
      <c r="AC556" s="223"/>
      <c r="AD556" s="222"/>
    </row>
    <row r="557" spans="1:30" x14ac:dyDescent="0.4">
      <c r="A557" s="230">
        <v>113</v>
      </c>
      <c r="B557" s="8">
        <v>113</v>
      </c>
      <c r="C557" s="14">
        <f t="shared" ca="1" si="313"/>
        <v>4.88</v>
      </c>
      <c r="D557" s="20">
        <f t="shared" ca="1" si="325"/>
        <v>5.8559999999999999</v>
      </c>
      <c r="E557" s="224" t="str">
        <f ca="1">INDIRECT("'Закуп'!D" &amp; A557)</f>
        <v>У</v>
      </c>
      <c r="F557" s="231" t="str">
        <f t="shared" ref="F557" ca="1" si="330">INDIRECT("'Закуп'!E" &amp; B557)</f>
        <v>720х650х360</v>
      </c>
      <c r="G557" s="172" t="str">
        <f t="shared" ca="1" si="308"/>
        <v/>
      </c>
      <c r="H557" s="93" t="str">
        <f t="shared" ca="1" si="309"/>
        <v/>
      </c>
      <c r="I557" s="21">
        <v>50</v>
      </c>
      <c r="J557" s="68">
        <f t="shared" si="310"/>
        <v>8.15</v>
      </c>
      <c r="K557" s="70">
        <v>9.7799999999999994</v>
      </c>
      <c r="L557" s="72">
        <f t="shared" ca="1" si="306"/>
        <v>2.6160000000000005</v>
      </c>
      <c r="M557" s="73">
        <f t="shared" ca="1" si="307"/>
        <v>130.80000000000004</v>
      </c>
      <c r="N557" s="12" t="s">
        <v>40</v>
      </c>
      <c r="O557" s="47" t="s">
        <v>45</v>
      </c>
      <c r="P557" s="13">
        <f t="shared" si="296"/>
        <v>9.7799999999999994</v>
      </c>
      <c r="Q557" s="1" t="str">
        <f t="shared" si="297"/>
        <v>50-90 шт - 9,78 руб / шт с НДС</v>
      </c>
      <c r="R557" s="235" t="str">
        <f ca="1">INDIRECT("'Закуп'!k" &amp; A557)</f>
        <v>K114</v>
      </c>
      <c r="S557" s="239">
        <f ca="1">INDIRECT("'Закуп'!o" &amp; A557)</f>
        <v>168.48</v>
      </c>
      <c r="T557" s="226" t="str">
        <f ca="1">INDIRECT("'Закуп'!p" &amp; A557)</f>
        <v>100-200 литров</v>
      </c>
      <c r="U557" s="228" t="str">
        <f ca="1">INDIRECT("'Закуп'!v" &amp; A557)</f>
        <v/>
      </c>
      <c r="V557" s="222" t="str">
        <f ca="1">INDIRECT("'Закуп'!w" &amp; A557)</f>
        <v/>
      </c>
      <c r="W557" s="229" t="str">
        <f ca="1">INDIRECT("'Закуп'!H" &amp; A557)</f>
        <v>х</v>
      </c>
      <c r="X557" s="227" t="str">
        <f t="shared" ref="X557" ca="1" si="331">INDIRECT("'Закуп'!g" &amp; A557)</f>
        <v>Ч</v>
      </c>
      <c r="Y557" s="229" t="str">
        <f ca="1">INDIRECT("'Закуп'!i" &amp; A557)</f>
        <v>В</v>
      </c>
      <c r="Z557" s="236" t="str">
        <f ca="1">INDIRECT("'Закуп'!x" &amp; A557)</f>
        <v>700-999 мм</v>
      </c>
      <c r="AA557" s="237" t="str">
        <f ca="1">INDIRECT("'Закуп'!y" &amp; A557)</f>
        <v>600-699 мм</v>
      </c>
      <c r="AB557" s="238" t="str">
        <f ca="1">INDIRECT("'Закуп'!z" &amp; A557)</f>
        <v>300-399 мм</v>
      </c>
      <c r="AC557" s="223" t="str">
        <f t="shared" ref="AC557:AC617" ca="1" si="332">SUBSTITUTE(INDEX(F:F, ROUNDUP((ROW(A556))/5,0)*5 - 3), "х", "x")</f>
        <v>720x650x360</v>
      </c>
      <c r="AD557" s="222" t="str">
        <f t="shared" ca="1" si="320"/>
        <v>720x650x360 - 720*650*360 мм</v>
      </c>
    </row>
    <row r="558" spans="1:30" x14ac:dyDescent="0.4">
      <c r="A558" s="230"/>
      <c r="B558" s="8">
        <v>113</v>
      </c>
      <c r="C558" s="14">
        <f t="shared" ca="1" si="313"/>
        <v>4.88</v>
      </c>
      <c r="D558" s="20">
        <f t="shared" ca="1" si="325"/>
        <v>5.8559999999999999</v>
      </c>
      <c r="E558" s="225"/>
      <c r="F558" s="231"/>
      <c r="G558" s="172" t="str">
        <f t="shared" ca="1" si="308"/>
        <v/>
      </c>
      <c r="H558" s="93" t="str">
        <f t="shared" ca="1" si="309"/>
        <v/>
      </c>
      <c r="I558" s="21">
        <v>100</v>
      </c>
      <c r="J558" s="68">
        <f t="shared" si="310"/>
        <v>6.95</v>
      </c>
      <c r="K558" s="70">
        <v>8.34</v>
      </c>
      <c r="L558" s="72">
        <f t="shared" ca="1" si="306"/>
        <v>1.6560000000000001</v>
      </c>
      <c r="M558" s="73">
        <f t="shared" ca="1" si="307"/>
        <v>165.60000000000002</v>
      </c>
      <c r="N558" s="12" t="s">
        <v>41</v>
      </c>
      <c r="O558" s="47" t="s">
        <v>45</v>
      </c>
      <c r="P558" s="13">
        <f t="shared" si="296"/>
        <v>8.34</v>
      </c>
      <c r="Q558" s="1" t="str">
        <f t="shared" si="297"/>
        <v>100-290 шт - 8,34 руб / шт с НДС</v>
      </c>
      <c r="R558" s="235"/>
      <c r="S558" s="239"/>
      <c r="T558" s="226"/>
      <c r="U558" s="228"/>
      <c r="V558" s="222"/>
      <c r="W558" s="229"/>
      <c r="X558" s="227"/>
      <c r="Y558" s="229"/>
      <c r="Z558" s="236"/>
      <c r="AA558" s="237"/>
      <c r="AB558" s="238"/>
      <c r="AC558" s="223"/>
      <c r="AD558" s="222"/>
    </row>
    <row r="559" spans="1:30" x14ac:dyDescent="0.4">
      <c r="A559" s="230"/>
      <c r="B559" s="8">
        <v>113</v>
      </c>
      <c r="C559" s="14">
        <f t="shared" ca="1" si="313"/>
        <v>4.88</v>
      </c>
      <c r="D559" s="20">
        <f t="shared" ca="1" si="325"/>
        <v>5.8559999999999999</v>
      </c>
      <c r="E559" s="225"/>
      <c r="F559" s="231"/>
      <c r="G559" s="172" t="str">
        <f t="shared" ca="1" si="308"/>
        <v/>
      </c>
      <c r="H559" s="93" t="str">
        <f t="shared" ca="1" si="309"/>
        <v/>
      </c>
      <c r="I559" s="21">
        <v>300</v>
      </c>
      <c r="J559" s="68">
        <f t="shared" si="310"/>
        <v>6.3666666666666663</v>
      </c>
      <c r="K559" s="70">
        <v>7.64</v>
      </c>
      <c r="L559" s="72">
        <f t="shared" ca="1" si="306"/>
        <v>1.1893333333333331</v>
      </c>
      <c r="M559" s="73">
        <f t="shared" ca="1" si="307"/>
        <v>356.79999999999995</v>
      </c>
      <c r="N559" s="12" t="s">
        <v>42</v>
      </c>
      <c r="O559" s="47" t="s">
        <v>45</v>
      </c>
      <c r="P559" s="13">
        <f t="shared" ref="P559:P622" si="333">ROUND(K559,2)</f>
        <v>7.64</v>
      </c>
      <c r="Q559" s="1" t="str">
        <f t="shared" si="297"/>
        <v>300-490 шт - 7,64 руб / шт с НДС</v>
      </c>
      <c r="R559" s="235"/>
      <c r="S559" s="239"/>
      <c r="T559" s="226"/>
      <c r="U559" s="228"/>
      <c r="V559" s="222"/>
      <c r="W559" s="229"/>
      <c r="X559" s="227"/>
      <c r="Y559" s="229"/>
      <c r="Z559" s="236"/>
      <c r="AA559" s="237"/>
      <c r="AB559" s="238"/>
      <c r="AC559" s="223"/>
      <c r="AD559" s="222"/>
    </row>
    <row r="560" spans="1:30" x14ac:dyDescent="0.4">
      <c r="A560" s="230"/>
      <c r="B560" s="8">
        <v>113</v>
      </c>
      <c r="C560" s="14">
        <f t="shared" ca="1" si="313"/>
        <v>4.88</v>
      </c>
      <c r="D560" s="20">
        <f t="shared" ca="1" si="325"/>
        <v>5.8559999999999999</v>
      </c>
      <c r="E560" s="225"/>
      <c r="F560" s="231"/>
      <c r="G560" s="172" t="str">
        <f t="shared" ca="1" si="308"/>
        <v/>
      </c>
      <c r="H560" s="93" t="str">
        <f t="shared" ca="1" si="309"/>
        <v/>
      </c>
      <c r="I560" s="21">
        <v>500</v>
      </c>
      <c r="J560" s="68">
        <f t="shared" si="310"/>
        <v>6.2666666666666666</v>
      </c>
      <c r="K560" s="70">
        <v>7.52</v>
      </c>
      <c r="L560" s="72">
        <f t="shared" ca="1" si="306"/>
        <v>1.1093333333333333</v>
      </c>
      <c r="M560" s="73">
        <f t="shared" ca="1" si="307"/>
        <v>554.66666666666663</v>
      </c>
      <c r="N560" s="12" t="s">
        <v>43</v>
      </c>
      <c r="O560" s="47" t="s">
        <v>45</v>
      </c>
      <c r="P560" s="13">
        <f t="shared" si="333"/>
        <v>7.52</v>
      </c>
      <c r="Q560" s="1" t="str">
        <f t="shared" ref="Q560:Q623" si="334">CONCATENATE(N560,P560,O560,)</f>
        <v>500-990 шт - 7,52 руб / шт с НДС</v>
      </c>
      <c r="R560" s="235"/>
      <c r="S560" s="239"/>
      <c r="T560" s="226"/>
      <c r="U560" s="228"/>
      <c r="V560" s="222"/>
      <c r="W560" s="229"/>
      <c r="X560" s="227"/>
      <c r="Y560" s="229"/>
      <c r="Z560" s="236"/>
      <c r="AA560" s="237"/>
      <c r="AB560" s="238"/>
      <c r="AC560" s="223"/>
      <c r="AD560" s="222"/>
    </row>
    <row r="561" spans="1:30" x14ac:dyDescent="0.4">
      <c r="A561" s="230"/>
      <c r="B561" s="8">
        <v>113</v>
      </c>
      <c r="C561" s="14">
        <f t="shared" ca="1" si="313"/>
        <v>4.88</v>
      </c>
      <c r="D561" s="20">
        <f t="shared" ca="1" si="325"/>
        <v>5.8559999999999999</v>
      </c>
      <c r="E561" s="225"/>
      <c r="F561" s="231"/>
      <c r="G561" s="172" t="str">
        <f t="shared" ca="1" si="308"/>
        <v/>
      </c>
      <c r="H561" s="93" t="str">
        <f t="shared" ca="1" si="309"/>
        <v/>
      </c>
      <c r="I561" s="21">
        <v>1000</v>
      </c>
      <c r="J561" s="68">
        <f t="shared" si="310"/>
        <v>6.2166666666666668</v>
      </c>
      <c r="K561" s="70">
        <v>7.46</v>
      </c>
      <c r="L561" s="72">
        <f t="shared" ca="1" si="306"/>
        <v>1.0693333333333335</v>
      </c>
      <c r="M561" s="73">
        <f t="shared" ca="1" si="307"/>
        <v>1069.3333333333335</v>
      </c>
      <c r="N561" s="12" t="s">
        <v>44</v>
      </c>
      <c r="O561" s="47" t="s">
        <v>45</v>
      </c>
      <c r="P561" s="13">
        <f t="shared" si="333"/>
        <v>7.46</v>
      </c>
      <c r="Q561" s="1" t="str">
        <f t="shared" si="334"/>
        <v>1000 + шт - 7,46 руб / шт с НДС</v>
      </c>
      <c r="R561" s="235"/>
      <c r="S561" s="239"/>
      <c r="T561" s="226"/>
      <c r="U561" s="228"/>
      <c r="V561" s="222"/>
      <c r="W561" s="229"/>
      <c r="X561" s="227"/>
      <c r="Y561" s="229"/>
      <c r="Z561" s="236"/>
      <c r="AA561" s="237"/>
      <c r="AB561" s="238"/>
      <c r="AC561" s="223"/>
      <c r="AD561" s="222"/>
    </row>
    <row r="562" spans="1:30" x14ac:dyDescent="0.4">
      <c r="A562" s="230">
        <v>114</v>
      </c>
      <c r="B562" s="8">
        <v>114</v>
      </c>
      <c r="C562" s="14">
        <f t="shared" ca="1" si="313"/>
        <v>9.17</v>
      </c>
      <c r="D562" s="20">
        <f t="shared" ca="1" si="325"/>
        <v>11.004</v>
      </c>
      <c r="E562" s="224" t="str">
        <f ca="1">INDIRECT("'Закуп'!D" &amp; A562)</f>
        <v>У</v>
      </c>
      <c r="F562" s="231" t="str">
        <f t="shared" ref="F562" ca="1" si="335">INDIRECT("'Закуп'!E" &amp; B562)</f>
        <v>1200х550х775</v>
      </c>
      <c r="G562" s="172" t="str">
        <f t="shared" ca="1" si="308"/>
        <v/>
      </c>
      <c r="H562" s="93" t="str">
        <f t="shared" ca="1" si="309"/>
        <v/>
      </c>
      <c r="I562" s="21">
        <v>50</v>
      </c>
      <c r="J562" s="68">
        <f t="shared" si="310"/>
        <v>13.641666666666667</v>
      </c>
      <c r="K562" s="70">
        <v>16.37</v>
      </c>
      <c r="L562" s="72">
        <f t="shared" ca="1" si="306"/>
        <v>3.5773333333333341</v>
      </c>
      <c r="M562" s="73">
        <f t="shared" ca="1" si="307"/>
        <v>178.8666666666667</v>
      </c>
      <c r="N562" s="12" t="s">
        <v>40</v>
      </c>
      <c r="O562" s="47" t="s">
        <v>45</v>
      </c>
      <c r="P562" s="13">
        <f t="shared" si="333"/>
        <v>16.37</v>
      </c>
      <c r="Q562" s="1" t="str">
        <f t="shared" si="334"/>
        <v>50-90 шт - 16,37 руб / шт с НДС</v>
      </c>
      <c r="R562" s="235" t="str">
        <f ca="1">INDIRECT("'Закуп'!k" &amp; A562)</f>
        <v>K115</v>
      </c>
      <c r="S562" s="239">
        <f ca="1">INDIRECT("'Закуп'!o" &amp; A562)</f>
        <v>511.5</v>
      </c>
      <c r="T562" s="226" t="str">
        <f ca="1">INDIRECT("'Закуп'!p" &amp; A562)</f>
        <v>200+ литров</v>
      </c>
      <c r="U562" s="228" t="str">
        <f ca="1">INDIRECT("'Закуп'!v" &amp; A562)</f>
        <v/>
      </c>
      <c r="V562" s="222" t="str">
        <f ca="1">INDIRECT("'Закуп'!w" &amp; A562)</f>
        <v/>
      </c>
      <c r="W562" s="229" t="str">
        <f ca="1">INDIRECT("'Закуп'!H" &amp; A562)</f>
        <v>х</v>
      </c>
      <c r="X562" s="227" t="str">
        <f t="shared" ref="X562" ca="1" si="336">INDIRECT("'Закуп'!g" &amp; A562)</f>
        <v>Ч</v>
      </c>
      <c r="Y562" s="229" t="str">
        <f ca="1">INDIRECT("'Закуп'!i" &amp; A562)</f>
        <v>В</v>
      </c>
      <c r="Z562" s="236" t="str">
        <f ca="1">INDIRECT("'Закуп'!x" &amp; A562)</f>
        <v>1000+ мм</v>
      </c>
      <c r="AA562" s="237" t="str">
        <f ca="1">INDIRECT("'Закуп'!y" &amp; A562)</f>
        <v>700-999 мм</v>
      </c>
      <c r="AB562" s="238" t="str">
        <f ca="1">INDIRECT("'Закуп'!z" &amp; A562)</f>
        <v>500-599 мм</v>
      </c>
      <c r="AC562" s="223" t="str">
        <f t="shared" ca="1" si="332"/>
        <v>1200x550x775</v>
      </c>
      <c r="AD562" s="222" t="str">
        <f t="shared" ca="1" si="320"/>
        <v>1200x550x775 - 1200*550*775 мм</v>
      </c>
    </row>
    <row r="563" spans="1:30" x14ac:dyDescent="0.4">
      <c r="A563" s="230"/>
      <c r="B563" s="8">
        <v>114</v>
      </c>
      <c r="C563" s="14">
        <f t="shared" ca="1" si="313"/>
        <v>9.17</v>
      </c>
      <c r="D563" s="20">
        <f t="shared" ca="1" si="325"/>
        <v>11.004</v>
      </c>
      <c r="E563" s="225"/>
      <c r="F563" s="231"/>
      <c r="G563" s="172" t="str">
        <f t="shared" ca="1" si="308"/>
        <v/>
      </c>
      <c r="H563" s="93" t="str">
        <f t="shared" ca="1" si="309"/>
        <v/>
      </c>
      <c r="I563" s="21">
        <v>100</v>
      </c>
      <c r="J563" s="68">
        <f t="shared" si="310"/>
        <v>12.733333333333333</v>
      </c>
      <c r="K563" s="70">
        <v>15.28</v>
      </c>
      <c r="L563" s="72">
        <f t="shared" ca="1" si="306"/>
        <v>2.8506666666666662</v>
      </c>
      <c r="M563" s="73">
        <f t="shared" ca="1" si="307"/>
        <v>285.06666666666661</v>
      </c>
      <c r="N563" s="12" t="s">
        <v>41</v>
      </c>
      <c r="O563" s="47" t="s">
        <v>45</v>
      </c>
      <c r="P563" s="13">
        <f t="shared" si="333"/>
        <v>15.28</v>
      </c>
      <c r="Q563" s="1" t="str">
        <f t="shared" si="334"/>
        <v>100-290 шт - 15,28 руб / шт с НДС</v>
      </c>
      <c r="R563" s="235"/>
      <c r="S563" s="239"/>
      <c r="T563" s="226"/>
      <c r="U563" s="228"/>
      <c r="V563" s="222"/>
      <c r="W563" s="229"/>
      <c r="X563" s="227"/>
      <c r="Y563" s="229"/>
      <c r="Z563" s="236"/>
      <c r="AA563" s="237"/>
      <c r="AB563" s="238"/>
      <c r="AC563" s="223"/>
      <c r="AD563" s="222"/>
    </row>
    <row r="564" spans="1:30" x14ac:dyDescent="0.4">
      <c r="A564" s="230"/>
      <c r="B564" s="8">
        <v>114</v>
      </c>
      <c r="C564" s="14">
        <f t="shared" ca="1" si="313"/>
        <v>9.17</v>
      </c>
      <c r="D564" s="20">
        <f t="shared" ca="1" si="325"/>
        <v>11.004</v>
      </c>
      <c r="E564" s="225"/>
      <c r="F564" s="231"/>
      <c r="G564" s="172" t="str">
        <f t="shared" ca="1" si="308"/>
        <v/>
      </c>
      <c r="H564" s="93" t="str">
        <f t="shared" ca="1" si="309"/>
        <v/>
      </c>
      <c r="I564" s="21">
        <v>300</v>
      </c>
      <c r="J564" s="68">
        <f t="shared" si="310"/>
        <v>12.266666666666667</v>
      </c>
      <c r="K564" s="70">
        <v>14.72</v>
      </c>
      <c r="L564" s="72">
        <f t="shared" ca="1" si="306"/>
        <v>2.4773333333333341</v>
      </c>
      <c r="M564" s="73">
        <f t="shared" ca="1" si="307"/>
        <v>743.20000000000027</v>
      </c>
      <c r="N564" s="12" t="s">
        <v>42</v>
      </c>
      <c r="O564" s="47" t="s">
        <v>45</v>
      </c>
      <c r="P564" s="13">
        <f t="shared" si="333"/>
        <v>14.72</v>
      </c>
      <c r="Q564" s="1" t="str">
        <f t="shared" si="334"/>
        <v>300-490 шт - 14,72 руб / шт с НДС</v>
      </c>
      <c r="R564" s="235"/>
      <c r="S564" s="239"/>
      <c r="T564" s="226"/>
      <c r="U564" s="228"/>
      <c r="V564" s="222"/>
      <c r="W564" s="229"/>
      <c r="X564" s="227"/>
      <c r="Y564" s="229"/>
      <c r="Z564" s="236"/>
      <c r="AA564" s="237"/>
      <c r="AB564" s="238"/>
      <c r="AC564" s="223"/>
      <c r="AD564" s="222"/>
    </row>
    <row r="565" spans="1:30" x14ac:dyDescent="0.4">
      <c r="A565" s="230"/>
      <c r="B565" s="8">
        <v>114</v>
      </c>
      <c r="C565" s="14">
        <f t="shared" ca="1" si="313"/>
        <v>9.17</v>
      </c>
      <c r="D565" s="20">
        <f t="shared" ca="1" si="325"/>
        <v>11.004</v>
      </c>
      <c r="E565" s="225"/>
      <c r="F565" s="231"/>
      <c r="G565" s="172" t="str">
        <f t="shared" ca="1" si="308"/>
        <v/>
      </c>
      <c r="H565" s="93" t="str">
        <f t="shared" ca="1" si="309"/>
        <v/>
      </c>
      <c r="I565" s="21">
        <v>500</v>
      </c>
      <c r="J565" s="68">
        <f t="shared" si="310"/>
        <v>11.824999999999999</v>
      </c>
      <c r="K565" s="70">
        <v>14.19</v>
      </c>
      <c r="L565" s="72">
        <f t="shared" ca="1" si="306"/>
        <v>2.1239999999999997</v>
      </c>
      <c r="M565" s="73">
        <f t="shared" ca="1" si="307"/>
        <v>1061.9999999999998</v>
      </c>
      <c r="N565" s="12" t="s">
        <v>43</v>
      </c>
      <c r="O565" s="47" t="s">
        <v>45</v>
      </c>
      <c r="P565" s="13">
        <f t="shared" si="333"/>
        <v>14.19</v>
      </c>
      <c r="Q565" s="1" t="str">
        <f t="shared" si="334"/>
        <v>500-990 шт - 14,19 руб / шт с НДС</v>
      </c>
      <c r="R565" s="235"/>
      <c r="S565" s="239"/>
      <c r="T565" s="226"/>
      <c r="U565" s="228"/>
      <c r="V565" s="222"/>
      <c r="W565" s="229"/>
      <c r="X565" s="227"/>
      <c r="Y565" s="229"/>
      <c r="Z565" s="236"/>
      <c r="AA565" s="237"/>
      <c r="AB565" s="238"/>
      <c r="AC565" s="223"/>
      <c r="AD565" s="222"/>
    </row>
    <row r="566" spans="1:30" x14ac:dyDescent="0.4">
      <c r="A566" s="230"/>
      <c r="B566" s="8">
        <v>114</v>
      </c>
      <c r="C566" s="14">
        <f t="shared" ca="1" si="313"/>
        <v>9.17</v>
      </c>
      <c r="D566" s="20">
        <f t="shared" ca="1" si="325"/>
        <v>11.004</v>
      </c>
      <c r="E566" s="225"/>
      <c r="F566" s="231"/>
      <c r="G566" s="172" t="str">
        <f t="shared" ca="1" si="308"/>
        <v/>
      </c>
      <c r="H566" s="93" t="str">
        <f t="shared" ca="1" si="309"/>
        <v/>
      </c>
      <c r="I566" s="21">
        <v>1000</v>
      </c>
      <c r="J566" s="68">
        <f t="shared" si="310"/>
        <v>11.366666666666667</v>
      </c>
      <c r="K566" s="70">
        <v>13.64</v>
      </c>
      <c r="L566" s="72">
        <f t="shared" ca="1" si="306"/>
        <v>1.7573333333333339</v>
      </c>
      <c r="M566" s="73">
        <f t="shared" ca="1" si="307"/>
        <v>1757.3333333333339</v>
      </c>
      <c r="N566" s="12" t="s">
        <v>44</v>
      </c>
      <c r="O566" s="47" t="s">
        <v>45</v>
      </c>
      <c r="P566" s="13">
        <f t="shared" si="333"/>
        <v>13.64</v>
      </c>
      <c r="Q566" s="1" t="str">
        <f t="shared" si="334"/>
        <v>1000 + шт - 13,64 руб / шт с НДС</v>
      </c>
      <c r="R566" s="235"/>
      <c r="S566" s="239"/>
      <c r="T566" s="226"/>
      <c r="U566" s="228"/>
      <c r="V566" s="222"/>
      <c r="W566" s="229"/>
      <c r="X566" s="227"/>
      <c r="Y566" s="229"/>
      <c r="Z566" s="236"/>
      <c r="AA566" s="237"/>
      <c r="AB566" s="238"/>
      <c r="AC566" s="223"/>
      <c r="AD566" s="222"/>
    </row>
    <row r="567" spans="1:30" x14ac:dyDescent="0.4">
      <c r="A567" s="230">
        <v>115</v>
      </c>
      <c r="B567" s="8">
        <v>115</v>
      </c>
      <c r="C567" s="14">
        <f t="shared" ca="1" si="313"/>
        <v>1.3</v>
      </c>
      <c r="D567" s="20">
        <f t="shared" ca="1" si="325"/>
        <v>1.56</v>
      </c>
      <c r="E567" s="224" t="str">
        <f ca="1">INDIRECT("'Закуп'!D" &amp; A567)</f>
        <v>У</v>
      </c>
      <c r="F567" s="231" t="str">
        <f t="shared" ref="F567" ca="1" si="337">INDIRECT("'Закуп'!E" &amp; B567)</f>
        <v>300х300х300</v>
      </c>
      <c r="G567" s="172" t="str">
        <f t="shared" ca="1" si="308"/>
        <v/>
      </c>
      <c r="H567" s="93" t="str">
        <f t="shared" ca="1" si="309"/>
        <v/>
      </c>
      <c r="I567" s="21">
        <v>50</v>
      </c>
      <c r="J567" s="68">
        <f t="shared" si="310"/>
        <v>2.7833333333333332</v>
      </c>
      <c r="K567" s="70">
        <v>3.34</v>
      </c>
      <c r="L567" s="72">
        <f t="shared" ca="1" si="306"/>
        <v>1.1866666666666665</v>
      </c>
      <c r="M567" s="73">
        <f t="shared" ca="1" si="307"/>
        <v>59.333333333333329</v>
      </c>
      <c r="N567" s="12" t="s">
        <v>40</v>
      </c>
      <c r="O567" s="47" t="s">
        <v>45</v>
      </c>
      <c r="P567" s="13">
        <f t="shared" si="333"/>
        <v>3.34</v>
      </c>
      <c r="Q567" s="1" t="str">
        <f t="shared" si="334"/>
        <v>50-90 шт - 3,34 руб / шт с НДС</v>
      </c>
      <c r="R567" s="235" t="str">
        <f ca="1">INDIRECT("'Закуп'!k" &amp; A567)</f>
        <v>K116</v>
      </c>
      <c r="S567" s="239">
        <f ca="1">INDIRECT("'Закуп'!o" &amp; A567)</f>
        <v>27</v>
      </c>
      <c r="T567" s="226" t="str">
        <f ca="1">INDIRECT("'Закуп'!p" &amp; A567)</f>
        <v>20-29 литров</v>
      </c>
      <c r="U567" s="228" t="str">
        <f ca="1">INDIRECT("'Закуп'!v" &amp; A567)</f>
        <v/>
      </c>
      <c r="V567" s="222" t="str">
        <f ca="1">INDIRECT("'Закуп'!w" &amp; A567)</f>
        <v/>
      </c>
      <c r="W567" s="229" t="str">
        <f ca="1">INDIRECT("'Закуп'!H" &amp; A567)</f>
        <v>х</v>
      </c>
      <c r="X567" s="227" t="str">
        <f t="shared" ref="X567" ca="1" si="338">INDIRECT("'Закуп'!g" &amp; A567)</f>
        <v>Ч</v>
      </c>
      <c r="Y567" s="229" t="str">
        <f ca="1">INDIRECT("'Закуп'!i" &amp; A567)</f>
        <v>В</v>
      </c>
      <c r="Z567" s="236" t="str">
        <f ca="1">INDIRECT("'Закуп'!x" &amp; A567)</f>
        <v>300-399 мм</v>
      </c>
      <c r="AA567" s="237" t="str">
        <f ca="1">INDIRECT("'Закуп'!y" &amp; A567)</f>
        <v>300-399 мм</v>
      </c>
      <c r="AB567" s="238" t="str">
        <f ca="1">INDIRECT("'Закуп'!z" &amp; A567)</f>
        <v>300-399 мм</v>
      </c>
      <c r="AC567" s="223" t="str">
        <f t="shared" ca="1" si="332"/>
        <v>300x300x300</v>
      </c>
      <c r="AD567" s="222" t="str">
        <f t="shared" ca="1" si="320"/>
        <v>300x300x300 - 300*300*300 мм</v>
      </c>
    </row>
    <row r="568" spans="1:30" x14ac:dyDescent="0.4">
      <c r="A568" s="230"/>
      <c r="B568" s="8">
        <v>115</v>
      </c>
      <c r="C568" s="14">
        <f t="shared" ca="1" si="313"/>
        <v>1.3</v>
      </c>
      <c r="D568" s="20">
        <f t="shared" ca="1" si="325"/>
        <v>1.56</v>
      </c>
      <c r="E568" s="225"/>
      <c r="F568" s="231"/>
      <c r="G568" s="172" t="str">
        <f t="shared" ca="1" si="308"/>
        <v/>
      </c>
      <c r="H568" s="93" t="str">
        <f t="shared" ca="1" si="309"/>
        <v/>
      </c>
      <c r="I568" s="21">
        <v>100</v>
      </c>
      <c r="J568" s="68">
        <f t="shared" si="310"/>
        <v>2.2333333333333334</v>
      </c>
      <c r="K568" s="70">
        <v>2.68</v>
      </c>
      <c r="L568" s="72">
        <f t="shared" ca="1" si="306"/>
        <v>0.7466666666666667</v>
      </c>
      <c r="M568" s="73">
        <f t="shared" ca="1" si="307"/>
        <v>74.666666666666671</v>
      </c>
      <c r="N568" s="12" t="s">
        <v>41</v>
      </c>
      <c r="O568" s="47" t="s">
        <v>45</v>
      </c>
      <c r="P568" s="13">
        <f t="shared" si="333"/>
        <v>2.68</v>
      </c>
      <c r="Q568" s="1" t="str">
        <f t="shared" si="334"/>
        <v>100-290 шт - 2,68 руб / шт с НДС</v>
      </c>
      <c r="R568" s="235"/>
      <c r="S568" s="239"/>
      <c r="T568" s="226"/>
      <c r="U568" s="228"/>
      <c r="V568" s="222"/>
      <c r="W568" s="229"/>
      <c r="X568" s="227"/>
      <c r="Y568" s="229"/>
      <c r="Z568" s="236"/>
      <c r="AA568" s="237"/>
      <c r="AB568" s="238"/>
      <c r="AC568" s="223"/>
      <c r="AD568" s="222"/>
    </row>
    <row r="569" spans="1:30" x14ac:dyDescent="0.4">
      <c r="A569" s="230"/>
      <c r="B569" s="8">
        <v>115</v>
      </c>
      <c r="C569" s="14">
        <f t="shared" ca="1" si="313"/>
        <v>1.3</v>
      </c>
      <c r="D569" s="20">
        <f t="shared" ca="1" si="325"/>
        <v>1.56</v>
      </c>
      <c r="E569" s="225"/>
      <c r="F569" s="231"/>
      <c r="G569" s="172" t="str">
        <f t="shared" ca="1" si="308"/>
        <v/>
      </c>
      <c r="H569" s="93" t="str">
        <f t="shared" ca="1" si="309"/>
        <v/>
      </c>
      <c r="I569" s="21">
        <v>300</v>
      </c>
      <c r="J569" s="68">
        <f t="shared" si="310"/>
        <v>2.0083333333333337</v>
      </c>
      <c r="K569" s="70">
        <v>2.41</v>
      </c>
      <c r="L569" s="72">
        <f t="shared" ca="1" si="306"/>
        <v>0.56666666666666698</v>
      </c>
      <c r="M569" s="73">
        <f t="shared" ca="1" si="307"/>
        <v>170.00000000000009</v>
      </c>
      <c r="N569" s="12" t="s">
        <v>42</v>
      </c>
      <c r="O569" s="47" t="s">
        <v>45</v>
      </c>
      <c r="P569" s="13">
        <f t="shared" si="333"/>
        <v>2.41</v>
      </c>
      <c r="Q569" s="1" t="str">
        <f t="shared" si="334"/>
        <v>300-490 шт - 2,41 руб / шт с НДС</v>
      </c>
      <c r="R569" s="235"/>
      <c r="S569" s="239"/>
      <c r="T569" s="226"/>
      <c r="U569" s="228"/>
      <c r="V569" s="222"/>
      <c r="W569" s="229"/>
      <c r="X569" s="227"/>
      <c r="Y569" s="229"/>
      <c r="Z569" s="236"/>
      <c r="AA569" s="237"/>
      <c r="AB569" s="238"/>
      <c r="AC569" s="223"/>
      <c r="AD569" s="222"/>
    </row>
    <row r="570" spans="1:30" x14ac:dyDescent="0.4">
      <c r="A570" s="230"/>
      <c r="B570" s="8">
        <v>115</v>
      </c>
      <c r="C570" s="14">
        <f t="shared" ca="1" si="313"/>
        <v>1.3</v>
      </c>
      <c r="D570" s="20">
        <f t="shared" ca="1" si="325"/>
        <v>1.56</v>
      </c>
      <c r="E570" s="225"/>
      <c r="F570" s="231"/>
      <c r="G570" s="172" t="str">
        <f t="shared" ca="1" si="308"/>
        <v/>
      </c>
      <c r="H570" s="93" t="str">
        <f t="shared" ca="1" si="309"/>
        <v/>
      </c>
      <c r="I570" s="21">
        <v>500</v>
      </c>
      <c r="J570" s="68">
        <f t="shared" si="310"/>
        <v>1.8083333333333333</v>
      </c>
      <c r="K570" s="70">
        <v>2.17</v>
      </c>
      <c r="L570" s="72">
        <f t="shared" ca="1" si="306"/>
        <v>0.40666666666666662</v>
      </c>
      <c r="M570" s="73">
        <f t="shared" ca="1" si="307"/>
        <v>203.33333333333331</v>
      </c>
      <c r="N570" s="12" t="s">
        <v>43</v>
      </c>
      <c r="O570" s="47" t="s">
        <v>45</v>
      </c>
      <c r="P570" s="13">
        <f t="shared" si="333"/>
        <v>2.17</v>
      </c>
      <c r="Q570" s="1" t="str">
        <f t="shared" si="334"/>
        <v>500-990 шт - 2,17 руб / шт с НДС</v>
      </c>
      <c r="R570" s="235"/>
      <c r="S570" s="239"/>
      <c r="T570" s="226"/>
      <c r="U570" s="228"/>
      <c r="V570" s="222"/>
      <c r="W570" s="229"/>
      <c r="X570" s="227"/>
      <c r="Y570" s="229"/>
      <c r="Z570" s="236"/>
      <c r="AA570" s="237"/>
      <c r="AB570" s="238"/>
      <c r="AC570" s="223"/>
      <c r="AD570" s="222"/>
    </row>
    <row r="571" spans="1:30" x14ac:dyDescent="0.4">
      <c r="A571" s="230"/>
      <c r="B571" s="8">
        <v>115</v>
      </c>
      <c r="C571" s="14">
        <f t="shared" ca="1" si="313"/>
        <v>1.3</v>
      </c>
      <c r="D571" s="20">
        <f t="shared" ca="1" si="325"/>
        <v>1.56</v>
      </c>
      <c r="E571" s="225"/>
      <c r="F571" s="231"/>
      <c r="G571" s="172" t="str">
        <f t="shared" ca="1" si="308"/>
        <v/>
      </c>
      <c r="H571" s="93" t="str">
        <f t="shared" ca="1" si="309"/>
        <v/>
      </c>
      <c r="I571" s="21">
        <v>1000</v>
      </c>
      <c r="J571" s="68">
        <f t="shared" si="310"/>
        <v>1.7249999999999999</v>
      </c>
      <c r="K571" s="70">
        <v>2.0699999999999998</v>
      </c>
      <c r="L571" s="72">
        <f t="shared" ca="1" si="306"/>
        <v>0.33999999999999986</v>
      </c>
      <c r="M571" s="73">
        <f t="shared" ca="1" si="307"/>
        <v>339.99999999999989</v>
      </c>
      <c r="N571" s="12" t="s">
        <v>44</v>
      </c>
      <c r="O571" s="47" t="s">
        <v>45</v>
      </c>
      <c r="P571" s="13">
        <f t="shared" si="333"/>
        <v>2.0699999999999998</v>
      </c>
      <c r="Q571" s="1" t="str">
        <f t="shared" si="334"/>
        <v>1000 + шт - 2,07 руб / шт с НДС</v>
      </c>
      <c r="R571" s="235"/>
      <c r="S571" s="239"/>
      <c r="T571" s="226"/>
      <c r="U571" s="228"/>
      <c r="V571" s="222"/>
      <c r="W571" s="229"/>
      <c r="X571" s="227"/>
      <c r="Y571" s="229"/>
      <c r="Z571" s="236"/>
      <c r="AA571" s="237"/>
      <c r="AB571" s="238"/>
      <c r="AC571" s="223"/>
      <c r="AD571" s="222"/>
    </row>
    <row r="572" spans="1:30" x14ac:dyDescent="0.4">
      <c r="A572" s="230">
        <v>116</v>
      </c>
      <c r="B572" s="8">
        <v>116</v>
      </c>
      <c r="C572" s="14">
        <f t="shared" ca="1" si="313"/>
        <v>6.7</v>
      </c>
      <c r="D572" s="20">
        <f t="shared" ca="1" si="325"/>
        <v>8.0399999999999991</v>
      </c>
      <c r="E572" s="224" t="str">
        <f ca="1">INDIRECT("'Закуп'!D" &amp; A572)</f>
        <v>У</v>
      </c>
      <c r="F572" s="231" t="str">
        <f t="shared" ref="F572" ca="1" si="339">INDIRECT("'Закуп'!E" &amp; B572)</f>
        <v>1022х518х720</v>
      </c>
      <c r="G572" s="172" t="str">
        <f t="shared" ca="1" si="308"/>
        <v/>
      </c>
      <c r="H572" s="93" t="str">
        <f t="shared" ca="1" si="309"/>
        <v/>
      </c>
      <c r="I572" s="21">
        <v>50</v>
      </c>
      <c r="J572" s="68">
        <f t="shared" si="310"/>
        <v>9.6416666666666675</v>
      </c>
      <c r="K572" s="70">
        <v>11.57</v>
      </c>
      <c r="L572" s="72">
        <f t="shared" ca="1" si="306"/>
        <v>2.3533333333333339</v>
      </c>
      <c r="M572" s="73">
        <f t="shared" ca="1" si="307"/>
        <v>117.6666666666667</v>
      </c>
      <c r="N572" s="12" t="s">
        <v>40</v>
      </c>
      <c r="O572" s="47" t="s">
        <v>45</v>
      </c>
      <c r="P572" s="13">
        <f t="shared" si="333"/>
        <v>11.57</v>
      </c>
      <c r="Q572" s="1" t="str">
        <f t="shared" si="334"/>
        <v>50-90 шт - 11,57 руб / шт с НДС</v>
      </c>
      <c r="R572" s="235" t="str">
        <f ca="1">INDIRECT("'Закуп'!k" &amp; A572)</f>
        <v>K117</v>
      </c>
      <c r="S572" s="239">
        <f ca="1">INDIRECT("'Закуп'!o" &amp; A572)</f>
        <v>381.17</v>
      </c>
      <c r="T572" s="226" t="str">
        <f ca="1">INDIRECT("'Закуп'!p" &amp; A572)</f>
        <v>200+ литров</v>
      </c>
      <c r="U572" s="228" t="str">
        <f ca="1">INDIRECT("'Закуп'!v" &amp; A572)</f>
        <v/>
      </c>
      <c r="V572" s="222" t="str">
        <f ca="1">INDIRECT("'Закуп'!w" &amp; A572)</f>
        <v/>
      </c>
      <c r="W572" s="229" t="str">
        <f ca="1">INDIRECT("'Закуп'!H" &amp; A572)</f>
        <v>0201</v>
      </c>
      <c r="X572" s="227" t="str">
        <f t="shared" ref="X572" ca="1" si="340">INDIRECT("'Закуп'!g" &amp; A572)</f>
        <v>Ч</v>
      </c>
      <c r="Y572" s="229" t="str">
        <f ca="1">INDIRECT("'Закуп'!i" &amp; A572)</f>
        <v>В</v>
      </c>
      <c r="Z572" s="236" t="str">
        <f ca="1">INDIRECT("'Закуп'!x" &amp; A572)</f>
        <v>1000+ мм</v>
      </c>
      <c r="AA572" s="237" t="str">
        <f ca="1">INDIRECT("'Закуп'!y" &amp; A572)</f>
        <v>700-999 мм</v>
      </c>
      <c r="AB572" s="238" t="str">
        <f ca="1">INDIRECT("'Закуп'!z" &amp; A572)</f>
        <v>500-599 мм</v>
      </c>
      <c r="AC572" s="223" t="str">
        <f t="shared" ca="1" si="332"/>
        <v>1022x518x720</v>
      </c>
      <c r="AD572" s="222" t="str">
        <f t="shared" ca="1" si="320"/>
        <v>1022x518x720 - 1022*518*720 мм</v>
      </c>
    </row>
    <row r="573" spans="1:30" x14ac:dyDescent="0.4">
      <c r="A573" s="230"/>
      <c r="B573" s="8">
        <v>116</v>
      </c>
      <c r="C573" s="14">
        <f t="shared" ca="1" si="313"/>
        <v>6.7</v>
      </c>
      <c r="D573" s="20">
        <f t="shared" ca="1" si="325"/>
        <v>8.0399999999999991</v>
      </c>
      <c r="E573" s="225"/>
      <c r="F573" s="231"/>
      <c r="G573" s="172" t="str">
        <f t="shared" ca="1" si="308"/>
        <v/>
      </c>
      <c r="H573" s="93" t="str">
        <f t="shared" ca="1" si="309"/>
        <v/>
      </c>
      <c r="I573" s="21">
        <v>100</v>
      </c>
      <c r="J573" s="68">
        <f t="shared" si="310"/>
        <v>9.3083333333333336</v>
      </c>
      <c r="K573" s="70">
        <v>11.17</v>
      </c>
      <c r="L573" s="72">
        <f t="shared" ca="1" si="306"/>
        <v>2.0866666666666669</v>
      </c>
      <c r="M573" s="73">
        <f t="shared" ca="1" si="307"/>
        <v>208.66666666666669</v>
      </c>
      <c r="N573" s="12" t="s">
        <v>41</v>
      </c>
      <c r="O573" s="47" t="s">
        <v>45</v>
      </c>
      <c r="P573" s="13">
        <f t="shared" si="333"/>
        <v>11.17</v>
      </c>
      <c r="Q573" s="1" t="str">
        <f t="shared" si="334"/>
        <v>100-290 шт - 11,17 руб / шт с НДС</v>
      </c>
      <c r="R573" s="235"/>
      <c r="S573" s="239"/>
      <c r="T573" s="226"/>
      <c r="U573" s="228"/>
      <c r="V573" s="222"/>
      <c r="W573" s="229"/>
      <c r="X573" s="227"/>
      <c r="Y573" s="229"/>
      <c r="Z573" s="236"/>
      <c r="AA573" s="237"/>
      <c r="AB573" s="238"/>
      <c r="AC573" s="223"/>
      <c r="AD573" s="222"/>
    </row>
    <row r="574" spans="1:30" x14ac:dyDescent="0.4">
      <c r="A574" s="230"/>
      <c r="B574" s="8">
        <v>116</v>
      </c>
      <c r="C574" s="14">
        <f t="shared" ca="1" si="313"/>
        <v>6.7</v>
      </c>
      <c r="D574" s="20">
        <f t="shared" ca="1" si="325"/>
        <v>8.0399999999999991</v>
      </c>
      <c r="E574" s="225"/>
      <c r="F574" s="231"/>
      <c r="G574" s="172" t="str">
        <f t="shared" ca="1" si="308"/>
        <v/>
      </c>
      <c r="H574" s="93" t="str">
        <f t="shared" ca="1" si="309"/>
        <v/>
      </c>
      <c r="I574" s="21">
        <v>300</v>
      </c>
      <c r="J574" s="68">
        <f t="shared" si="310"/>
        <v>8.9749999999999996</v>
      </c>
      <c r="K574" s="70">
        <v>10.77</v>
      </c>
      <c r="L574" s="72">
        <f t="shared" ca="1" si="306"/>
        <v>1.8199999999999996</v>
      </c>
      <c r="M574" s="73">
        <f t="shared" ca="1" si="307"/>
        <v>545.99999999999989</v>
      </c>
      <c r="N574" s="12" t="s">
        <v>42</v>
      </c>
      <c r="O574" s="47" t="s">
        <v>45</v>
      </c>
      <c r="P574" s="13">
        <f t="shared" si="333"/>
        <v>10.77</v>
      </c>
      <c r="Q574" s="1" t="str">
        <f t="shared" si="334"/>
        <v>300-490 шт - 10,77 руб / шт с НДС</v>
      </c>
      <c r="R574" s="235"/>
      <c r="S574" s="239"/>
      <c r="T574" s="226"/>
      <c r="U574" s="228"/>
      <c r="V574" s="222"/>
      <c r="W574" s="229"/>
      <c r="X574" s="227"/>
      <c r="Y574" s="229"/>
      <c r="Z574" s="236"/>
      <c r="AA574" s="237"/>
      <c r="AB574" s="238"/>
      <c r="AC574" s="223"/>
      <c r="AD574" s="222"/>
    </row>
    <row r="575" spans="1:30" x14ac:dyDescent="0.4">
      <c r="A575" s="230"/>
      <c r="B575" s="8">
        <v>116</v>
      </c>
      <c r="C575" s="14">
        <f t="shared" ca="1" si="313"/>
        <v>6.7</v>
      </c>
      <c r="D575" s="20">
        <f t="shared" ca="1" si="325"/>
        <v>8.0399999999999991</v>
      </c>
      <c r="E575" s="225"/>
      <c r="F575" s="231"/>
      <c r="G575" s="172" t="str">
        <f t="shared" ca="1" si="308"/>
        <v/>
      </c>
      <c r="H575" s="93" t="str">
        <f t="shared" ca="1" si="309"/>
        <v/>
      </c>
      <c r="I575" s="21">
        <v>500</v>
      </c>
      <c r="J575" s="68">
        <f t="shared" si="310"/>
        <v>8.6416666666666657</v>
      </c>
      <c r="K575" s="70">
        <v>10.37</v>
      </c>
      <c r="L575" s="72">
        <f t="shared" ca="1" si="306"/>
        <v>1.5533333333333323</v>
      </c>
      <c r="M575" s="73">
        <f t="shared" ca="1" si="307"/>
        <v>776.66666666666617</v>
      </c>
      <c r="N575" s="12" t="s">
        <v>43</v>
      </c>
      <c r="O575" s="47" t="s">
        <v>45</v>
      </c>
      <c r="P575" s="13">
        <f t="shared" si="333"/>
        <v>10.37</v>
      </c>
      <c r="Q575" s="1" t="str">
        <f t="shared" si="334"/>
        <v>500-990 шт - 10,37 руб / шт с НДС</v>
      </c>
      <c r="R575" s="235"/>
      <c r="S575" s="239"/>
      <c r="T575" s="226"/>
      <c r="U575" s="228"/>
      <c r="V575" s="222"/>
      <c r="W575" s="229"/>
      <c r="X575" s="227"/>
      <c r="Y575" s="229"/>
      <c r="Z575" s="236"/>
      <c r="AA575" s="237"/>
      <c r="AB575" s="238"/>
      <c r="AC575" s="223"/>
      <c r="AD575" s="222"/>
    </row>
    <row r="576" spans="1:30" x14ac:dyDescent="0.4">
      <c r="A576" s="230"/>
      <c r="B576" s="8">
        <v>116</v>
      </c>
      <c r="C576" s="14">
        <f t="shared" ca="1" si="313"/>
        <v>6.7</v>
      </c>
      <c r="D576" s="20">
        <f t="shared" ca="1" si="325"/>
        <v>8.0399999999999991</v>
      </c>
      <c r="E576" s="225"/>
      <c r="F576" s="231"/>
      <c r="G576" s="172" t="str">
        <f t="shared" ca="1" si="308"/>
        <v/>
      </c>
      <c r="H576" s="93" t="str">
        <f t="shared" ca="1" si="309"/>
        <v/>
      </c>
      <c r="I576" s="21">
        <v>1000</v>
      </c>
      <c r="J576" s="68">
        <f t="shared" si="310"/>
        <v>8.3166666666666682</v>
      </c>
      <c r="K576" s="70">
        <v>9.98</v>
      </c>
      <c r="L576" s="72">
        <f t="shared" ca="1" si="306"/>
        <v>1.2933333333333343</v>
      </c>
      <c r="M576" s="73">
        <f t="shared" ca="1" si="307"/>
        <v>1293.3333333333344</v>
      </c>
      <c r="N576" s="12" t="s">
        <v>44</v>
      </c>
      <c r="O576" s="47" t="s">
        <v>45</v>
      </c>
      <c r="P576" s="13">
        <f t="shared" si="333"/>
        <v>9.98</v>
      </c>
      <c r="Q576" s="1" t="str">
        <f t="shared" si="334"/>
        <v>1000 + шт - 9,98 руб / шт с НДС</v>
      </c>
      <c r="R576" s="235"/>
      <c r="S576" s="239"/>
      <c r="T576" s="226"/>
      <c r="U576" s="228"/>
      <c r="V576" s="222"/>
      <c r="W576" s="229"/>
      <c r="X576" s="227"/>
      <c r="Y576" s="229"/>
      <c r="Z576" s="236"/>
      <c r="AA576" s="237"/>
      <c r="AB576" s="238"/>
      <c r="AC576" s="223"/>
      <c r="AD576" s="222"/>
    </row>
    <row r="577" spans="1:30" x14ac:dyDescent="0.4">
      <c r="A577" s="230">
        <v>117</v>
      </c>
      <c r="B577" s="8">
        <v>117</v>
      </c>
      <c r="C577" s="14">
        <f t="shared" ca="1" si="313"/>
        <v>2</v>
      </c>
      <c r="D577" s="20">
        <f t="shared" ca="1" si="325"/>
        <v>2.4</v>
      </c>
      <c r="E577" s="224" t="str">
        <f ca="1">INDIRECT("'Закуп'!D" &amp; A577)</f>
        <v>У</v>
      </c>
      <c r="F577" s="231" t="str">
        <f t="shared" ref="F577" ca="1" si="341">INDIRECT("'Закуп'!E" &amp; B577)</f>
        <v>400х400х300</v>
      </c>
      <c r="G577" s="172" t="str">
        <f t="shared" ca="1" si="308"/>
        <v/>
      </c>
      <c r="H577" s="93" t="str">
        <f t="shared" ca="1" si="309"/>
        <v/>
      </c>
      <c r="I577" s="21">
        <v>50</v>
      </c>
      <c r="J577" s="68">
        <f t="shared" si="310"/>
        <v>3.4250000000000003</v>
      </c>
      <c r="K577" s="70">
        <v>4.1100000000000003</v>
      </c>
      <c r="L577" s="72">
        <f t="shared" ca="1" si="306"/>
        <v>1.1400000000000001</v>
      </c>
      <c r="M577" s="73">
        <f t="shared" ca="1" si="307"/>
        <v>57.000000000000007</v>
      </c>
      <c r="N577" s="12" t="s">
        <v>40</v>
      </c>
      <c r="O577" s="47" t="s">
        <v>45</v>
      </c>
      <c r="P577" s="13">
        <f t="shared" si="333"/>
        <v>4.1100000000000003</v>
      </c>
      <c r="Q577" s="1" t="str">
        <f t="shared" si="334"/>
        <v>50-90 шт - 4,11 руб / шт с НДС</v>
      </c>
      <c r="R577" s="235" t="str">
        <f ca="1">INDIRECT("'Закуп'!k" &amp; A577)</f>
        <v>K118</v>
      </c>
      <c r="S577" s="239">
        <f ca="1">INDIRECT("'Закуп'!o" &amp; A577)</f>
        <v>48</v>
      </c>
      <c r="T577" s="226" t="str">
        <f ca="1">INDIRECT("'Закуп'!p" &amp; A577)</f>
        <v>30-49 литров</v>
      </c>
      <c r="U577" s="228" t="str">
        <f ca="1">INDIRECT("'Закуп'!v" &amp; A577)</f>
        <v/>
      </c>
      <c r="V577" s="222" t="str">
        <f ca="1">INDIRECT("'Закуп'!w" &amp; A577)</f>
        <v/>
      </c>
      <c r="W577" s="229" t="str">
        <f ca="1">INDIRECT("'Закуп'!H" &amp; A577)</f>
        <v>х</v>
      </c>
      <c r="X577" s="227" t="str">
        <f t="shared" ref="X577" ca="1" si="342">INDIRECT("'Закуп'!g" &amp; A577)</f>
        <v>Ч</v>
      </c>
      <c r="Y577" s="229" t="str">
        <f ca="1">INDIRECT("'Закуп'!i" &amp; A577)</f>
        <v>В</v>
      </c>
      <c r="Z577" s="236" t="str">
        <f ca="1">INDIRECT("'Закуп'!x" &amp; A577)</f>
        <v>400-499 мм</v>
      </c>
      <c r="AA577" s="237" t="str">
        <f ca="1">INDIRECT("'Закуп'!y" &amp; A577)</f>
        <v>400-499 мм</v>
      </c>
      <c r="AB577" s="238" t="str">
        <f ca="1">INDIRECT("'Закуп'!z" &amp; A577)</f>
        <v>300-399 мм</v>
      </c>
      <c r="AC577" s="223" t="str">
        <f t="shared" ca="1" si="332"/>
        <v>400x400x300</v>
      </c>
      <c r="AD577" s="222" t="str">
        <f t="shared" ca="1" si="320"/>
        <v>400x400x300 - 400*400*300 мм</v>
      </c>
    </row>
    <row r="578" spans="1:30" x14ac:dyDescent="0.4">
      <c r="A578" s="230"/>
      <c r="B578" s="8">
        <v>117</v>
      </c>
      <c r="C578" s="14">
        <f t="shared" ca="1" si="313"/>
        <v>2</v>
      </c>
      <c r="D578" s="20">
        <f t="shared" ca="1" si="325"/>
        <v>2.4</v>
      </c>
      <c r="E578" s="225"/>
      <c r="F578" s="231"/>
      <c r="G578" s="172" t="str">
        <f t="shared" ca="1" si="308"/>
        <v/>
      </c>
      <c r="H578" s="93" t="str">
        <f t="shared" ca="1" si="309"/>
        <v/>
      </c>
      <c r="I578" s="21">
        <v>100</v>
      </c>
      <c r="J578" s="68">
        <f t="shared" si="310"/>
        <v>3.3333333333333335</v>
      </c>
      <c r="K578" s="70">
        <v>4</v>
      </c>
      <c r="L578" s="72">
        <f t="shared" ref="L578:L641" ca="1" si="343">J578-C578-(J578-C578)*0.2</f>
        <v>1.0666666666666669</v>
      </c>
      <c r="M578" s="73">
        <f t="shared" ref="M578:M641" ca="1" si="344">L578*I578</f>
        <v>106.66666666666669</v>
      </c>
      <c r="N578" s="12" t="s">
        <v>41</v>
      </c>
      <c r="O578" s="47" t="s">
        <v>45</v>
      </c>
      <c r="P578" s="13">
        <f t="shared" si="333"/>
        <v>4</v>
      </c>
      <c r="Q578" s="1" t="str">
        <f t="shared" si="334"/>
        <v>100-290 шт - 4 руб / шт с НДС</v>
      </c>
      <c r="R578" s="235"/>
      <c r="S578" s="239"/>
      <c r="T578" s="226"/>
      <c r="U578" s="228"/>
      <c r="V578" s="222"/>
      <c r="W578" s="229"/>
      <c r="X578" s="227"/>
      <c r="Y578" s="229"/>
      <c r="Z578" s="236"/>
      <c r="AA578" s="237"/>
      <c r="AB578" s="238"/>
      <c r="AC578" s="223"/>
      <c r="AD578" s="222"/>
    </row>
    <row r="579" spans="1:30" x14ac:dyDescent="0.4">
      <c r="A579" s="230"/>
      <c r="B579" s="8">
        <v>117</v>
      </c>
      <c r="C579" s="14">
        <f t="shared" ca="1" si="313"/>
        <v>2</v>
      </c>
      <c r="D579" s="20">
        <f t="shared" ca="1" si="325"/>
        <v>2.4</v>
      </c>
      <c r="E579" s="225"/>
      <c r="F579" s="231"/>
      <c r="G579" s="172" t="str">
        <f t="shared" ref="G579:G642" ca="1" si="345">IF(INDIRECT("'Закуп'!L" &amp; B579)="Sale","Sale","")</f>
        <v/>
      </c>
      <c r="H579" s="93" t="str">
        <f t="shared" ref="H579:H642" ca="1" si="346">IF(INDIRECT("'Закуп'!F" &amp; B579)=0,"",INDIRECT("'Закуп'!F" &amp; B579))</f>
        <v/>
      </c>
      <c r="I579" s="21">
        <v>300</v>
      </c>
      <c r="J579" s="68">
        <f t="shared" ref="J579:J642" si="347">K579/1.2</f>
        <v>2.7833333333333332</v>
      </c>
      <c r="K579" s="70">
        <v>3.34</v>
      </c>
      <c r="L579" s="72">
        <f t="shared" ca="1" si="343"/>
        <v>0.62666666666666659</v>
      </c>
      <c r="M579" s="73">
        <f t="shared" ca="1" si="344"/>
        <v>187.99999999999997</v>
      </c>
      <c r="N579" s="12" t="s">
        <v>42</v>
      </c>
      <c r="O579" s="47" t="s">
        <v>45</v>
      </c>
      <c r="P579" s="13">
        <f t="shared" si="333"/>
        <v>3.34</v>
      </c>
      <c r="Q579" s="1" t="str">
        <f t="shared" si="334"/>
        <v>300-490 шт - 3,34 руб / шт с НДС</v>
      </c>
      <c r="R579" s="235"/>
      <c r="S579" s="239"/>
      <c r="T579" s="226"/>
      <c r="U579" s="228"/>
      <c r="V579" s="222"/>
      <c r="W579" s="229"/>
      <c r="X579" s="227"/>
      <c r="Y579" s="229"/>
      <c r="Z579" s="236"/>
      <c r="AA579" s="237"/>
      <c r="AB579" s="238"/>
      <c r="AC579" s="223"/>
      <c r="AD579" s="222"/>
    </row>
    <row r="580" spans="1:30" x14ac:dyDescent="0.4">
      <c r="A580" s="230"/>
      <c r="B580" s="8">
        <v>117</v>
      </c>
      <c r="C580" s="14">
        <f t="shared" ca="1" si="313"/>
        <v>2</v>
      </c>
      <c r="D580" s="20">
        <f t="shared" ca="1" si="325"/>
        <v>2.4</v>
      </c>
      <c r="E580" s="225"/>
      <c r="F580" s="231"/>
      <c r="G580" s="172" t="str">
        <f t="shared" ca="1" si="345"/>
        <v/>
      </c>
      <c r="H580" s="93" t="str">
        <f t="shared" ca="1" si="346"/>
        <v/>
      </c>
      <c r="I580" s="21">
        <v>500</v>
      </c>
      <c r="J580" s="68">
        <f t="shared" si="347"/>
        <v>2.6916666666666669</v>
      </c>
      <c r="K580" s="70">
        <v>3.23</v>
      </c>
      <c r="L580" s="72">
        <f t="shared" ca="1" si="343"/>
        <v>0.55333333333333345</v>
      </c>
      <c r="M580" s="73">
        <f t="shared" ca="1" si="344"/>
        <v>276.66666666666674</v>
      </c>
      <c r="N580" s="12" t="s">
        <v>43</v>
      </c>
      <c r="O580" s="47" t="s">
        <v>45</v>
      </c>
      <c r="P580" s="13">
        <f t="shared" si="333"/>
        <v>3.23</v>
      </c>
      <c r="Q580" s="1" t="str">
        <f t="shared" si="334"/>
        <v>500-990 шт - 3,23 руб / шт с НДС</v>
      </c>
      <c r="R580" s="235"/>
      <c r="S580" s="239"/>
      <c r="T580" s="226"/>
      <c r="U580" s="228"/>
      <c r="V580" s="222"/>
      <c r="W580" s="229"/>
      <c r="X580" s="227"/>
      <c r="Y580" s="229"/>
      <c r="Z580" s="236"/>
      <c r="AA580" s="237"/>
      <c r="AB580" s="238"/>
      <c r="AC580" s="223"/>
      <c r="AD580" s="222"/>
    </row>
    <row r="581" spans="1:30" x14ac:dyDescent="0.4">
      <c r="A581" s="230"/>
      <c r="B581" s="8">
        <v>117</v>
      </c>
      <c r="C581" s="14">
        <f t="shared" ca="1" si="313"/>
        <v>2</v>
      </c>
      <c r="D581" s="20">
        <f t="shared" ca="1" si="325"/>
        <v>2.4</v>
      </c>
      <c r="E581" s="225"/>
      <c r="F581" s="231"/>
      <c r="G581" s="172" t="str">
        <f t="shared" ca="1" si="345"/>
        <v/>
      </c>
      <c r="H581" s="93" t="str">
        <f t="shared" ca="1" si="346"/>
        <v/>
      </c>
      <c r="I581" s="21">
        <v>1000</v>
      </c>
      <c r="J581" s="68">
        <f t="shared" si="347"/>
        <v>2.6166666666666667</v>
      </c>
      <c r="K581" s="70">
        <v>3.14</v>
      </c>
      <c r="L581" s="72">
        <f t="shared" ca="1" si="343"/>
        <v>0.49333333333333335</v>
      </c>
      <c r="M581" s="73">
        <f t="shared" ca="1" si="344"/>
        <v>493.33333333333337</v>
      </c>
      <c r="N581" s="12" t="s">
        <v>44</v>
      </c>
      <c r="O581" s="47" t="s">
        <v>45</v>
      </c>
      <c r="P581" s="13">
        <f t="shared" si="333"/>
        <v>3.14</v>
      </c>
      <c r="Q581" s="1" t="str">
        <f t="shared" si="334"/>
        <v>1000 + шт - 3,14 руб / шт с НДС</v>
      </c>
      <c r="R581" s="235"/>
      <c r="S581" s="239"/>
      <c r="T581" s="226"/>
      <c r="U581" s="228"/>
      <c r="V581" s="222"/>
      <c r="W581" s="229"/>
      <c r="X581" s="227"/>
      <c r="Y581" s="229"/>
      <c r="Z581" s="236"/>
      <c r="AA581" s="237"/>
      <c r="AB581" s="238"/>
      <c r="AC581" s="223"/>
      <c r="AD581" s="222"/>
    </row>
    <row r="582" spans="1:30" x14ac:dyDescent="0.4">
      <c r="A582" s="230">
        <v>118</v>
      </c>
      <c r="B582" s="8">
        <v>118</v>
      </c>
      <c r="C582" s="14">
        <f t="shared" ca="1" si="313"/>
        <v>0.14000000000000001</v>
      </c>
      <c r="D582" s="20">
        <f t="shared" ca="1" si="325"/>
        <v>0.16800000000000001</v>
      </c>
      <c r="E582" s="224" t="str">
        <f ca="1">INDIRECT("'Закуп'!D" &amp; A582)</f>
        <v>У</v>
      </c>
      <c r="F582" s="231" t="str">
        <f t="shared" ref="F582" ca="1" si="348">INDIRECT("'Закуп'!E" &amp; B582)</f>
        <v>35х35х235</v>
      </c>
      <c r="G582" s="172" t="str">
        <f t="shared" ca="1" si="345"/>
        <v/>
      </c>
      <c r="H582" s="93" t="str">
        <f t="shared" ca="1" si="346"/>
        <v/>
      </c>
      <c r="I582" s="21">
        <v>50</v>
      </c>
      <c r="J582" s="68">
        <f t="shared" si="347"/>
        <v>0.96666666666666667</v>
      </c>
      <c r="K582" s="70">
        <v>1.1599999999999999</v>
      </c>
      <c r="L582" s="72">
        <f t="shared" ca="1" si="343"/>
        <v>0.66133333333333333</v>
      </c>
      <c r="M582" s="73">
        <f t="shared" ca="1" si="344"/>
        <v>33.066666666666663</v>
      </c>
      <c r="N582" s="12" t="s">
        <v>40</v>
      </c>
      <c r="O582" s="47" t="s">
        <v>45</v>
      </c>
      <c r="P582" s="13">
        <f t="shared" si="333"/>
        <v>1.1599999999999999</v>
      </c>
      <c r="Q582" s="1" t="str">
        <f t="shared" si="334"/>
        <v>50-90 шт - 1,16 руб / шт с НДС</v>
      </c>
      <c r="R582" s="235" t="str">
        <f ca="1">INDIRECT("'Закуп'!k" &amp; A582)</f>
        <v>K119</v>
      </c>
      <c r="S582" s="239">
        <f ca="1">INDIRECT("'Закуп'!o" &amp; A582)</f>
        <v>0.28999999999999998</v>
      </c>
      <c r="T582" s="226" t="str">
        <f ca="1">INDIRECT("'Закуп'!p" &amp; A582)</f>
        <v>0,1-0,9 литров</v>
      </c>
      <c r="U582" s="228" t="str">
        <f ca="1">INDIRECT("'Закуп'!v" &amp; A582)</f>
        <v>Длинные</v>
      </c>
      <c r="V582" s="222" t="str">
        <f ca="1">INDIRECT("'Закуп'!w" &amp; A582)</f>
        <v/>
      </c>
      <c r="W582" s="229" t="str">
        <f ca="1">INDIRECT("'Закуп'!H" &amp; A582)</f>
        <v>х</v>
      </c>
      <c r="X582" s="227" t="str">
        <f t="shared" ref="X582" ca="1" si="349">INDIRECT("'Закуп'!g" &amp; A582)</f>
        <v>С</v>
      </c>
      <c r="Y582" s="229" t="str">
        <f ca="1">INDIRECT("'Закуп'!i" &amp; A582)</f>
        <v>х</v>
      </c>
      <c r="Z582" s="236" t="str">
        <f ca="1">INDIRECT("'Закуп'!x" &amp; A582)</f>
        <v>200-299 мм</v>
      </c>
      <c r="AA582" s="237" t="str">
        <f ca="1">INDIRECT("'Закуп'!y" &amp; A582)</f>
        <v>10-99 мм</v>
      </c>
      <c r="AB582" s="238" t="str">
        <f ca="1">INDIRECT("'Закуп'!z" &amp; A582)</f>
        <v>10-99 мм</v>
      </c>
      <c r="AC582" s="223" t="str">
        <f t="shared" ca="1" si="332"/>
        <v>35x35x235</v>
      </c>
      <c r="AD582" s="222" t="str">
        <f t="shared" ca="1" si="320"/>
        <v>35x35x235 - 35*35*235 мм</v>
      </c>
    </row>
    <row r="583" spans="1:30" x14ac:dyDescent="0.4">
      <c r="A583" s="230"/>
      <c r="B583" s="8">
        <v>118</v>
      </c>
      <c r="C583" s="14">
        <f t="shared" ca="1" si="313"/>
        <v>0.14000000000000001</v>
      </c>
      <c r="D583" s="20">
        <f t="shared" ca="1" si="325"/>
        <v>0.16800000000000001</v>
      </c>
      <c r="E583" s="225"/>
      <c r="F583" s="231"/>
      <c r="G583" s="172" t="str">
        <f t="shared" ca="1" si="345"/>
        <v/>
      </c>
      <c r="H583" s="93" t="str">
        <f t="shared" ca="1" si="346"/>
        <v/>
      </c>
      <c r="I583" s="21">
        <v>100</v>
      </c>
      <c r="J583" s="68">
        <f t="shared" si="347"/>
        <v>0.85000000000000009</v>
      </c>
      <c r="K583" s="70">
        <v>1.02</v>
      </c>
      <c r="L583" s="72">
        <f t="shared" ca="1" si="343"/>
        <v>0.56800000000000006</v>
      </c>
      <c r="M583" s="73">
        <f t="shared" ca="1" si="344"/>
        <v>56.800000000000004</v>
      </c>
      <c r="N583" s="12" t="s">
        <v>41</v>
      </c>
      <c r="O583" s="47" t="s">
        <v>45</v>
      </c>
      <c r="P583" s="13">
        <f t="shared" si="333"/>
        <v>1.02</v>
      </c>
      <c r="Q583" s="1" t="str">
        <f t="shared" si="334"/>
        <v>100-290 шт - 1,02 руб / шт с НДС</v>
      </c>
      <c r="R583" s="235"/>
      <c r="S583" s="239"/>
      <c r="T583" s="226"/>
      <c r="U583" s="228"/>
      <c r="V583" s="222"/>
      <c r="W583" s="229"/>
      <c r="X583" s="227"/>
      <c r="Y583" s="229"/>
      <c r="Z583" s="236"/>
      <c r="AA583" s="237"/>
      <c r="AB583" s="238"/>
      <c r="AC583" s="223"/>
      <c r="AD583" s="222"/>
    </row>
    <row r="584" spans="1:30" x14ac:dyDescent="0.4">
      <c r="A584" s="230"/>
      <c r="B584" s="8">
        <v>118</v>
      </c>
      <c r="C584" s="14">
        <f t="shared" ca="1" si="313"/>
        <v>0.14000000000000001</v>
      </c>
      <c r="D584" s="20">
        <f t="shared" ca="1" si="325"/>
        <v>0.16800000000000001</v>
      </c>
      <c r="E584" s="225"/>
      <c r="F584" s="231"/>
      <c r="G584" s="172" t="str">
        <f t="shared" ca="1" si="345"/>
        <v/>
      </c>
      <c r="H584" s="93" t="str">
        <f t="shared" ca="1" si="346"/>
        <v/>
      </c>
      <c r="I584" s="21">
        <v>300</v>
      </c>
      <c r="J584" s="68">
        <f t="shared" si="347"/>
        <v>0.72499999999999998</v>
      </c>
      <c r="K584" s="70">
        <v>0.87</v>
      </c>
      <c r="L584" s="72">
        <f t="shared" ca="1" si="343"/>
        <v>0.46799999999999997</v>
      </c>
      <c r="M584" s="73">
        <f t="shared" ca="1" si="344"/>
        <v>140.39999999999998</v>
      </c>
      <c r="N584" s="12" t="s">
        <v>42</v>
      </c>
      <c r="O584" s="47" t="s">
        <v>45</v>
      </c>
      <c r="P584" s="13">
        <f t="shared" si="333"/>
        <v>0.87</v>
      </c>
      <c r="Q584" s="1" t="str">
        <f t="shared" si="334"/>
        <v>300-490 шт - 0,87 руб / шт с НДС</v>
      </c>
      <c r="R584" s="235"/>
      <c r="S584" s="239"/>
      <c r="T584" s="226"/>
      <c r="U584" s="228"/>
      <c r="V584" s="222"/>
      <c r="W584" s="229"/>
      <c r="X584" s="227"/>
      <c r="Y584" s="229"/>
      <c r="Z584" s="236"/>
      <c r="AA584" s="237"/>
      <c r="AB584" s="238"/>
      <c r="AC584" s="223"/>
      <c r="AD584" s="222"/>
    </row>
    <row r="585" spans="1:30" x14ac:dyDescent="0.4">
      <c r="A585" s="230"/>
      <c r="B585" s="8">
        <v>118</v>
      </c>
      <c r="C585" s="14">
        <f t="shared" ref="C585:C648" ca="1" si="350">INDIRECT("'Закуп'!A" &amp; B585)</f>
        <v>0.14000000000000001</v>
      </c>
      <c r="D585" s="20">
        <f t="shared" ca="1" si="325"/>
        <v>0.16800000000000001</v>
      </c>
      <c r="E585" s="225"/>
      <c r="F585" s="231"/>
      <c r="G585" s="172" t="str">
        <f t="shared" ca="1" si="345"/>
        <v/>
      </c>
      <c r="H585" s="93" t="str">
        <f t="shared" ca="1" si="346"/>
        <v/>
      </c>
      <c r="I585" s="21">
        <v>500</v>
      </c>
      <c r="J585" s="68">
        <f t="shared" si="347"/>
        <v>0.60833333333333339</v>
      </c>
      <c r="K585" s="70">
        <v>0.73</v>
      </c>
      <c r="L585" s="72">
        <f t="shared" ca="1" si="343"/>
        <v>0.3746666666666667</v>
      </c>
      <c r="M585" s="73">
        <f t="shared" ca="1" si="344"/>
        <v>187.33333333333334</v>
      </c>
      <c r="N585" s="12" t="s">
        <v>43</v>
      </c>
      <c r="O585" s="47" t="s">
        <v>45</v>
      </c>
      <c r="P585" s="13">
        <f t="shared" si="333"/>
        <v>0.73</v>
      </c>
      <c r="Q585" s="1" t="str">
        <f t="shared" si="334"/>
        <v>500-990 шт - 0,73 руб / шт с НДС</v>
      </c>
      <c r="R585" s="235"/>
      <c r="S585" s="239"/>
      <c r="T585" s="226"/>
      <c r="U585" s="228"/>
      <c r="V585" s="222"/>
      <c r="W585" s="229"/>
      <c r="X585" s="227"/>
      <c r="Y585" s="229"/>
      <c r="Z585" s="236"/>
      <c r="AA585" s="237"/>
      <c r="AB585" s="238"/>
      <c r="AC585" s="223"/>
      <c r="AD585" s="222"/>
    </row>
    <row r="586" spans="1:30" x14ac:dyDescent="0.4">
      <c r="A586" s="230"/>
      <c r="B586" s="8">
        <v>118</v>
      </c>
      <c r="C586" s="14">
        <f t="shared" ca="1" si="350"/>
        <v>0.14000000000000001</v>
      </c>
      <c r="D586" s="20">
        <f t="shared" ca="1" si="325"/>
        <v>0.16800000000000001</v>
      </c>
      <c r="E586" s="225"/>
      <c r="F586" s="231"/>
      <c r="G586" s="172" t="str">
        <f t="shared" ca="1" si="345"/>
        <v/>
      </c>
      <c r="H586" s="93" t="str">
        <f t="shared" ca="1" si="346"/>
        <v/>
      </c>
      <c r="I586" s="21">
        <v>1000</v>
      </c>
      <c r="J586" s="68">
        <f t="shared" si="347"/>
        <v>0.49166666666666664</v>
      </c>
      <c r="K586" s="70">
        <v>0.59</v>
      </c>
      <c r="L586" s="72">
        <f t="shared" ca="1" si="343"/>
        <v>0.28133333333333332</v>
      </c>
      <c r="M586" s="73">
        <f t="shared" ca="1" si="344"/>
        <v>281.33333333333331</v>
      </c>
      <c r="N586" s="12" t="s">
        <v>44</v>
      </c>
      <c r="O586" s="47" t="s">
        <v>45</v>
      </c>
      <c r="P586" s="13">
        <f t="shared" si="333"/>
        <v>0.59</v>
      </c>
      <c r="Q586" s="1" t="str">
        <f t="shared" si="334"/>
        <v>1000 + шт - 0,59 руб / шт с НДС</v>
      </c>
      <c r="R586" s="235"/>
      <c r="S586" s="239"/>
      <c r="T586" s="226"/>
      <c r="U586" s="228"/>
      <c r="V586" s="222"/>
      <c r="W586" s="229"/>
      <c r="X586" s="227"/>
      <c r="Y586" s="229"/>
      <c r="Z586" s="236"/>
      <c r="AA586" s="237"/>
      <c r="AB586" s="238"/>
      <c r="AC586" s="223"/>
      <c r="AD586" s="222"/>
    </row>
    <row r="587" spans="1:30" x14ac:dyDescent="0.4">
      <c r="A587" s="230">
        <v>119</v>
      </c>
      <c r="B587" s="8">
        <v>119</v>
      </c>
      <c r="C587" s="14">
        <f t="shared" ca="1" si="350"/>
        <v>0.56000000000000005</v>
      </c>
      <c r="D587" s="20">
        <f t="shared" ca="1" si="325"/>
        <v>0.67200000000000004</v>
      </c>
      <c r="E587" s="224" t="str">
        <f ca="1">INDIRECT("'Закуп'!D" &amp; A587)</f>
        <v>У</v>
      </c>
      <c r="F587" s="231" t="str">
        <f t="shared" ref="F587" ca="1" si="351">INDIRECT("'Закуп'!E" &amp; B587)</f>
        <v>255х204х131</v>
      </c>
      <c r="G587" s="172" t="str">
        <f t="shared" ca="1" si="345"/>
        <v/>
      </c>
      <c r="H587" s="93" t="str">
        <f t="shared" ca="1" si="346"/>
        <v/>
      </c>
      <c r="I587" s="21">
        <v>50</v>
      </c>
      <c r="J587" s="68">
        <f t="shared" si="347"/>
        <v>1.3166666666666669</v>
      </c>
      <c r="K587" s="70">
        <v>1.58</v>
      </c>
      <c r="L587" s="72">
        <f t="shared" ca="1" si="343"/>
        <v>0.6053333333333335</v>
      </c>
      <c r="M587" s="73">
        <f t="shared" ca="1" si="344"/>
        <v>30.266666666666676</v>
      </c>
      <c r="N587" s="12" t="s">
        <v>40</v>
      </c>
      <c r="O587" s="47" t="s">
        <v>45</v>
      </c>
      <c r="P587" s="13">
        <f t="shared" si="333"/>
        <v>1.58</v>
      </c>
      <c r="Q587" s="1" t="str">
        <f t="shared" si="334"/>
        <v>50-90 шт - 1,58 руб / шт с НДС</v>
      </c>
      <c r="R587" s="235" t="str">
        <f ca="1">INDIRECT("'Закуп'!k" &amp; A587)</f>
        <v>K120</v>
      </c>
      <c r="S587" s="239">
        <f ca="1">INDIRECT("'Закуп'!o" &amp; A587)</f>
        <v>6.81</v>
      </c>
      <c r="T587" s="226" t="str">
        <f ca="1">INDIRECT("'Закуп'!p" &amp; A587)</f>
        <v>6-7,9 литра</v>
      </c>
      <c r="U587" s="228" t="str">
        <f ca="1">INDIRECT("'Закуп'!v" &amp; A587)</f>
        <v/>
      </c>
      <c r="V587" s="222" t="str">
        <f ca="1">INDIRECT("'Закуп'!w" &amp; A587)</f>
        <v/>
      </c>
      <c r="W587" s="229" t="str">
        <f ca="1">INDIRECT("'Закуп'!H" &amp; A587)</f>
        <v>х</v>
      </c>
      <c r="X587" s="227" t="str">
        <f t="shared" ref="X587" ca="1" si="352">INDIRECT("'Закуп'!g" &amp; A587)</f>
        <v>Ч</v>
      </c>
      <c r="Y587" s="229" t="str">
        <f ca="1">INDIRECT("'Закуп'!i" &amp; A587)</f>
        <v>В</v>
      </c>
      <c r="Z587" s="236" t="str">
        <f ca="1">INDIRECT("'Закуп'!x" &amp; A587)</f>
        <v>200-299 мм</v>
      </c>
      <c r="AA587" s="237" t="str">
        <f ca="1">INDIRECT("'Закуп'!y" &amp; A587)</f>
        <v>200-299 мм</v>
      </c>
      <c r="AB587" s="238" t="str">
        <f ca="1">INDIRECT("'Закуп'!z" &amp; A587)</f>
        <v>100-199 мм</v>
      </c>
      <c r="AC587" s="223" t="str">
        <f t="shared" ca="1" si="332"/>
        <v>255x204x131</v>
      </c>
      <c r="AD587" s="222" t="str">
        <f t="shared" ca="1" si="320"/>
        <v>255x204x131 - 255*204*131 мм</v>
      </c>
    </row>
    <row r="588" spans="1:30" x14ac:dyDescent="0.4">
      <c r="A588" s="230"/>
      <c r="B588" s="8">
        <v>119</v>
      </c>
      <c r="C588" s="14">
        <f t="shared" ca="1" si="350"/>
        <v>0.56000000000000005</v>
      </c>
      <c r="D588" s="20">
        <f t="shared" ca="1" si="325"/>
        <v>0.67200000000000004</v>
      </c>
      <c r="E588" s="225"/>
      <c r="F588" s="231"/>
      <c r="G588" s="172" t="str">
        <f t="shared" ca="1" si="345"/>
        <v/>
      </c>
      <c r="H588" s="93" t="str">
        <f t="shared" ca="1" si="346"/>
        <v/>
      </c>
      <c r="I588" s="21">
        <v>100</v>
      </c>
      <c r="J588" s="68">
        <f t="shared" si="347"/>
        <v>1.1916666666666667</v>
      </c>
      <c r="K588" s="70">
        <v>1.43</v>
      </c>
      <c r="L588" s="72">
        <f t="shared" ca="1" si="343"/>
        <v>0.5053333333333333</v>
      </c>
      <c r="M588" s="73">
        <f t="shared" ca="1" si="344"/>
        <v>50.533333333333331</v>
      </c>
      <c r="N588" s="12" t="s">
        <v>41</v>
      </c>
      <c r="O588" s="47" t="s">
        <v>45</v>
      </c>
      <c r="P588" s="13">
        <f t="shared" si="333"/>
        <v>1.43</v>
      </c>
      <c r="Q588" s="1" t="str">
        <f t="shared" si="334"/>
        <v>100-290 шт - 1,43 руб / шт с НДС</v>
      </c>
      <c r="R588" s="235"/>
      <c r="S588" s="239"/>
      <c r="T588" s="226"/>
      <c r="U588" s="228"/>
      <c r="V588" s="222"/>
      <c r="W588" s="229"/>
      <c r="X588" s="227"/>
      <c r="Y588" s="229"/>
      <c r="Z588" s="236"/>
      <c r="AA588" s="237"/>
      <c r="AB588" s="238"/>
      <c r="AC588" s="223"/>
      <c r="AD588" s="222"/>
    </row>
    <row r="589" spans="1:30" x14ac:dyDescent="0.4">
      <c r="A589" s="230"/>
      <c r="B589" s="8">
        <v>119</v>
      </c>
      <c r="C589" s="14">
        <f t="shared" ca="1" si="350"/>
        <v>0.56000000000000005</v>
      </c>
      <c r="D589" s="20">
        <f t="shared" ca="1" si="325"/>
        <v>0.67200000000000004</v>
      </c>
      <c r="E589" s="225"/>
      <c r="F589" s="231"/>
      <c r="G589" s="172" t="str">
        <f t="shared" ca="1" si="345"/>
        <v/>
      </c>
      <c r="H589" s="93" t="str">
        <f t="shared" ca="1" si="346"/>
        <v/>
      </c>
      <c r="I589" s="21">
        <v>300</v>
      </c>
      <c r="J589" s="68">
        <f t="shared" si="347"/>
        <v>0.94166666666666665</v>
      </c>
      <c r="K589" s="70">
        <v>1.1299999999999999</v>
      </c>
      <c r="L589" s="72">
        <f t="shared" ca="1" si="343"/>
        <v>0.30533333333333329</v>
      </c>
      <c r="M589" s="73">
        <f t="shared" ca="1" si="344"/>
        <v>91.59999999999998</v>
      </c>
      <c r="N589" s="12" t="s">
        <v>42</v>
      </c>
      <c r="O589" s="47" t="s">
        <v>45</v>
      </c>
      <c r="P589" s="13">
        <f t="shared" si="333"/>
        <v>1.1299999999999999</v>
      </c>
      <c r="Q589" s="1" t="str">
        <f t="shared" si="334"/>
        <v>300-490 шт - 1,13 руб / шт с НДС</v>
      </c>
      <c r="R589" s="235"/>
      <c r="S589" s="239"/>
      <c r="T589" s="226"/>
      <c r="U589" s="228"/>
      <c r="V589" s="222"/>
      <c r="W589" s="229"/>
      <c r="X589" s="227"/>
      <c r="Y589" s="229"/>
      <c r="Z589" s="236"/>
      <c r="AA589" s="237"/>
      <c r="AB589" s="238"/>
      <c r="AC589" s="223"/>
      <c r="AD589" s="222"/>
    </row>
    <row r="590" spans="1:30" x14ac:dyDescent="0.4">
      <c r="A590" s="230"/>
      <c r="B590" s="8">
        <v>119</v>
      </c>
      <c r="C590" s="14">
        <f t="shared" ca="1" si="350"/>
        <v>0.56000000000000005</v>
      </c>
      <c r="D590" s="20">
        <f t="shared" ca="1" si="325"/>
        <v>0.67200000000000004</v>
      </c>
      <c r="E590" s="225"/>
      <c r="F590" s="231"/>
      <c r="G590" s="172" t="str">
        <f t="shared" ca="1" si="345"/>
        <v/>
      </c>
      <c r="H590" s="93" t="str">
        <f t="shared" ca="1" si="346"/>
        <v/>
      </c>
      <c r="I590" s="21">
        <v>500</v>
      </c>
      <c r="J590" s="68">
        <f t="shared" si="347"/>
        <v>0.88333333333333341</v>
      </c>
      <c r="K590" s="70">
        <v>1.06</v>
      </c>
      <c r="L590" s="72">
        <f t="shared" ca="1" si="343"/>
        <v>0.25866666666666671</v>
      </c>
      <c r="M590" s="73">
        <f t="shared" ca="1" si="344"/>
        <v>129.33333333333334</v>
      </c>
      <c r="N590" s="12" t="s">
        <v>43</v>
      </c>
      <c r="O590" s="47" t="s">
        <v>45</v>
      </c>
      <c r="P590" s="13">
        <f t="shared" si="333"/>
        <v>1.06</v>
      </c>
      <c r="Q590" s="1" t="str">
        <f t="shared" si="334"/>
        <v>500-990 шт - 1,06 руб / шт с НДС</v>
      </c>
      <c r="R590" s="235"/>
      <c r="S590" s="239"/>
      <c r="T590" s="226"/>
      <c r="U590" s="228"/>
      <c r="V590" s="222"/>
      <c r="W590" s="229"/>
      <c r="X590" s="227"/>
      <c r="Y590" s="229"/>
      <c r="Z590" s="236"/>
      <c r="AA590" s="237"/>
      <c r="AB590" s="238"/>
      <c r="AC590" s="223"/>
      <c r="AD590" s="222"/>
    </row>
    <row r="591" spans="1:30" x14ac:dyDescent="0.4">
      <c r="A591" s="230"/>
      <c r="B591" s="8">
        <v>119</v>
      </c>
      <c r="C591" s="14">
        <f t="shared" ca="1" si="350"/>
        <v>0.56000000000000005</v>
      </c>
      <c r="D591" s="20">
        <f t="shared" ca="1" si="325"/>
        <v>0.67200000000000004</v>
      </c>
      <c r="E591" s="225"/>
      <c r="F591" s="231"/>
      <c r="G591" s="172" t="str">
        <f t="shared" ca="1" si="345"/>
        <v/>
      </c>
      <c r="H591" s="93" t="str">
        <f t="shared" ca="1" si="346"/>
        <v/>
      </c>
      <c r="I591" s="21">
        <v>1000</v>
      </c>
      <c r="J591" s="68">
        <f t="shared" si="347"/>
        <v>0.84166666666666667</v>
      </c>
      <c r="K591" s="70">
        <v>1.01</v>
      </c>
      <c r="L591" s="72">
        <f t="shared" ca="1" si="343"/>
        <v>0.2253333333333333</v>
      </c>
      <c r="M591" s="73">
        <f t="shared" ca="1" si="344"/>
        <v>225.33333333333331</v>
      </c>
      <c r="N591" s="12" t="s">
        <v>44</v>
      </c>
      <c r="O591" s="47" t="s">
        <v>45</v>
      </c>
      <c r="P591" s="13">
        <f t="shared" si="333"/>
        <v>1.01</v>
      </c>
      <c r="Q591" s="1" t="str">
        <f t="shared" si="334"/>
        <v>1000 + шт - 1,01 руб / шт с НДС</v>
      </c>
      <c r="R591" s="235"/>
      <c r="S591" s="239"/>
      <c r="T591" s="226"/>
      <c r="U591" s="228"/>
      <c r="V591" s="222"/>
      <c r="W591" s="229"/>
      <c r="X591" s="227"/>
      <c r="Y591" s="229"/>
      <c r="Z591" s="236"/>
      <c r="AA591" s="237"/>
      <c r="AB591" s="238"/>
      <c r="AC591" s="223"/>
      <c r="AD591" s="222"/>
    </row>
    <row r="592" spans="1:30" x14ac:dyDescent="0.4">
      <c r="A592" s="230">
        <v>120</v>
      </c>
      <c r="B592" s="8">
        <v>120</v>
      </c>
      <c r="C592" s="14">
        <f t="shared" ca="1" si="350"/>
        <v>1.41</v>
      </c>
      <c r="D592" s="20">
        <f t="shared" ca="1" si="325"/>
        <v>1.6919999999999999</v>
      </c>
      <c r="E592" s="224" t="str">
        <f ca="1">INDIRECT("'Закуп'!D" &amp; A592)</f>
        <v>У</v>
      </c>
      <c r="F592" s="231" t="str">
        <f t="shared" ref="F592" ca="1" si="353">INDIRECT("'Закуп'!E" &amp; B592)</f>
        <v>540х325х130</v>
      </c>
      <c r="G592" s="172" t="str">
        <f t="shared" ca="1" si="345"/>
        <v/>
      </c>
      <c r="H592" s="93" t="str">
        <f t="shared" ca="1" si="346"/>
        <v/>
      </c>
      <c r="I592" s="21">
        <v>50</v>
      </c>
      <c r="J592" s="68">
        <f t="shared" si="347"/>
        <v>3.0166666666666671</v>
      </c>
      <c r="K592" s="70">
        <v>3.62</v>
      </c>
      <c r="L592" s="72">
        <f t="shared" ca="1" si="343"/>
        <v>1.2853333333333337</v>
      </c>
      <c r="M592" s="73">
        <f t="shared" ca="1" si="344"/>
        <v>64.26666666666668</v>
      </c>
      <c r="N592" s="12" t="s">
        <v>40</v>
      </c>
      <c r="O592" s="47" t="s">
        <v>45</v>
      </c>
      <c r="P592" s="13">
        <f t="shared" si="333"/>
        <v>3.62</v>
      </c>
      <c r="Q592" s="1" t="str">
        <f t="shared" si="334"/>
        <v>50-90 шт - 3,62 руб / шт с НДС</v>
      </c>
      <c r="R592" s="235" t="str">
        <f ca="1">INDIRECT("'Закуп'!k" &amp; A592)</f>
        <v>K121</v>
      </c>
      <c r="S592" s="239">
        <f ca="1">INDIRECT("'Закуп'!o" &amp; A592)</f>
        <v>22.82</v>
      </c>
      <c r="T592" s="226" t="str">
        <f ca="1">INDIRECT("'Закуп'!p" &amp; A592)</f>
        <v>20-29 литров</v>
      </c>
      <c r="U592" s="228" t="str">
        <f ca="1">INDIRECT("'Закуп'!v" &amp; A592)</f>
        <v/>
      </c>
      <c r="V592" s="222" t="str">
        <f ca="1">INDIRECT("'Закуп'!w" &amp; A592)</f>
        <v>Плоские</v>
      </c>
      <c r="W592" s="229" t="str">
        <f ca="1">INDIRECT("'Закуп'!H" &amp; A592)</f>
        <v>х</v>
      </c>
      <c r="X592" s="227" t="str">
        <f t="shared" ref="X592" ca="1" si="354">INDIRECT("'Закуп'!g" &amp; A592)</f>
        <v>Ч</v>
      </c>
      <c r="Y592" s="229" t="str">
        <f ca="1">INDIRECT("'Закуп'!i" &amp; A592)</f>
        <v>В</v>
      </c>
      <c r="Z592" s="236" t="str">
        <f ca="1">INDIRECT("'Закуп'!x" &amp; A592)</f>
        <v>500-599 мм</v>
      </c>
      <c r="AA592" s="237" t="str">
        <f ca="1">INDIRECT("'Закуп'!y" &amp; A592)</f>
        <v>300-399 мм</v>
      </c>
      <c r="AB592" s="238" t="str">
        <f ca="1">INDIRECT("'Закуп'!z" &amp; A592)</f>
        <v>100-199 мм</v>
      </c>
      <c r="AC592" s="223" t="str">
        <f t="shared" ca="1" si="332"/>
        <v>540x325x130</v>
      </c>
      <c r="AD592" s="222" t="str">
        <f t="shared" ca="1" si="320"/>
        <v>540x325x130 - 540*325*130 мм</v>
      </c>
    </row>
    <row r="593" spans="1:30" x14ac:dyDescent="0.4">
      <c r="A593" s="230"/>
      <c r="B593" s="8">
        <v>120</v>
      </c>
      <c r="C593" s="14">
        <f t="shared" ca="1" si="350"/>
        <v>1.41</v>
      </c>
      <c r="D593" s="20">
        <f t="shared" ca="1" si="325"/>
        <v>1.6919999999999999</v>
      </c>
      <c r="E593" s="225"/>
      <c r="F593" s="231"/>
      <c r="G593" s="172" t="str">
        <f t="shared" ca="1" si="345"/>
        <v/>
      </c>
      <c r="H593" s="93" t="str">
        <f t="shared" ca="1" si="346"/>
        <v/>
      </c>
      <c r="I593" s="21">
        <v>100</v>
      </c>
      <c r="J593" s="68">
        <f t="shared" si="347"/>
        <v>2.4166666666666665</v>
      </c>
      <c r="K593" s="70">
        <v>2.9</v>
      </c>
      <c r="L593" s="72">
        <f t="shared" ca="1" si="343"/>
        <v>0.80533333333333323</v>
      </c>
      <c r="M593" s="73">
        <f t="shared" ca="1" si="344"/>
        <v>80.533333333333317</v>
      </c>
      <c r="N593" s="12" t="s">
        <v>41</v>
      </c>
      <c r="O593" s="47" t="s">
        <v>45</v>
      </c>
      <c r="P593" s="13">
        <f t="shared" si="333"/>
        <v>2.9</v>
      </c>
      <c r="Q593" s="1" t="str">
        <f t="shared" si="334"/>
        <v>100-290 шт - 2,9 руб / шт с НДС</v>
      </c>
      <c r="R593" s="235"/>
      <c r="S593" s="239"/>
      <c r="T593" s="226"/>
      <c r="U593" s="228"/>
      <c r="V593" s="222"/>
      <c r="W593" s="229"/>
      <c r="X593" s="227"/>
      <c r="Y593" s="229"/>
      <c r="Z593" s="236"/>
      <c r="AA593" s="237"/>
      <c r="AB593" s="238"/>
      <c r="AC593" s="223"/>
      <c r="AD593" s="222"/>
    </row>
    <row r="594" spans="1:30" x14ac:dyDescent="0.4">
      <c r="A594" s="230"/>
      <c r="B594" s="8">
        <v>120</v>
      </c>
      <c r="C594" s="14">
        <f t="shared" ca="1" si="350"/>
        <v>1.41</v>
      </c>
      <c r="D594" s="20">
        <f t="shared" ca="1" si="325"/>
        <v>1.6919999999999999</v>
      </c>
      <c r="E594" s="225"/>
      <c r="F594" s="231"/>
      <c r="G594" s="172" t="str">
        <f t="shared" ca="1" si="345"/>
        <v/>
      </c>
      <c r="H594" s="93" t="str">
        <f t="shared" ca="1" si="346"/>
        <v/>
      </c>
      <c r="I594" s="21">
        <v>300</v>
      </c>
      <c r="J594" s="68">
        <f t="shared" si="347"/>
        <v>2.0333333333333332</v>
      </c>
      <c r="K594" s="70">
        <v>2.44</v>
      </c>
      <c r="L594" s="72">
        <f t="shared" ca="1" si="343"/>
        <v>0.49866666666666665</v>
      </c>
      <c r="M594" s="73">
        <f t="shared" ca="1" si="344"/>
        <v>149.6</v>
      </c>
      <c r="N594" s="12" t="s">
        <v>42</v>
      </c>
      <c r="O594" s="47" t="s">
        <v>45</v>
      </c>
      <c r="P594" s="13">
        <f t="shared" si="333"/>
        <v>2.44</v>
      </c>
      <c r="Q594" s="1" t="str">
        <f t="shared" si="334"/>
        <v>300-490 шт - 2,44 руб / шт с НДС</v>
      </c>
      <c r="R594" s="235"/>
      <c r="S594" s="239"/>
      <c r="T594" s="226"/>
      <c r="U594" s="228"/>
      <c r="V594" s="222"/>
      <c r="W594" s="229"/>
      <c r="X594" s="227"/>
      <c r="Y594" s="229"/>
      <c r="Z594" s="236"/>
      <c r="AA594" s="237"/>
      <c r="AB594" s="238"/>
      <c r="AC594" s="223"/>
      <c r="AD594" s="222"/>
    </row>
    <row r="595" spans="1:30" x14ac:dyDescent="0.4">
      <c r="A595" s="230"/>
      <c r="B595" s="8">
        <v>120</v>
      </c>
      <c r="C595" s="14">
        <f t="shared" ca="1" si="350"/>
        <v>1.41</v>
      </c>
      <c r="D595" s="20">
        <f t="shared" ca="1" si="325"/>
        <v>1.6919999999999999</v>
      </c>
      <c r="E595" s="225"/>
      <c r="F595" s="231"/>
      <c r="G595" s="172" t="str">
        <f t="shared" ca="1" si="345"/>
        <v/>
      </c>
      <c r="H595" s="93" t="str">
        <f t="shared" ca="1" si="346"/>
        <v/>
      </c>
      <c r="I595" s="21">
        <v>500</v>
      </c>
      <c r="J595" s="68">
        <f t="shared" si="347"/>
        <v>1.9333333333333333</v>
      </c>
      <c r="K595" s="70">
        <v>2.3199999999999998</v>
      </c>
      <c r="L595" s="72">
        <f t="shared" ca="1" si="343"/>
        <v>0.41866666666666674</v>
      </c>
      <c r="M595" s="73">
        <f t="shared" ca="1" si="344"/>
        <v>209.33333333333337</v>
      </c>
      <c r="N595" s="12" t="s">
        <v>43</v>
      </c>
      <c r="O595" s="47" t="s">
        <v>45</v>
      </c>
      <c r="P595" s="13">
        <f t="shared" si="333"/>
        <v>2.3199999999999998</v>
      </c>
      <c r="Q595" s="1" t="str">
        <f t="shared" si="334"/>
        <v>500-990 шт - 2,32 руб / шт с НДС</v>
      </c>
      <c r="R595" s="235"/>
      <c r="S595" s="239"/>
      <c r="T595" s="226"/>
      <c r="U595" s="228"/>
      <c r="V595" s="222"/>
      <c r="W595" s="229"/>
      <c r="X595" s="227"/>
      <c r="Y595" s="229"/>
      <c r="Z595" s="236"/>
      <c r="AA595" s="237"/>
      <c r="AB595" s="238"/>
      <c r="AC595" s="223"/>
      <c r="AD595" s="222"/>
    </row>
    <row r="596" spans="1:30" x14ac:dyDescent="0.4">
      <c r="A596" s="230"/>
      <c r="B596" s="8">
        <v>120</v>
      </c>
      <c r="C596" s="14">
        <f t="shared" ca="1" si="350"/>
        <v>1.41</v>
      </c>
      <c r="D596" s="20">
        <f t="shared" ca="1" si="325"/>
        <v>1.6919999999999999</v>
      </c>
      <c r="E596" s="225"/>
      <c r="F596" s="231"/>
      <c r="G596" s="172" t="str">
        <f t="shared" ca="1" si="345"/>
        <v/>
      </c>
      <c r="H596" s="93" t="str">
        <f t="shared" ca="1" si="346"/>
        <v/>
      </c>
      <c r="I596" s="21">
        <v>1000</v>
      </c>
      <c r="J596" s="68">
        <f t="shared" si="347"/>
        <v>1.8333333333333335</v>
      </c>
      <c r="K596" s="70">
        <v>2.2000000000000002</v>
      </c>
      <c r="L596" s="72">
        <f t="shared" ca="1" si="343"/>
        <v>0.33866666666666684</v>
      </c>
      <c r="M596" s="73">
        <f t="shared" ca="1" si="344"/>
        <v>338.66666666666686</v>
      </c>
      <c r="N596" s="12" t="s">
        <v>44</v>
      </c>
      <c r="O596" s="47" t="s">
        <v>45</v>
      </c>
      <c r="P596" s="13">
        <f t="shared" si="333"/>
        <v>2.2000000000000002</v>
      </c>
      <c r="Q596" s="1" t="str">
        <f t="shared" si="334"/>
        <v>1000 + шт - 2,2 руб / шт с НДС</v>
      </c>
      <c r="R596" s="235"/>
      <c r="S596" s="239"/>
      <c r="T596" s="226"/>
      <c r="U596" s="228"/>
      <c r="V596" s="222"/>
      <c r="W596" s="229"/>
      <c r="X596" s="227"/>
      <c r="Y596" s="229"/>
      <c r="Z596" s="236"/>
      <c r="AA596" s="237"/>
      <c r="AB596" s="238"/>
      <c r="AC596" s="223"/>
      <c r="AD596" s="222"/>
    </row>
    <row r="597" spans="1:30" x14ac:dyDescent="0.4">
      <c r="A597" s="230">
        <v>121</v>
      </c>
      <c r="B597" s="8">
        <v>121</v>
      </c>
      <c r="C597" s="14">
        <f t="shared" ca="1" si="350"/>
        <v>0.73</v>
      </c>
      <c r="D597" s="20">
        <f t="shared" ca="1" si="325"/>
        <v>0.876</v>
      </c>
      <c r="E597" s="224" t="str">
        <f ca="1">INDIRECT("'Закуп'!D" &amp; A597)</f>
        <v>У</v>
      </c>
      <c r="F597" s="231" t="str">
        <f t="shared" ref="F597" ca="1" si="355">INDIRECT("'Закуп'!E" &amp; B597)</f>
        <v>190х180х360</v>
      </c>
      <c r="G597" s="172" t="str">
        <f t="shared" ca="1" si="345"/>
        <v/>
      </c>
      <c r="H597" s="93" t="str">
        <f t="shared" ca="1" si="346"/>
        <v/>
      </c>
      <c r="I597" s="21">
        <v>50</v>
      </c>
      <c r="J597" s="68">
        <f t="shared" si="347"/>
        <v>1.4750000000000001</v>
      </c>
      <c r="K597" s="70">
        <v>1.77</v>
      </c>
      <c r="L597" s="72">
        <f t="shared" ca="1" si="343"/>
        <v>0.59600000000000009</v>
      </c>
      <c r="M597" s="73">
        <f t="shared" ca="1" si="344"/>
        <v>29.800000000000004</v>
      </c>
      <c r="N597" s="12" t="s">
        <v>40</v>
      </c>
      <c r="O597" s="47" t="s">
        <v>45</v>
      </c>
      <c r="P597" s="13">
        <f t="shared" si="333"/>
        <v>1.77</v>
      </c>
      <c r="Q597" s="1" t="str">
        <f t="shared" si="334"/>
        <v>50-90 шт - 1,77 руб / шт с НДС</v>
      </c>
      <c r="R597" s="235" t="str">
        <f ca="1">INDIRECT("'Закуп'!k" &amp; A597)</f>
        <v>K122</v>
      </c>
      <c r="S597" s="239">
        <f ca="1">INDIRECT("'Закуп'!o" &amp; A597)</f>
        <v>12.31</v>
      </c>
      <c r="T597" s="226" t="str">
        <f ca="1">INDIRECT("'Закуп'!p" &amp; A597)</f>
        <v>10-14,9 литров</v>
      </c>
      <c r="U597" s="228" t="str">
        <f ca="1">INDIRECT("'Закуп'!v" &amp; A597)</f>
        <v/>
      </c>
      <c r="V597" s="222" t="str">
        <f ca="1">INDIRECT("'Закуп'!w" &amp; A597)</f>
        <v/>
      </c>
      <c r="W597" s="229" t="str">
        <f ca="1">INDIRECT("'Закуп'!H" &amp; A597)</f>
        <v>х</v>
      </c>
      <c r="X597" s="227" t="str">
        <f t="shared" ref="X597" ca="1" si="356">INDIRECT("'Закуп'!g" &amp; A597)</f>
        <v>Ч</v>
      </c>
      <c r="Y597" s="229" t="str">
        <f ca="1">INDIRECT("'Закуп'!i" &amp; A597)</f>
        <v>В</v>
      </c>
      <c r="Z597" s="236" t="str">
        <f ca="1">INDIRECT("'Закуп'!x" &amp; A597)</f>
        <v>300-399 мм</v>
      </c>
      <c r="AA597" s="237" t="str">
        <f ca="1">INDIRECT("'Закуп'!y" &amp; A597)</f>
        <v>100-199 мм</v>
      </c>
      <c r="AB597" s="238" t="str">
        <f ca="1">INDIRECT("'Закуп'!z" &amp; A597)</f>
        <v>100-199 мм</v>
      </c>
      <c r="AC597" s="223" t="str">
        <f t="shared" ca="1" si="332"/>
        <v>190x180x360</v>
      </c>
      <c r="AD597" s="222" t="str">
        <f t="shared" ref="AD597:AD657" ca="1" si="357">SUBSTITUTE(INDEX(F:F, ROUNDUP((ROW(A596))/5,0)*5 - 3), "х", "x") &amp; " - " &amp; SUBSTITUTE(SUBSTITUTE(INDEX(F:F, ROUNDUP((ROW(A596))/5,0)*5 - 3), "х", "*"), "x", "*") &amp; " мм"</f>
        <v>190x180x360 - 190*180*360 мм</v>
      </c>
    </row>
    <row r="598" spans="1:30" x14ac:dyDescent="0.4">
      <c r="A598" s="230"/>
      <c r="B598" s="8">
        <v>121</v>
      </c>
      <c r="C598" s="14">
        <f t="shared" ca="1" si="350"/>
        <v>0.73</v>
      </c>
      <c r="D598" s="20">
        <f t="shared" ca="1" si="325"/>
        <v>0.876</v>
      </c>
      <c r="E598" s="225"/>
      <c r="F598" s="231"/>
      <c r="G598" s="172" t="str">
        <f t="shared" ca="1" si="345"/>
        <v/>
      </c>
      <c r="H598" s="93" t="str">
        <f t="shared" ca="1" si="346"/>
        <v/>
      </c>
      <c r="I598" s="21">
        <v>100</v>
      </c>
      <c r="J598" s="68">
        <f t="shared" si="347"/>
        <v>1.3416666666666668</v>
      </c>
      <c r="K598" s="70">
        <v>1.61</v>
      </c>
      <c r="L598" s="72">
        <f t="shared" ca="1" si="343"/>
        <v>0.48933333333333345</v>
      </c>
      <c r="M598" s="73">
        <f t="shared" ca="1" si="344"/>
        <v>48.933333333333344</v>
      </c>
      <c r="N598" s="12" t="s">
        <v>41</v>
      </c>
      <c r="O598" s="47" t="s">
        <v>45</v>
      </c>
      <c r="P598" s="13">
        <f t="shared" si="333"/>
        <v>1.61</v>
      </c>
      <c r="Q598" s="1" t="str">
        <f t="shared" si="334"/>
        <v>100-290 шт - 1,61 руб / шт с НДС</v>
      </c>
      <c r="R598" s="235"/>
      <c r="S598" s="239"/>
      <c r="T598" s="226"/>
      <c r="U598" s="228"/>
      <c r="V598" s="222"/>
      <c r="W598" s="229"/>
      <c r="X598" s="227"/>
      <c r="Y598" s="229"/>
      <c r="Z598" s="236"/>
      <c r="AA598" s="237"/>
      <c r="AB598" s="238"/>
      <c r="AC598" s="223"/>
      <c r="AD598" s="222"/>
    </row>
    <row r="599" spans="1:30" x14ac:dyDescent="0.4">
      <c r="A599" s="230"/>
      <c r="B599" s="8">
        <v>121</v>
      </c>
      <c r="C599" s="14">
        <f t="shared" ca="1" si="350"/>
        <v>0.73</v>
      </c>
      <c r="D599" s="20">
        <f t="shared" ca="1" si="325"/>
        <v>0.876</v>
      </c>
      <c r="E599" s="225"/>
      <c r="F599" s="231"/>
      <c r="G599" s="172" t="str">
        <f t="shared" ca="1" si="345"/>
        <v/>
      </c>
      <c r="H599" s="93" t="str">
        <f t="shared" ca="1" si="346"/>
        <v/>
      </c>
      <c r="I599" s="21">
        <v>300</v>
      </c>
      <c r="J599" s="68">
        <f t="shared" si="347"/>
        <v>1.2250000000000001</v>
      </c>
      <c r="K599" s="70">
        <v>1.47</v>
      </c>
      <c r="L599" s="72">
        <f t="shared" ca="1" si="343"/>
        <v>0.39600000000000007</v>
      </c>
      <c r="M599" s="73">
        <f t="shared" ca="1" si="344"/>
        <v>118.80000000000003</v>
      </c>
      <c r="N599" s="12" t="s">
        <v>42</v>
      </c>
      <c r="O599" s="47" t="s">
        <v>45</v>
      </c>
      <c r="P599" s="13">
        <f t="shared" si="333"/>
        <v>1.47</v>
      </c>
      <c r="Q599" s="1" t="str">
        <f t="shared" si="334"/>
        <v>300-490 шт - 1,47 руб / шт с НДС</v>
      </c>
      <c r="R599" s="235"/>
      <c r="S599" s="239"/>
      <c r="T599" s="226"/>
      <c r="U599" s="228"/>
      <c r="V599" s="222"/>
      <c r="W599" s="229"/>
      <c r="X599" s="227"/>
      <c r="Y599" s="229"/>
      <c r="Z599" s="236"/>
      <c r="AA599" s="237"/>
      <c r="AB599" s="238"/>
      <c r="AC599" s="223"/>
      <c r="AD599" s="222"/>
    </row>
    <row r="600" spans="1:30" x14ac:dyDescent="0.4">
      <c r="A600" s="230"/>
      <c r="B600" s="8">
        <v>121</v>
      </c>
      <c r="C600" s="14">
        <f t="shared" ca="1" si="350"/>
        <v>0.73</v>
      </c>
      <c r="D600" s="20">
        <f t="shared" ca="1" si="325"/>
        <v>0.876</v>
      </c>
      <c r="E600" s="225"/>
      <c r="F600" s="231"/>
      <c r="G600" s="172" t="str">
        <f t="shared" ca="1" si="345"/>
        <v/>
      </c>
      <c r="H600" s="93" t="str">
        <f t="shared" ca="1" si="346"/>
        <v/>
      </c>
      <c r="I600" s="21">
        <v>500</v>
      </c>
      <c r="J600" s="68">
        <f t="shared" si="347"/>
        <v>1.1250000000000002</v>
      </c>
      <c r="K600" s="70">
        <v>1.35</v>
      </c>
      <c r="L600" s="72">
        <f t="shared" ca="1" si="343"/>
        <v>0.31600000000000017</v>
      </c>
      <c r="M600" s="73">
        <f t="shared" ca="1" si="344"/>
        <v>158.00000000000009</v>
      </c>
      <c r="N600" s="12" t="s">
        <v>43</v>
      </c>
      <c r="O600" s="47" t="s">
        <v>45</v>
      </c>
      <c r="P600" s="13">
        <f t="shared" si="333"/>
        <v>1.35</v>
      </c>
      <c r="Q600" s="1" t="str">
        <f t="shared" si="334"/>
        <v>500-990 шт - 1,35 руб / шт с НДС</v>
      </c>
      <c r="R600" s="235"/>
      <c r="S600" s="239"/>
      <c r="T600" s="226"/>
      <c r="U600" s="228"/>
      <c r="V600" s="222"/>
      <c r="W600" s="229"/>
      <c r="X600" s="227"/>
      <c r="Y600" s="229"/>
      <c r="Z600" s="236"/>
      <c r="AA600" s="237"/>
      <c r="AB600" s="238"/>
      <c r="AC600" s="223"/>
      <c r="AD600" s="222"/>
    </row>
    <row r="601" spans="1:30" x14ac:dyDescent="0.4">
      <c r="A601" s="230"/>
      <c r="B601" s="8">
        <v>121</v>
      </c>
      <c r="C601" s="14">
        <f t="shared" ca="1" si="350"/>
        <v>0.73</v>
      </c>
      <c r="D601" s="20">
        <f t="shared" ca="1" si="325"/>
        <v>0.876</v>
      </c>
      <c r="E601" s="225"/>
      <c r="F601" s="231"/>
      <c r="G601" s="172" t="str">
        <f t="shared" ca="1" si="345"/>
        <v/>
      </c>
      <c r="H601" s="93" t="str">
        <f t="shared" ca="1" si="346"/>
        <v/>
      </c>
      <c r="I601" s="21">
        <v>1000</v>
      </c>
      <c r="J601" s="68">
        <f t="shared" si="347"/>
        <v>1</v>
      </c>
      <c r="K601" s="70">
        <v>1.2</v>
      </c>
      <c r="L601" s="72">
        <f t="shared" ca="1" si="343"/>
        <v>0.21600000000000003</v>
      </c>
      <c r="M601" s="73">
        <f t="shared" ca="1" si="344"/>
        <v>216.00000000000003</v>
      </c>
      <c r="N601" s="12" t="s">
        <v>44</v>
      </c>
      <c r="O601" s="47" t="s">
        <v>45</v>
      </c>
      <c r="P601" s="13">
        <f t="shared" si="333"/>
        <v>1.2</v>
      </c>
      <c r="Q601" s="1" t="str">
        <f t="shared" si="334"/>
        <v>1000 + шт - 1,2 руб / шт с НДС</v>
      </c>
      <c r="R601" s="235"/>
      <c r="S601" s="239"/>
      <c r="T601" s="226"/>
      <c r="U601" s="228"/>
      <c r="V601" s="222"/>
      <c r="W601" s="229"/>
      <c r="X601" s="227"/>
      <c r="Y601" s="229"/>
      <c r="Z601" s="236"/>
      <c r="AA601" s="237"/>
      <c r="AB601" s="238"/>
      <c r="AC601" s="223"/>
      <c r="AD601" s="222"/>
    </row>
    <row r="602" spans="1:30" x14ac:dyDescent="0.4">
      <c r="A602" s="230">
        <v>122</v>
      </c>
      <c r="B602" s="8">
        <v>122</v>
      </c>
      <c r="C602" s="14">
        <f t="shared" ca="1" si="350"/>
        <v>0.44</v>
      </c>
      <c r="D602" s="20">
        <f t="shared" ca="1" si="325"/>
        <v>0.52800000000000002</v>
      </c>
      <c r="E602" s="224" t="str">
        <f ca="1">INDIRECT("'Закуп'!D" &amp; A602)</f>
        <v>У</v>
      </c>
      <c r="F602" s="231" t="str">
        <f t="shared" ref="F602" ca="1" si="358">INDIRECT("'Закуп'!E" &amp; B602)</f>
        <v>230х140х180</v>
      </c>
      <c r="G602" s="172" t="str">
        <f t="shared" ca="1" si="345"/>
        <v/>
      </c>
      <c r="H602" s="93" t="str">
        <f t="shared" ca="1" si="346"/>
        <v/>
      </c>
      <c r="I602" s="21">
        <v>50</v>
      </c>
      <c r="J602" s="68">
        <f t="shared" si="347"/>
        <v>1.0750000000000002</v>
      </c>
      <c r="K602" s="70">
        <v>1.29</v>
      </c>
      <c r="L602" s="72">
        <f t="shared" ca="1" si="343"/>
        <v>0.50800000000000023</v>
      </c>
      <c r="M602" s="73">
        <f t="shared" ca="1" si="344"/>
        <v>25.400000000000013</v>
      </c>
      <c r="N602" s="12" t="s">
        <v>40</v>
      </c>
      <c r="O602" s="47" t="s">
        <v>45</v>
      </c>
      <c r="P602" s="13">
        <f t="shared" si="333"/>
        <v>1.29</v>
      </c>
      <c r="Q602" s="1" t="str">
        <f t="shared" si="334"/>
        <v>50-90 шт - 1,29 руб / шт с НДС</v>
      </c>
      <c r="R602" s="235" t="str">
        <f ca="1">INDIRECT("'Закуп'!k" &amp; A602)</f>
        <v>K123</v>
      </c>
      <c r="S602" s="239">
        <f ca="1">INDIRECT("'Закуп'!o" &amp; A602)</f>
        <v>5.8</v>
      </c>
      <c r="T602" s="226" t="str">
        <f ca="1">INDIRECT("'Закуп'!p" &amp; A602)</f>
        <v>4-5,9 литра</v>
      </c>
      <c r="U602" s="228" t="str">
        <f ca="1">INDIRECT("'Закуп'!v" &amp; A602)</f>
        <v/>
      </c>
      <c r="V602" s="222" t="str">
        <f ca="1">INDIRECT("'Закуп'!w" &amp; A602)</f>
        <v/>
      </c>
      <c r="W602" s="229" t="str">
        <f ca="1">INDIRECT("'Закуп'!H" &amp; A602)</f>
        <v>х</v>
      </c>
      <c r="X602" s="227" t="str">
        <f t="shared" ref="X602" ca="1" si="359">INDIRECT("'Закуп'!g" &amp; A602)</f>
        <v>Ч</v>
      </c>
      <c r="Y602" s="229" t="str">
        <f ca="1">INDIRECT("'Закуп'!i" &amp; A602)</f>
        <v>В</v>
      </c>
      <c r="Z602" s="236" t="str">
        <f ca="1">INDIRECT("'Закуп'!x" &amp; A602)</f>
        <v>200-299 мм</v>
      </c>
      <c r="AA602" s="237" t="str">
        <f ca="1">INDIRECT("'Закуп'!y" &amp; A602)</f>
        <v>100-199 мм</v>
      </c>
      <c r="AB602" s="238" t="str">
        <f ca="1">INDIRECT("'Закуп'!z" &amp; A602)</f>
        <v>100-199 мм</v>
      </c>
      <c r="AC602" s="223" t="str">
        <f t="shared" ca="1" si="332"/>
        <v>230x140x180</v>
      </c>
      <c r="AD602" s="222" t="str">
        <f t="shared" ca="1" si="357"/>
        <v>230x140x180 - 230*140*180 мм</v>
      </c>
    </row>
    <row r="603" spans="1:30" x14ac:dyDescent="0.4">
      <c r="A603" s="230"/>
      <c r="B603" s="8">
        <v>122</v>
      </c>
      <c r="C603" s="14">
        <f t="shared" ca="1" si="350"/>
        <v>0.44</v>
      </c>
      <c r="D603" s="20">
        <f t="shared" ca="1" si="325"/>
        <v>0.52800000000000002</v>
      </c>
      <c r="E603" s="225"/>
      <c r="F603" s="231"/>
      <c r="G603" s="172" t="str">
        <f t="shared" ca="1" si="345"/>
        <v/>
      </c>
      <c r="H603" s="93" t="str">
        <f t="shared" ca="1" si="346"/>
        <v/>
      </c>
      <c r="I603" s="21">
        <v>100</v>
      </c>
      <c r="J603" s="68">
        <f t="shared" si="347"/>
        <v>0.94166666666666665</v>
      </c>
      <c r="K603" s="70">
        <v>1.1299999999999999</v>
      </c>
      <c r="L603" s="72">
        <f t="shared" ca="1" si="343"/>
        <v>0.40133333333333338</v>
      </c>
      <c r="M603" s="73">
        <f t="shared" ca="1" si="344"/>
        <v>40.13333333333334</v>
      </c>
      <c r="N603" s="12" t="s">
        <v>41</v>
      </c>
      <c r="O603" s="47" t="s">
        <v>45</v>
      </c>
      <c r="P603" s="13">
        <f t="shared" si="333"/>
        <v>1.1299999999999999</v>
      </c>
      <c r="Q603" s="1" t="str">
        <f t="shared" si="334"/>
        <v>100-290 шт - 1,13 руб / шт с НДС</v>
      </c>
      <c r="R603" s="235"/>
      <c r="S603" s="239"/>
      <c r="T603" s="226"/>
      <c r="U603" s="228"/>
      <c r="V603" s="222"/>
      <c r="W603" s="229"/>
      <c r="X603" s="227"/>
      <c r="Y603" s="229"/>
      <c r="Z603" s="236"/>
      <c r="AA603" s="237"/>
      <c r="AB603" s="238"/>
      <c r="AC603" s="223"/>
      <c r="AD603" s="222"/>
    </row>
    <row r="604" spans="1:30" x14ac:dyDescent="0.4">
      <c r="A604" s="230"/>
      <c r="B604" s="8">
        <v>122</v>
      </c>
      <c r="C604" s="14">
        <f t="shared" ca="1" si="350"/>
        <v>0.44</v>
      </c>
      <c r="D604" s="20">
        <f t="shared" ca="1" si="325"/>
        <v>0.52800000000000002</v>
      </c>
      <c r="E604" s="225"/>
      <c r="F604" s="231"/>
      <c r="G604" s="172" t="str">
        <f t="shared" ca="1" si="345"/>
        <v/>
      </c>
      <c r="H604" s="93" t="str">
        <f t="shared" ca="1" si="346"/>
        <v/>
      </c>
      <c r="I604" s="21">
        <v>300</v>
      </c>
      <c r="J604" s="68">
        <f t="shared" si="347"/>
        <v>0.8</v>
      </c>
      <c r="K604" s="70">
        <v>0.96</v>
      </c>
      <c r="L604" s="72">
        <f t="shared" ca="1" si="343"/>
        <v>0.28800000000000003</v>
      </c>
      <c r="M604" s="73">
        <f t="shared" ca="1" si="344"/>
        <v>86.4</v>
      </c>
      <c r="N604" s="12" t="s">
        <v>42</v>
      </c>
      <c r="O604" s="47" t="s">
        <v>45</v>
      </c>
      <c r="P604" s="13">
        <f t="shared" si="333"/>
        <v>0.96</v>
      </c>
      <c r="Q604" s="1" t="str">
        <f t="shared" si="334"/>
        <v>300-490 шт - 0,96 руб / шт с НДС</v>
      </c>
      <c r="R604" s="235"/>
      <c r="S604" s="239"/>
      <c r="T604" s="226"/>
      <c r="U604" s="228"/>
      <c r="V604" s="222"/>
      <c r="W604" s="229"/>
      <c r="X604" s="227"/>
      <c r="Y604" s="229"/>
      <c r="Z604" s="236"/>
      <c r="AA604" s="237"/>
      <c r="AB604" s="238"/>
      <c r="AC604" s="223"/>
      <c r="AD604" s="222"/>
    </row>
    <row r="605" spans="1:30" x14ac:dyDescent="0.4">
      <c r="A605" s="230"/>
      <c r="B605" s="8">
        <v>122</v>
      </c>
      <c r="C605" s="14">
        <f t="shared" ca="1" si="350"/>
        <v>0.44</v>
      </c>
      <c r="D605" s="20">
        <f t="shared" ca="1" si="325"/>
        <v>0.52800000000000002</v>
      </c>
      <c r="E605" s="225"/>
      <c r="F605" s="231"/>
      <c r="G605" s="172" t="str">
        <f t="shared" ca="1" si="345"/>
        <v/>
      </c>
      <c r="H605" s="93" t="str">
        <f t="shared" ca="1" si="346"/>
        <v/>
      </c>
      <c r="I605" s="21">
        <v>500</v>
      </c>
      <c r="J605" s="68">
        <f t="shared" si="347"/>
        <v>0.75</v>
      </c>
      <c r="K605" s="70">
        <v>0.9</v>
      </c>
      <c r="L605" s="72">
        <f t="shared" ca="1" si="343"/>
        <v>0.248</v>
      </c>
      <c r="M605" s="73">
        <f t="shared" ca="1" si="344"/>
        <v>124</v>
      </c>
      <c r="N605" s="12" t="s">
        <v>43</v>
      </c>
      <c r="O605" s="47" t="s">
        <v>45</v>
      </c>
      <c r="P605" s="13">
        <f t="shared" si="333"/>
        <v>0.9</v>
      </c>
      <c r="Q605" s="1" t="str">
        <f t="shared" si="334"/>
        <v>500-990 шт - 0,9 руб / шт с НДС</v>
      </c>
      <c r="R605" s="235"/>
      <c r="S605" s="239"/>
      <c r="T605" s="226"/>
      <c r="U605" s="228"/>
      <c r="V605" s="222"/>
      <c r="W605" s="229"/>
      <c r="X605" s="227"/>
      <c r="Y605" s="229"/>
      <c r="Z605" s="236"/>
      <c r="AA605" s="237"/>
      <c r="AB605" s="238"/>
      <c r="AC605" s="223"/>
      <c r="AD605" s="222"/>
    </row>
    <row r="606" spans="1:30" x14ac:dyDescent="0.4">
      <c r="A606" s="230"/>
      <c r="B606" s="8">
        <v>122</v>
      </c>
      <c r="C606" s="14">
        <f t="shared" ca="1" si="350"/>
        <v>0.44</v>
      </c>
      <c r="D606" s="20">
        <f t="shared" ca="1" si="325"/>
        <v>0.52800000000000002</v>
      </c>
      <c r="E606" s="225"/>
      <c r="F606" s="231"/>
      <c r="G606" s="172" t="str">
        <f t="shared" ca="1" si="345"/>
        <v/>
      </c>
      <c r="H606" s="93" t="str">
        <f t="shared" ca="1" si="346"/>
        <v/>
      </c>
      <c r="I606" s="21">
        <v>1000</v>
      </c>
      <c r="J606" s="68">
        <f t="shared" si="347"/>
        <v>0.70833333333333337</v>
      </c>
      <c r="K606" s="70">
        <v>0.85</v>
      </c>
      <c r="L606" s="72">
        <f t="shared" ca="1" si="343"/>
        <v>0.2146666666666667</v>
      </c>
      <c r="M606" s="73">
        <f t="shared" ca="1" si="344"/>
        <v>214.66666666666671</v>
      </c>
      <c r="N606" s="12" t="s">
        <v>44</v>
      </c>
      <c r="O606" s="47" t="s">
        <v>45</v>
      </c>
      <c r="P606" s="13">
        <f t="shared" si="333"/>
        <v>0.85</v>
      </c>
      <c r="Q606" s="1" t="str">
        <f t="shared" si="334"/>
        <v>1000 + шт - 0,85 руб / шт с НДС</v>
      </c>
      <c r="R606" s="235"/>
      <c r="S606" s="239"/>
      <c r="T606" s="226"/>
      <c r="U606" s="228"/>
      <c r="V606" s="222"/>
      <c r="W606" s="229"/>
      <c r="X606" s="227"/>
      <c r="Y606" s="229"/>
      <c r="Z606" s="236"/>
      <c r="AA606" s="237"/>
      <c r="AB606" s="238"/>
      <c r="AC606" s="223"/>
      <c r="AD606" s="222"/>
    </row>
    <row r="607" spans="1:30" x14ac:dyDescent="0.4">
      <c r="A607" s="230">
        <v>123</v>
      </c>
      <c r="B607" s="8">
        <v>123</v>
      </c>
      <c r="C607" s="14">
        <f t="shared" ca="1" si="350"/>
        <v>0.45</v>
      </c>
      <c r="D607" s="20">
        <f t="shared" ca="1" si="325"/>
        <v>0.54</v>
      </c>
      <c r="E607" s="224" t="str">
        <f ca="1">INDIRECT("'Закуп'!D" &amp; A607)</f>
        <v>У</v>
      </c>
      <c r="F607" s="231" t="str">
        <f t="shared" ref="F607" ca="1" si="360">INDIRECT("'Закуп'!E" &amp; B607)</f>
        <v>170х160х210</v>
      </c>
      <c r="G607" s="172" t="str">
        <f t="shared" ca="1" si="345"/>
        <v/>
      </c>
      <c r="H607" s="93" t="str">
        <f t="shared" ca="1" si="346"/>
        <v/>
      </c>
      <c r="I607" s="21">
        <v>50</v>
      </c>
      <c r="J607" s="68">
        <f t="shared" si="347"/>
        <v>1.1083333333333334</v>
      </c>
      <c r="K607" s="70">
        <v>1.33</v>
      </c>
      <c r="L607" s="72">
        <f t="shared" ca="1" si="343"/>
        <v>0.52666666666666673</v>
      </c>
      <c r="M607" s="73">
        <f t="shared" ca="1" si="344"/>
        <v>26.333333333333336</v>
      </c>
      <c r="N607" s="12" t="s">
        <v>40</v>
      </c>
      <c r="O607" s="47" t="s">
        <v>45</v>
      </c>
      <c r="P607" s="13">
        <f t="shared" si="333"/>
        <v>1.33</v>
      </c>
      <c r="Q607" s="1" t="str">
        <f t="shared" si="334"/>
        <v>50-90 шт - 1,33 руб / шт с НДС</v>
      </c>
      <c r="R607" s="235" t="str">
        <f ca="1">INDIRECT("'Закуп'!k" &amp; A607)</f>
        <v>K124</v>
      </c>
      <c r="S607" s="239">
        <f ca="1">INDIRECT("'Закуп'!o" &amp; A607)</f>
        <v>5.71</v>
      </c>
      <c r="T607" s="226" t="str">
        <f ca="1">INDIRECT("'Закуп'!p" &amp; A607)</f>
        <v>4-5,9 литра</v>
      </c>
      <c r="U607" s="228" t="str">
        <f ca="1">INDIRECT("'Закуп'!v" &amp; A607)</f>
        <v/>
      </c>
      <c r="V607" s="222" t="str">
        <f ca="1">INDIRECT("'Закуп'!w" &amp; A607)</f>
        <v/>
      </c>
      <c r="W607" s="229" t="str">
        <f ca="1">INDIRECT("'Закуп'!H" &amp; A607)</f>
        <v>х</v>
      </c>
      <c r="X607" s="227" t="str">
        <f t="shared" ref="X607" ca="1" si="361">INDIRECT("'Закуп'!g" &amp; A607)</f>
        <v>Ч</v>
      </c>
      <c r="Y607" s="229" t="str">
        <f ca="1">INDIRECT("'Закуп'!i" &amp; A607)</f>
        <v>В</v>
      </c>
      <c r="Z607" s="236" t="str">
        <f ca="1">INDIRECT("'Закуп'!x" &amp; A607)</f>
        <v>200-299 мм</v>
      </c>
      <c r="AA607" s="237" t="str">
        <f ca="1">INDIRECT("'Закуп'!y" &amp; A607)</f>
        <v>100-199 мм</v>
      </c>
      <c r="AB607" s="238" t="str">
        <f ca="1">INDIRECT("'Закуп'!z" &amp; A607)</f>
        <v>100-199 мм</v>
      </c>
      <c r="AC607" s="223" t="str">
        <f t="shared" ca="1" si="332"/>
        <v>170x160x210</v>
      </c>
      <c r="AD607" s="222" t="str">
        <f t="shared" ca="1" si="357"/>
        <v>170x160x210 - 170*160*210 мм</v>
      </c>
    </row>
    <row r="608" spans="1:30" x14ac:dyDescent="0.4">
      <c r="A608" s="230"/>
      <c r="B608" s="8">
        <v>123</v>
      </c>
      <c r="C608" s="14">
        <f t="shared" ca="1" si="350"/>
        <v>0.45</v>
      </c>
      <c r="D608" s="20">
        <f t="shared" ca="1" si="325"/>
        <v>0.54</v>
      </c>
      <c r="E608" s="225"/>
      <c r="F608" s="231"/>
      <c r="G608" s="172" t="str">
        <f t="shared" ca="1" si="345"/>
        <v/>
      </c>
      <c r="H608" s="93" t="str">
        <f t="shared" ca="1" si="346"/>
        <v/>
      </c>
      <c r="I608" s="21">
        <v>100</v>
      </c>
      <c r="J608" s="68">
        <f t="shared" si="347"/>
        <v>0.96666666666666667</v>
      </c>
      <c r="K608" s="70">
        <v>1.1599999999999999</v>
      </c>
      <c r="L608" s="72">
        <f t="shared" ca="1" si="343"/>
        <v>0.41333333333333327</v>
      </c>
      <c r="M608" s="73">
        <f t="shared" ca="1" si="344"/>
        <v>41.333333333333329</v>
      </c>
      <c r="N608" s="12" t="s">
        <v>41</v>
      </c>
      <c r="O608" s="47" t="s">
        <v>45</v>
      </c>
      <c r="P608" s="13">
        <f t="shared" si="333"/>
        <v>1.1599999999999999</v>
      </c>
      <c r="Q608" s="1" t="str">
        <f t="shared" si="334"/>
        <v>100-290 шт - 1,16 руб / шт с НДС</v>
      </c>
      <c r="R608" s="235"/>
      <c r="S608" s="239"/>
      <c r="T608" s="226"/>
      <c r="U608" s="228"/>
      <c r="V608" s="222"/>
      <c r="W608" s="229"/>
      <c r="X608" s="227"/>
      <c r="Y608" s="229"/>
      <c r="Z608" s="236"/>
      <c r="AA608" s="237"/>
      <c r="AB608" s="238"/>
      <c r="AC608" s="223"/>
      <c r="AD608" s="222"/>
    </row>
    <row r="609" spans="1:30" x14ac:dyDescent="0.4">
      <c r="A609" s="230"/>
      <c r="B609" s="8">
        <v>123</v>
      </c>
      <c r="C609" s="14">
        <f t="shared" ca="1" si="350"/>
        <v>0.45</v>
      </c>
      <c r="D609" s="20">
        <f t="shared" ref="D609:D672" ca="1" si="362">C609*1.2</f>
        <v>0.54</v>
      </c>
      <c r="E609" s="225"/>
      <c r="F609" s="231"/>
      <c r="G609" s="172" t="str">
        <f t="shared" ca="1" si="345"/>
        <v/>
      </c>
      <c r="H609" s="93" t="str">
        <f t="shared" ca="1" si="346"/>
        <v/>
      </c>
      <c r="I609" s="21">
        <v>300</v>
      </c>
      <c r="J609" s="68">
        <f t="shared" si="347"/>
        <v>0.81666666666666665</v>
      </c>
      <c r="K609" s="70">
        <v>0.98</v>
      </c>
      <c r="L609" s="72">
        <f t="shared" ca="1" si="343"/>
        <v>0.29333333333333333</v>
      </c>
      <c r="M609" s="73">
        <f t="shared" ca="1" si="344"/>
        <v>88</v>
      </c>
      <c r="N609" s="12" t="s">
        <v>42</v>
      </c>
      <c r="O609" s="47" t="s">
        <v>45</v>
      </c>
      <c r="P609" s="13">
        <f t="shared" si="333"/>
        <v>0.98</v>
      </c>
      <c r="Q609" s="1" t="str">
        <f t="shared" si="334"/>
        <v>300-490 шт - 0,98 руб / шт с НДС</v>
      </c>
      <c r="R609" s="235"/>
      <c r="S609" s="239"/>
      <c r="T609" s="226"/>
      <c r="U609" s="228"/>
      <c r="V609" s="222"/>
      <c r="W609" s="229"/>
      <c r="X609" s="227"/>
      <c r="Y609" s="229"/>
      <c r="Z609" s="236"/>
      <c r="AA609" s="237"/>
      <c r="AB609" s="238"/>
      <c r="AC609" s="223"/>
      <c r="AD609" s="222"/>
    </row>
    <row r="610" spans="1:30" x14ac:dyDescent="0.4">
      <c r="A610" s="230"/>
      <c r="B610" s="8">
        <v>123</v>
      </c>
      <c r="C610" s="14">
        <f t="shared" ca="1" si="350"/>
        <v>0.45</v>
      </c>
      <c r="D610" s="20">
        <f t="shared" ca="1" si="362"/>
        <v>0.54</v>
      </c>
      <c r="E610" s="225"/>
      <c r="F610" s="231"/>
      <c r="G610" s="172" t="str">
        <f t="shared" ca="1" si="345"/>
        <v/>
      </c>
      <c r="H610" s="93" t="str">
        <f t="shared" ca="1" si="346"/>
        <v/>
      </c>
      <c r="I610" s="21">
        <v>500</v>
      </c>
      <c r="J610" s="68">
        <f t="shared" si="347"/>
        <v>0.76666666666666672</v>
      </c>
      <c r="K610" s="70">
        <v>0.92</v>
      </c>
      <c r="L610" s="72">
        <f t="shared" ca="1" si="343"/>
        <v>0.25333333333333335</v>
      </c>
      <c r="M610" s="73">
        <f t="shared" ca="1" si="344"/>
        <v>126.66666666666667</v>
      </c>
      <c r="N610" s="12" t="s">
        <v>43</v>
      </c>
      <c r="O610" s="47" t="s">
        <v>45</v>
      </c>
      <c r="P610" s="13">
        <f t="shared" si="333"/>
        <v>0.92</v>
      </c>
      <c r="Q610" s="1" t="str">
        <f t="shared" si="334"/>
        <v>500-990 шт - 0,92 руб / шт с НДС</v>
      </c>
      <c r="R610" s="235"/>
      <c r="S610" s="239"/>
      <c r="T610" s="226"/>
      <c r="U610" s="228"/>
      <c r="V610" s="222"/>
      <c r="W610" s="229"/>
      <c r="X610" s="227"/>
      <c r="Y610" s="229"/>
      <c r="Z610" s="236"/>
      <c r="AA610" s="237"/>
      <c r="AB610" s="238"/>
      <c r="AC610" s="223"/>
      <c r="AD610" s="222"/>
    </row>
    <row r="611" spans="1:30" x14ac:dyDescent="0.4">
      <c r="A611" s="230"/>
      <c r="B611" s="8">
        <v>123</v>
      </c>
      <c r="C611" s="14">
        <f t="shared" ca="1" si="350"/>
        <v>0.45</v>
      </c>
      <c r="D611" s="20">
        <f t="shared" ca="1" si="362"/>
        <v>0.54</v>
      </c>
      <c r="E611" s="225"/>
      <c r="F611" s="231"/>
      <c r="G611" s="172" t="str">
        <f t="shared" ca="1" si="345"/>
        <v/>
      </c>
      <c r="H611" s="93" t="str">
        <f t="shared" ca="1" si="346"/>
        <v/>
      </c>
      <c r="I611" s="21">
        <v>1000</v>
      </c>
      <c r="J611" s="68">
        <f t="shared" si="347"/>
        <v>0.71666666666666667</v>
      </c>
      <c r="K611" s="70">
        <v>0.86</v>
      </c>
      <c r="L611" s="72">
        <f t="shared" ca="1" si="343"/>
        <v>0.21333333333333332</v>
      </c>
      <c r="M611" s="73">
        <f t="shared" ca="1" si="344"/>
        <v>213.33333333333331</v>
      </c>
      <c r="N611" s="12" t="s">
        <v>44</v>
      </c>
      <c r="O611" s="47" t="s">
        <v>45</v>
      </c>
      <c r="P611" s="13">
        <f t="shared" si="333"/>
        <v>0.86</v>
      </c>
      <c r="Q611" s="1" t="str">
        <f t="shared" si="334"/>
        <v>1000 + шт - 0,86 руб / шт с НДС</v>
      </c>
      <c r="R611" s="235"/>
      <c r="S611" s="239"/>
      <c r="T611" s="226"/>
      <c r="U611" s="228"/>
      <c r="V611" s="222"/>
      <c r="W611" s="229"/>
      <c r="X611" s="227"/>
      <c r="Y611" s="229"/>
      <c r="Z611" s="236"/>
      <c r="AA611" s="237"/>
      <c r="AB611" s="238"/>
      <c r="AC611" s="223"/>
      <c r="AD611" s="222"/>
    </row>
    <row r="612" spans="1:30" x14ac:dyDescent="0.4">
      <c r="A612" s="230">
        <v>124</v>
      </c>
      <c r="B612" s="8">
        <v>124</v>
      </c>
      <c r="C612" s="14">
        <f t="shared" ca="1" si="350"/>
        <v>0.15</v>
      </c>
      <c r="D612" s="20">
        <f t="shared" ca="1" si="362"/>
        <v>0.18</v>
      </c>
      <c r="E612" s="224" t="str">
        <f ca="1">INDIRECT("'Закуп'!D" &amp; A612)</f>
        <v>У</v>
      </c>
      <c r="F612" s="231" t="str">
        <f t="shared" ref="F612" ca="1" si="363">INDIRECT("'Закуп'!E" &amp; B612)</f>
        <v>70х70х70</v>
      </c>
      <c r="G612" s="172" t="str">
        <f t="shared" ca="1" si="345"/>
        <v/>
      </c>
      <c r="H612" s="93" t="str">
        <f t="shared" ca="1" si="346"/>
        <v/>
      </c>
      <c r="I612" s="21">
        <v>50</v>
      </c>
      <c r="J612" s="68">
        <f t="shared" si="347"/>
        <v>0.8666666666666667</v>
      </c>
      <c r="K612" s="70">
        <v>1.04</v>
      </c>
      <c r="L612" s="72">
        <f t="shared" ca="1" si="343"/>
        <v>0.57333333333333336</v>
      </c>
      <c r="M612" s="73">
        <f t="shared" ca="1" si="344"/>
        <v>28.666666666666668</v>
      </c>
      <c r="N612" s="12" t="s">
        <v>40</v>
      </c>
      <c r="O612" s="47" t="s">
        <v>45</v>
      </c>
      <c r="P612" s="13">
        <f t="shared" si="333"/>
        <v>1.04</v>
      </c>
      <c r="Q612" s="1" t="str">
        <f t="shared" si="334"/>
        <v>50-90 шт - 1,04 руб / шт с НДС</v>
      </c>
      <c r="R612" s="235" t="str">
        <f ca="1">INDIRECT("'Закуп'!k" &amp; A612)</f>
        <v>K125</v>
      </c>
      <c r="S612" s="239">
        <f ca="1">INDIRECT("'Закуп'!o" &amp; A612)</f>
        <v>0.34</v>
      </c>
      <c r="T612" s="226" t="str">
        <f ca="1">INDIRECT("'Закуп'!p" &amp; A612)</f>
        <v>0,1-0,9 литров</v>
      </c>
      <c r="U612" s="228" t="str">
        <f ca="1">INDIRECT("'Закуп'!v" &amp; A612)</f>
        <v/>
      </c>
      <c r="V612" s="222" t="str">
        <f ca="1">INDIRECT("'Закуп'!w" &amp; A612)</f>
        <v/>
      </c>
      <c r="W612" s="229" t="str">
        <f ca="1">INDIRECT("'Закуп'!H" &amp; A612)</f>
        <v>х</v>
      </c>
      <c r="X612" s="227" t="str">
        <f t="shared" ref="X612" ca="1" si="364">INDIRECT("'Закуп'!g" &amp; A612)</f>
        <v>С</v>
      </c>
      <c r="Y612" s="229" t="str">
        <f ca="1">INDIRECT("'Закуп'!i" &amp; A612)</f>
        <v>В</v>
      </c>
      <c r="Z612" s="236" t="str">
        <f ca="1">INDIRECT("'Закуп'!x" &amp; A612)</f>
        <v>10-99 мм</v>
      </c>
      <c r="AA612" s="237" t="str">
        <f ca="1">INDIRECT("'Закуп'!y" &amp; A612)</f>
        <v>10-99 мм</v>
      </c>
      <c r="AB612" s="238" t="str">
        <f ca="1">INDIRECT("'Закуп'!z" &amp; A612)</f>
        <v>10-99 мм</v>
      </c>
      <c r="AC612" s="223" t="str">
        <f t="shared" ca="1" si="332"/>
        <v>70x70x70</v>
      </c>
      <c r="AD612" s="222" t="str">
        <f t="shared" ca="1" si="357"/>
        <v>70x70x70 - 70*70*70 мм</v>
      </c>
    </row>
    <row r="613" spans="1:30" x14ac:dyDescent="0.4">
      <c r="A613" s="230"/>
      <c r="B613" s="8">
        <v>124</v>
      </c>
      <c r="C613" s="14">
        <f t="shared" ca="1" si="350"/>
        <v>0.15</v>
      </c>
      <c r="D613" s="20">
        <f t="shared" ca="1" si="362"/>
        <v>0.18</v>
      </c>
      <c r="E613" s="225"/>
      <c r="F613" s="231"/>
      <c r="G613" s="172" t="str">
        <f t="shared" ca="1" si="345"/>
        <v/>
      </c>
      <c r="H613" s="93" t="str">
        <f t="shared" ca="1" si="346"/>
        <v/>
      </c>
      <c r="I613" s="21">
        <v>100</v>
      </c>
      <c r="J613" s="68">
        <f t="shared" si="347"/>
        <v>0.78333333333333333</v>
      </c>
      <c r="K613" s="70">
        <v>0.94</v>
      </c>
      <c r="L613" s="72">
        <f t="shared" ca="1" si="343"/>
        <v>0.5066666666666666</v>
      </c>
      <c r="M613" s="73">
        <f t="shared" ca="1" si="344"/>
        <v>50.666666666666657</v>
      </c>
      <c r="N613" s="12" t="s">
        <v>41</v>
      </c>
      <c r="O613" s="47" t="s">
        <v>45</v>
      </c>
      <c r="P613" s="13">
        <f t="shared" si="333"/>
        <v>0.94</v>
      </c>
      <c r="Q613" s="1" t="str">
        <f t="shared" si="334"/>
        <v>100-290 шт - 0,94 руб / шт с НДС</v>
      </c>
      <c r="R613" s="235"/>
      <c r="S613" s="239"/>
      <c r="T613" s="226"/>
      <c r="U613" s="228"/>
      <c r="V613" s="222"/>
      <c r="W613" s="229"/>
      <c r="X613" s="227"/>
      <c r="Y613" s="229"/>
      <c r="Z613" s="236"/>
      <c r="AA613" s="237"/>
      <c r="AB613" s="238"/>
      <c r="AC613" s="223"/>
      <c r="AD613" s="222"/>
    </row>
    <row r="614" spans="1:30" x14ac:dyDescent="0.4">
      <c r="A614" s="230"/>
      <c r="B614" s="8">
        <v>124</v>
      </c>
      <c r="C614" s="14">
        <f t="shared" ca="1" si="350"/>
        <v>0.15</v>
      </c>
      <c r="D614" s="20">
        <f t="shared" ca="1" si="362"/>
        <v>0.18</v>
      </c>
      <c r="E614" s="225"/>
      <c r="F614" s="231"/>
      <c r="G614" s="172" t="str">
        <f t="shared" ca="1" si="345"/>
        <v/>
      </c>
      <c r="H614" s="93" t="str">
        <f t="shared" ca="1" si="346"/>
        <v/>
      </c>
      <c r="I614" s="21">
        <v>300</v>
      </c>
      <c r="J614" s="68">
        <f t="shared" si="347"/>
        <v>0.625</v>
      </c>
      <c r="K614" s="70">
        <v>0.75</v>
      </c>
      <c r="L614" s="72">
        <f t="shared" ca="1" si="343"/>
        <v>0.38</v>
      </c>
      <c r="M614" s="73">
        <f t="shared" ca="1" si="344"/>
        <v>114</v>
      </c>
      <c r="N614" s="12" t="s">
        <v>42</v>
      </c>
      <c r="O614" s="47" t="s">
        <v>45</v>
      </c>
      <c r="P614" s="13">
        <f t="shared" si="333"/>
        <v>0.75</v>
      </c>
      <c r="Q614" s="1" t="str">
        <f t="shared" si="334"/>
        <v>300-490 шт - 0,75 руб / шт с НДС</v>
      </c>
      <c r="R614" s="235"/>
      <c r="S614" s="239"/>
      <c r="T614" s="226"/>
      <c r="U614" s="228"/>
      <c r="V614" s="222"/>
      <c r="W614" s="229"/>
      <c r="X614" s="227"/>
      <c r="Y614" s="229"/>
      <c r="Z614" s="236"/>
      <c r="AA614" s="237"/>
      <c r="AB614" s="238"/>
      <c r="AC614" s="223"/>
      <c r="AD614" s="222"/>
    </row>
    <row r="615" spans="1:30" x14ac:dyDescent="0.4">
      <c r="A615" s="230"/>
      <c r="B615" s="8">
        <v>124</v>
      </c>
      <c r="C615" s="14">
        <f t="shared" ca="1" si="350"/>
        <v>0.15</v>
      </c>
      <c r="D615" s="20">
        <f t="shared" ca="1" si="362"/>
        <v>0.18</v>
      </c>
      <c r="E615" s="225"/>
      <c r="F615" s="231"/>
      <c r="G615" s="172" t="str">
        <f t="shared" ca="1" si="345"/>
        <v/>
      </c>
      <c r="H615" s="93" t="str">
        <f t="shared" ca="1" si="346"/>
        <v/>
      </c>
      <c r="I615" s="21">
        <v>500</v>
      </c>
      <c r="J615" s="68">
        <f t="shared" si="347"/>
        <v>0.55833333333333335</v>
      </c>
      <c r="K615" s="70">
        <v>0.67</v>
      </c>
      <c r="L615" s="72">
        <f t="shared" ca="1" si="343"/>
        <v>0.32666666666666666</v>
      </c>
      <c r="M615" s="73">
        <f t="shared" ca="1" si="344"/>
        <v>163.33333333333334</v>
      </c>
      <c r="N615" s="12" t="s">
        <v>43</v>
      </c>
      <c r="O615" s="47" t="s">
        <v>45</v>
      </c>
      <c r="P615" s="13">
        <f t="shared" si="333"/>
        <v>0.67</v>
      </c>
      <c r="Q615" s="1" t="str">
        <f t="shared" si="334"/>
        <v>500-990 шт - 0,67 руб / шт с НДС</v>
      </c>
      <c r="R615" s="235"/>
      <c r="S615" s="239"/>
      <c r="T615" s="226"/>
      <c r="U615" s="228"/>
      <c r="V615" s="222"/>
      <c r="W615" s="229"/>
      <c r="X615" s="227"/>
      <c r="Y615" s="229"/>
      <c r="Z615" s="236"/>
      <c r="AA615" s="237"/>
      <c r="AB615" s="238"/>
      <c r="AC615" s="223"/>
      <c r="AD615" s="222"/>
    </row>
    <row r="616" spans="1:30" x14ac:dyDescent="0.4">
      <c r="A616" s="230"/>
      <c r="B616" s="8">
        <v>124</v>
      </c>
      <c r="C616" s="14">
        <f t="shared" ca="1" si="350"/>
        <v>0.15</v>
      </c>
      <c r="D616" s="20">
        <f t="shared" ca="1" si="362"/>
        <v>0.18</v>
      </c>
      <c r="E616" s="225"/>
      <c r="F616" s="231"/>
      <c r="G616" s="172" t="str">
        <f t="shared" ca="1" si="345"/>
        <v/>
      </c>
      <c r="H616" s="93" t="str">
        <f t="shared" ca="1" si="346"/>
        <v/>
      </c>
      <c r="I616" s="21">
        <v>1000</v>
      </c>
      <c r="J616" s="68">
        <f t="shared" si="347"/>
        <v>0.43333333333333335</v>
      </c>
      <c r="K616" s="70">
        <v>0.52</v>
      </c>
      <c r="L616" s="72">
        <f t="shared" ca="1" si="343"/>
        <v>0.22666666666666666</v>
      </c>
      <c r="M616" s="73">
        <f t="shared" ca="1" si="344"/>
        <v>226.66666666666666</v>
      </c>
      <c r="N616" s="12" t="s">
        <v>44</v>
      </c>
      <c r="O616" s="47" t="s">
        <v>45</v>
      </c>
      <c r="P616" s="13">
        <f t="shared" si="333"/>
        <v>0.52</v>
      </c>
      <c r="Q616" s="1" t="str">
        <f t="shared" si="334"/>
        <v>1000 + шт - 0,52 руб / шт с НДС</v>
      </c>
      <c r="R616" s="235"/>
      <c r="S616" s="239"/>
      <c r="T616" s="226"/>
      <c r="U616" s="228"/>
      <c r="V616" s="222"/>
      <c r="W616" s="229"/>
      <c r="X616" s="227"/>
      <c r="Y616" s="229"/>
      <c r="Z616" s="236"/>
      <c r="AA616" s="237"/>
      <c r="AB616" s="238"/>
      <c r="AC616" s="223"/>
      <c r="AD616" s="222"/>
    </row>
    <row r="617" spans="1:30" x14ac:dyDescent="0.4">
      <c r="A617" s="230">
        <v>125</v>
      </c>
      <c r="B617" s="8">
        <v>125</v>
      </c>
      <c r="C617" s="14">
        <f t="shared" ca="1" si="350"/>
        <v>0.91</v>
      </c>
      <c r="D617" s="20">
        <f t="shared" ca="1" si="362"/>
        <v>1.0920000000000001</v>
      </c>
      <c r="E617" s="224" t="str">
        <f ca="1">INDIRECT("'Закуп'!D" &amp; A617)</f>
        <v>У</v>
      </c>
      <c r="F617" s="231" t="str">
        <f t="shared" ref="F617" ca="1" si="365">INDIRECT("'Закуп'!E" &amp; B617)</f>
        <v>410х100х390</v>
      </c>
      <c r="G617" s="172" t="str">
        <f t="shared" ca="1" si="345"/>
        <v/>
      </c>
      <c r="H617" s="93" t="str">
        <f t="shared" ca="1" si="346"/>
        <v/>
      </c>
      <c r="I617" s="21">
        <v>50</v>
      </c>
      <c r="J617" s="68">
        <f t="shared" si="347"/>
        <v>1.9416666666666669</v>
      </c>
      <c r="K617" s="70">
        <v>2.33</v>
      </c>
      <c r="L617" s="72">
        <f t="shared" ca="1" si="343"/>
        <v>0.82533333333333336</v>
      </c>
      <c r="M617" s="73">
        <f t="shared" ca="1" si="344"/>
        <v>41.266666666666666</v>
      </c>
      <c r="N617" s="12" t="s">
        <v>40</v>
      </c>
      <c r="O617" s="47" t="s">
        <v>45</v>
      </c>
      <c r="P617" s="13">
        <f t="shared" si="333"/>
        <v>2.33</v>
      </c>
      <c r="Q617" s="1" t="str">
        <f t="shared" si="334"/>
        <v>50-90 шт - 2,33 руб / шт с НДС</v>
      </c>
      <c r="R617" s="235" t="str">
        <f ca="1">INDIRECT("'Закуп'!k" &amp; A617)</f>
        <v>K126</v>
      </c>
      <c r="S617" s="239">
        <f ca="1">INDIRECT("'Закуп'!o" &amp; A617)</f>
        <v>15.99</v>
      </c>
      <c r="T617" s="226" t="str">
        <f ca="1">INDIRECT("'Закуп'!p" &amp; A617)</f>
        <v>15-19,9 литров</v>
      </c>
      <c r="U617" s="228" t="str">
        <f ca="1">INDIRECT("'Закуп'!v" &amp; A617)</f>
        <v/>
      </c>
      <c r="V617" s="222" t="str">
        <f ca="1">INDIRECT("'Закуп'!w" &amp; A617)</f>
        <v>Плоские</v>
      </c>
      <c r="W617" s="229" t="str">
        <f ca="1">INDIRECT("'Закуп'!H" &amp; A617)</f>
        <v>х</v>
      </c>
      <c r="X617" s="227" t="str">
        <f t="shared" ref="X617" ca="1" si="366">INDIRECT("'Закуп'!g" &amp; A617)</f>
        <v>Ч</v>
      </c>
      <c r="Y617" s="229" t="str">
        <f ca="1">INDIRECT("'Закуп'!i" &amp; A617)</f>
        <v>В</v>
      </c>
      <c r="Z617" s="236" t="str">
        <f ca="1">INDIRECT("'Закуп'!x" &amp; A617)</f>
        <v>400-499 мм</v>
      </c>
      <c r="AA617" s="237" t="str">
        <f ca="1">INDIRECT("'Закуп'!y" &amp; A617)</f>
        <v>300-399 мм</v>
      </c>
      <c r="AB617" s="238" t="str">
        <f ca="1">INDIRECT("'Закуп'!z" &amp; A617)</f>
        <v>100-199 мм</v>
      </c>
      <c r="AC617" s="223" t="str">
        <f t="shared" ca="1" si="332"/>
        <v>410x100x390</v>
      </c>
      <c r="AD617" s="222" t="str">
        <f t="shared" ca="1" si="357"/>
        <v>410x100x390 - 410*100*390 мм</v>
      </c>
    </row>
    <row r="618" spans="1:30" x14ac:dyDescent="0.4">
      <c r="A618" s="230"/>
      <c r="B618" s="8">
        <v>125</v>
      </c>
      <c r="C618" s="14">
        <f t="shared" ca="1" si="350"/>
        <v>0.91</v>
      </c>
      <c r="D618" s="20">
        <f t="shared" ca="1" si="362"/>
        <v>1.0920000000000001</v>
      </c>
      <c r="E618" s="225"/>
      <c r="F618" s="231"/>
      <c r="G618" s="172" t="str">
        <f t="shared" ca="1" si="345"/>
        <v/>
      </c>
      <c r="H618" s="93" t="str">
        <f t="shared" ca="1" si="346"/>
        <v/>
      </c>
      <c r="I618" s="21">
        <v>100</v>
      </c>
      <c r="J618" s="68">
        <f t="shared" si="347"/>
        <v>1.6583333333333334</v>
      </c>
      <c r="K618" s="70">
        <v>1.99</v>
      </c>
      <c r="L618" s="72">
        <f t="shared" ca="1" si="343"/>
        <v>0.59866666666666668</v>
      </c>
      <c r="M618" s="73">
        <f t="shared" ca="1" si="344"/>
        <v>59.866666666666667</v>
      </c>
      <c r="N618" s="12" t="s">
        <v>41</v>
      </c>
      <c r="O618" s="47" t="s">
        <v>45</v>
      </c>
      <c r="P618" s="13">
        <f t="shared" si="333"/>
        <v>1.99</v>
      </c>
      <c r="Q618" s="1" t="str">
        <f t="shared" si="334"/>
        <v>100-290 шт - 1,99 руб / шт с НДС</v>
      </c>
      <c r="R618" s="235"/>
      <c r="S618" s="239"/>
      <c r="T618" s="226"/>
      <c r="U618" s="228"/>
      <c r="V618" s="222"/>
      <c r="W618" s="229"/>
      <c r="X618" s="227"/>
      <c r="Y618" s="229"/>
      <c r="Z618" s="236"/>
      <c r="AA618" s="237"/>
      <c r="AB618" s="238"/>
      <c r="AC618" s="223"/>
      <c r="AD618" s="222"/>
    </row>
    <row r="619" spans="1:30" x14ac:dyDescent="0.4">
      <c r="A619" s="230"/>
      <c r="B619" s="8">
        <v>125</v>
      </c>
      <c r="C619" s="14">
        <f t="shared" ca="1" si="350"/>
        <v>0.91</v>
      </c>
      <c r="D619" s="20">
        <f t="shared" ca="1" si="362"/>
        <v>1.0920000000000001</v>
      </c>
      <c r="E619" s="225"/>
      <c r="F619" s="231"/>
      <c r="G619" s="172" t="str">
        <f t="shared" ca="1" si="345"/>
        <v/>
      </c>
      <c r="H619" s="93" t="str">
        <f t="shared" ca="1" si="346"/>
        <v/>
      </c>
      <c r="I619" s="21">
        <v>300</v>
      </c>
      <c r="J619" s="68">
        <f t="shared" si="347"/>
        <v>1.4416666666666667</v>
      </c>
      <c r="K619" s="70">
        <v>1.73</v>
      </c>
      <c r="L619" s="72">
        <f t="shared" ca="1" si="343"/>
        <v>0.42533333333333329</v>
      </c>
      <c r="M619" s="73">
        <f t="shared" ca="1" si="344"/>
        <v>127.59999999999998</v>
      </c>
      <c r="N619" s="12" t="s">
        <v>42</v>
      </c>
      <c r="O619" s="47" t="s">
        <v>45</v>
      </c>
      <c r="P619" s="13">
        <f t="shared" si="333"/>
        <v>1.73</v>
      </c>
      <c r="Q619" s="1" t="str">
        <f t="shared" si="334"/>
        <v>300-490 шт - 1,73 руб / шт с НДС</v>
      </c>
      <c r="R619" s="235"/>
      <c r="S619" s="239"/>
      <c r="T619" s="226"/>
      <c r="U619" s="228"/>
      <c r="V619" s="222"/>
      <c r="W619" s="229"/>
      <c r="X619" s="227"/>
      <c r="Y619" s="229"/>
      <c r="Z619" s="236"/>
      <c r="AA619" s="237"/>
      <c r="AB619" s="238"/>
      <c r="AC619" s="223"/>
      <c r="AD619" s="222"/>
    </row>
    <row r="620" spans="1:30" x14ac:dyDescent="0.4">
      <c r="A620" s="230"/>
      <c r="B620" s="8">
        <v>125</v>
      </c>
      <c r="C620" s="14">
        <f t="shared" ca="1" si="350"/>
        <v>0.91</v>
      </c>
      <c r="D620" s="20">
        <f t="shared" ca="1" si="362"/>
        <v>1.0920000000000001</v>
      </c>
      <c r="E620" s="225"/>
      <c r="F620" s="231"/>
      <c r="G620" s="172" t="str">
        <f t="shared" ca="1" si="345"/>
        <v/>
      </c>
      <c r="H620" s="93" t="str">
        <f t="shared" ca="1" si="346"/>
        <v/>
      </c>
      <c r="I620" s="21">
        <v>500</v>
      </c>
      <c r="J620" s="68">
        <f t="shared" si="347"/>
        <v>1.2916666666666667</v>
      </c>
      <c r="K620" s="70">
        <v>1.55</v>
      </c>
      <c r="L620" s="72">
        <f t="shared" ca="1" si="343"/>
        <v>0.30533333333333335</v>
      </c>
      <c r="M620" s="73">
        <f t="shared" ca="1" si="344"/>
        <v>152.66666666666669</v>
      </c>
      <c r="N620" s="12" t="s">
        <v>43</v>
      </c>
      <c r="O620" s="47" t="s">
        <v>45</v>
      </c>
      <c r="P620" s="13">
        <f t="shared" si="333"/>
        <v>1.55</v>
      </c>
      <c r="Q620" s="1" t="str">
        <f t="shared" si="334"/>
        <v>500-990 шт - 1,55 руб / шт с НДС</v>
      </c>
      <c r="R620" s="235"/>
      <c r="S620" s="239"/>
      <c r="T620" s="226"/>
      <c r="U620" s="228"/>
      <c r="V620" s="222"/>
      <c r="W620" s="229"/>
      <c r="X620" s="227"/>
      <c r="Y620" s="229"/>
      <c r="Z620" s="236"/>
      <c r="AA620" s="237"/>
      <c r="AB620" s="238"/>
      <c r="AC620" s="223"/>
      <c r="AD620" s="222"/>
    </row>
    <row r="621" spans="1:30" x14ac:dyDescent="0.4">
      <c r="A621" s="230"/>
      <c r="B621" s="8">
        <v>125</v>
      </c>
      <c r="C621" s="14">
        <f t="shared" ca="1" si="350"/>
        <v>0.91</v>
      </c>
      <c r="D621" s="20">
        <f t="shared" ca="1" si="362"/>
        <v>1.0920000000000001</v>
      </c>
      <c r="E621" s="225"/>
      <c r="F621" s="231"/>
      <c r="G621" s="172" t="str">
        <f t="shared" ca="1" si="345"/>
        <v/>
      </c>
      <c r="H621" s="93" t="str">
        <f t="shared" ca="1" si="346"/>
        <v/>
      </c>
      <c r="I621" s="21">
        <v>1000</v>
      </c>
      <c r="J621" s="68">
        <f t="shared" si="347"/>
        <v>1.2333333333333334</v>
      </c>
      <c r="K621" s="70">
        <v>1.48</v>
      </c>
      <c r="L621" s="72">
        <f t="shared" ca="1" si="343"/>
        <v>0.25866666666666671</v>
      </c>
      <c r="M621" s="73">
        <f t="shared" ca="1" si="344"/>
        <v>258.66666666666669</v>
      </c>
      <c r="N621" s="12" t="s">
        <v>44</v>
      </c>
      <c r="O621" s="47" t="s">
        <v>45</v>
      </c>
      <c r="P621" s="13">
        <f t="shared" si="333"/>
        <v>1.48</v>
      </c>
      <c r="Q621" s="1" t="str">
        <f t="shared" si="334"/>
        <v>1000 + шт - 1,48 руб / шт с НДС</v>
      </c>
      <c r="R621" s="235"/>
      <c r="S621" s="239"/>
      <c r="T621" s="226"/>
      <c r="U621" s="228"/>
      <c r="V621" s="222"/>
      <c r="W621" s="229"/>
      <c r="X621" s="227"/>
      <c r="Y621" s="229"/>
      <c r="Z621" s="236"/>
      <c r="AA621" s="237"/>
      <c r="AB621" s="238"/>
      <c r="AC621" s="223"/>
      <c r="AD621" s="222"/>
    </row>
    <row r="622" spans="1:30" x14ac:dyDescent="0.4">
      <c r="A622" s="230">
        <v>126</v>
      </c>
      <c r="B622" s="8">
        <v>126</v>
      </c>
      <c r="C622" s="14">
        <f t="shared" ca="1" si="350"/>
        <v>0.77</v>
      </c>
      <c r="D622" s="20">
        <f t="shared" ca="1" si="362"/>
        <v>0.92399999999999993</v>
      </c>
      <c r="E622" s="224" t="str">
        <f ca="1">INDIRECT("'Закуп'!D" &amp; A622)</f>
        <v>У</v>
      </c>
      <c r="F622" s="231" t="str">
        <f t="shared" ref="F622" ca="1" si="367">INDIRECT("'Закуп'!E" &amp; B622)</f>
        <v>210х190х355</v>
      </c>
      <c r="G622" s="172" t="str">
        <f t="shared" ca="1" si="345"/>
        <v/>
      </c>
      <c r="H622" s="93" t="str">
        <f t="shared" ca="1" si="346"/>
        <v/>
      </c>
      <c r="I622" s="21">
        <v>50</v>
      </c>
      <c r="J622" s="68">
        <f t="shared" si="347"/>
        <v>1.55</v>
      </c>
      <c r="K622" s="70">
        <v>1.86</v>
      </c>
      <c r="L622" s="72">
        <f t="shared" ca="1" si="343"/>
        <v>0.624</v>
      </c>
      <c r="M622" s="73">
        <f t="shared" ca="1" si="344"/>
        <v>31.2</v>
      </c>
      <c r="N622" s="12" t="s">
        <v>40</v>
      </c>
      <c r="O622" s="47" t="s">
        <v>45</v>
      </c>
      <c r="P622" s="13">
        <f t="shared" si="333"/>
        <v>1.86</v>
      </c>
      <c r="Q622" s="1" t="str">
        <f t="shared" si="334"/>
        <v>50-90 шт - 1,86 руб / шт с НДС</v>
      </c>
      <c r="R622" s="235" t="str">
        <f ca="1">INDIRECT("'Закуп'!k" &amp; A622)</f>
        <v>K127</v>
      </c>
      <c r="S622" s="239">
        <f ca="1">INDIRECT("'Закуп'!o" &amp; A622)</f>
        <v>14.16</v>
      </c>
      <c r="T622" s="226" t="str">
        <f ca="1">INDIRECT("'Закуп'!p" &amp; A622)</f>
        <v>10-14,9 литров</v>
      </c>
      <c r="U622" s="228" t="str">
        <f ca="1">INDIRECT("'Закуп'!v" &amp; A622)</f>
        <v/>
      </c>
      <c r="V622" s="222" t="str">
        <f ca="1">INDIRECT("'Закуп'!w" &amp; A622)</f>
        <v/>
      </c>
      <c r="W622" s="229" t="str">
        <f ca="1">INDIRECT("'Закуп'!H" &amp; A622)</f>
        <v>х</v>
      </c>
      <c r="X622" s="227" t="str">
        <f t="shared" ref="X622" ca="1" si="368">INDIRECT("'Закуп'!g" &amp; A622)</f>
        <v>Ч</v>
      </c>
      <c r="Y622" s="229" t="str">
        <f ca="1">INDIRECT("'Закуп'!i" &amp; A622)</f>
        <v>В</v>
      </c>
      <c r="Z622" s="236" t="str">
        <f ca="1">INDIRECT("'Закуп'!x" &amp; A622)</f>
        <v>300-399 мм</v>
      </c>
      <c r="AA622" s="237" t="str">
        <f ca="1">INDIRECT("'Закуп'!y" &amp; A622)</f>
        <v>200-299 мм</v>
      </c>
      <c r="AB622" s="238" t="str">
        <f ca="1">INDIRECT("'Закуп'!z" &amp; A622)</f>
        <v>100-199 мм</v>
      </c>
      <c r="AC622" s="223" t="str">
        <f t="shared" ref="AC622:AC682" ca="1" si="369">SUBSTITUTE(INDEX(F:F, ROUNDUP((ROW(A621))/5,0)*5 - 3), "х", "x")</f>
        <v>210x190x355</v>
      </c>
      <c r="AD622" s="222" t="str">
        <f t="shared" ca="1" si="357"/>
        <v>210x190x355 - 210*190*355 мм</v>
      </c>
    </row>
    <row r="623" spans="1:30" x14ac:dyDescent="0.4">
      <c r="A623" s="230"/>
      <c r="B623" s="8">
        <v>126</v>
      </c>
      <c r="C623" s="14">
        <f t="shared" ca="1" si="350"/>
        <v>0.77</v>
      </c>
      <c r="D623" s="20">
        <f t="shared" ca="1" si="362"/>
        <v>0.92399999999999993</v>
      </c>
      <c r="E623" s="225"/>
      <c r="F623" s="231"/>
      <c r="G623" s="172" t="str">
        <f t="shared" ca="1" si="345"/>
        <v/>
      </c>
      <c r="H623" s="93" t="str">
        <f t="shared" ca="1" si="346"/>
        <v/>
      </c>
      <c r="I623" s="21">
        <v>100</v>
      </c>
      <c r="J623" s="68">
        <f t="shared" si="347"/>
        <v>1.4083333333333334</v>
      </c>
      <c r="K623" s="70">
        <v>1.69</v>
      </c>
      <c r="L623" s="72">
        <f t="shared" ca="1" si="343"/>
        <v>0.51066666666666671</v>
      </c>
      <c r="M623" s="73">
        <f t="shared" ca="1" si="344"/>
        <v>51.06666666666667</v>
      </c>
      <c r="N623" s="12" t="s">
        <v>41</v>
      </c>
      <c r="O623" s="47" t="s">
        <v>45</v>
      </c>
      <c r="P623" s="13">
        <f t="shared" ref="P623:P686" si="370">ROUND(K623,2)</f>
        <v>1.69</v>
      </c>
      <c r="Q623" s="1" t="str">
        <f t="shared" si="334"/>
        <v>100-290 шт - 1,69 руб / шт с НДС</v>
      </c>
      <c r="R623" s="235"/>
      <c r="S623" s="239"/>
      <c r="T623" s="226"/>
      <c r="U623" s="228"/>
      <c r="V623" s="222"/>
      <c r="W623" s="229"/>
      <c r="X623" s="227"/>
      <c r="Y623" s="229"/>
      <c r="Z623" s="236"/>
      <c r="AA623" s="237"/>
      <c r="AB623" s="238"/>
      <c r="AC623" s="223"/>
      <c r="AD623" s="222"/>
    </row>
    <row r="624" spans="1:30" x14ac:dyDescent="0.4">
      <c r="A624" s="230"/>
      <c r="B624" s="8">
        <v>126</v>
      </c>
      <c r="C624" s="14">
        <f t="shared" ca="1" si="350"/>
        <v>0.77</v>
      </c>
      <c r="D624" s="20">
        <f t="shared" ca="1" si="362"/>
        <v>0.92399999999999993</v>
      </c>
      <c r="E624" s="225"/>
      <c r="F624" s="231"/>
      <c r="G624" s="172" t="str">
        <f t="shared" ca="1" si="345"/>
        <v/>
      </c>
      <c r="H624" s="93" t="str">
        <f t="shared" ca="1" si="346"/>
        <v/>
      </c>
      <c r="I624" s="21">
        <v>300</v>
      </c>
      <c r="J624" s="68">
        <f t="shared" si="347"/>
        <v>1.2833333333333334</v>
      </c>
      <c r="K624" s="70">
        <v>1.54</v>
      </c>
      <c r="L624" s="72">
        <f t="shared" ca="1" si="343"/>
        <v>0.41066666666666674</v>
      </c>
      <c r="M624" s="73">
        <f t="shared" ca="1" si="344"/>
        <v>123.20000000000002</v>
      </c>
      <c r="N624" s="12" t="s">
        <v>42</v>
      </c>
      <c r="O624" s="47" t="s">
        <v>45</v>
      </c>
      <c r="P624" s="13">
        <f t="shared" si="370"/>
        <v>1.54</v>
      </c>
      <c r="Q624" s="1" t="str">
        <f t="shared" ref="Q624:Q687" si="371">CONCATENATE(N624,P624,O624,)</f>
        <v>300-490 шт - 1,54 руб / шт с НДС</v>
      </c>
      <c r="R624" s="235"/>
      <c r="S624" s="239"/>
      <c r="T624" s="226"/>
      <c r="U624" s="228"/>
      <c r="V624" s="222"/>
      <c r="W624" s="229"/>
      <c r="X624" s="227"/>
      <c r="Y624" s="229"/>
      <c r="Z624" s="236"/>
      <c r="AA624" s="237"/>
      <c r="AB624" s="238"/>
      <c r="AC624" s="223"/>
      <c r="AD624" s="222"/>
    </row>
    <row r="625" spans="1:30" x14ac:dyDescent="0.4">
      <c r="A625" s="230"/>
      <c r="B625" s="8">
        <v>126</v>
      </c>
      <c r="C625" s="14">
        <f t="shared" ca="1" si="350"/>
        <v>0.77</v>
      </c>
      <c r="D625" s="20">
        <f t="shared" ca="1" si="362"/>
        <v>0.92399999999999993</v>
      </c>
      <c r="E625" s="225"/>
      <c r="F625" s="231"/>
      <c r="G625" s="172" t="str">
        <f t="shared" ca="1" si="345"/>
        <v/>
      </c>
      <c r="H625" s="93" t="str">
        <f t="shared" ca="1" si="346"/>
        <v/>
      </c>
      <c r="I625" s="21">
        <v>500</v>
      </c>
      <c r="J625" s="68">
        <f t="shared" si="347"/>
        <v>1.1833333333333333</v>
      </c>
      <c r="K625" s="70">
        <v>1.42</v>
      </c>
      <c r="L625" s="72">
        <f t="shared" ca="1" si="343"/>
        <v>0.33066666666666666</v>
      </c>
      <c r="M625" s="73">
        <f t="shared" ca="1" si="344"/>
        <v>165.33333333333334</v>
      </c>
      <c r="N625" s="12" t="s">
        <v>43</v>
      </c>
      <c r="O625" s="47" t="s">
        <v>45</v>
      </c>
      <c r="P625" s="13">
        <f t="shared" si="370"/>
        <v>1.42</v>
      </c>
      <c r="Q625" s="1" t="str">
        <f t="shared" si="371"/>
        <v>500-990 шт - 1,42 руб / шт с НДС</v>
      </c>
      <c r="R625" s="235"/>
      <c r="S625" s="239"/>
      <c r="T625" s="226"/>
      <c r="U625" s="228"/>
      <c r="V625" s="222"/>
      <c r="W625" s="229"/>
      <c r="X625" s="227"/>
      <c r="Y625" s="229"/>
      <c r="Z625" s="236"/>
      <c r="AA625" s="237"/>
      <c r="AB625" s="238"/>
      <c r="AC625" s="223"/>
      <c r="AD625" s="222"/>
    </row>
    <row r="626" spans="1:30" x14ac:dyDescent="0.4">
      <c r="A626" s="230"/>
      <c r="B626" s="8">
        <v>126</v>
      </c>
      <c r="C626" s="14">
        <f t="shared" ca="1" si="350"/>
        <v>0.77</v>
      </c>
      <c r="D626" s="20">
        <f t="shared" ca="1" si="362"/>
        <v>0.92399999999999993</v>
      </c>
      <c r="E626" s="225"/>
      <c r="F626" s="231"/>
      <c r="G626" s="172" t="str">
        <f t="shared" ca="1" si="345"/>
        <v/>
      </c>
      <c r="H626" s="93" t="str">
        <f t="shared" ca="1" si="346"/>
        <v/>
      </c>
      <c r="I626" s="21">
        <v>1000</v>
      </c>
      <c r="J626" s="68">
        <f t="shared" si="347"/>
        <v>1.05</v>
      </c>
      <c r="K626" s="70">
        <v>1.26</v>
      </c>
      <c r="L626" s="72">
        <f t="shared" ca="1" si="343"/>
        <v>0.22400000000000003</v>
      </c>
      <c r="M626" s="73">
        <f t="shared" ca="1" si="344"/>
        <v>224.00000000000003</v>
      </c>
      <c r="N626" s="12" t="s">
        <v>44</v>
      </c>
      <c r="O626" s="47" t="s">
        <v>45</v>
      </c>
      <c r="P626" s="13">
        <f t="shared" si="370"/>
        <v>1.26</v>
      </c>
      <c r="Q626" s="1" t="str">
        <f t="shared" si="371"/>
        <v>1000 + шт - 1,26 руб / шт с НДС</v>
      </c>
      <c r="R626" s="235"/>
      <c r="S626" s="239"/>
      <c r="T626" s="226"/>
      <c r="U626" s="228"/>
      <c r="V626" s="222"/>
      <c r="W626" s="229"/>
      <c r="X626" s="227"/>
      <c r="Y626" s="229"/>
      <c r="Z626" s="236"/>
      <c r="AA626" s="237"/>
      <c r="AB626" s="238"/>
      <c r="AC626" s="223"/>
      <c r="AD626" s="222"/>
    </row>
    <row r="627" spans="1:30" x14ac:dyDescent="0.4">
      <c r="A627" s="230">
        <v>127</v>
      </c>
      <c r="B627" s="8">
        <v>127</v>
      </c>
      <c r="C627" s="14">
        <f t="shared" ca="1" si="350"/>
        <v>2.1800000000000002</v>
      </c>
      <c r="D627" s="20">
        <f t="shared" ca="1" si="362"/>
        <v>2.6160000000000001</v>
      </c>
      <c r="E627" s="224" t="str">
        <f ca="1">INDIRECT("'Закуп'!D" &amp; A627)</f>
        <v>У</v>
      </c>
      <c r="F627" s="231" t="str">
        <f t="shared" ref="F627" ca="1" si="372">INDIRECT("'Закуп'!E" &amp; B627)</f>
        <v>465х305х490</v>
      </c>
      <c r="G627" s="172" t="str">
        <f t="shared" ca="1" si="345"/>
        <v/>
      </c>
      <c r="H627" s="93" t="str">
        <f t="shared" ca="1" si="346"/>
        <v/>
      </c>
      <c r="I627" s="21">
        <v>50</v>
      </c>
      <c r="J627" s="68">
        <f t="shared" si="347"/>
        <v>3.7333333333333338</v>
      </c>
      <c r="K627" s="70">
        <v>4.4800000000000004</v>
      </c>
      <c r="L627" s="72">
        <f t="shared" ca="1" si="343"/>
        <v>1.242666666666667</v>
      </c>
      <c r="M627" s="73">
        <f t="shared" ca="1" si="344"/>
        <v>62.133333333333354</v>
      </c>
      <c r="N627" s="12" t="s">
        <v>40</v>
      </c>
      <c r="O627" s="47" t="s">
        <v>45</v>
      </c>
      <c r="P627" s="13">
        <f t="shared" si="370"/>
        <v>4.4800000000000004</v>
      </c>
      <c r="Q627" s="1" t="str">
        <f t="shared" si="371"/>
        <v>50-90 шт - 4,48 руб / шт с НДС</v>
      </c>
      <c r="R627" s="235" t="str">
        <f ca="1">INDIRECT("'Закуп'!k" &amp; A627)</f>
        <v>K128</v>
      </c>
      <c r="S627" s="239">
        <f ca="1">INDIRECT("'Закуп'!o" &amp; A627)</f>
        <v>69.489999999999995</v>
      </c>
      <c r="T627" s="226" t="str">
        <f ca="1">INDIRECT("'Закуп'!p" &amp; A627)</f>
        <v>60-69 литров</v>
      </c>
      <c r="U627" s="228" t="str">
        <f ca="1">INDIRECT("'Закуп'!v" &amp; A627)</f>
        <v/>
      </c>
      <c r="V627" s="222" t="str">
        <f ca="1">INDIRECT("'Закуп'!w" &amp; A627)</f>
        <v/>
      </c>
      <c r="W627" s="229" t="str">
        <f ca="1">INDIRECT("'Закуп'!H" &amp; A627)</f>
        <v>х</v>
      </c>
      <c r="X627" s="227" t="str">
        <f t="shared" ref="X627" ca="1" si="373">INDIRECT("'Закуп'!g" &amp; A627)</f>
        <v>Ч</v>
      </c>
      <c r="Y627" s="229" t="str">
        <f ca="1">INDIRECT("'Закуп'!i" &amp; A627)</f>
        <v>В</v>
      </c>
      <c r="Z627" s="236" t="str">
        <f ca="1">INDIRECT("'Закуп'!x" &amp; A627)</f>
        <v>400-499 мм</v>
      </c>
      <c r="AA627" s="237" t="str">
        <f ca="1">INDIRECT("'Закуп'!y" &amp; A627)</f>
        <v>400-499 мм</v>
      </c>
      <c r="AB627" s="238" t="str">
        <f ca="1">INDIRECT("'Закуп'!z" &amp; A627)</f>
        <v>300-399 мм</v>
      </c>
      <c r="AC627" s="223" t="str">
        <f t="shared" ca="1" si="369"/>
        <v>465x305x490</v>
      </c>
      <c r="AD627" s="222" t="str">
        <f t="shared" ca="1" si="357"/>
        <v>465x305x490 - 465*305*490 мм</v>
      </c>
    </row>
    <row r="628" spans="1:30" x14ac:dyDescent="0.4">
      <c r="A628" s="230"/>
      <c r="B628" s="8">
        <v>127</v>
      </c>
      <c r="C628" s="14">
        <f t="shared" ca="1" si="350"/>
        <v>2.1800000000000002</v>
      </c>
      <c r="D628" s="20">
        <f t="shared" ca="1" si="362"/>
        <v>2.6160000000000001</v>
      </c>
      <c r="E628" s="225"/>
      <c r="F628" s="231"/>
      <c r="G628" s="172" t="str">
        <f t="shared" ca="1" si="345"/>
        <v/>
      </c>
      <c r="H628" s="93" t="str">
        <f t="shared" ca="1" si="346"/>
        <v/>
      </c>
      <c r="I628" s="21">
        <v>100</v>
      </c>
      <c r="J628" s="68">
        <f t="shared" si="347"/>
        <v>3.6416666666666671</v>
      </c>
      <c r="K628" s="70">
        <v>4.37</v>
      </c>
      <c r="L628" s="72">
        <f t="shared" ca="1" si="343"/>
        <v>1.1693333333333336</v>
      </c>
      <c r="M628" s="73">
        <f t="shared" ca="1" si="344"/>
        <v>116.93333333333335</v>
      </c>
      <c r="N628" s="12" t="s">
        <v>41</v>
      </c>
      <c r="O628" s="47" t="s">
        <v>45</v>
      </c>
      <c r="P628" s="13">
        <f t="shared" si="370"/>
        <v>4.37</v>
      </c>
      <c r="Q628" s="1" t="str">
        <f t="shared" si="371"/>
        <v>100-290 шт - 4,37 руб / шт с НДС</v>
      </c>
      <c r="R628" s="235"/>
      <c r="S628" s="239"/>
      <c r="T628" s="226"/>
      <c r="U628" s="228"/>
      <c r="V628" s="222"/>
      <c r="W628" s="229"/>
      <c r="X628" s="227"/>
      <c r="Y628" s="229"/>
      <c r="Z628" s="236"/>
      <c r="AA628" s="237"/>
      <c r="AB628" s="238"/>
      <c r="AC628" s="223"/>
      <c r="AD628" s="222"/>
    </row>
    <row r="629" spans="1:30" x14ac:dyDescent="0.4">
      <c r="A629" s="230"/>
      <c r="B629" s="8">
        <v>127</v>
      </c>
      <c r="C629" s="14">
        <f t="shared" ca="1" si="350"/>
        <v>2.1800000000000002</v>
      </c>
      <c r="D629" s="20">
        <f t="shared" ca="1" si="362"/>
        <v>2.6160000000000001</v>
      </c>
      <c r="E629" s="225"/>
      <c r="F629" s="231"/>
      <c r="G629" s="172" t="str">
        <f t="shared" ca="1" si="345"/>
        <v/>
      </c>
      <c r="H629" s="93" t="str">
        <f t="shared" ca="1" si="346"/>
        <v/>
      </c>
      <c r="I629" s="21">
        <v>300</v>
      </c>
      <c r="J629" s="68">
        <f t="shared" si="347"/>
        <v>2.9833333333333334</v>
      </c>
      <c r="K629" s="70">
        <v>3.58</v>
      </c>
      <c r="L629" s="72">
        <f t="shared" ca="1" si="343"/>
        <v>0.64266666666666661</v>
      </c>
      <c r="M629" s="73">
        <f t="shared" ca="1" si="344"/>
        <v>192.79999999999998</v>
      </c>
      <c r="N629" s="12" t="s">
        <v>42</v>
      </c>
      <c r="O629" s="47" t="s">
        <v>45</v>
      </c>
      <c r="P629" s="13">
        <f t="shared" si="370"/>
        <v>3.58</v>
      </c>
      <c r="Q629" s="1" t="str">
        <f t="shared" si="371"/>
        <v>300-490 шт - 3,58 руб / шт с НДС</v>
      </c>
      <c r="R629" s="235"/>
      <c r="S629" s="239"/>
      <c r="T629" s="226"/>
      <c r="U629" s="228"/>
      <c r="V629" s="222"/>
      <c r="W629" s="229"/>
      <c r="X629" s="227"/>
      <c r="Y629" s="229"/>
      <c r="Z629" s="236"/>
      <c r="AA629" s="237"/>
      <c r="AB629" s="238"/>
      <c r="AC629" s="223"/>
      <c r="AD629" s="222"/>
    </row>
    <row r="630" spans="1:30" x14ac:dyDescent="0.4">
      <c r="A630" s="230"/>
      <c r="B630" s="8">
        <v>127</v>
      </c>
      <c r="C630" s="14">
        <f t="shared" ca="1" si="350"/>
        <v>2.1800000000000002</v>
      </c>
      <c r="D630" s="20">
        <f t="shared" ca="1" si="362"/>
        <v>2.6160000000000001</v>
      </c>
      <c r="E630" s="225"/>
      <c r="F630" s="231"/>
      <c r="G630" s="172" t="str">
        <f t="shared" ca="1" si="345"/>
        <v/>
      </c>
      <c r="H630" s="93" t="str">
        <f t="shared" ca="1" si="346"/>
        <v/>
      </c>
      <c r="I630" s="21">
        <v>500</v>
      </c>
      <c r="J630" s="68">
        <f t="shared" si="347"/>
        <v>2.9416666666666664</v>
      </c>
      <c r="K630" s="70">
        <v>3.53</v>
      </c>
      <c r="L630" s="72">
        <f t="shared" ca="1" si="343"/>
        <v>0.60933333333333306</v>
      </c>
      <c r="M630" s="73">
        <f t="shared" ca="1" si="344"/>
        <v>304.66666666666652</v>
      </c>
      <c r="N630" s="12" t="s">
        <v>43</v>
      </c>
      <c r="O630" s="47" t="s">
        <v>45</v>
      </c>
      <c r="P630" s="13">
        <f t="shared" si="370"/>
        <v>3.53</v>
      </c>
      <c r="Q630" s="1" t="str">
        <f t="shared" si="371"/>
        <v>500-990 шт - 3,53 руб / шт с НДС</v>
      </c>
      <c r="R630" s="235"/>
      <c r="S630" s="239"/>
      <c r="T630" s="226"/>
      <c r="U630" s="228"/>
      <c r="V630" s="222"/>
      <c r="W630" s="229"/>
      <c r="X630" s="227"/>
      <c r="Y630" s="229"/>
      <c r="Z630" s="236"/>
      <c r="AA630" s="237"/>
      <c r="AB630" s="238"/>
      <c r="AC630" s="223"/>
      <c r="AD630" s="222"/>
    </row>
    <row r="631" spans="1:30" x14ac:dyDescent="0.4">
      <c r="A631" s="230"/>
      <c r="B631" s="8">
        <v>127</v>
      </c>
      <c r="C631" s="14">
        <f t="shared" ca="1" si="350"/>
        <v>2.1800000000000002</v>
      </c>
      <c r="D631" s="20">
        <f t="shared" ca="1" si="362"/>
        <v>2.6160000000000001</v>
      </c>
      <c r="E631" s="225"/>
      <c r="F631" s="231"/>
      <c r="G631" s="172" t="str">
        <f t="shared" ca="1" si="345"/>
        <v/>
      </c>
      <c r="H631" s="93" t="str">
        <f t="shared" ca="1" si="346"/>
        <v/>
      </c>
      <c r="I631" s="21">
        <v>1000</v>
      </c>
      <c r="J631" s="68">
        <f t="shared" si="347"/>
        <v>2.8416666666666668</v>
      </c>
      <c r="K631" s="70">
        <v>3.41</v>
      </c>
      <c r="L631" s="72">
        <f t="shared" ca="1" si="343"/>
        <v>0.52933333333333332</v>
      </c>
      <c r="M631" s="73">
        <f t="shared" ca="1" si="344"/>
        <v>529.33333333333337</v>
      </c>
      <c r="N631" s="12" t="s">
        <v>44</v>
      </c>
      <c r="O631" s="47" t="s">
        <v>45</v>
      </c>
      <c r="P631" s="13">
        <f t="shared" si="370"/>
        <v>3.41</v>
      </c>
      <c r="Q631" s="1" t="str">
        <f t="shared" si="371"/>
        <v>1000 + шт - 3,41 руб / шт с НДС</v>
      </c>
      <c r="R631" s="235"/>
      <c r="S631" s="239"/>
      <c r="T631" s="226"/>
      <c r="U631" s="228"/>
      <c r="V631" s="222"/>
      <c r="W631" s="229"/>
      <c r="X631" s="227"/>
      <c r="Y631" s="229"/>
      <c r="Z631" s="236"/>
      <c r="AA631" s="237"/>
      <c r="AB631" s="238"/>
      <c r="AC631" s="223"/>
      <c r="AD631" s="222"/>
    </row>
    <row r="632" spans="1:30" x14ac:dyDescent="0.4">
      <c r="A632" s="230">
        <v>128</v>
      </c>
      <c r="B632" s="8">
        <v>128</v>
      </c>
      <c r="C632" s="14">
        <f t="shared" ca="1" si="350"/>
        <v>0.59</v>
      </c>
      <c r="D632" s="20">
        <f t="shared" ca="1" si="362"/>
        <v>0.70799999999999996</v>
      </c>
      <c r="E632" s="224" t="str">
        <f ca="1">INDIRECT("'Закуп'!D" &amp; A632)</f>
        <v>У</v>
      </c>
      <c r="F632" s="231" t="str">
        <f t="shared" ref="F632" ca="1" si="374">INDIRECT("'Закуп'!E" &amp; B632)</f>
        <v>225х225х135</v>
      </c>
      <c r="G632" s="172" t="str">
        <f t="shared" ca="1" si="345"/>
        <v/>
      </c>
      <c r="H632" s="93" t="str">
        <f t="shared" ca="1" si="346"/>
        <v/>
      </c>
      <c r="I632" s="21">
        <v>50</v>
      </c>
      <c r="J632" s="68">
        <f t="shared" si="347"/>
        <v>1.3916666666666666</v>
      </c>
      <c r="K632" s="70">
        <v>1.67</v>
      </c>
      <c r="L632" s="72">
        <f t="shared" ca="1" si="343"/>
        <v>0.64133333333333331</v>
      </c>
      <c r="M632" s="73">
        <f t="shared" ca="1" si="344"/>
        <v>32.066666666666663</v>
      </c>
      <c r="N632" s="12" t="s">
        <v>40</v>
      </c>
      <c r="O632" s="47" t="s">
        <v>45</v>
      </c>
      <c r="P632" s="13">
        <f t="shared" si="370"/>
        <v>1.67</v>
      </c>
      <c r="Q632" s="1" t="str">
        <f t="shared" si="371"/>
        <v>50-90 шт - 1,67 руб / шт с НДС</v>
      </c>
      <c r="R632" s="235" t="str">
        <f ca="1">INDIRECT("'Закуп'!k" &amp; A632)</f>
        <v>K129</v>
      </c>
      <c r="S632" s="239">
        <f ca="1">INDIRECT("'Закуп'!o" &amp; A632)</f>
        <v>6.83</v>
      </c>
      <c r="T632" s="226" t="str">
        <f ca="1">INDIRECT("'Закуп'!p" &amp; A632)</f>
        <v>6-7,9 литра</v>
      </c>
      <c r="U632" s="228" t="str">
        <f ca="1">INDIRECT("'Закуп'!v" &amp; A632)</f>
        <v/>
      </c>
      <c r="V632" s="222" t="str">
        <f ca="1">INDIRECT("'Закуп'!w" &amp; A632)</f>
        <v/>
      </c>
      <c r="W632" s="229" t="str">
        <f ca="1">INDIRECT("'Закуп'!H" &amp; A632)</f>
        <v>х</v>
      </c>
      <c r="X632" s="227" t="str">
        <f t="shared" ref="X632" ca="1" si="375">INDIRECT("'Закуп'!g" &amp; A632)</f>
        <v>Ч</v>
      </c>
      <c r="Y632" s="229" t="str">
        <f ca="1">INDIRECT("'Закуп'!i" &amp; A632)</f>
        <v>В</v>
      </c>
      <c r="Z632" s="236" t="str">
        <f ca="1">INDIRECT("'Закуп'!x" &amp; A632)</f>
        <v>200-299 мм</v>
      </c>
      <c r="AA632" s="237" t="str">
        <f ca="1">INDIRECT("'Закуп'!y" &amp; A632)</f>
        <v>200-299 мм</v>
      </c>
      <c r="AB632" s="238" t="str">
        <f ca="1">INDIRECT("'Закуп'!z" &amp; A632)</f>
        <v>100-199 мм</v>
      </c>
      <c r="AC632" s="223" t="str">
        <f t="shared" ca="1" si="369"/>
        <v>225x225x135</v>
      </c>
      <c r="AD632" s="222" t="str">
        <f t="shared" ca="1" si="357"/>
        <v>225x225x135 - 225*225*135 мм</v>
      </c>
    </row>
    <row r="633" spans="1:30" x14ac:dyDescent="0.4">
      <c r="A633" s="230"/>
      <c r="B633" s="8">
        <v>128</v>
      </c>
      <c r="C633" s="14">
        <f t="shared" ca="1" si="350"/>
        <v>0.59</v>
      </c>
      <c r="D633" s="20">
        <f t="shared" ca="1" si="362"/>
        <v>0.70799999999999996</v>
      </c>
      <c r="E633" s="225"/>
      <c r="F633" s="231"/>
      <c r="G633" s="172" t="str">
        <f t="shared" ca="1" si="345"/>
        <v/>
      </c>
      <c r="H633" s="93" t="str">
        <f t="shared" ca="1" si="346"/>
        <v/>
      </c>
      <c r="I633" s="21">
        <v>100</v>
      </c>
      <c r="J633" s="68">
        <f t="shared" si="347"/>
        <v>1.2666666666666668</v>
      </c>
      <c r="K633" s="70">
        <v>1.52</v>
      </c>
      <c r="L633" s="72">
        <f t="shared" ca="1" si="343"/>
        <v>0.54133333333333344</v>
      </c>
      <c r="M633" s="73">
        <f t="shared" ca="1" si="344"/>
        <v>54.133333333333347</v>
      </c>
      <c r="N633" s="12" t="s">
        <v>41</v>
      </c>
      <c r="O633" s="47" t="s">
        <v>45</v>
      </c>
      <c r="P633" s="13">
        <f t="shared" si="370"/>
        <v>1.52</v>
      </c>
      <c r="Q633" s="1" t="str">
        <f t="shared" si="371"/>
        <v>100-290 шт - 1,52 руб / шт с НДС</v>
      </c>
      <c r="R633" s="235"/>
      <c r="S633" s="239"/>
      <c r="T633" s="226"/>
      <c r="U633" s="228"/>
      <c r="V633" s="222"/>
      <c r="W633" s="229"/>
      <c r="X633" s="227"/>
      <c r="Y633" s="229"/>
      <c r="Z633" s="236"/>
      <c r="AA633" s="237"/>
      <c r="AB633" s="238"/>
      <c r="AC633" s="223"/>
      <c r="AD633" s="222"/>
    </row>
    <row r="634" spans="1:30" x14ac:dyDescent="0.4">
      <c r="A634" s="230"/>
      <c r="B634" s="8">
        <v>128</v>
      </c>
      <c r="C634" s="14">
        <f t="shared" ca="1" si="350"/>
        <v>0.59</v>
      </c>
      <c r="D634" s="20">
        <f t="shared" ca="1" si="362"/>
        <v>0.70799999999999996</v>
      </c>
      <c r="E634" s="225"/>
      <c r="F634" s="231"/>
      <c r="G634" s="172" t="str">
        <f t="shared" ca="1" si="345"/>
        <v/>
      </c>
      <c r="H634" s="93" t="str">
        <f t="shared" ca="1" si="346"/>
        <v/>
      </c>
      <c r="I634" s="21">
        <v>300</v>
      </c>
      <c r="J634" s="68">
        <f t="shared" si="347"/>
        <v>1</v>
      </c>
      <c r="K634" s="70">
        <v>1.2</v>
      </c>
      <c r="L634" s="72">
        <f t="shared" ca="1" si="343"/>
        <v>0.32800000000000001</v>
      </c>
      <c r="M634" s="73">
        <f t="shared" ca="1" si="344"/>
        <v>98.4</v>
      </c>
      <c r="N634" s="12" t="s">
        <v>42</v>
      </c>
      <c r="O634" s="47" t="s">
        <v>45</v>
      </c>
      <c r="P634" s="13">
        <f t="shared" si="370"/>
        <v>1.2</v>
      </c>
      <c r="Q634" s="1" t="str">
        <f t="shared" si="371"/>
        <v>300-490 шт - 1,2 руб / шт с НДС</v>
      </c>
      <c r="R634" s="235"/>
      <c r="S634" s="239"/>
      <c r="T634" s="226"/>
      <c r="U634" s="228"/>
      <c r="V634" s="222"/>
      <c r="W634" s="229"/>
      <c r="X634" s="227"/>
      <c r="Y634" s="229"/>
      <c r="Z634" s="236"/>
      <c r="AA634" s="237"/>
      <c r="AB634" s="238"/>
      <c r="AC634" s="223"/>
      <c r="AD634" s="222"/>
    </row>
    <row r="635" spans="1:30" x14ac:dyDescent="0.4">
      <c r="A635" s="230"/>
      <c r="B635" s="8">
        <v>128</v>
      </c>
      <c r="C635" s="14">
        <f t="shared" ca="1" si="350"/>
        <v>0.59</v>
      </c>
      <c r="D635" s="20">
        <f t="shared" ca="1" si="362"/>
        <v>0.70799999999999996</v>
      </c>
      <c r="E635" s="225"/>
      <c r="F635" s="231"/>
      <c r="G635" s="172" t="str">
        <f t="shared" ca="1" si="345"/>
        <v/>
      </c>
      <c r="H635" s="93" t="str">
        <f t="shared" ca="1" si="346"/>
        <v/>
      </c>
      <c r="I635" s="21">
        <v>500</v>
      </c>
      <c r="J635" s="68">
        <f t="shared" si="347"/>
        <v>0.93333333333333346</v>
      </c>
      <c r="K635" s="70">
        <v>1.1200000000000001</v>
      </c>
      <c r="L635" s="72">
        <f t="shared" ca="1" si="343"/>
        <v>0.27466666666666678</v>
      </c>
      <c r="M635" s="73">
        <f t="shared" ca="1" si="344"/>
        <v>137.3333333333334</v>
      </c>
      <c r="N635" s="12" t="s">
        <v>43</v>
      </c>
      <c r="O635" s="47" t="s">
        <v>45</v>
      </c>
      <c r="P635" s="13">
        <f t="shared" si="370"/>
        <v>1.1200000000000001</v>
      </c>
      <c r="Q635" s="1" t="str">
        <f t="shared" si="371"/>
        <v>500-990 шт - 1,12 руб / шт с НДС</v>
      </c>
      <c r="R635" s="235"/>
      <c r="S635" s="239"/>
      <c r="T635" s="226"/>
      <c r="U635" s="228"/>
      <c r="V635" s="222"/>
      <c r="W635" s="229"/>
      <c r="X635" s="227"/>
      <c r="Y635" s="229"/>
      <c r="Z635" s="236"/>
      <c r="AA635" s="237"/>
      <c r="AB635" s="238"/>
      <c r="AC635" s="223"/>
      <c r="AD635" s="222"/>
    </row>
    <row r="636" spans="1:30" x14ac:dyDescent="0.4">
      <c r="A636" s="230"/>
      <c r="B636" s="8">
        <v>128</v>
      </c>
      <c r="C636" s="14">
        <f t="shared" ca="1" si="350"/>
        <v>0.59</v>
      </c>
      <c r="D636" s="20">
        <f t="shared" ca="1" si="362"/>
        <v>0.70799999999999996</v>
      </c>
      <c r="E636" s="225"/>
      <c r="F636" s="231"/>
      <c r="G636" s="172" t="str">
        <f t="shared" ca="1" si="345"/>
        <v/>
      </c>
      <c r="H636" s="93" t="str">
        <f t="shared" ca="1" si="346"/>
        <v/>
      </c>
      <c r="I636" s="21">
        <v>1000</v>
      </c>
      <c r="J636" s="68">
        <f t="shared" si="347"/>
        <v>0.88333333333333341</v>
      </c>
      <c r="K636" s="70">
        <v>1.06</v>
      </c>
      <c r="L636" s="72">
        <f t="shared" ca="1" si="343"/>
        <v>0.23466666666666675</v>
      </c>
      <c r="M636" s="73">
        <f t="shared" ca="1" si="344"/>
        <v>234.66666666666674</v>
      </c>
      <c r="N636" s="12" t="s">
        <v>44</v>
      </c>
      <c r="O636" s="47" t="s">
        <v>45</v>
      </c>
      <c r="P636" s="13">
        <f t="shared" si="370"/>
        <v>1.06</v>
      </c>
      <c r="Q636" s="1" t="str">
        <f t="shared" si="371"/>
        <v>1000 + шт - 1,06 руб / шт с НДС</v>
      </c>
      <c r="R636" s="235"/>
      <c r="S636" s="239"/>
      <c r="T636" s="226"/>
      <c r="U636" s="228"/>
      <c r="V636" s="222"/>
      <c r="W636" s="229"/>
      <c r="X636" s="227"/>
      <c r="Y636" s="229"/>
      <c r="Z636" s="236"/>
      <c r="AA636" s="237"/>
      <c r="AB636" s="238"/>
      <c r="AC636" s="223"/>
      <c r="AD636" s="222"/>
    </row>
    <row r="637" spans="1:30" x14ac:dyDescent="0.4">
      <c r="A637" s="230">
        <v>129</v>
      </c>
      <c r="B637" s="8">
        <v>129</v>
      </c>
      <c r="C637" s="14">
        <f t="shared" ca="1" si="350"/>
        <v>1.1200000000000001</v>
      </c>
      <c r="D637" s="20">
        <f t="shared" ca="1" si="362"/>
        <v>1.3440000000000001</v>
      </c>
      <c r="E637" s="224" t="str">
        <f ca="1">INDIRECT("'Закуп'!D" &amp; A637)</f>
        <v>У</v>
      </c>
      <c r="F637" s="231" t="str">
        <f t="shared" ref="F637" ca="1" si="376">INDIRECT("'Закуп'!E" &amp; B637)</f>
        <v>320х230х335</v>
      </c>
      <c r="G637" s="172" t="str">
        <f t="shared" ca="1" si="345"/>
        <v/>
      </c>
      <c r="H637" s="93" t="str">
        <f t="shared" ca="1" si="346"/>
        <v/>
      </c>
      <c r="I637" s="21">
        <v>50</v>
      </c>
      <c r="J637" s="68">
        <f t="shared" si="347"/>
        <v>2.4</v>
      </c>
      <c r="K637" s="70">
        <v>2.88</v>
      </c>
      <c r="L637" s="72">
        <f t="shared" ca="1" si="343"/>
        <v>1.0239999999999998</v>
      </c>
      <c r="M637" s="73">
        <f t="shared" ca="1" si="344"/>
        <v>51.199999999999989</v>
      </c>
      <c r="N637" s="12" t="s">
        <v>40</v>
      </c>
      <c r="O637" s="47" t="s">
        <v>45</v>
      </c>
      <c r="P637" s="13">
        <f t="shared" si="370"/>
        <v>2.88</v>
      </c>
      <c r="Q637" s="1" t="str">
        <f t="shared" si="371"/>
        <v>50-90 шт - 2,88 руб / шт с НДС</v>
      </c>
      <c r="R637" s="235" t="str">
        <f ca="1">INDIRECT("'Закуп'!k" &amp; A637)</f>
        <v>K130</v>
      </c>
      <c r="S637" s="239">
        <f ca="1">INDIRECT("'Закуп'!o" &amp; A637)</f>
        <v>24.66</v>
      </c>
      <c r="T637" s="226" t="str">
        <f ca="1">INDIRECT("'Закуп'!p" &amp; A637)</f>
        <v>20-29 литров</v>
      </c>
      <c r="U637" s="228" t="str">
        <f ca="1">INDIRECT("'Закуп'!v" &amp; A637)</f>
        <v/>
      </c>
      <c r="V637" s="222" t="str">
        <f ca="1">INDIRECT("'Закуп'!w" &amp; A637)</f>
        <v/>
      </c>
      <c r="W637" s="229" t="str">
        <f ca="1">INDIRECT("'Закуп'!H" &amp; A637)</f>
        <v>х</v>
      </c>
      <c r="X637" s="227" t="str">
        <f t="shared" ref="X637" ca="1" si="377">INDIRECT("'Закуп'!g" &amp; A637)</f>
        <v>Ч</v>
      </c>
      <c r="Y637" s="229" t="str">
        <f ca="1">INDIRECT("'Закуп'!i" &amp; A637)</f>
        <v>В</v>
      </c>
      <c r="Z637" s="236" t="str">
        <f ca="1">INDIRECT("'Закуп'!x" &amp; A637)</f>
        <v>300-399 мм</v>
      </c>
      <c r="AA637" s="237" t="str">
        <f ca="1">INDIRECT("'Закуп'!y" &amp; A637)</f>
        <v>300-399 мм</v>
      </c>
      <c r="AB637" s="238" t="str">
        <f ca="1">INDIRECT("'Закуп'!z" &amp; A637)</f>
        <v>200-299 мм</v>
      </c>
      <c r="AC637" s="223" t="str">
        <f t="shared" ca="1" si="369"/>
        <v>320x230x335</v>
      </c>
      <c r="AD637" s="222" t="str">
        <f t="shared" ca="1" si="357"/>
        <v>320x230x335 - 320*230*335 мм</v>
      </c>
    </row>
    <row r="638" spans="1:30" x14ac:dyDescent="0.4">
      <c r="A638" s="230"/>
      <c r="B638" s="8">
        <v>129</v>
      </c>
      <c r="C638" s="14">
        <f t="shared" ca="1" si="350"/>
        <v>1.1200000000000001</v>
      </c>
      <c r="D638" s="20">
        <f t="shared" ca="1" si="362"/>
        <v>1.3440000000000001</v>
      </c>
      <c r="E638" s="225"/>
      <c r="F638" s="231"/>
      <c r="G638" s="172" t="str">
        <f t="shared" ca="1" si="345"/>
        <v/>
      </c>
      <c r="H638" s="93" t="str">
        <f t="shared" ca="1" si="346"/>
        <v/>
      </c>
      <c r="I638" s="21">
        <v>100</v>
      </c>
      <c r="J638" s="68">
        <f t="shared" si="347"/>
        <v>1.9166666666666665</v>
      </c>
      <c r="K638" s="70">
        <v>2.2999999999999998</v>
      </c>
      <c r="L638" s="72">
        <f t="shared" ca="1" si="343"/>
        <v>0.63733333333333309</v>
      </c>
      <c r="M638" s="73">
        <f t="shared" ca="1" si="344"/>
        <v>63.733333333333306</v>
      </c>
      <c r="N638" s="12" t="s">
        <v>41</v>
      </c>
      <c r="O638" s="47" t="s">
        <v>45</v>
      </c>
      <c r="P638" s="13">
        <f t="shared" si="370"/>
        <v>2.2999999999999998</v>
      </c>
      <c r="Q638" s="1" t="str">
        <f t="shared" si="371"/>
        <v>100-290 шт - 2,3 руб / шт с НДС</v>
      </c>
      <c r="R638" s="235"/>
      <c r="S638" s="239"/>
      <c r="T638" s="226"/>
      <c r="U638" s="228"/>
      <c r="V638" s="222"/>
      <c r="W638" s="229"/>
      <c r="X638" s="227"/>
      <c r="Y638" s="229"/>
      <c r="Z638" s="236"/>
      <c r="AA638" s="237"/>
      <c r="AB638" s="238"/>
      <c r="AC638" s="223"/>
      <c r="AD638" s="222"/>
    </row>
    <row r="639" spans="1:30" x14ac:dyDescent="0.4">
      <c r="A639" s="230"/>
      <c r="B639" s="8">
        <v>129</v>
      </c>
      <c r="C639" s="14">
        <f t="shared" ca="1" si="350"/>
        <v>1.1200000000000001</v>
      </c>
      <c r="D639" s="20">
        <f t="shared" ca="1" si="362"/>
        <v>1.3440000000000001</v>
      </c>
      <c r="E639" s="225"/>
      <c r="F639" s="231"/>
      <c r="G639" s="172" t="str">
        <f t="shared" ca="1" si="345"/>
        <v/>
      </c>
      <c r="H639" s="93" t="str">
        <f t="shared" ca="1" si="346"/>
        <v/>
      </c>
      <c r="I639" s="21">
        <v>300</v>
      </c>
      <c r="J639" s="68">
        <f t="shared" si="347"/>
        <v>1.7500000000000002</v>
      </c>
      <c r="K639" s="70">
        <v>2.1</v>
      </c>
      <c r="L639" s="72">
        <f t="shared" ca="1" si="343"/>
        <v>0.50400000000000011</v>
      </c>
      <c r="M639" s="73">
        <f t="shared" ca="1" si="344"/>
        <v>151.20000000000005</v>
      </c>
      <c r="N639" s="12" t="s">
        <v>42</v>
      </c>
      <c r="O639" s="47" t="s">
        <v>45</v>
      </c>
      <c r="P639" s="13">
        <f t="shared" si="370"/>
        <v>2.1</v>
      </c>
      <c r="Q639" s="1" t="str">
        <f t="shared" si="371"/>
        <v>300-490 шт - 2,1 руб / шт с НДС</v>
      </c>
      <c r="R639" s="235"/>
      <c r="S639" s="239"/>
      <c r="T639" s="226"/>
      <c r="U639" s="228"/>
      <c r="V639" s="222"/>
      <c r="W639" s="229"/>
      <c r="X639" s="227"/>
      <c r="Y639" s="229"/>
      <c r="Z639" s="236"/>
      <c r="AA639" s="237"/>
      <c r="AB639" s="238"/>
      <c r="AC639" s="223"/>
      <c r="AD639" s="222"/>
    </row>
    <row r="640" spans="1:30" x14ac:dyDescent="0.4">
      <c r="A640" s="230"/>
      <c r="B640" s="8">
        <v>129</v>
      </c>
      <c r="C640" s="14">
        <f t="shared" ca="1" si="350"/>
        <v>1.1200000000000001</v>
      </c>
      <c r="D640" s="20">
        <f t="shared" ca="1" si="362"/>
        <v>1.3440000000000001</v>
      </c>
      <c r="E640" s="225"/>
      <c r="F640" s="231"/>
      <c r="G640" s="172" t="str">
        <f t="shared" ca="1" si="345"/>
        <v/>
      </c>
      <c r="H640" s="93" t="str">
        <f t="shared" ca="1" si="346"/>
        <v/>
      </c>
      <c r="I640" s="21">
        <v>500</v>
      </c>
      <c r="J640" s="68">
        <f t="shared" si="347"/>
        <v>1.5583333333333336</v>
      </c>
      <c r="K640" s="70">
        <v>1.87</v>
      </c>
      <c r="L640" s="72">
        <f t="shared" ca="1" si="343"/>
        <v>0.35066666666666679</v>
      </c>
      <c r="M640" s="73">
        <f t="shared" ca="1" si="344"/>
        <v>175.3333333333334</v>
      </c>
      <c r="N640" s="12" t="s">
        <v>43</v>
      </c>
      <c r="O640" s="47" t="s">
        <v>45</v>
      </c>
      <c r="P640" s="13">
        <f t="shared" si="370"/>
        <v>1.87</v>
      </c>
      <c r="Q640" s="1" t="str">
        <f t="shared" si="371"/>
        <v>500-990 шт - 1,87 руб / шт с НДС</v>
      </c>
      <c r="R640" s="235"/>
      <c r="S640" s="239"/>
      <c r="T640" s="226"/>
      <c r="U640" s="228"/>
      <c r="V640" s="222"/>
      <c r="W640" s="229"/>
      <c r="X640" s="227"/>
      <c r="Y640" s="229"/>
      <c r="Z640" s="236"/>
      <c r="AA640" s="237"/>
      <c r="AB640" s="238"/>
      <c r="AC640" s="223"/>
      <c r="AD640" s="222"/>
    </row>
    <row r="641" spans="1:30" x14ac:dyDescent="0.4">
      <c r="A641" s="230"/>
      <c r="B641" s="8">
        <v>129</v>
      </c>
      <c r="C641" s="14">
        <f t="shared" ca="1" si="350"/>
        <v>1.1200000000000001</v>
      </c>
      <c r="D641" s="20">
        <f t="shared" ca="1" si="362"/>
        <v>1.3440000000000001</v>
      </c>
      <c r="E641" s="225"/>
      <c r="F641" s="231"/>
      <c r="G641" s="172" t="str">
        <f t="shared" ca="1" si="345"/>
        <v/>
      </c>
      <c r="H641" s="93" t="str">
        <f t="shared" ca="1" si="346"/>
        <v/>
      </c>
      <c r="I641" s="21">
        <v>1000</v>
      </c>
      <c r="J641" s="68">
        <f t="shared" si="347"/>
        <v>1.4916666666666667</v>
      </c>
      <c r="K641" s="70">
        <v>1.79</v>
      </c>
      <c r="L641" s="72">
        <f t="shared" ca="1" si="343"/>
        <v>0.29733333333333328</v>
      </c>
      <c r="M641" s="73">
        <f t="shared" ca="1" si="344"/>
        <v>297.33333333333326</v>
      </c>
      <c r="N641" s="12" t="s">
        <v>44</v>
      </c>
      <c r="O641" s="47" t="s">
        <v>45</v>
      </c>
      <c r="P641" s="13">
        <f t="shared" si="370"/>
        <v>1.79</v>
      </c>
      <c r="Q641" s="1" t="str">
        <f t="shared" si="371"/>
        <v>1000 + шт - 1,79 руб / шт с НДС</v>
      </c>
      <c r="R641" s="235"/>
      <c r="S641" s="239"/>
      <c r="T641" s="226"/>
      <c r="U641" s="228"/>
      <c r="V641" s="222"/>
      <c r="W641" s="229"/>
      <c r="X641" s="227"/>
      <c r="Y641" s="229"/>
      <c r="Z641" s="236"/>
      <c r="AA641" s="237"/>
      <c r="AB641" s="238"/>
      <c r="AC641" s="223"/>
      <c r="AD641" s="222"/>
    </row>
    <row r="642" spans="1:30" x14ac:dyDescent="0.4">
      <c r="A642" s="230">
        <v>130</v>
      </c>
      <c r="B642" s="8">
        <v>130</v>
      </c>
      <c r="C642" s="14">
        <f t="shared" ca="1" si="350"/>
        <v>0.34</v>
      </c>
      <c r="D642" s="20">
        <f t="shared" ca="1" si="362"/>
        <v>0.40800000000000003</v>
      </c>
      <c r="E642" s="224" t="str">
        <f ca="1">INDIRECT("'Закуп'!D" &amp; A642)</f>
        <v>У</v>
      </c>
      <c r="F642" s="231" t="str">
        <f t="shared" ref="F642" ca="1" si="378">INDIRECT("'Закуп'!E" &amp; B642)</f>
        <v>320х160х35</v>
      </c>
      <c r="G642" s="172" t="str">
        <f t="shared" ca="1" si="345"/>
        <v/>
      </c>
      <c r="H642" s="93" t="str">
        <f t="shared" ca="1" si="346"/>
        <v/>
      </c>
      <c r="I642" s="21">
        <v>50</v>
      </c>
      <c r="J642" s="68">
        <f t="shared" si="347"/>
        <v>0.8666666666666667</v>
      </c>
      <c r="K642" s="70">
        <v>1.04</v>
      </c>
      <c r="L642" s="72">
        <f t="shared" ref="L642:L705" ca="1" si="379">J642-C642-(J642-C642)*0.2</f>
        <v>0.42133333333333328</v>
      </c>
      <c r="M642" s="73">
        <f t="shared" ref="M642:M705" ca="1" si="380">L642*I642</f>
        <v>21.066666666666663</v>
      </c>
      <c r="N642" s="12" t="s">
        <v>40</v>
      </c>
      <c r="O642" s="47" t="s">
        <v>45</v>
      </c>
      <c r="P642" s="13">
        <f t="shared" si="370"/>
        <v>1.04</v>
      </c>
      <c r="Q642" s="1" t="str">
        <f t="shared" si="371"/>
        <v>50-90 шт - 1,04 руб / шт с НДС</v>
      </c>
      <c r="R642" s="235" t="str">
        <f ca="1">INDIRECT("'Закуп'!k" &amp; A642)</f>
        <v>K131</v>
      </c>
      <c r="S642" s="239">
        <f ca="1">INDIRECT("'Закуп'!o" &amp; A642)</f>
        <v>1.79</v>
      </c>
      <c r="T642" s="226" t="str">
        <f ca="1">INDIRECT("'Закуп'!p" &amp; A642)</f>
        <v>1-1,9 литра</v>
      </c>
      <c r="U642" s="228" t="str">
        <f ca="1">INDIRECT("'Закуп'!v" &amp; A642)</f>
        <v>Длинные</v>
      </c>
      <c r="V642" s="222" t="str">
        <f ca="1">INDIRECT("'Закуп'!w" &amp; A642)</f>
        <v>Плоские</v>
      </c>
      <c r="W642" s="229" t="str">
        <f ca="1">INDIRECT("'Закуп'!H" &amp; A642)</f>
        <v>х</v>
      </c>
      <c r="X642" s="227" t="str">
        <f t="shared" ref="X642" ca="1" si="381">INDIRECT("'Закуп'!g" &amp; A642)</f>
        <v>С</v>
      </c>
      <c r="Y642" s="229" t="str">
        <f ca="1">INDIRECT("'Закуп'!i" &amp; A642)</f>
        <v>Е</v>
      </c>
      <c r="Z642" s="236" t="str">
        <f ca="1">INDIRECT("'Закуп'!x" &amp; A642)</f>
        <v>300-399 мм</v>
      </c>
      <c r="AA642" s="237" t="str">
        <f ca="1">INDIRECT("'Закуп'!y" &amp; A642)</f>
        <v>100-199 мм</v>
      </c>
      <c r="AB642" s="238" t="str">
        <f ca="1">INDIRECT("'Закуп'!z" &amp; A642)</f>
        <v>10-99 мм</v>
      </c>
      <c r="AC642" s="223" t="str">
        <f t="shared" ca="1" si="369"/>
        <v>320x160x35</v>
      </c>
      <c r="AD642" s="222" t="str">
        <f t="shared" ca="1" si="357"/>
        <v>320x160x35 - 320*160*35 мм</v>
      </c>
    </row>
    <row r="643" spans="1:30" x14ac:dyDescent="0.4">
      <c r="A643" s="230"/>
      <c r="B643" s="8">
        <v>130</v>
      </c>
      <c r="C643" s="14">
        <f t="shared" ca="1" si="350"/>
        <v>0.34</v>
      </c>
      <c r="D643" s="20">
        <f t="shared" ca="1" si="362"/>
        <v>0.40800000000000003</v>
      </c>
      <c r="E643" s="225"/>
      <c r="F643" s="231"/>
      <c r="G643" s="172" t="str">
        <f t="shared" ref="G643:G706" ca="1" si="382">IF(INDIRECT("'Закуп'!L" &amp; B643)="Sale","Sale","")</f>
        <v/>
      </c>
      <c r="H643" s="93" t="str">
        <f t="shared" ref="H643:H706" ca="1" si="383">IF(INDIRECT("'Закуп'!F" &amp; B643)=0,"",INDIRECT("'Закуп'!F" &amp; B643))</f>
        <v/>
      </c>
      <c r="I643" s="21">
        <v>100</v>
      </c>
      <c r="J643" s="68">
        <f t="shared" ref="J643:J706" si="384">K643/1.2</f>
        <v>0.73333333333333339</v>
      </c>
      <c r="K643" s="70">
        <v>0.88</v>
      </c>
      <c r="L643" s="72">
        <f t="shared" ca="1" si="379"/>
        <v>0.31466666666666671</v>
      </c>
      <c r="M643" s="73">
        <f t="shared" ca="1" si="380"/>
        <v>31.466666666666672</v>
      </c>
      <c r="N643" s="12" t="s">
        <v>41</v>
      </c>
      <c r="O643" s="47" t="s">
        <v>45</v>
      </c>
      <c r="P643" s="13">
        <f t="shared" si="370"/>
        <v>0.88</v>
      </c>
      <c r="Q643" s="1" t="str">
        <f t="shared" si="371"/>
        <v>100-290 шт - 0,88 руб / шт с НДС</v>
      </c>
      <c r="R643" s="235"/>
      <c r="S643" s="239"/>
      <c r="T643" s="226"/>
      <c r="U643" s="228"/>
      <c r="V643" s="222"/>
      <c r="W643" s="229"/>
      <c r="X643" s="227"/>
      <c r="Y643" s="229"/>
      <c r="Z643" s="236"/>
      <c r="AA643" s="237"/>
      <c r="AB643" s="238"/>
      <c r="AC643" s="223"/>
      <c r="AD643" s="222"/>
    </row>
    <row r="644" spans="1:30" x14ac:dyDescent="0.4">
      <c r="A644" s="230"/>
      <c r="B644" s="8">
        <v>130</v>
      </c>
      <c r="C644" s="14">
        <f t="shared" ca="1" si="350"/>
        <v>0.34</v>
      </c>
      <c r="D644" s="20">
        <f t="shared" ca="1" si="362"/>
        <v>0.40800000000000003</v>
      </c>
      <c r="E644" s="225"/>
      <c r="F644" s="231"/>
      <c r="G644" s="172" t="str">
        <f t="shared" ca="1" si="382"/>
        <v/>
      </c>
      <c r="H644" s="93" t="str">
        <f t="shared" ca="1" si="383"/>
        <v/>
      </c>
      <c r="I644" s="21">
        <v>300</v>
      </c>
      <c r="J644" s="68">
        <f t="shared" si="384"/>
        <v>0.66666666666666674</v>
      </c>
      <c r="K644" s="70">
        <v>0.8</v>
      </c>
      <c r="L644" s="72">
        <f t="shared" ca="1" si="379"/>
        <v>0.26133333333333336</v>
      </c>
      <c r="M644" s="73">
        <f t="shared" ca="1" si="380"/>
        <v>78.400000000000006</v>
      </c>
      <c r="N644" s="12" t="s">
        <v>42</v>
      </c>
      <c r="O644" s="47" t="s">
        <v>45</v>
      </c>
      <c r="P644" s="13">
        <f t="shared" si="370"/>
        <v>0.8</v>
      </c>
      <c r="Q644" s="1" t="str">
        <f t="shared" si="371"/>
        <v>300-490 шт - 0,8 руб / шт с НДС</v>
      </c>
      <c r="R644" s="235"/>
      <c r="S644" s="239"/>
      <c r="T644" s="226"/>
      <c r="U644" s="228"/>
      <c r="V644" s="222"/>
      <c r="W644" s="229"/>
      <c r="X644" s="227"/>
      <c r="Y644" s="229"/>
      <c r="Z644" s="236"/>
      <c r="AA644" s="237"/>
      <c r="AB644" s="238"/>
      <c r="AC644" s="223"/>
      <c r="AD644" s="222"/>
    </row>
    <row r="645" spans="1:30" x14ac:dyDescent="0.4">
      <c r="A645" s="230"/>
      <c r="B645" s="8">
        <v>130</v>
      </c>
      <c r="C645" s="14">
        <f t="shared" ca="1" si="350"/>
        <v>0.34</v>
      </c>
      <c r="D645" s="20">
        <f t="shared" ca="1" si="362"/>
        <v>0.40800000000000003</v>
      </c>
      <c r="E645" s="225"/>
      <c r="F645" s="231"/>
      <c r="G645" s="172" t="str">
        <f t="shared" ca="1" si="382"/>
        <v/>
      </c>
      <c r="H645" s="93" t="str">
        <f t="shared" ca="1" si="383"/>
        <v/>
      </c>
      <c r="I645" s="21">
        <v>500</v>
      </c>
      <c r="J645" s="68">
        <f t="shared" si="384"/>
        <v>0.60833333333333339</v>
      </c>
      <c r="K645" s="70">
        <v>0.73</v>
      </c>
      <c r="L645" s="72">
        <f t="shared" ca="1" si="379"/>
        <v>0.2146666666666667</v>
      </c>
      <c r="M645" s="73">
        <f t="shared" ca="1" si="380"/>
        <v>107.33333333333336</v>
      </c>
      <c r="N645" s="12" t="s">
        <v>43</v>
      </c>
      <c r="O645" s="47" t="s">
        <v>45</v>
      </c>
      <c r="P645" s="13">
        <f t="shared" si="370"/>
        <v>0.73</v>
      </c>
      <c r="Q645" s="1" t="str">
        <f t="shared" si="371"/>
        <v>500-990 шт - 0,73 руб / шт с НДС</v>
      </c>
      <c r="R645" s="235"/>
      <c r="S645" s="239"/>
      <c r="T645" s="226"/>
      <c r="U645" s="228"/>
      <c r="V645" s="222"/>
      <c r="W645" s="229"/>
      <c r="X645" s="227"/>
      <c r="Y645" s="229"/>
      <c r="Z645" s="236"/>
      <c r="AA645" s="237"/>
      <c r="AB645" s="238"/>
      <c r="AC645" s="223"/>
      <c r="AD645" s="222"/>
    </row>
    <row r="646" spans="1:30" x14ac:dyDescent="0.4">
      <c r="A646" s="230"/>
      <c r="B646" s="8">
        <v>130</v>
      </c>
      <c r="C646" s="14">
        <f t="shared" ca="1" si="350"/>
        <v>0.34</v>
      </c>
      <c r="D646" s="20">
        <f t="shared" ca="1" si="362"/>
        <v>0.40800000000000003</v>
      </c>
      <c r="E646" s="225"/>
      <c r="F646" s="231"/>
      <c r="G646" s="172" t="str">
        <f t="shared" ca="1" si="382"/>
        <v/>
      </c>
      <c r="H646" s="93" t="str">
        <f t="shared" ca="1" si="383"/>
        <v/>
      </c>
      <c r="I646" s="21">
        <v>1000</v>
      </c>
      <c r="J646" s="68">
        <f t="shared" si="384"/>
        <v>0.55833333333333335</v>
      </c>
      <c r="K646" s="70">
        <v>0.67</v>
      </c>
      <c r="L646" s="72">
        <f t="shared" ca="1" si="379"/>
        <v>0.17466666666666666</v>
      </c>
      <c r="M646" s="73">
        <f t="shared" ca="1" si="380"/>
        <v>174.66666666666666</v>
      </c>
      <c r="N646" s="12" t="s">
        <v>44</v>
      </c>
      <c r="O646" s="47" t="s">
        <v>45</v>
      </c>
      <c r="P646" s="13">
        <f t="shared" si="370"/>
        <v>0.67</v>
      </c>
      <c r="Q646" s="1" t="str">
        <f t="shared" si="371"/>
        <v>1000 + шт - 0,67 руб / шт с НДС</v>
      </c>
      <c r="R646" s="235"/>
      <c r="S646" s="239"/>
      <c r="T646" s="226"/>
      <c r="U646" s="228"/>
      <c r="V646" s="222"/>
      <c r="W646" s="229"/>
      <c r="X646" s="227"/>
      <c r="Y646" s="229"/>
      <c r="Z646" s="236"/>
      <c r="AA646" s="237"/>
      <c r="AB646" s="238"/>
      <c r="AC646" s="223"/>
      <c r="AD646" s="222"/>
    </row>
    <row r="647" spans="1:30" x14ac:dyDescent="0.4">
      <c r="A647" s="230">
        <v>131</v>
      </c>
      <c r="B647" s="8">
        <v>131</v>
      </c>
      <c r="C647" s="14">
        <f t="shared" ca="1" si="350"/>
        <v>0.85</v>
      </c>
      <c r="D647" s="20">
        <f t="shared" ca="1" si="362"/>
        <v>1.02</v>
      </c>
      <c r="E647" s="224" t="str">
        <f ca="1">INDIRECT("'Закуп'!D" &amp; A647)</f>
        <v>У</v>
      </c>
      <c r="F647" s="231" t="str">
        <f t="shared" ref="F647" ca="1" si="385">INDIRECT("'Закуп'!E" &amp; B647)</f>
        <v>380х285х70</v>
      </c>
      <c r="G647" s="172" t="str">
        <f t="shared" ca="1" si="382"/>
        <v/>
      </c>
      <c r="H647" s="93" t="str">
        <f t="shared" ca="1" si="383"/>
        <v/>
      </c>
      <c r="I647" s="21">
        <v>50</v>
      </c>
      <c r="J647" s="68">
        <f t="shared" si="384"/>
        <v>2</v>
      </c>
      <c r="K647" s="70">
        <v>2.4</v>
      </c>
      <c r="L647" s="72">
        <f t="shared" ca="1" si="379"/>
        <v>0.91999999999999993</v>
      </c>
      <c r="M647" s="73">
        <f t="shared" ca="1" si="380"/>
        <v>46</v>
      </c>
      <c r="N647" s="12" t="s">
        <v>40</v>
      </c>
      <c r="O647" s="47" t="s">
        <v>45</v>
      </c>
      <c r="P647" s="13">
        <f t="shared" si="370"/>
        <v>2.4</v>
      </c>
      <c r="Q647" s="1" t="str">
        <f t="shared" si="371"/>
        <v>50-90 шт - 2,4 руб / шт с НДС</v>
      </c>
      <c r="R647" s="235" t="str">
        <f ca="1">INDIRECT("'Закуп'!k" &amp; A647)</f>
        <v>K132</v>
      </c>
      <c r="S647" s="239">
        <f ca="1">INDIRECT("'Закуп'!o" &amp; A647)</f>
        <v>7.58</v>
      </c>
      <c r="T647" s="226" t="str">
        <f ca="1">INDIRECT("'Закуп'!p" &amp; A647)</f>
        <v>6-7,9 литра</v>
      </c>
      <c r="U647" s="228" t="str">
        <f ca="1">INDIRECT("'Закуп'!v" &amp; A647)</f>
        <v/>
      </c>
      <c r="V647" s="222" t="str">
        <f ca="1">INDIRECT("'Закуп'!w" &amp; A647)</f>
        <v>Плоские</v>
      </c>
      <c r="W647" s="229" t="str">
        <f ca="1">INDIRECT("'Закуп'!H" &amp; A647)</f>
        <v>х</v>
      </c>
      <c r="X647" s="227" t="str">
        <f t="shared" ref="X647" ca="1" si="386">INDIRECT("'Закуп'!g" &amp; A647)</f>
        <v>Ч</v>
      </c>
      <c r="Y647" s="229" t="str">
        <f ca="1">INDIRECT("'Закуп'!i" &amp; A647)</f>
        <v>В</v>
      </c>
      <c r="Z647" s="236" t="str">
        <f ca="1">INDIRECT("'Закуп'!x" &amp; A647)</f>
        <v>300-399 мм</v>
      </c>
      <c r="AA647" s="237" t="str">
        <f ca="1">INDIRECT("'Закуп'!y" &amp; A647)</f>
        <v>200-299 мм</v>
      </c>
      <c r="AB647" s="238" t="str">
        <f ca="1">INDIRECT("'Закуп'!z" &amp; A647)</f>
        <v>10-99 мм</v>
      </c>
      <c r="AC647" s="223" t="str">
        <f t="shared" ca="1" si="369"/>
        <v>380x285x70</v>
      </c>
      <c r="AD647" s="222" t="str">
        <f t="shared" ca="1" si="357"/>
        <v>380x285x70 - 380*285*70 мм</v>
      </c>
    </row>
    <row r="648" spans="1:30" x14ac:dyDescent="0.4">
      <c r="A648" s="230"/>
      <c r="B648" s="8">
        <v>131</v>
      </c>
      <c r="C648" s="14">
        <f t="shared" ca="1" si="350"/>
        <v>0.85</v>
      </c>
      <c r="D648" s="20">
        <f t="shared" ca="1" si="362"/>
        <v>1.02</v>
      </c>
      <c r="E648" s="225"/>
      <c r="F648" s="231"/>
      <c r="G648" s="172" t="str">
        <f t="shared" ca="1" si="382"/>
        <v/>
      </c>
      <c r="H648" s="93" t="str">
        <f t="shared" ca="1" si="383"/>
        <v/>
      </c>
      <c r="I648" s="21">
        <v>100</v>
      </c>
      <c r="J648" s="68">
        <f t="shared" si="384"/>
        <v>1.8166666666666669</v>
      </c>
      <c r="K648" s="70">
        <v>2.1800000000000002</v>
      </c>
      <c r="L648" s="72">
        <f t="shared" ca="1" si="379"/>
        <v>0.77333333333333354</v>
      </c>
      <c r="M648" s="73">
        <f t="shared" ca="1" si="380"/>
        <v>77.333333333333357</v>
      </c>
      <c r="N648" s="12" t="s">
        <v>41</v>
      </c>
      <c r="O648" s="47" t="s">
        <v>45</v>
      </c>
      <c r="P648" s="13">
        <f t="shared" si="370"/>
        <v>2.1800000000000002</v>
      </c>
      <c r="Q648" s="1" t="str">
        <f t="shared" si="371"/>
        <v>100-290 шт - 2,18 руб / шт с НДС</v>
      </c>
      <c r="R648" s="235"/>
      <c r="S648" s="239"/>
      <c r="T648" s="226"/>
      <c r="U648" s="228"/>
      <c r="V648" s="222"/>
      <c r="W648" s="229"/>
      <c r="X648" s="227"/>
      <c r="Y648" s="229"/>
      <c r="Z648" s="236"/>
      <c r="AA648" s="237"/>
      <c r="AB648" s="238"/>
      <c r="AC648" s="223"/>
      <c r="AD648" s="222"/>
    </row>
    <row r="649" spans="1:30" x14ac:dyDescent="0.4">
      <c r="A649" s="230"/>
      <c r="B649" s="8">
        <v>131</v>
      </c>
      <c r="C649" s="14">
        <f t="shared" ref="C649:C712" ca="1" si="387">INDIRECT("'Закуп'!A" &amp; B649)</f>
        <v>0.85</v>
      </c>
      <c r="D649" s="20">
        <f t="shared" ca="1" si="362"/>
        <v>1.02</v>
      </c>
      <c r="E649" s="225"/>
      <c r="F649" s="231"/>
      <c r="G649" s="172" t="str">
        <f t="shared" ca="1" si="382"/>
        <v/>
      </c>
      <c r="H649" s="93" t="str">
        <f t="shared" ca="1" si="383"/>
        <v/>
      </c>
      <c r="I649" s="21">
        <v>300</v>
      </c>
      <c r="J649" s="68">
        <f t="shared" si="384"/>
        <v>1.4166666666666667</v>
      </c>
      <c r="K649" s="70">
        <v>1.7</v>
      </c>
      <c r="L649" s="72">
        <f t="shared" ca="1" si="379"/>
        <v>0.45333333333333342</v>
      </c>
      <c r="M649" s="73">
        <f t="shared" ca="1" si="380"/>
        <v>136.00000000000003</v>
      </c>
      <c r="N649" s="12" t="s">
        <v>42</v>
      </c>
      <c r="O649" s="47" t="s">
        <v>45</v>
      </c>
      <c r="P649" s="13">
        <f t="shared" si="370"/>
        <v>1.7</v>
      </c>
      <c r="Q649" s="1" t="str">
        <f t="shared" si="371"/>
        <v>300-490 шт - 1,7 руб / шт с НДС</v>
      </c>
      <c r="R649" s="235"/>
      <c r="S649" s="239"/>
      <c r="T649" s="226"/>
      <c r="U649" s="228"/>
      <c r="V649" s="222"/>
      <c r="W649" s="229"/>
      <c r="X649" s="227"/>
      <c r="Y649" s="229"/>
      <c r="Z649" s="236"/>
      <c r="AA649" s="237"/>
      <c r="AB649" s="238"/>
      <c r="AC649" s="223"/>
      <c r="AD649" s="222"/>
    </row>
    <row r="650" spans="1:30" x14ac:dyDescent="0.4">
      <c r="A650" s="230"/>
      <c r="B650" s="8">
        <v>131</v>
      </c>
      <c r="C650" s="14">
        <f t="shared" ca="1" si="387"/>
        <v>0.85</v>
      </c>
      <c r="D650" s="20">
        <f t="shared" ca="1" si="362"/>
        <v>1.02</v>
      </c>
      <c r="E650" s="225"/>
      <c r="F650" s="231"/>
      <c r="G650" s="172" t="str">
        <f t="shared" ca="1" si="382"/>
        <v/>
      </c>
      <c r="H650" s="93" t="str">
        <f t="shared" ca="1" si="383"/>
        <v/>
      </c>
      <c r="I650" s="21">
        <v>500</v>
      </c>
      <c r="J650" s="68">
        <f t="shared" si="384"/>
        <v>1.2333333333333334</v>
      </c>
      <c r="K650" s="70">
        <v>1.48</v>
      </c>
      <c r="L650" s="72">
        <f t="shared" ca="1" si="379"/>
        <v>0.30666666666666675</v>
      </c>
      <c r="M650" s="73">
        <f t="shared" ca="1" si="380"/>
        <v>153.33333333333337</v>
      </c>
      <c r="N650" s="12" t="s">
        <v>43</v>
      </c>
      <c r="O650" s="47" t="s">
        <v>45</v>
      </c>
      <c r="P650" s="13">
        <f t="shared" si="370"/>
        <v>1.48</v>
      </c>
      <c r="Q650" s="1" t="str">
        <f t="shared" si="371"/>
        <v>500-990 шт - 1,48 руб / шт с НДС</v>
      </c>
      <c r="R650" s="235"/>
      <c r="S650" s="239"/>
      <c r="T650" s="226"/>
      <c r="U650" s="228"/>
      <c r="V650" s="222"/>
      <c r="W650" s="229"/>
      <c r="X650" s="227"/>
      <c r="Y650" s="229"/>
      <c r="Z650" s="236"/>
      <c r="AA650" s="237"/>
      <c r="AB650" s="238"/>
      <c r="AC650" s="223"/>
      <c r="AD650" s="222"/>
    </row>
    <row r="651" spans="1:30" x14ac:dyDescent="0.4">
      <c r="A651" s="230"/>
      <c r="B651" s="8">
        <v>131</v>
      </c>
      <c r="C651" s="14">
        <f t="shared" ca="1" si="387"/>
        <v>0.85</v>
      </c>
      <c r="D651" s="20">
        <f t="shared" ca="1" si="362"/>
        <v>1.02</v>
      </c>
      <c r="E651" s="225"/>
      <c r="F651" s="231"/>
      <c r="G651" s="172" t="str">
        <f t="shared" ca="1" si="382"/>
        <v/>
      </c>
      <c r="H651" s="93" t="str">
        <f t="shared" ca="1" si="383"/>
        <v/>
      </c>
      <c r="I651" s="21">
        <v>1000</v>
      </c>
      <c r="J651" s="68">
        <f t="shared" si="384"/>
        <v>1.1499999999999999</v>
      </c>
      <c r="K651" s="70">
        <v>1.38</v>
      </c>
      <c r="L651" s="72">
        <f t="shared" ca="1" si="379"/>
        <v>0.23999999999999994</v>
      </c>
      <c r="M651" s="73">
        <f t="shared" ca="1" si="380"/>
        <v>239.99999999999994</v>
      </c>
      <c r="N651" s="12" t="s">
        <v>44</v>
      </c>
      <c r="O651" s="47" t="s">
        <v>45</v>
      </c>
      <c r="P651" s="13">
        <f t="shared" si="370"/>
        <v>1.38</v>
      </c>
      <c r="Q651" s="1" t="str">
        <f t="shared" si="371"/>
        <v>1000 + шт - 1,38 руб / шт с НДС</v>
      </c>
      <c r="R651" s="235"/>
      <c r="S651" s="239"/>
      <c r="T651" s="226"/>
      <c r="U651" s="228"/>
      <c r="V651" s="222"/>
      <c r="W651" s="229"/>
      <c r="X651" s="227"/>
      <c r="Y651" s="229"/>
      <c r="Z651" s="236"/>
      <c r="AA651" s="237"/>
      <c r="AB651" s="238"/>
      <c r="AC651" s="223"/>
      <c r="AD651" s="222"/>
    </row>
    <row r="652" spans="1:30" x14ac:dyDescent="0.4">
      <c r="A652" s="230">
        <v>132</v>
      </c>
      <c r="B652" s="8">
        <v>132</v>
      </c>
      <c r="C652" s="14">
        <f t="shared" ca="1" si="387"/>
        <v>0.53</v>
      </c>
      <c r="D652" s="20">
        <f t="shared" ca="1" si="362"/>
        <v>0.63600000000000001</v>
      </c>
      <c r="E652" s="224" t="str">
        <f ca="1">INDIRECT("'Закуп'!D" &amp; A652)</f>
        <v>У</v>
      </c>
      <c r="F652" s="231" t="str">
        <f t="shared" ref="F652" ca="1" si="388">INDIRECT("'Закуп'!E" &amp; B652)</f>
        <v>230х145х240</v>
      </c>
      <c r="G652" s="172" t="str">
        <f t="shared" ca="1" si="382"/>
        <v/>
      </c>
      <c r="H652" s="93" t="str">
        <f t="shared" ca="1" si="383"/>
        <v/>
      </c>
      <c r="I652" s="21">
        <v>50</v>
      </c>
      <c r="J652" s="68">
        <f t="shared" si="384"/>
        <v>1.25</v>
      </c>
      <c r="K652" s="70">
        <v>1.5</v>
      </c>
      <c r="L652" s="72">
        <f t="shared" ca="1" si="379"/>
        <v>0.57599999999999996</v>
      </c>
      <c r="M652" s="73">
        <f t="shared" ca="1" si="380"/>
        <v>28.799999999999997</v>
      </c>
      <c r="N652" s="12" t="s">
        <v>40</v>
      </c>
      <c r="O652" s="47" t="s">
        <v>45</v>
      </c>
      <c r="P652" s="13">
        <f t="shared" si="370"/>
        <v>1.5</v>
      </c>
      <c r="Q652" s="1" t="str">
        <f t="shared" si="371"/>
        <v>50-90 шт - 1,5 руб / шт с НДС</v>
      </c>
      <c r="R652" s="235" t="str">
        <f ca="1">INDIRECT("'Закуп'!k" &amp; A652)</f>
        <v>K133</v>
      </c>
      <c r="S652" s="239">
        <f ca="1">INDIRECT("'Закуп'!o" &amp; A652)</f>
        <v>8</v>
      </c>
      <c r="T652" s="226" t="str">
        <f ca="1">INDIRECT("'Закуп'!p" &amp; A652)</f>
        <v>8-9,9 литров</v>
      </c>
      <c r="U652" s="228" t="str">
        <f ca="1">INDIRECT("'Закуп'!v" &amp; A652)</f>
        <v/>
      </c>
      <c r="V652" s="222" t="str">
        <f ca="1">INDIRECT("'Закуп'!w" &amp; A652)</f>
        <v/>
      </c>
      <c r="W652" s="229" t="str">
        <f ca="1">INDIRECT("'Закуп'!H" &amp; A652)</f>
        <v>х</v>
      </c>
      <c r="X652" s="227" t="str">
        <f t="shared" ref="X652" ca="1" si="389">INDIRECT("'Закуп'!g" &amp; A652)</f>
        <v>Ч</v>
      </c>
      <c r="Y652" s="229" t="str">
        <f ca="1">INDIRECT("'Закуп'!i" &amp; A652)</f>
        <v>В</v>
      </c>
      <c r="Z652" s="236" t="str">
        <f ca="1">INDIRECT("'Закуп'!x" &amp; A652)</f>
        <v>200-299 мм</v>
      </c>
      <c r="AA652" s="237" t="str">
        <f ca="1">INDIRECT("'Закуп'!y" &amp; A652)</f>
        <v>200-299 мм</v>
      </c>
      <c r="AB652" s="238" t="str">
        <f ca="1">INDIRECT("'Закуп'!z" &amp; A652)</f>
        <v>100-199 мм</v>
      </c>
      <c r="AC652" s="223" t="str">
        <f t="shared" ca="1" si="369"/>
        <v>230x145x240</v>
      </c>
      <c r="AD652" s="222" t="str">
        <f t="shared" ca="1" si="357"/>
        <v>230x145x240 - 230*145*240 мм</v>
      </c>
    </row>
    <row r="653" spans="1:30" x14ac:dyDescent="0.4">
      <c r="A653" s="230"/>
      <c r="B653" s="8">
        <v>132</v>
      </c>
      <c r="C653" s="14">
        <f t="shared" ca="1" si="387"/>
        <v>0.53</v>
      </c>
      <c r="D653" s="20">
        <f t="shared" ca="1" si="362"/>
        <v>0.63600000000000001</v>
      </c>
      <c r="E653" s="225"/>
      <c r="F653" s="231"/>
      <c r="G653" s="172" t="str">
        <f t="shared" ca="1" si="382"/>
        <v/>
      </c>
      <c r="H653" s="93" t="str">
        <f t="shared" ca="1" si="383"/>
        <v/>
      </c>
      <c r="I653" s="21">
        <v>100</v>
      </c>
      <c r="J653" s="68">
        <f t="shared" si="384"/>
        <v>1.1333333333333335</v>
      </c>
      <c r="K653" s="70">
        <v>1.36</v>
      </c>
      <c r="L653" s="72">
        <f t="shared" ca="1" si="379"/>
        <v>0.4826666666666668</v>
      </c>
      <c r="M653" s="73">
        <f t="shared" ca="1" si="380"/>
        <v>48.26666666666668</v>
      </c>
      <c r="N653" s="12" t="s">
        <v>41</v>
      </c>
      <c r="O653" s="47" t="s">
        <v>45</v>
      </c>
      <c r="P653" s="13">
        <f t="shared" si="370"/>
        <v>1.36</v>
      </c>
      <c r="Q653" s="1" t="str">
        <f t="shared" si="371"/>
        <v>100-290 шт - 1,36 руб / шт с НДС</v>
      </c>
      <c r="R653" s="235"/>
      <c r="S653" s="239"/>
      <c r="T653" s="226"/>
      <c r="U653" s="228"/>
      <c r="V653" s="222"/>
      <c r="W653" s="229"/>
      <c r="X653" s="227"/>
      <c r="Y653" s="229"/>
      <c r="Z653" s="236"/>
      <c r="AA653" s="237"/>
      <c r="AB653" s="238"/>
      <c r="AC653" s="223"/>
      <c r="AD653" s="222"/>
    </row>
    <row r="654" spans="1:30" x14ac:dyDescent="0.4">
      <c r="A654" s="230"/>
      <c r="B654" s="8">
        <v>132</v>
      </c>
      <c r="C654" s="14">
        <f t="shared" ca="1" si="387"/>
        <v>0.53</v>
      </c>
      <c r="D654" s="20">
        <f t="shared" ca="1" si="362"/>
        <v>0.63600000000000001</v>
      </c>
      <c r="E654" s="225"/>
      <c r="F654" s="231"/>
      <c r="G654" s="172" t="str">
        <f t="shared" ca="1" si="382"/>
        <v/>
      </c>
      <c r="H654" s="93" t="str">
        <f t="shared" ca="1" si="383"/>
        <v/>
      </c>
      <c r="I654" s="21">
        <v>300</v>
      </c>
      <c r="J654" s="68">
        <f t="shared" si="384"/>
        <v>0.89166666666666672</v>
      </c>
      <c r="K654" s="70">
        <v>1.07</v>
      </c>
      <c r="L654" s="72">
        <f t="shared" ca="1" si="379"/>
        <v>0.28933333333333333</v>
      </c>
      <c r="M654" s="73">
        <f t="shared" ca="1" si="380"/>
        <v>86.8</v>
      </c>
      <c r="N654" s="12" t="s">
        <v>42</v>
      </c>
      <c r="O654" s="47" t="s">
        <v>45</v>
      </c>
      <c r="P654" s="13">
        <f t="shared" si="370"/>
        <v>1.07</v>
      </c>
      <c r="Q654" s="1" t="str">
        <f t="shared" si="371"/>
        <v>300-490 шт - 1,07 руб / шт с НДС</v>
      </c>
      <c r="R654" s="235"/>
      <c r="S654" s="239"/>
      <c r="T654" s="226"/>
      <c r="U654" s="228"/>
      <c r="V654" s="222"/>
      <c r="W654" s="229"/>
      <c r="X654" s="227"/>
      <c r="Y654" s="229"/>
      <c r="Z654" s="236"/>
      <c r="AA654" s="237"/>
      <c r="AB654" s="238"/>
      <c r="AC654" s="223"/>
      <c r="AD654" s="222"/>
    </row>
    <row r="655" spans="1:30" x14ac:dyDescent="0.4">
      <c r="A655" s="230"/>
      <c r="B655" s="8">
        <v>132</v>
      </c>
      <c r="C655" s="14">
        <f t="shared" ca="1" si="387"/>
        <v>0.53</v>
      </c>
      <c r="D655" s="20">
        <f t="shared" ca="1" si="362"/>
        <v>0.63600000000000001</v>
      </c>
      <c r="E655" s="225"/>
      <c r="F655" s="231"/>
      <c r="G655" s="172" t="str">
        <f t="shared" ca="1" si="382"/>
        <v/>
      </c>
      <c r="H655" s="93" t="str">
        <f t="shared" ca="1" si="383"/>
        <v/>
      </c>
      <c r="I655" s="21">
        <v>500</v>
      </c>
      <c r="J655" s="68">
        <f t="shared" si="384"/>
        <v>0.84166666666666667</v>
      </c>
      <c r="K655" s="70">
        <v>1.01</v>
      </c>
      <c r="L655" s="72">
        <f t="shared" ca="1" si="379"/>
        <v>0.24933333333333332</v>
      </c>
      <c r="M655" s="73">
        <f t="shared" ca="1" si="380"/>
        <v>124.66666666666666</v>
      </c>
      <c r="N655" s="12" t="s">
        <v>43</v>
      </c>
      <c r="O655" s="47" t="s">
        <v>45</v>
      </c>
      <c r="P655" s="13">
        <f t="shared" si="370"/>
        <v>1.01</v>
      </c>
      <c r="Q655" s="1" t="str">
        <f t="shared" si="371"/>
        <v>500-990 шт - 1,01 руб / шт с НДС</v>
      </c>
      <c r="R655" s="235"/>
      <c r="S655" s="239"/>
      <c r="T655" s="226"/>
      <c r="U655" s="228"/>
      <c r="V655" s="222"/>
      <c r="W655" s="229"/>
      <c r="X655" s="227"/>
      <c r="Y655" s="229"/>
      <c r="Z655" s="236"/>
      <c r="AA655" s="237"/>
      <c r="AB655" s="238"/>
      <c r="AC655" s="223"/>
      <c r="AD655" s="222"/>
    </row>
    <row r="656" spans="1:30" x14ac:dyDescent="0.4">
      <c r="A656" s="230"/>
      <c r="B656" s="8">
        <v>132</v>
      </c>
      <c r="C656" s="14">
        <f t="shared" ca="1" si="387"/>
        <v>0.53</v>
      </c>
      <c r="D656" s="20">
        <f t="shared" ca="1" si="362"/>
        <v>0.63600000000000001</v>
      </c>
      <c r="E656" s="225"/>
      <c r="F656" s="231"/>
      <c r="G656" s="172" t="str">
        <f t="shared" ca="1" si="382"/>
        <v/>
      </c>
      <c r="H656" s="93" t="str">
        <f t="shared" ca="1" si="383"/>
        <v/>
      </c>
      <c r="I656" s="21">
        <v>1000</v>
      </c>
      <c r="J656" s="68">
        <f t="shared" si="384"/>
        <v>0.79166666666666663</v>
      </c>
      <c r="K656" s="70">
        <v>0.95</v>
      </c>
      <c r="L656" s="72">
        <f t="shared" ca="1" si="379"/>
        <v>0.20933333333333329</v>
      </c>
      <c r="M656" s="73">
        <f t="shared" ca="1" si="380"/>
        <v>209.33333333333329</v>
      </c>
      <c r="N656" s="12" t="s">
        <v>44</v>
      </c>
      <c r="O656" s="47" t="s">
        <v>45</v>
      </c>
      <c r="P656" s="13">
        <f t="shared" si="370"/>
        <v>0.95</v>
      </c>
      <c r="Q656" s="1" t="str">
        <f t="shared" si="371"/>
        <v>1000 + шт - 0,95 руб / шт с НДС</v>
      </c>
      <c r="R656" s="235"/>
      <c r="S656" s="239"/>
      <c r="T656" s="226"/>
      <c r="U656" s="228"/>
      <c r="V656" s="222"/>
      <c r="W656" s="229"/>
      <c r="X656" s="227"/>
      <c r="Y656" s="229"/>
      <c r="Z656" s="236"/>
      <c r="AA656" s="237"/>
      <c r="AB656" s="238"/>
      <c r="AC656" s="223"/>
      <c r="AD656" s="222"/>
    </row>
    <row r="657" spans="1:30" x14ac:dyDescent="0.4">
      <c r="A657" s="230">
        <v>133</v>
      </c>
      <c r="B657" s="8">
        <v>133</v>
      </c>
      <c r="C657" s="14">
        <f t="shared" ca="1" si="387"/>
        <v>1.42</v>
      </c>
      <c r="D657" s="20">
        <f t="shared" ca="1" si="362"/>
        <v>1.704</v>
      </c>
      <c r="E657" s="224" t="str">
        <f ca="1">INDIRECT("'Закуп'!D" &amp; A657)</f>
        <v>У</v>
      </c>
      <c r="F657" s="231" t="str">
        <f t="shared" ref="F657" ca="1" si="390">INDIRECT("'Закуп'!E" &amp; B657)</f>
        <v>380х285х310</v>
      </c>
      <c r="G657" s="172" t="str">
        <f t="shared" ca="1" si="382"/>
        <v/>
      </c>
      <c r="H657" s="93" t="str">
        <f t="shared" ca="1" si="383"/>
        <v/>
      </c>
      <c r="I657" s="21">
        <v>50</v>
      </c>
      <c r="J657" s="68">
        <f t="shared" si="384"/>
        <v>3.0416666666666665</v>
      </c>
      <c r="K657" s="70">
        <v>3.65</v>
      </c>
      <c r="L657" s="72">
        <f t="shared" ca="1" si="379"/>
        <v>1.2973333333333332</v>
      </c>
      <c r="M657" s="73">
        <f t="shared" ca="1" si="380"/>
        <v>64.86666666666666</v>
      </c>
      <c r="N657" s="12" t="s">
        <v>40</v>
      </c>
      <c r="O657" s="47" t="s">
        <v>45</v>
      </c>
      <c r="P657" s="13">
        <f t="shared" si="370"/>
        <v>3.65</v>
      </c>
      <c r="Q657" s="1" t="str">
        <f t="shared" si="371"/>
        <v>50-90 шт - 3,65 руб / шт с НДС</v>
      </c>
      <c r="R657" s="235" t="str">
        <f ca="1">INDIRECT("'Закуп'!k" &amp; A657)</f>
        <v>K134</v>
      </c>
      <c r="S657" s="239">
        <f ca="1">INDIRECT("'Закуп'!o" &amp; A657)</f>
        <v>33.57</v>
      </c>
      <c r="T657" s="226" t="str">
        <f ca="1">INDIRECT("'Закуп'!p" &amp; A657)</f>
        <v>30-49 литров</v>
      </c>
      <c r="U657" s="228" t="str">
        <f ca="1">INDIRECT("'Закуп'!v" &amp; A657)</f>
        <v/>
      </c>
      <c r="V657" s="222" t="str">
        <f ca="1">INDIRECT("'Закуп'!w" &amp; A657)</f>
        <v/>
      </c>
      <c r="W657" s="229" t="str">
        <f ca="1">INDIRECT("'Закуп'!H" &amp; A657)</f>
        <v>х</v>
      </c>
      <c r="X657" s="227" t="str">
        <f t="shared" ref="X657" ca="1" si="391">INDIRECT("'Закуп'!g" &amp; A657)</f>
        <v>Ч</v>
      </c>
      <c r="Y657" s="229" t="str">
        <f ca="1">INDIRECT("'Закуп'!i" &amp; A657)</f>
        <v>В</v>
      </c>
      <c r="Z657" s="236" t="str">
        <f ca="1">INDIRECT("'Закуп'!x" &amp; A657)</f>
        <v>300-399 мм</v>
      </c>
      <c r="AA657" s="237" t="str">
        <f ca="1">INDIRECT("'Закуп'!y" &amp; A657)</f>
        <v>300-399 мм</v>
      </c>
      <c r="AB657" s="238" t="str">
        <f ca="1">INDIRECT("'Закуп'!z" &amp; A657)</f>
        <v>200-299 мм</v>
      </c>
      <c r="AC657" s="223" t="str">
        <f t="shared" ca="1" si="369"/>
        <v>380x285x310</v>
      </c>
      <c r="AD657" s="222" t="str">
        <f t="shared" ca="1" si="357"/>
        <v>380x285x310 - 380*285*310 мм</v>
      </c>
    </row>
    <row r="658" spans="1:30" x14ac:dyDescent="0.4">
      <c r="A658" s="230"/>
      <c r="B658" s="8">
        <v>133</v>
      </c>
      <c r="C658" s="14">
        <f t="shared" ca="1" si="387"/>
        <v>1.42</v>
      </c>
      <c r="D658" s="20">
        <f t="shared" ca="1" si="362"/>
        <v>1.704</v>
      </c>
      <c r="E658" s="225"/>
      <c r="F658" s="231"/>
      <c r="G658" s="172" t="str">
        <f t="shared" ca="1" si="382"/>
        <v/>
      </c>
      <c r="H658" s="93" t="str">
        <f t="shared" ca="1" si="383"/>
        <v/>
      </c>
      <c r="I658" s="21">
        <v>100</v>
      </c>
      <c r="J658" s="68">
        <f t="shared" si="384"/>
        <v>2.4333333333333336</v>
      </c>
      <c r="K658" s="70">
        <v>2.92</v>
      </c>
      <c r="L658" s="72">
        <f t="shared" ca="1" si="379"/>
        <v>0.81066666666666687</v>
      </c>
      <c r="M658" s="73">
        <f t="shared" ca="1" si="380"/>
        <v>81.066666666666691</v>
      </c>
      <c r="N658" s="12" t="s">
        <v>41</v>
      </c>
      <c r="O658" s="47" t="s">
        <v>45</v>
      </c>
      <c r="P658" s="13">
        <f t="shared" si="370"/>
        <v>2.92</v>
      </c>
      <c r="Q658" s="1" t="str">
        <f t="shared" si="371"/>
        <v>100-290 шт - 2,92 руб / шт с НДС</v>
      </c>
      <c r="R658" s="235"/>
      <c r="S658" s="239"/>
      <c r="T658" s="226"/>
      <c r="U658" s="228"/>
      <c r="V658" s="222"/>
      <c r="W658" s="229"/>
      <c r="X658" s="227"/>
      <c r="Y658" s="229"/>
      <c r="Z658" s="236"/>
      <c r="AA658" s="237"/>
      <c r="AB658" s="238"/>
      <c r="AC658" s="223"/>
      <c r="AD658" s="222"/>
    </row>
    <row r="659" spans="1:30" x14ac:dyDescent="0.4">
      <c r="A659" s="230"/>
      <c r="B659" s="8">
        <v>133</v>
      </c>
      <c r="C659" s="14">
        <f t="shared" ca="1" si="387"/>
        <v>1.42</v>
      </c>
      <c r="D659" s="20">
        <f t="shared" ca="1" si="362"/>
        <v>1.704</v>
      </c>
      <c r="E659" s="225"/>
      <c r="F659" s="231"/>
      <c r="G659" s="172" t="str">
        <f t="shared" ca="1" si="382"/>
        <v/>
      </c>
      <c r="H659" s="93" t="str">
        <f t="shared" ca="1" si="383"/>
        <v/>
      </c>
      <c r="I659" s="21">
        <v>300</v>
      </c>
      <c r="J659" s="68">
        <f t="shared" si="384"/>
        <v>2.0500000000000003</v>
      </c>
      <c r="K659" s="70">
        <v>2.46</v>
      </c>
      <c r="L659" s="72">
        <f t="shared" ca="1" si="379"/>
        <v>0.50400000000000023</v>
      </c>
      <c r="M659" s="73">
        <f t="shared" ca="1" si="380"/>
        <v>151.20000000000007</v>
      </c>
      <c r="N659" s="12" t="s">
        <v>42</v>
      </c>
      <c r="O659" s="47" t="s">
        <v>45</v>
      </c>
      <c r="P659" s="13">
        <f t="shared" si="370"/>
        <v>2.46</v>
      </c>
      <c r="Q659" s="1" t="str">
        <f t="shared" si="371"/>
        <v>300-490 шт - 2,46 руб / шт с НДС</v>
      </c>
      <c r="R659" s="235"/>
      <c r="S659" s="239"/>
      <c r="T659" s="226"/>
      <c r="U659" s="228"/>
      <c r="V659" s="222"/>
      <c r="W659" s="229"/>
      <c r="X659" s="227"/>
      <c r="Y659" s="229"/>
      <c r="Z659" s="236"/>
      <c r="AA659" s="237"/>
      <c r="AB659" s="238"/>
      <c r="AC659" s="223"/>
      <c r="AD659" s="222"/>
    </row>
    <row r="660" spans="1:30" x14ac:dyDescent="0.4">
      <c r="A660" s="230"/>
      <c r="B660" s="8">
        <v>133</v>
      </c>
      <c r="C660" s="14">
        <f t="shared" ca="1" si="387"/>
        <v>1.42</v>
      </c>
      <c r="D660" s="20">
        <f t="shared" ca="1" si="362"/>
        <v>1.704</v>
      </c>
      <c r="E660" s="225"/>
      <c r="F660" s="231"/>
      <c r="G660" s="172" t="str">
        <f t="shared" ca="1" si="382"/>
        <v/>
      </c>
      <c r="H660" s="93" t="str">
        <f t="shared" ca="1" si="383"/>
        <v/>
      </c>
      <c r="I660" s="21">
        <v>500</v>
      </c>
      <c r="J660" s="68">
        <f t="shared" si="384"/>
        <v>1.9416666666666669</v>
      </c>
      <c r="K660" s="70">
        <v>2.33</v>
      </c>
      <c r="L660" s="72">
        <f t="shared" ca="1" si="379"/>
        <v>0.41733333333333356</v>
      </c>
      <c r="M660" s="73">
        <f t="shared" ca="1" si="380"/>
        <v>208.66666666666677</v>
      </c>
      <c r="N660" s="12" t="s">
        <v>43</v>
      </c>
      <c r="O660" s="47" t="s">
        <v>45</v>
      </c>
      <c r="P660" s="13">
        <f t="shared" si="370"/>
        <v>2.33</v>
      </c>
      <c r="Q660" s="1" t="str">
        <f t="shared" si="371"/>
        <v>500-990 шт - 2,33 руб / шт с НДС</v>
      </c>
      <c r="R660" s="235"/>
      <c r="S660" s="239"/>
      <c r="T660" s="226"/>
      <c r="U660" s="228"/>
      <c r="V660" s="222"/>
      <c r="W660" s="229"/>
      <c r="X660" s="227"/>
      <c r="Y660" s="229"/>
      <c r="Z660" s="236"/>
      <c r="AA660" s="237"/>
      <c r="AB660" s="238"/>
      <c r="AC660" s="223"/>
      <c r="AD660" s="222"/>
    </row>
    <row r="661" spans="1:30" x14ac:dyDescent="0.4">
      <c r="A661" s="230"/>
      <c r="B661" s="8">
        <v>133</v>
      </c>
      <c r="C661" s="14">
        <f t="shared" ca="1" si="387"/>
        <v>1.42</v>
      </c>
      <c r="D661" s="20">
        <f t="shared" ca="1" si="362"/>
        <v>1.704</v>
      </c>
      <c r="E661" s="225"/>
      <c r="F661" s="231"/>
      <c r="G661" s="172" t="str">
        <f t="shared" ca="1" si="382"/>
        <v/>
      </c>
      <c r="H661" s="93" t="str">
        <f t="shared" ca="1" si="383"/>
        <v/>
      </c>
      <c r="I661" s="21">
        <v>1000</v>
      </c>
      <c r="J661" s="68">
        <f t="shared" si="384"/>
        <v>1.8583333333333334</v>
      </c>
      <c r="K661" s="70">
        <v>2.23</v>
      </c>
      <c r="L661" s="72">
        <f t="shared" ca="1" si="379"/>
        <v>0.35066666666666679</v>
      </c>
      <c r="M661" s="73">
        <f t="shared" ca="1" si="380"/>
        <v>350.6666666666668</v>
      </c>
      <c r="N661" s="12" t="s">
        <v>44</v>
      </c>
      <c r="O661" s="47" t="s">
        <v>45</v>
      </c>
      <c r="P661" s="13">
        <f t="shared" si="370"/>
        <v>2.23</v>
      </c>
      <c r="Q661" s="1" t="str">
        <f t="shared" si="371"/>
        <v>1000 + шт - 2,23 руб / шт с НДС</v>
      </c>
      <c r="R661" s="235"/>
      <c r="S661" s="239"/>
      <c r="T661" s="226"/>
      <c r="U661" s="228"/>
      <c r="V661" s="222"/>
      <c r="W661" s="229"/>
      <c r="X661" s="227"/>
      <c r="Y661" s="229"/>
      <c r="Z661" s="236"/>
      <c r="AA661" s="237"/>
      <c r="AB661" s="238"/>
      <c r="AC661" s="223"/>
      <c r="AD661" s="222"/>
    </row>
    <row r="662" spans="1:30" x14ac:dyDescent="0.4">
      <c r="A662" s="230">
        <v>134</v>
      </c>
      <c r="B662" s="8">
        <v>134</v>
      </c>
      <c r="C662" s="14">
        <f t="shared" ca="1" si="387"/>
        <v>1.07</v>
      </c>
      <c r="D662" s="20">
        <f t="shared" ca="1" si="362"/>
        <v>1.284</v>
      </c>
      <c r="E662" s="224" t="str">
        <f ca="1">INDIRECT("'Закуп'!D" &amp; A662)</f>
        <v>У</v>
      </c>
      <c r="F662" s="231" t="str">
        <f t="shared" ref="F662" ca="1" si="392">INDIRECT("'Закуп'!E" &amp; B662)</f>
        <v>420х270х160</v>
      </c>
      <c r="G662" s="172" t="str">
        <f t="shared" ca="1" si="382"/>
        <v/>
      </c>
      <c r="H662" s="93" t="str">
        <f t="shared" ca="1" si="383"/>
        <v/>
      </c>
      <c r="I662" s="21">
        <v>50</v>
      </c>
      <c r="J662" s="68">
        <f t="shared" si="384"/>
        <v>2.291666666666667</v>
      </c>
      <c r="K662" s="70">
        <v>2.75</v>
      </c>
      <c r="L662" s="72">
        <f t="shared" ca="1" si="379"/>
        <v>0.9773333333333335</v>
      </c>
      <c r="M662" s="73">
        <f t="shared" ca="1" si="380"/>
        <v>48.866666666666674</v>
      </c>
      <c r="N662" s="12" t="s">
        <v>40</v>
      </c>
      <c r="O662" s="47" t="s">
        <v>45</v>
      </c>
      <c r="P662" s="13">
        <f t="shared" si="370"/>
        <v>2.75</v>
      </c>
      <c r="Q662" s="1" t="str">
        <f t="shared" si="371"/>
        <v>50-90 шт - 2,75 руб / шт с НДС</v>
      </c>
      <c r="R662" s="235" t="str">
        <f ca="1">INDIRECT("'Закуп'!k" &amp; A662)</f>
        <v>K135</v>
      </c>
      <c r="S662" s="239">
        <f ca="1">INDIRECT("'Закуп'!o" &amp; A662)</f>
        <v>18.14</v>
      </c>
      <c r="T662" s="226" t="str">
        <f ca="1">INDIRECT("'Закуп'!p" &amp; A662)</f>
        <v>15-19,9 литров</v>
      </c>
      <c r="U662" s="228" t="str">
        <f ca="1">INDIRECT("'Закуп'!v" &amp; A662)</f>
        <v/>
      </c>
      <c r="V662" s="222" t="str">
        <f ca="1">INDIRECT("'Закуп'!w" &amp; A662)</f>
        <v/>
      </c>
      <c r="W662" s="229" t="str">
        <f ca="1">INDIRECT("'Закуп'!H" &amp; A662)</f>
        <v>х</v>
      </c>
      <c r="X662" s="227" t="str">
        <f t="shared" ref="X662" ca="1" si="393">INDIRECT("'Закуп'!g" &amp; A662)</f>
        <v>Ч</v>
      </c>
      <c r="Y662" s="229" t="str">
        <f ca="1">INDIRECT("'Закуп'!i" &amp; A662)</f>
        <v>В</v>
      </c>
      <c r="Z662" s="236" t="str">
        <f ca="1">INDIRECT("'Закуп'!x" &amp; A662)</f>
        <v>400-499 мм</v>
      </c>
      <c r="AA662" s="237" t="str">
        <f ca="1">INDIRECT("'Закуп'!y" &amp; A662)</f>
        <v>200-299 мм</v>
      </c>
      <c r="AB662" s="238" t="str">
        <f ca="1">INDIRECT("'Закуп'!z" &amp; A662)</f>
        <v>100-199 мм</v>
      </c>
      <c r="AC662" s="223" t="str">
        <f t="shared" ca="1" si="369"/>
        <v>420x270x160</v>
      </c>
      <c r="AD662" s="222" t="str">
        <f t="shared" ref="AD662:AD722" ca="1" si="394">SUBSTITUTE(INDEX(F:F, ROUNDUP((ROW(A661))/5,0)*5 - 3), "х", "x") &amp; " - " &amp; SUBSTITUTE(SUBSTITUTE(INDEX(F:F, ROUNDUP((ROW(A661))/5,0)*5 - 3), "х", "*"), "x", "*") &amp; " мм"</f>
        <v>420x270x160 - 420*270*160 мм</v>
      </c>
    </row>
    <row r="663" spans="1:30" x14ac:dyDescent="0.4">
      <c r="A663" s="230"/>
      <c r="B663" s="8">
        <v>134</v>
      </c>
      <c r="C663" s="14">
        <f t="shared" ca="1" si="387"/>
        <v>1.07</v>
      </c>
      <c r="D663" s="20">
        <f t="shared" ca="1" si="362"/>
        <v>1.284</v>
      </c>
      <c r="E663" s="225"/>
      <c r="F663" s="231"/>
      <c r="G663" s="172" t="str">
        <f t="shared" ca="1" si="382"/>
        <v/>
      </c>
      <c r="H663" s="93" t="str">
        <f t="shared" ca="1" si="383"/>
        <v/>
      </c>
      <c r="I663" s="21">
        <v>100</v>
      </c>
      <c r="J663" s="68">
        <f t="shared" si="384"/>
        <v>1.825</v>
      </c>
      <c r="K663" s="70">
        <v>2.19</v>
      </c>
      <c r="L663" s="72">
        <f t="shared" ca="1" si="379"/>
        <v>0.60399999999999987</v>
      </c>
      <c r="M663" s="73">
        <f t="shared" ca="1" si="380"/>
        <v>60.399999999999984</v>
      </c>
      <c r="N663" s="12" t="s">
        <v>41</v>
      </c>
      <c r="O663" s="47" t="s">
        <v>45</v>
      </c>
      <c r="P663" s="13">
        <f t="shared" si="370"/>
        <v>2.19</v>
      </c>
      <c r="Q663" s="1" t="str">
        <f t="shared" si="371"/>
        <v>100-290 шт - 2,19 руб / шт с НДС</v>
      </c>
      <c r="R663" s="235"/>
      <c r="S663" s="239"/>
      <c r="T663" s="226"/>
      <c r="U663" s="228"/>
      <c r="V663" s="222"/>
      <c r="W663" s="229"/>
      <c r="X663" s="227"/>
      <c r="Y663" s="229"/>
      <c r="Z663" s="236"/>
      <c r="AA663" s="237"/>
      <c r="AB663" s="238"/>
      <c r="AC663" s="223"/>
      <c r="AD663" s="222"/>
    </row>
    <row r="664" spans="1:30" x14ac:dyDescent="0.4">
      <c r="A664" s="230"/>
      <c r="B664" s="8">
        <v>134</v>
      </c>
      <c r="C664" s="14">
        <f t="shared" ca="1" si="387"/>
        <v>1.07</v>
      </c>
      <c r="D664" s="20">
        <f t="shared" ca="1" si="362"/>
        <v>1.284</v>
      </c>
      <c r="E664" s="225"/>
      <c r="F664" s="231"/>
      <c r="G664" s="172" t="str">
        <f t="shared" ca="1" si="382"/>
        <v/>
      </c>
      <c r="H664" s="93" t="str">
        <f t="shared" ca="1" si="383"/>
        <v/>
      </c>
      <c r="I664" s="21">
        <v>300</v>
      </c>
      <c r="J664" s="68">
        <f t="shared" si="384"/>
        <v>1.6666666666666667</v>
      </c>
      <c r="K664" s="70">
        <v>2</v>
      </c>
      <c r="L664" s="72">
        <f t="shared" ca="1" si="379"/>
        <v>0.47733333333333333</v>
      </c>
      <c r="M664" s="73">
        <f t="shared" ca="1" si="380"/>
        <v>143.19999999999999</v>
      </c>
      <c r="N664" s="12" t="s">
        <v>42</v>
      </c>
      <c r="O664" s="47" t="s">
        <v>45</v>
      </c>
      <c r="P664" s="13">
        <f t="shared" si="370"/>
        <v>2</v>
      </c>
      <c r="Q664" s="1" t="str">
        <f t="shared" si="371"/>
        <v>300-490 шт - 2 руб / шт с НДС</v>
      </c>
      <c r="R664" s="235"/>
      <c r="S664" s="239"/>
      <c r="T664" s="226"/>
      <c r="U664" s="228"/>
      <c r="V664" s="222"/>
      <c r="W664" s="229"/>
      <c r="X664" s="227"/>
      <c r="Y664" s="229"/>
      <c r="Z664" s="236"/>
      <c r="AA664" s="237"/>
      <c r="AB664" s="238"/>
      <c r="AC664" s="223"/>
      <c r="AD664" s="222"/>
    </row>
    <row r="665" spans="1:30" x14ac:dyDescent="0.4">
      <c r="A665" s="230"/>
      <c r="B665" s="8">
        <v>134</v>
      </c>
      <c r="C665" s="14">
        <f t="shared" ca="1" si="387"/>
        <v>1.07</v>
      </c>
      <c r="D665" s="20">
        <f t="shared" ca="1" si="362"/>
        <v>1.284</v>
      </c>
      <c r="E665" s="225"/>
      <c r="F665" s="231"/>
      <c r="G665" s="172" t="str">
        <f t="shared" ca="1" si="382"/>
        <v/>
      </c>
      <c r="H665" s="93" t="str">
        <f t="shared" ca="1" si="383"/>
        <v/>
      </c>
      <c r="I665" s="21">
        <v>500</v>
      </c>
      <c r="J665" s="68">
        <f t="shared" si="384"/>
        <v>1.4916666666666667</v>
      </c>
      <c r="K665" s="70">
        <v>1.79</v>
      </c>
      <c r="L665" s="72">
        <f t="shared" ca="1" si="379"/>
        <v>0.33733333333333332</v>
      </c>
      <c r="M665" s="73">
        <f t="shared" ca="1" si="380"/>
        <v>168.66666666666666</v>
      </c>
      <c r="N665" s="12" t="s">
        <v>43</v>
      </c>
      <c r="O665" s="47" t="s">
        <v>45</v>
      </c>
      <c r="P665" s="13">
        <f t="shared" si="370"/>
        <v>1.79</v>
      </c>
      <c r="Q665" s="1" t="str">
        <f t="shared" si="371"/>
        <v>500-990 шт - 1,79 руб / шт с НДС</v>
      </c>
      <c r="R665" s="235"/>
      <c r="S665" s="239"/>
      <c r="T665" s="226"/>
      <c r="U665" s="228"/>
      <c r="V665" s="222"/>
      <c r="W665" s="229"/>
      <c r="X665" s="227"/>
      <c r="Y665" s="229"/>
      <c r="Z665" s="236"/>
      <c r="AA665" s="237"/>
      <c r="AB665" s="238"/>
      <c r="AC665" s="223"/>
      <c r="AD665" s="222"/>
    </row>
    <row r="666" spans="1:30" x14ac:dyDescent="0.4">
      <c r="A666" s="230"/>
      <c r="B666" s="8">
        <v>134</v>
      </c>
      <c r="C666" s="14">
        <f t="shared" ca="1" si="387"/>
        <v>1.07</v>
      </c>
      <c r="D666" s="20">
        <f t="shared" ca="1" si="362"/>
        <v>1.284</v>
      </c>
      <c r="E666" s="225"/>
      <c r="F666" s="231"/>
      <c r="G666" s="172" t="str">
        <f t="shared" ca="1" si="382"/>
        <v/>
      </c>
      <c r="H666" s="93" t="str">
        <f t="shared" ca="1" si="383"/>
        <v/>
      </c>
      <c r="I666" s="21">
        <v>1000</v>
      </c>
      <c r="J666" s="68">
        <f t="shared" si="384"/>
        <v>1.4416666666666667</v>
      </c>
      <c r="K666" s="70">
        <v>1.73</v>
      </c>
      <c r="L666" s="72">
        <f t="shared" ca="1" si="379"/>
        <v>0.29733333333333328</v>
      </c>
      <c r="M666" s="73">
        <f t="shared" ca="1" si="380"/>
        <v>297.33333333333326</v>
      </c>
      <c r="N666" s="12" t="s">
        <v>44</v>
      </c>
      <c r="O666" s="47" t="s">
        <v>45</v>
      </c>
      <c r="P666" s="13">
        <f t="shared" si="370"/>
        <v>1.73</v>
      </c>
      <c r="Q666" s="1" t="str">
        <f t="shared" si="371"/>
        <v>1000 + шт - 1,73 руб / шт с НДС</v>
      </c>
      <c r="R666" s="235"/>
      <c r="S666" s="239"/>
      <c r="T666" s="226"/>
      <c r="U666" s="228"/>
      <c r="V666" s="222"/>
      <c r="W666" s="229"/>
      <c r="X666" s="227"/>
      <c r="Y666" s="229"/>
      <c r="Z666" s="236"/>
      <c r="AA666" s="237"/>
      <c r="AB666" s="238"/>
      <c r="AC666" s="223"/>
      <c r="AD666" s="222"/>
    </row>
    <row r="667" spans="1:30" x14ac:dyDescent="0.4">
      <c r="A667" s="230">
        <v>135</v>
      </c>
      <c r="B667" s="8">
        <v>135</v>
      </c>
      <c r="C667" s="14">
        <f t="shared" ca="1" si="387"/>
        <v>1.25</v>
      </c>
      <c r="D667" s="20">
        <f t="shared" ca="1" si="362"/>
        <v>1.5</v>
      </c>
      <c r="E667" s="224" t="str">
        <f ca="1">INDIRECT("'Закуп'!D" &amp; A667)</f>
        <v>У</v>
      </c>
      <c r="F667" s="231" t="str">
        <f t="shared" ref="F667" ca="1" si="395">INDIRECT("'Закуп'!E" &amp; B667)</f>
        <v>380х285х237</v>
      </c>
      <c r="G667" s="172" t="str">
        <f t="shared" ca="1" si="382"/>
        <v/>
      </c>
      <c r="H667" s="93" t="str">
        <f t="shared" ca="1" si="383"/>
        <v/>
      </c>
      <c r="I667" s="21">
        <v>50</v>
      </c>
      <c r="J667" s="68">
        <f t="shared" si="384"/>
        <v>2.6750000000000003</v>
      </c>
      <c r="K667" s="70">
        <v>3.21</v>
      </c>
      <c r="L667" s="72">
        <f t="shared" ca="1" si="379"/>
        <v>1.1400000000000001</v>
      </c>
      <c r="M667" s="73">
        <f t="shared" ca="1" si="380"/>
        <v>57.000000000000007</v>
      </c>
      <c r="N667" s="12" t="s">
        <v>40</v>
      </c>
      <c r="O667" s="47" t="s">
        <v>45</v>
      </c>
      <c r="P667" s="13">
        <f t="shared" si="370"/>
        <v>3.21</v>
      </c>
      <c r="Q667" s="1" t="str">
        <f t="shared" si="371"/>
        <v>50-90 шт - 3,21 руб / шт с НДС</v>
      </c>
      <c r="R667" s="235" t="str">
        <f ca="1">INDIRECT("'Закуп'!k" &amp; A667)</f>
        <v>K136</v>
      </c>
      <c r="S667" s="239">
        <f ca="1">INDIRECT("'Закуп'!o" &amp; A667)</f>
        <v>25.67</v>
      </c>
      <c r="T667" s="226" t="str">
        <f ca="1">INDIRECT("'Закуп'!p" &amp; A667)</f>
        <v>20-29 литров</v>
      </c>
      <c r="U667" s="228" t="str">
        <f ca="1">INDIRECT("'Закуп'!v" &amp; A667)</f>
        <v/>
      </c>
      <c r="V667" s="222" t="str">
        <f ca="1">INDIRECT("'Закуп'!w" &amp; A667)</f>
        <v/>
      </c>
      <c r="W667" s="229" t="str">
        <f ca="1">INDIRECT("'Закуп'!H" &amp; A667)</f>
        <v>х</v>
      </c>
      <c r="X667" s="227" t="str">
        <f t="shared" ref="X667" ca="1" si="396">INDIRECT("'Закуп'!g" &amp; A667)</f>
        <v>Ч</v>
      </c>
      <c r="Y667" s="229" t="str">
        <f ca="1">INDIRECT("'Закуп'!i" &amp; A667)</f>
        <v>В</v>
      </c>
      <c r="Z667" s="236" t="str">
        <f ca="1">INDIRECT("'Закуп'!x" &amp; A667)</f>
        <v>300-399 мм</v>
      </c>
      <c r="AA667" s="237" t="str">
        <f ca="1">INDIRECT("'Закуп'!y" &amp; A667)</f>
        <v>200-299 мм</v>
      </c>
      <c r="AB667" s="238" t="str">
        <f ca="1">INDIRECT("'Закуп'!z" &amp; A667)</f>
        <v>200-299 мм</v>
      </c>
      <c r="AC667" s="223" t="str">
        <f t="shared" ca="1" si="369"/>
        <v>380x285x237</v>
      </c>
      <c r="AD667" s="222" t="str">
        <f t="shared" ca="1" si="394"/>
        <v>380x285x237 - 380*285*237 мм</v>
      </c>
    </row>
    <row r="668" spans="1:30" x14ac:dyDescent="0.4">
      <c r="A668" s="230"/>
      <c r="B668" s="8">
        <v>135</v>
      </c>
      <c r="C668" s="14">
        <f t="shared" ca="1" si="387"/>
        <v>1.25</v>
      </c>
      <c r="D668" s="20">
        <f t="shared" ca="1" si="362"/>
        <v>1.5</v>
      </c>
      <c r="E668" s="225"/>
      <c r="F668" s="231"/>
      <c r="G668" s="172" t="str">
        <f t="shared" ca="1" si="382"/>
        <v/>
      </c>
      <c r="H668" s="93" t="str">
        <f t="shared" ca="1" si="383"/>
        <v/>
      </c>
      <c r="I668" s="21">
        <v>100</v>
      </c>
      <c r="J668" s="68">
        <f t="shared" si="384"/>
        <v>2.1416666666666666</v>
      </c>
      <c r="K668" s="70">
        <v>2.57</v>
      </c>
      <c r="L668" s="72">
        <f t="shared" ca="1" si="379"/>
        <v>0.71333333333333326</v>
      </c>
      <c r="M668" s="73">
        <f t="shared" ca="1" si="380"/>
        <v>71.333333333333329</v>
      </c>
      <c r="N668" s="12" t="s">
        <v>41</v>
      </c>
      <c r="O668" s="47" t="s">
        <v>45</v>
      </c>
      <c r="P668" s="13">
        <f t="shared" si="370"/>
        <v>2.57</v>
      </c>
      <c r="Q668" s="1" t="str">
        <f t="shared" si="371"/>
        <v>100-290 шт - 2,57 руб / шт с НДС</v>
      </c>
      <c r="R668" s="235"/>
      <c r="S668" s="239"/>
      <c r="T668" s="226"/>
      <c r="U668" s="228"/>
      <c r="V668" s="222"/>
      <c r="W668" s="229"/>
      <c r="X668" s="227"/>
      <c r="Y668" s="229"/>
      <c r="Z668" s="236"/>
      <c r="AA668" s="237"/>
      <c r="AB668" s="238"/>
      <c r="AC668" s="223"/>
      <c r="AD668" s="222"/>
    </row>
    <row r="669" spans="1:30" x14ac:dyDescent="0.4">
      <c r="A669" s="230"/>
      <c r="B669" s="8">
        <v>135</v>
      </c>
      <c r="C669" s="14">
        <f t="shared" ca="1" si="387"/>
        <v>1.25</v>
      </c>
      <c r="D669" s="20">
        <f t="shared" ca="1" si="362"/>
        <v>1.5</v>
      </c>
      <c r="E669" s="225"/>
      <c r="F669" s="231"/>
      <c r="G669" s="172" t="str">
        <f t="shared" ca="1" si="382"/>
        <v/>
      </c>
      <c r="H669" s="93" t="str">
        <f t="shared" ca="1" si="383"/>
        <v/>
      </c>
      <c r="I669" s="21">
        <v>300</v>
      </c>
      <c r="J669" s="68">
        <f t="shared" si="384"/>
        <v>1.925</v>
      </c>
      <c r="K669" s="70">
        <v>2.31</v>
      </c>
      <c r="L669" s="72">
        <f t="shared" ca="1" si="379"/>
        <v>0.54</v>
      </c>
      <c r="M669" s="73">
        <f t="shared" ca="1" si="380"/>
        <v>162</v>
      </c>
      <c r="N669" s="12" t="s">
        <v>42</v>
      </c>
      <c r="O669" s="47" t="s">
        <v>45</v>
      </c>
      <c r="P669" s="13">
        <f t="shared" si="370"/>
        <v>2.31</v>
      </c>
      <c r="Q669" s="1" t="str">
        <f t="shared" si="371"/>
        <v>300-490 шт - 2,31 руб / шт с НДС</v>
      </c>
      <c r="R669" s="235"/>
      <c r="S669" s="239"/>
      <c r="T669" s="226"/>
      <c r="U669" s="228"/>
      <c r="V669" s="222"/>
      <c r="W669" s="229"/>
      <c r="X669" s="227"/>
      <c r="Y669" s="229"/>
      <c r="Z669" s="236"/>
      <c r="AA669" s="237"/>
      <c r="AB669" s="238"/>
      <c r="AC669" s="223"/>
      <c r="AD669" s="222"/>
    </row>
    <row r="670" spans="1:30" x14ac:dyDescent="0.4">
      <c r="A670" s="230"/>
      <c r="B670" s="8">
        <v>135</v>
      </c>
      <c r="C670" s="14">
        <f t="shared" ca="1" si="387"/>
        <v>1.25</v>
      </c>
      <c r="D670" s="20">
        <f t="shared" ca="1" si="362"/>
        <v>1.5</v>
      </c>
      <c r="E670" s="225"/>
      <c r="F670" s="231"/>
      <c r="G670" s="172" t="str">
        <f t="shared" ca="1" si="382"/>
        <v/>
      </c>
      <c r="H670" s="93" t="str">
        <f t="shared" ca="1" si="383"/>
        <v/>
      </c>
      <c r="I670" s="21">
        <v>500</v>
      </c>
      <c r="J670" s="68">
        <f t="shared" si="384"/>
        <v>1.7416666666666667</v>
      </c>
      <c r="K670" s="70">
        <v>2.09</v>
      </c>
      <c r="L670" s="72">
        <f t="shared" ca="1" si="379"/>
        <v>0.39333333333333337</v>
      </c>
      <c r="M670" s="73">
        <f t="shared" ca="1" si="380"/>
        <v>196.66666666666669</v>
      </c>
      <c r="N670" s="12" t="s">
        <v>43</v>
      </c>
      <c r="O670" s="47" t="s">
        <v>45</v>
      </c>
      <c r="P670" s="13">
        <f t="shared" si="370"/>
        <v>2.09</v>
      </c>
      <c r="Q670" s="1" t="str">
        <f t="shared" si="371"/>
        <v>500-990 шт - 2,09 руб / шт с НДС</v>
      </c>
      <c r="R670" s="235"/>
      <c r="S670" s="239"/>
      <c r="T670" s="226"/>
      <c r="U670" s="228"/>
      <c r="V670" s="222"/>
      <c r="W670" s="229"/>
      <c r="X670" s="227"/>
      <c r="Y670" s="229"/>
      <c r="Z670" s="236"/>
      <c r="AA670" s="237"/>
      <c r="AB670" s="238"/>
      <c r="AC670" s="223"/>
      <c r="AD670" s="222"/>
    </row>
    <row r="671" spans="1:30" x14ac:dyDescent="0.4">
      <c r="A671" s="230"/>
      <c r="B671" s="8">
        <v>135</v>
      </c>
      <c r="C671" s="14">
        <f t="shared" ca="1" si="387"/>
        <v>1.25</v>
      </c>
      <c r="D671" s="20">
        <f t="shared" ca="1" si="362"/>
        <v>1.5</v>
      </c>
      <c r="E671" s="225"/>
      <c r="F671" s="231"/>
      <c r="G671" s="172" t="str">
        <f t="shared" ca="1" si="382"/>
        <v/>
      </c>
      <c r="H671" s="93" t="str">
        <f t="shared" ca="1" si="383"/>
        <v/>
      </c>
      <c r="I671" s="21">
        <v>1000</v>
      </c>
      <c r="J671" s="68">
        <f t="shared" si="384"/>
        <v>1.6583333333333334</v>
      </c>
      <c r="K671" s="70">
        <v>1.99</v>
      </c>
      <c r="L671" s="72">
        <f t="shared" ca="1" si="379"/>
        <v>0.32666666666666677</v>
      </c>
      <c r="M671" s="73">
        <f t="shared" ca="1" si="380"/>
        <v>326.6666666666668</v>
      </c>
      <c r="N671" s="12" t="s">
        <v>44</v>
      </c>
      <c r="O671" s="47" t="s">
        <v>45</v>
      </c>
      <c r="P671" s="13">
        <f t="shared" si="370"/>
        <v>1.99</v>
      </c>
      <c r="Q671" s="1" t="str">
        <f t="shared" si="371"/>
        <v>1000 + шт - 1,99 руб / шт с НДС</v>
      </c>
      <c r="R671" s="235"/>
      <c r="S671" s="239"/>
      <c r="T671" s="226"/>
      <c r="U671" s="228"/>
      <c r="V671" s="222"/>
      <c r="W671" s="229"/>
      <c r="X671" s="227"/>
      <c r="Y671" s="229"/>
      <c r="Z671" s="236"/>
      <c r="AA671" s="237"/>
      <c r="AB671" s="238"/>
      <c r="AC671" s="223"/>
      <c r="AD671" s="222"/>
    </row>
    <row r="672" spans="1:30" x14ac:dyDescent="0.4">
      <c r="A672" s="230">
        <v>136</v>
      </c>
      <c r="B672" s="8">
        <v>136</v>
      </c>
      <c r="C672" s="14">
        <f t="shared" ca="1" si="387"/>
        <v>0.54</v>
      </c>
      <c r="D672" s="20">
        <f t="shared" ca="1" si="362"/>
        <v>0.64800000000000002</v>
      </c>
      <c r="E672" s="224" t="str">
        <f ca="1">INDIRECT("'Закуп'!D" &amp; A672)</f>
        <v>У</v>
      </c>
      <c r="F672" s="231" t="str">
        <f t="shared" ref="F672" ca="1" si="397">INDIRECT("'Закуп'!E" &amp; B672)</f>
        <v>200х160х250</v>
      </c>
      <c r="G672" s="172" t="str">
        <f t="shared" ca="1" si="382"/>
        <v/>
      </c>
      <c r="H672" s="93" t="str">
        <f t="shared" ca="1" si="383"/>
        <v/>
      </c>
      <c r="I672" s="21">
        <v>50</v>
      </c>
      <c r="J672" s="68">
        <f t="shared" si="384"/>
        <v>1.2750000000000001</v>
      </c>
      <c r="K672" s="70">
        <v>1.53</v>
      </c>
      <c r="L672" s="72">
        <f t="shared" ca="1" si="379"/>
        <v>0.58800000000000008</v>
      </c>
      <c r="M672" s="73">
        <f t="shared" ca="1" si="380"/>
        <v>29.400000000000006</v>
      </c>
      <c r="N672" s="12" t="s">
        <v>40</v>
      </c>
      <c r="O672" s="47" t="s">
        <v>45</v>
      </c>
      <c r="P672" s="13">
        <f t="shared" si="370"/>
        <v>1.53</v>
      </c>
      <c r="Q672" s="1" t="str">
        <f t="shared" si="371"/>
        <v>50-90 шт - 1,53 руб / шт с НДС</v>
      </c>
      <c r="R672" s="235" t="str">
        <f ca="1">INDIRECT("'Закуп'!k" &amp; A672)</f>
        <v>K137</v>
      </c>
      <c r="S672" s="239">
        <f ca="1">INDIRECT("'Закуп'!o" &amp; A672)</f>
        <v>8</v>
      </c>
      <c r="T672" s="226" t="str">
        <f ca="1">INDIRECT("'Закуп'!p" &amp; A672)</f>
        <v>8-9,9 литров</v>
      </c>
      <c r="U672" s="228" t="str">
        <f ca="1">INDIRECT("'Закуп'!v" &amp; A672)</f>
        <v/>
      </c>
      <c r="V672" s="222" t="str">
        <f ca="1">INDIRECT("'Закуп'!w" &amp; A672)</f>
        <v/>
      </c>
      <c r="W672" s="229" t="str">
        <f ca="1">INDIRECT("'Закуп'!H" &amp; A672)</f>
        <v>х</v>
      </c>
      <c r="X672" s="227" t="str">
        <f t="shared" ref="X672" ca="1" si="398">INDIRECT("'Закуп'!g" &amp; A672)</f>
        <v>Ч</v>
      </c>
      <c r="Y672" s="229" t="str">
        <f ca="1">INDIRECT("'Закуп'!i" &amp; A672)</f>
        <v>В</v>
      </c>
      <c r="Z672" s="236" t="str">
        <f ca="1">INDIRECT("'Закуп'!x" &amp; A672)</f>
        <v>200-299 мм</v>
      </c>
      <c r="AA672" s="237" t="str">
        <f ca="1">INDIRECT("'Закуп'!y" &amp; A672)</f>
        <v>200-299 мм</v>
      </c>
      <c r="AB672" s="238" t="str">
        <f ca="1">INDIRECT("'Закуп'!z" &amp; A672)</f>
        <v>100-199 мм</v>
      </c>
      <c r="AC672" s="223" t="str">
        <f t="shared" ca="1" si="369"/>
        <v>200x160x250</v>
      </c>
      <c r="AD672" s="222" t="str">
        <f t="shared" ca="1" si="394"/>
        <v>200x160x250 - 200*160*250 мм</v>
      </c>
    </row>
    <row r="673" spans="1:30" x14ac:dyDescent="0.4">
      <c r="A673" s="230"/>
      <c r="B673" s="8">
        <v>136</v>
      </c>
      <c r="C673" s="14">
        <f t="shared" ca="1" si="387"/>
        <v>0.54</v>
      </c>
      <c r="D673" s="20">
        <f t="shared" ref="D673:D736" ca="1" si="399">C673*1.2</f>
        <v>0.64800000000000002</v>
      </c>
      <c r="E673" s="225"/>
      <c r="F673" s="231"/>
      <c r="G673" s="172" t="str">
        <f t="shared" ca="1" si="382"/>
        <v/>
      </c>
      <c r="H673" s="93" t="str">
        <f t="shared" ca="1" si="383"/>
        <v/>
      </c>
      <c r="I673" s="21">
        <v>100</v>
      </c>
      <c r="J673" s="68">
        <f t="shared" si="384"/>
        <v>1.1583333333333332</v>
      </c>
      <c r="K673" s="70">
        <v>1.39</v>
      </c>
      <c r="L673" s="72">
        <f t="shared" ca="1" si="379"/>
        <v>0.49466666666666653</v>
      </c>
      <c r="M673" s="73">
        <f t="shared" ca="1" si="380"/>
        <v>49.466666666666654</v>
      </c>
      <c r="N673" s="12" t="s">
        <v>41</v>
      </c>
      <c r="O673" s="47" t="s">
        <v>45</v>
      </c>
      <c r="P673" s="13">
        <f t="shared" si="370"/>
        <v>1.39</v>
      </c>
      <c r="Q673" s="1" t="str">
        <f t="shared" si="371"/>
        <v>100-290 шт - 1,39 руб / шт с НДС</v>
      </c>
      <c r="R673" s="235"/>
      <c r="S673" s="239"/>
      <c r="T673" s="226"/>
      <c r="U673" s="228"/>
      <c r="V673" s="222"/>
      <c r="W673" s="229"/>
      <c r="X673" s="227"/>
      <c r="Y673" s="229"/>
      <c r="Z673" s="236"/>
      <c r="AA673" s="237"/>
      <c r="AB673" s="238"/>
      <c r="AC673" s="223"/>
      <c r="AD673" s="222"/>
    </row>
    <row r="674" spans="1:30" x14ac:dyDescent="0.4">
      <c r="A674" s="230"/>
      <c r="B674" s="8">
        <v>136</v>
      </c>
      <c r="C674" s="14">
        <f t="shared" ca="1" si="387"/>
        <v>0.54</v>
      </c>
      <c r="D674" s="20">
        <f t="shared" ca="1" si="399"/>
        <v>0.64800000000000002</v>
      </c>
      <c r="E674" s="225"/>
      <c r="F674" s="231"/>
      <c r="G674" s="172" t="str">
        <f t="shared" ca="1" si="382"/>
        <v/>
      </c>
      <c r="H674" s="93" t="str">
        <f t="shared" ca="1" si="383"/>
        <v/>
      </c>
      <c r="I674" s="21">
        <v>300</v>
      </c>
      <c r="J674" s="68">
        <f t="shared" si="384"/>
        <v>0.90833333333333344</v>
      </c>
      <c r="K674" s="70">
        <v>1.0900000000000001</v>
      </c>
      <c r="L674" s="72">
        <f t="shared" ca="1" si="379"/>
        <v>0.29466666666666674</v>
      </c>
      <c r="M674" s="73">
        <f t="shared" ca="1" si="380"/>
        <v>88.40000000000002</v>
      </c>
      <c r="N674" s="12" t="s">
        <v>42</v>
      </c>
      <c r="O674" s="47" t="s">
        <v>45</v>
      </c>
      <c r="P674" s="13">
        <f t="shared" si="370"/>
        <v>1.0900000000000001</v>
      </c>
      <c r="Q674" s="1" t="str">
        <f t="shared" si="371"/>
        <v>300-490 шт - 1,09 руб / шт с НДС</v>
      </c>
      <c r="R674" s="235"/>
      <c r="S674" s="239"/>
      <c r="T674" s="226"/>
      <c r="U674" s="228"/>
      <c r="V674" s="222"/>
      <c r="W674" s="229"/>
      <c r="X674" s="227"/>
      <c r="Y674" s="229"/>
      <c r="Z674" s="236"/>
      <c r="AA674" s="237"/>
      <c r="AB674" s="238"/>
      <c r="AC674" s="223"/>
      <c r="AD674" s="222"/>
    </row>
    <row r="675" spans="1:30" x14ac:dyDescent="0.4">
      <c r="A675" s="230"/>
      <c r="B675" s="8">
        <v>136</v>
      </c>
      <c r="C675" s="14">
        <f t="shared" ca="1" si="387"/>
        <v>0.54</v>
      </c>
      <c r="D675" s="20">
        <f t="shared" ca="1" si="399"/>
        <v>0.64800000000000002</v>
      </c>
      <c r="E675" s="225"/>
      <c r="F675" s="231"/>
      <c r="G675" s="172" t="str">
        <f t="shared" ca="1" si="382"/>
        <v/>
      </c>
      <c r="H675" s="93" t="str">
        <f t="shared" ca="1" si="383"/>
        <v/>
      </c>
      <c r="I675" s="21">
        <v>500</v>
      </c>
      <c r="J675" s="68">
        <f t="shared" si="384"/>
        <v>0.85833333333333339</v>
      </c>
      <c r="K675" s="70">
        <v>1.03</v>
      </c>
      <c r="L675" s="72">
        <f t="shared" ca="1" si="379"/>
        <v>0.25466666666666671</v>
      </c>
      <c r="M675" s="73">
        <f t="shared" ca="1" si="380"/>
        <v>127.33333333333336</v>
      </c>
      <c r="N675" s="12" t="s">
        <v>43</v>
      </c>
      <c r="O675" s="47" t="s">
        <v>45</v>
      </c>
      <c r="P675" s="13">
        <f t="shared" si="370"/>
        <v>1.03</v>
      </c>
      <c r="Q675" s="1" t="str">
        <f t="shared" si="371"/>
        <v>500-990 шт - 1,03 руб / шт с НДС</v>
      </c>
      <c r="R675" s="235"/>
      <c r="S675" s="239"/>
      <c r="T675" s="226"/>
      <c r="U675" s="228"/>
      <c r="V675" s="222"/>
      <c r="W675" s="229"/>
      <c r="X675" s="227"/>
      <c r="Y675" s="229"/>
      <c r="Z675" s="236"/>
      <c r="AA675" s="237"/>
      <c r="AB675" s="238"/>
      <c r="AC675" s="223"/>
      <c r="AD675" s="222"/>
    </row>
    <row r="676" spans="1:30" x14ac:dyDescent="0.4">
      <c r="A676" s="230"/>
      <c r="B676" s="8">
        <v>136</v>
      </c>
      <c r="C676" s="14">
        <f t="shared" ca="1" si="387"/>
        <v>0.54</v>
      </c>
      <c r="D676" s="20">
        <f t="shared" ca="1" si="399"/>
        <v>0.64800000000000002</v>
      </c>
      <c r="E676" s="225"/>
      <c r="F676" s="231"/>
      <c r="G676" s="172" t="str">
        <f t="shared" ca="1" si="382"/>
        <v/>
      </c>
      <c r="H676" s="93" t="str">
        <f t="shared" ca="1" si="383"/>
        <v/>
      </c>
      <c r="I676" s="21">
        <v>1000</v>
      </c>
      <c r="J676" s="68">
        <f t="shared" si="384"/>
        <v>0.80833333333333335</v>
      </c>
      <c r="K676" s="70">
        <v>0.97</v>
      </c>
      <c r="L676" s="72">
        <f t="shared" ca="1" si="379"/>
        <v>0.21466666666666664</v>
      </c>
      <c r="M676" s="73">
        <f t="shared" ca="1" si="380"/>
        <v>214.66666666666666</v>
      </c>
      <c r="N676" s="12" t="s">
        <v>44</v>
      </c>
      <c r="O676" s="47" t="s">
        <v>45</v>
      </c>
      <c r="P676" s="13">
        <f t="shared" si="370"/>
        <v>0.97</v>
      </c>
      <c r="Q676" s="1" t="str">
        <f t="shared" si="371"/>
        <v>1000 + шт - 0,97 руб / шт с НДС</v>
      </c>
      <c r="R676" s="235"/>
      <c r="S676" s="239"/>
      <c r="T676" s="226"/>
      <c r="U676" s="228"/>
      <c r="V676" s="222"/>
      <c r="W676" s="229"/>
      <c r="X676" s="227"/>
      <c r="Y676" s="229"/>
      <c r="Z676" s="236"/>
      <c r="AA676" s="237"/>
      <c r="AB676" s="238"/>
      <c r="AC676" s="223"/>
      <c r="AD676" s="222"/>
    </row>
    <row r="677" spans="1:30" x14ac:dyDescent="0.4">
      <c r="A677" s="230">
        <v>137</v>
      </c>
      <c r="B677" s="8">
        <v>137</v>
      </c>
      <c r="C677" s="14">
        <f t="shared" ca="1" si="387"/>
        <v>0.73</v>
      </c>
      <c r="D677" s="20">
        <f t="shared" ca="1" si="399"/>
        <v>0.876</v>
      </c>
      <c r="E677" s="224" t="str">
        <f ca="1">INDIRECT("'Закуп'!D" &amp; A677)</f>
        <v>У</v>
      </c>
      <c r="F677" s="231" t="str">
        <f t="shared" ref="F677" ca="1" si="400">INDIRECT("'Закуп'!E" &amp; B677)</f>
        <v>295х225х160</v>
      </c>
      <c r="G677" s="172" t="str">
        <f t="shared" ca="1" si="382"/>
        <v/>
      </c>
      <c r="H677" s="93" t="str">
        <f t="shared" ca="1" si="383"/>
        <v/>
      </c>
      <c r="I677" s="21">
        <v>50</v>
      </c>
      <c r="J677" s="68">
        <f t="shared" si="384"/>
        <v>1.4750000000000001</v>
      </c>
      <c r="K677" s="70">
        <v>1.77</v>
      </c>
      <c r="L677" s="72">
        <f t="shared" ca="1" si="379"/>
        <v>0.59600000000000009</v>
      </c>
      <c r="M677" s="73">
        <f t="shared" ca="1" si="380"/>
        <v>29.800000000000004</v>
      </c>
      <c r="N677" s="12" t="s">
        <v>40</v>
      </c>
      <c r="O677" s="47" t="s">
        <v>45</v>
      </c>
      <c r="P677" s="13">
        <f t="shared" si="370"/>
        <v>1.77</v>
      </c>
      <c r="Q677" s="1" t="str">
        <f t="shared" si="371"/>
        <v>50-90 шт - 1,77 руб / шт с НДС</v>
      </c>
      <c r="R677" s="235" t="str">
        <f ca="1">INDIRECT("'Закуп'!k" &amp; A677)</f>
        <v>K138</v>
      </c>
      <c r="S677" s="239">
        <f ca="1">INDIRECT("'Закуп'!o" &amp; A677)</f>
        <v>10.62</v>
      </c>
      <c r="T677" s="226" t="str">
        <f ca="1">INDIRECT("'Закуп'!p" &amp; A677)</f>
        <v>10-14,9 литров</v>
      </c>
      <c r="U677" s="228" t="str">
        <f ca="1">INDIRECT("'Закуп'!v" &amp; A677)</f>
        <v/>
      </c>
      <c r="V677" s="222" t="str">
        <f ca="1">INDIRECT("'Закуп'!w" &amp; A677)</f>
        <v/>
      </c>
      <c r="W677" s="229" t="str">
        <f ca="1">INDIRECT("'Закуп'!H" &amp; A677)</f>
        <v>х</v>
      </c>
      <c r="X677" s="227" t="str">
        <f t="shared" ref="X677" ca="1" si="401">INDIRECT("'Закуп'!g" &amp; A677)</f>
        <v>Ч</v>
      </c>
      <c r="Y677" s="229" t="str">
        <f ca="1">INDIRECT("'Закуп'!i" &amp; A677)</f>
        <v>В</v>
      </c>
      <c r="Z677" s="236" t="str">
        <f ca="1">INDIRECT("'Закуп'!x" &amp; A677)</f>
        <v>200-299 мм</v>
      </c>
      <c r="AA677" s="237" t="str">
        <f ca="1">INDIRECT("'Закуп'!y" &amp; A677)</f>
        <v>200-299 мм</v>
      </c>
      <c r="AB677" s="238" t="str">
        <f ca="1">INDIRECT("'Закуп'!z" &amp; A677)</f>
        <v>100-199 мм</v>
      </c>
      <c r="AC677" s="223" t="str">
        <f t="shared" ca="1" si="369"/>
        <v>295x225x160</v>
      </c>
      <c r="AD677" s="222" t="str">
        <f t="shared" ca="1" si="394"/>
        <v>295x225x160 - 295*225*160 мм</v>
      </c>
    </row>
    <row r="678" spans="1:30" x14ac:dyDescent="0.4">
      <c r="A678" s="230"/>
      <c r="B678" s="8">
        <v>137</v>
      </c>
      <c r="C678" s="14">
        <f t="shared" ca="1" si="387"/>
        <v>0.73</v>
      </c>
      <c r="D678" s="20">
        <f t="shared" ca="1" si="399"/>
        <v>0.876</v>
      </c>
      <c r="E678" s="225"/>
      <c r="F678" s="231"/>
      <c r="G678" s="172" t="str">
        <f t="shared" ca="1" si="382"/>
        <v/>
      </c>
      <c r="H678" s="93" t="str">
        <f t="shared" ca="1" si="383"/>
        <v/>
      </c>
      <c r="I678" s="21">
        <v>100</v>
      </c>
      <c r="J678" s="68">
        <f t="shared" si="384"/>
        <v>1.3416666666666668</v>
      </c>
      <c r="K678" s="70">
        <v>1.61</v>
      </c>
      <c r="L678" s="72">
        <f t="shared" ca="1" si="379"/>
        <v>0.48933333333333345</v>
      </c>
      <c r="M678" s="73">
        <f t="shared" ca="1" si="380"/>
        <v>48.933333333333344</v>
      </c>
      <c r="N678" s="12" t="s">
        <v>41</v>
      </c>
      <c r="O678" s="47" t="s">
        <v>45</v>
      </c>
      <c r="P678" s="13">
        <f t="shared" si="370"/>
        <v>1.61</v>
      </c>
      <c r="Q678" s="1" t="str">
        <f t="shared" si="371"/>
        <v>100-290 шт - 1,61 руб / шт с НДС</v>
      </c>
      <c r="R678" s="235"/>
      <c r="S678" s="239"/>
      <c r="T678" s="226"/>
      <c r="U678" s="228"/>
      <c r="V678" s="222"/>
      <c r="W678" s="229"/>
      <c r="X678" s="227"/>
      <c r="Y678" s="229"/>
      <c r="Z678" s="236"/>
      <c r="AA678" s="237"/>
      <c r="AB678" s="238"/>
      <c r="AC678" s="223"/>
      <c r="AD678" s="222"/>
    </row>
    <row r="679" spans="1:30" x14ac:dyDescent="0.4">
      <c r="A679" s="230"/>
      <c r="B679" s="8">
        <v>137</v>
      </c>
      <c r="C679" s="14">
        <f t="shared" ca="1" si="387"/>
        <v>0.73</v>
      </c>
      <c r="D679" s="20">
        <f t="shared" ca="1" si="399"/>
        <v>0.876</v>
      </c>
      <c r="E679" s="225"/>
      <c r="F679" s="231"/>
      <c r="G679" s="172" t="str">
        <f t="shared" ca="1" si="382"/>
        <v/>
      </c>
      <c r="H679" s="93" t="str">
        <f t="shared" ca="1" si="383"/>
        <v/>
      </c>
      <c r="I679" s="21">
        <v>300</v>
      </c>
      <c r="J679" s="68">
        <f t="shared" si="384"/>
        <v>1.2250000000000001</v>
      </c>
      <c r="K679" s="70">
        <v>1.47</v>
      </c>
      <c r="L679" s="72">
        <f t="shared" ca="1" si="379"/>
        <v>0.39600000000000007</v>
      </c>
      <c r="M679" s="73">
        <f t="shared" ca="1" si="380"/>
        <v>118.80000000000003</v>
      </c>
      <c r="N679" s="12" t="s">
        <v>42</v>
      </c>
      <c r="O679" s="47" t="s">
        <v>45</v>
      </c>
      <c r="P679" s="13">
        <f t="shared" si="370"/>
        <v>1.47</v>
      </c>
      <c r="Q679" s="1" t="str">
        <f t="shared" si="371"/>
        <v>300-490 шт - 1,47 руб / шт с НДС</v>
      </c>
      <c r="R679" s="235"/>
      <c r="S679" s="239"/>
      <c r="T679" s="226"/>
      <c r="U679" s="228"/>
      <c r="V679" s="222"/>
      <c r="W679" s="229"/>
      <c r="X679" s="227"/>
      <c r="Y679" s="229"/>
      <c r="Z679" s="236"/>
      <c r="AA679" s="237"/>
      <c r="AB679" s="238"/>
      <c r="AC679" s="223"/>
      <c r="AD679" s="222"/>
    </row>
    <row r="680" spans="1:30" x14ac:dyDescent="0.4">
      <c r="A680" s="230"/>
      <c r="B680" s="8">
        <v>137</v>
      </c>
      <c r="C680" s="14">
        <f t="shared" ca="1" si="387"/>
        <v>0.73</v>
      </c>
      <c r="D680" s="20">
        <f t="shared" ca="1" si="399"/>
        <v>0.876</v>
      </c>
      <c r="E680" s="225"/>
      <c r="F680" s="231"/>
      <c r="G680" s="172" t="str">
        <f t="shared" ca="1" si="382"/>
        <v/>
      </c>
      <c r="H680" s="93" t="str">
        <f t="shared" ca="1" si="383"/>
        <v/>
      </c>
      <c r="I680" s="21">
        <v>500</v>
      </c>
      <c r="J680" s="68">
        <f t="shared" si="384"/>
        <v>1.1250000000000002</v>
      </c>
      <c r="K680" s="70">
        <v>1.35</v>
      </c>
      <c r="L680" s="72">
        <f t="shared" ca="1" si="379"/>
        <v>0.31600000000000017</v>
      </c>
      <c r="M680" s="73">
        <f t="shared" ca="1" si="380"/>
        <v>158.00000000000009</v>
      </c>
      <c r="N680" s="12" t="s">
        <v>43</v>
      </c>
      <c r="O680" s="47" t="s">
        <v>45</v>
      </c>
      <c r="P680" s="13">
        <f t="shared" si="370"/>
        <v>1.35</v>
      </c>
      <c r="Q680" s="1" t="str">
        <f t="shared" si="371"/>
        <v>500-990 шт - 1,35 руб / шт с НДС</v>
      </c>
      <c r="R680" s="235"/>
      <c r="S680" s="239"/>
      <c r="T680" s="226"/>
      <c r="U680" s="228"/>
      <c r="V680" s="222"/>
      <c r="W680" s="229"/>
      <c r="X680" s="227"/>
      <c r="Y680" s="229"/>
      <c r="Z680" s="236"/>
      <c r="AA680" s="237"/>
      <c r="AB680" s="238"/>
      <c r="AC680" s="223"/>
      <c r="AD680" s="222"/>
    </row>
    <row r="681" spans="1:30" x14ac:dyDescent="0.4">
      <c r="A681" s="230"/>
      <c r="B681" s="8">
        <v>137</v>
      </c>
      <c r="C681" s="14">
        <f t="shared" ca="1" si="387"/>
        <v>0.73</v>
      </c>
      <c r="D681" s="20">
        <f t="shared" ca="1" si="399"/>
        <v>0.876</v>
      </c>
      <c r="E681" s="225"/>
      <c r="F681" s="231"/>
      <c r="G681" s="172" t="str">
        <f t="shared" ca="1" si="382"/>
        <v/>
      </c>
      <c r="H681" s="93" t="str">
        <f t="shared" ca="1" si="383"/>
        <v/>
      </c>
      <c r="I681" s="21">
        <v>1000</v>
      </c>
      <c r="J681" s="68">
        <f t="shared" si="384"/>
        <v>1</v>
      </c>
      <c r="K681" s="70">
        <v>1.2</v>
      </c>
      <c r="L681" s="72">
        <f t="shared" ca="1" si="379"/>
        <v>0.21600000000000003</v>
      </c>
      <c r="M681" s="73">
        <f t="shared" ca="1" si="380"/>
        <v>216.00000000000003</v>
      </c>
      <c r="N681" s="12" t="s">
        <v>44</v>
      </c>
      <c r="O681" s="47" t="s">
        <v>45</v>
      </c>
      <c r="P681" s="13">
        <f t="shared" si="370"/>
        <v>1.2</v>
      </c>
      <c r="Q681" s="1" t="str">
        <f t="shared" si="371"/>
        <v>1000 + шт - 1,2 руб / шт с НДС</v>
      </c>
      <c r="R681" s="235"/>
      <c r="S681" s="239"/>
      <c r="T681" s="226"/>
      <c r="U681" s="228"/>
      <c r="V681" s="222"/>
      <c r="W681" s="229"/>
      <c r="X681" s="227"/>
      <c r="Y681" s="229"/>
      <c r="Z681" s="236"/>
      <c r="AA681" s="237"/>
      <c r="AB681" s="238"/>
      <c r="AC681" s="223"/>
      <c r="AD681" s="222"/>
    </row>
    <row r="682" spans="1:30" x14ac:dyDescent="0.4">
      <c r="A682" s="230">
        <v>138</v>
      </c>
      <c r="B682" s="8">
        <v>138</v>
      </c>
      <c r="C682" s="14">
        <f t="shared" ca="1" si="387"/>
        <v>1.65</v>
      </c>
      <c r="D682" s="20">
        <f t="shared" ca="1" si="399"/>
        <v>1.9799999999999998</v>
      </c>
      <c r="E682" s="224" t="str">
        <f ca="1">INDIRECT("'Закуп'!D" &amp; A682)</f>
        <v>У</v>
      </c>
      <c r="F682" s="231" t="str">
        <f t="shared" ref="F682" ca="1" si="402">INDIRECT("'Закуп'!E" &amp; B682)</f>
        <v>400х370х230</v>
      </c>
      <c r="G682" s="172" t="str">
        <f t="shared" ca="1" si="382"/>
        <v/>
      </c>
      <c r="H682" s="93" t="str">
        <f t="shared" ca="1" si="383"/>
        <v/>
      </c>
      <c r="I682" s="21">
        <v>50</v>
      </c>
      <c r="J682" s="68">
        <f t="shared" si="384"/>
        <v>3.5333333333333337</v>
      </c>
      <c r="K682" s="70">
        <v>4.24</v>
      </c>
      <c r="L682" s="72">
        <f t="shared" ca="1" si="379"/>
        <v>1.506666666666667</v>
      </c>
      <c r="M682" s="73">
        <f t="shared" ca="1" si="380"/>
        <v>75.333333333333357</v>
      </c>
      <c r="N682" s="12" t="s">
        <v>40</v>
      </c>
      <c r="O682" s="47" t="s">
        <v>45</v>
      </c>
      <c r="P682" s="13">
        <f t="shared" si="370"/>
        <v>4.24</v>
      </c>
      <c r="Q682" s="1" t="str">
        <f t="shared" si="371"/>
        <v>50-90 шт - 4,24 руб / шт с НДС</v>
      </c>
      <c r="R682" s="235" t="str">
        <f ca="1">INDIRECT("'Закуп'!k" &amp; A682)</f>
        <v>K139</v>
      </c>
      <c r="S682" s="239">
        <f ca="1">INDIRECT("'Закуп'!o" &amp; A682)</f>
        <v>34.04</v>
      </c>
      <c r="T682" s="226" t="str">
        <f ca="1">INDIRECT("'Закуп'!p" &amp; A682)</f>
        <v>30-49 литров</v>
      </c>
      <c r="U682" s="228" t="str">
        <f ca="1">INDIRECT("'Закуп'!v" &amp; A682)</f>
        <v/>
      </c>
      <c r="V682" s="222" t="str">
        <f ca="1">INDIRECT("'Закуп'!w" &amp; A682)</f>
        <v/>
      </c>
      <c r="W682" s="229" t="str">
        <f ca="1">INDIRECT("'Закуп'!H" &amp; A682)</f>
        <v>х</v>
      </c>
      <c r="X682" s="227" t="str">
        <f t="shared" ref="X682" ca="1" si="403">INDIRECT("'Закуп'!g" &amp; A682)</f>
        <v>Ч</v>
      </c>
      <c r="Y682" s="229" t="str">
        <f ca="1">INDIRECT("'Закуп'!i" &amp; A682)</f>
        <v>В</v>
      </c>
      <c r="Z682" s="236" t="str">
        <f ca="1">INDIRECT("'Закуп'!x" &amp; A682)</f>
        <v>400-499 мм</v>
      </c>
      <c r="AA682" s="237" t="str">
        <f ca="1">INDIRECT("'Закуп'!y" &amp; A682)</f>
        <v>300-399 мм</v>
      </c>
      <c r="AB682" s="238" t="str">
        <f ca="1">INDIRECT("'Закуп'!z" &amp; A682)</f>
        <v>200-299 мм</v>
      </c>
      <c r="AC682" s="223" t="str">
        <f t="shared" ca="1" si="369"/>
        <v>400x370x230</v>
      </c>
      <c r="AD682" s="222" t="str">
        <f t="shared" ca="1" si="394"/>
        <v>400x370x230 - 400*370*230 мм</v>
      </c>
    </row>
    <row r="683" spans="1:30" x14ac:dyDescent="0.4">
      <c r="A683" s="230"/>
      <c r="B683" s="8">
        <v>138</v>
      </c>
      <c r="C683" s="14">
        <f t="shared" ca="1" si="387"/>
        <v>1.65</v>
      </c>
      <c r="D683" s="20">
        <f t="shared" ca="1" si="399"/>
        <v>1.9799999999999998</v>
      </c>
      <c r="E683" s="225"/>
      <c r="F683" s="231"/>
      <c r="G683" s="172" t="str">
        <f t="shared" ca="1" si="382"/>
        <v/>
      </c>
      <c r="H683" s="93" t="str">
        <f t="shared" ca="1" si="383"/>
        <v/>
      </c>
      <c r="I683" s="21">
        <v>100</v>
      </c>
      <c r="J683" s="68">
        <f t="shared" si="384"/>
        <v>2.791666666666667</v>
      </c>
      <c r="K683" s="70">
        <v>3.35</v>
      </c>
      <c r="L683" s="72">
        <f t="shared" ca="1" si="379"/>
        <v>0.91333333333333366</v>
      </c>
      <c r="M683" s="73">
        <f t="shared" ca="1" si="380"/>
        <v>91.333333333333371</v>
      </c>
      <c r="N683" s="12" t="s">
        <v>41</v>
      </c>
      <c r="O683" s="47" t="s">
        <v>45</v>
      </c>
      <c r="P683" s="13">
        <f t="shared" si="370"/>
        <v>3.35</v>
      </c>
      <c r="Q683" s="1" t="str">
        <f t="shared" si="371"/>
        <v>100-290 шт - 3,35 руб / шт с НДС</v>
      </c>
      <c r="R683" s="235"/>
      <c r="S683" s="239"/>
      <c r="T683" s="226"/>
      <c r="U683" s="228"/>
      <c r="V683" s="222"/>
      <c r="W683" s="229"/>
      <c r="X683" s="227"/>
      <c r="Y683" s="229"/>
      <c r="Z683" s="236"/>
      <c r="AA683" s="237"/>
      <c r="AB683" s="238"/>
      <c r="AC683" s="223"/>
      <c r="AD683" s="222"/>
    </row>
    <row r="684" spans="1:30" x14ac:dyDescent="0.4">
      <c r="A684" s="230"/>
      <c r="B684" s="8">
        <v>138</v>
      </c>
      <c r="C684" s="14">
        <f t="shared" ca="1" si="387"/>
        <v>1.65</v>
      </c>
      <c r="D684" s="20">
        <f t="shared" ca="1" si="399"/>
        <v>1.9799999999999998</v>
      </c>
      <c r="E684" s="225"/>
      <c r="F684" s="231"/>
      <c r="G684" s="172" t="str">
        <f t="shared" ca="1" si="382"/>
        <v/>
      </c>
      <c r="H684" s="93" t="str">
        <f t="shared" ca="1" si="383"/>
        <v/>
      </c>
      <c r="I684" s="21">
        <v>300</v>
      </c>
      <c r="J684" s="68">
        <f t="shared" si="384"/>
        <v>2.3416666666666668</v>
      </c>
      <c r="K684" s="70">
        <v>2.81</v>
      </c>
      <c r="L684" s="72">
        <f t="shared" ca="1" si="379"/>
        <v>0.55333333333333345</v>
      </c>
      <c r="M684" s="73">
        <f t="shared" ca="1" si="380"/>
        <v>166.00000000000003</v>
      </c>
      <c r="N684" s="12" t="s">
        <v>42</v>
      </c>
      <c r="O684" s="47" t="s">
        <v>45</v>
      </c>
      <c r="P684" s="13">
        <f t="shared" si="370"/>
        <v>2.81</v>
      </c>
      <c r="Q684" s="1" t="str">
        <f t="shared" si="371"/>
        <v>300-490 шт - 2,81 руб / шт с НДС</v>
      </c>
      <c r="R684" s="235"/>
      <c r="S684" s="239"/>
      <c r="T684" s="226"/>
      <c r="U684" s="228"/>
      <c r="V684" s="222"/>
      <c r="W684" s="229"/>
      <c r="X684" s="227"/>
      <c r="Y684" s="229"/>
      <c r="Z684" s="236"/>
      <c r="AA684" s="237"/>
      <c r="AB684" s="238"/>
      <c r="AC684" s="223"/>
      <c r="AD684" s="222"/>
    </row>
    <row r="685" spans="1:30" x14ac:dyDescent="0.4">
      <c r="A685" s="230"/>
      <c r="B685" s="8">
        <v>138</v>
      </c>
      <c r="C685" s="14">
        <f t="shared" ca="1" si="387"/>
        <v>1.65</v>
      </c>
      <c r="D685" s="20">
        <f t="shared" ca="1" si="399"/>
        <v>1.9799999999999998</v>
      </c>
      <c r="E685" s="225"/>
      <c r="F685" s="231"/>
      <c r="G685" s="172" t="str">
        <f t="shared" ca="1" si="382"/>
        <v/>
      </c>
      <c r="H685" s="93" t="str">
        <f t="shared" ca="1" si="383"/>
        <v/>
      </c>
      <c r="I685" s="21">
        <v>500</v>
      </c>
      <c r="J685" s="68">
        <f t="shared" si="384"/>
        <v>2.2166666666666668</v>
      </c>
      <c r="K685" s="70">
        <v>2.66</v>
      </c>
      <c r="L685" s="72">
        <f t="shared" ca="1" si="379"/>
        <v>0.45333333333333348</v>
      </c>
      <c r="M685" s="73">
        <f t="shared" ca="1" si="380"/>
        <v>226.66666666666674</v>
      </c>
      <c r="N685" s="12" t="s">
        <v>43</v>
      </c>
      <c r="O685" s="47" t="s">
        <v>45</v>
      </c>
      <c r="P685" s="13">
        <f t="shared" si="370"/>
        <v>2.66</v>
      </c>
      <c r="Q685" s="1" t="str">
        <f t="shared" si="371"/>
        <v>500-990 шт - 2,66 руб / шт с НДС</v>
      </c>
      <c r="R685" s="235"/>
      <c r="S685" s="239"/>
      <c r="T685" s="226"/>
      <c r="U685" s="228"/>
      <c r="V685" s="222"/>
      <c r="W685" s="229"/>
      <c r="X685" s="227"/>
      <c r="Y685" s="229"/>
      <c r="Z685" s="236"/>
      <c r="AA685" s="237"/>
      <c r="AB685" s="238"/>
      <c r="AC685" s="223"/>
      <c r="AD685" s="222"/>
    </row>
    <row r="686" spans="1:30" x14ac:dyDescent="0.4">
      <c r="A686" s="230"/>
      <c r="B686" s="8">
        <v>138</v>
      </c>
      <c r="C686" s="14">
        <f t="shared" ca="1" si="387"/>
        <v>1.65</v>
      </c>
      <c r="D686" s="20">
        <f t="shared" ca="1" si="399"/>
        <v>1.9799999999999998</v>
      </c>
      <c r="E686" s="225"/>
      <c r="F686" s="231"/>
      <c r="G686" s="172" t="str">
        <f t="shared" ca="1" si="382"/>
        <v/>
      </c>
      <c r="H686" s="93" t="str">
        <f t="shared" ca="1" si="383"/>
        <v/>
      </c>
      <c r="I686" s="21">
        <v>1000</v>
      </c>
      <c r="J686" s="68">
        <f t="shared" si="384"/>
        <v>2.1583333333333332</v>
      </c>
      <c r="K686" s="70">
        <v>2.59</v>
      </c>
      <c r="L686" s="72">
        <f t="shared" ca="1" si="379"/>
        <v>0.40666666666666662</v>
      </c>
      <c r="M686" s="73">
        <f t="shared" ca="1" si="380"/>
        <v>406.66666666666663</v>
      </c>
      <c r="N686" s="12" t="s">
        <v>44</v>
      </c>
      <c r="O686" s="47" t="s">
        <v>45</v>
      </c>
      <c r="P686" s="13">
        <f t="shared" si="370"/>
        <v>2.59</v>
      </c>
      <c r="Q686" s="1" t="str">
        <f t="shared" si="371"/>
        <v>1000 + шт - 2,59 руб / шт с НДС</v>
      </c>
      <c r="R686" s="235"/>
      <c r="S686" s="239"/>
      <c r="T686" s="226"/>
      <c r="U686" s="228"/>
      <c r="V686" s="222"/>
      <c r="W686" s="229"/>
      <c r="X686" s="227"/>
      <c r="Y686" s="229"/>
      <c r="Z686" s="236"/>
      <c r="AA686" s="237"/>
      <c r="AB686" s="238"/>
      <c r="AC686" s="223"/>
      <c r="AD686" s="222"/>
    </row>
    <row r="687" spans="1:30" x14ac:dyDescent="0.4">
      <c r="A687" s="230">
        <v>139</v>
      </c>
      <c r="B687" s="8">
        <v>139</v>
      </c>
      <c r="C687" s="14">
        <f t="shared" ca="1" si="387"/>
        <v>2.23</v>
      </c>
      <c r="D687" s="20">
        <f t="shared" ca="1" si="399"/>
        <v>2.6759999999999997</v>
      </c>
      <c r="E687" s="224" t="str">
        <f ca="1">INDIRECT("'Закуп'!D" &amp; A687)</f>
        <v>У</v>
      </c>
      <c r="F687" s="231" t="str">
        <f t="shared" ref="F687" ca="1" si="404">INDIRECT("'Закуп'!E" &amp; B687)</f>
        <v>630х320х340</v>
      </c>
      <c r="G687" s="172" t="str">
        <f t="shared" ca="1" si="382"/>
        <v/>
      </c>
      <c r="H687" s="93" t="str">
        <f t="shared" ca="1" si="383"/>
        <v/>
      </c>
      <c r="I687" s="21">
        <v>50</v>
      </c>
      <c r="J687" s="68">
        <f t="shared" si="384"/>
        <v>3.8166666666666669</v>
      </c>
      <c r="K687" s="70">
        <v>4.58</v>
      </c>
      <c r="L687" s="72">
        <f t="shared" ca="1" si="379"/>
        <v>1.2693333333333334</v>
      </c>
      <c r="M687" s="73">
        <f t="shared" ca="1" si="380"/>
        <v>63.466666666666669</v>
      </c>
      <c r="N687" s="12" t="s">
        <v>40</v>
      </c>
      <c r="O687" s="47" t="s">
        <v>45</v>
      </c>
      <c r="P687" s="13">
        <f t="shared" ref="P687:P750" si="405">ROUND(K687,2)</f>
        <v>4.58</v>
      </c>
      <c r="Q687" s="1" t="str">
        <f t="shared" si="371"/>
        <v>50-90 шт - 4,58 руб / шт с НДС</v>
      </c>
      <c r="R687" s="235" t="str">
        <f ca="1">INDIRECT("'Закуп'!k" &amp; A687)</f>
        <v>K140</v>
      </c>
      <c r="S687" s="239">
        <f ca="1">INDIRECT("'Закуп'!o" &amp; A687)</f>
        <v>68.540000000000006</v>
      </c>
      <c r="T687" s="226" t="str">
        <f ca="1">INDIRECT("'Закуп'!p" &amp; A687)</f>
        <v>60-69 литров</v>
      </c>
      <c r="U687" s="228" t="str">
        <f ca="1">INDIRECT("'Закуп'!v" &amp; A687)</f>
        <v/>
      </c>
      <c r="V687" s="222" t="str">
        <f ca="1">INDIRECT("'Закуп'!w" &amp; A687)</f>
        <v/>
      </c>
      <c r="W687" s="229" t="str">
        <f ca="1">INDIRECT("'Закуп'!H" &amp; A687)</f>
        <v>х</v>
      </c>
      <c r="X687" s="227" t="str">
        <f t="shared" ref="X687" ca="1" si="406">INDIRECT("'Закуп'!g" &amp; A687)</f>
        <v>Ч</v>
      </c>
      <c r="Y687" s="229" t="str">
        <f ca="1">INDIRECT("'Закуп'!i" &amp; A687)</f>
        <v>В</v>
      </c>
      <c r="Z687" s="236" t="str">
        <f ca="1">INDIRECT("'Закуп'!x" &amp; A687)</f>
        <v>600-699 мм</v>
      </c>
      <c r="AA687" s="237" t="str">
        <f ca="1">INDIRECT("'Закуп'!y" &amp; A687)</f>
        <v>300-399 мм</v>
      </c>
      <c r="AB687" s="238" t="str">
        <f ca="1">INDIRECT("'Закуп'!z" &amp; A687)</f>
        <v>300-399 мм</v>
      </c>
      <c r="AC687" s="223" t="str">
        <f t="shared" ref="AC687:AC747" ca="1" si="407">SUBSTITUTE(INDEX(F:F, ROUNDUP((ROW(A686))/5,0)*5 - 3), "х", "x")</f>
        <v>630x320x340</v>
      </c>
      <c r="AD687" s="222" t="str">
        <f t="shared" ca="1" si="394"/>
        <v>630x320x340 - 630*320*340 мм</v>
      </c>
    </row>
    <row r="688" spans="1:30" x14ac:dyDescent="0.4">
      <c r="A688" s="230"/>
      <c r="B688" s="8">
        <v>139</v>
      </c>
      <c r="C688" s="14">
        <f t="shared" ca="1" si="387"/>
        <v>2.23</v>
      </c>
      <c r="D688" s="20">
        <f t="shared" ca="1" si="399"/>
        <v>2.6759999999999997</v>
      </c>
      <c r="E688" s="225"/>
      <c r="F688" s="231"/>
      <c r="G688" s="172" t="str">
        <f t="shared" ca="1" si="382"/>
        <v/>
      </c>
      <c r="H688" s="93" t="str">
        <f t="shared" ca="1" si="383"/>
        <v/>
      </c>
      <c r="I688" s="21">
        <v>100</v>
      </c>
      <c r="J688" s="68">
        <f t="shared" si="384"/>
        <v>3.7166666666666668</v>
      </c>
      <c r="K688" s="70">
        <v>4.46</v>
      </c>
      <c r="L688" s="72">
        <f t="shared" ca="1" si="379"/>
        <v>1.1893333333333334</v>
      </c>
      <c r="M688" s="73">
        <f t="shared" ca="1" si="380"/>
        <v>118.93333333333334</v>
      </c>
      <c r="N688" s="12" t="s">
        <v>41</v>
      </c>
      <c r="O688" s="47" t="s">
        <v>45</v>
      </c>
      <c r="P688" s="13">
        <f t="shared" si="405"/>
        <v>4.46</v>
      </c>
      <c r="Q688" s="1" t="str">
        <f t="shared" ref="Q688:Q751" si="408">CONCATENATE(N688,P688,O688,)</f>
        <v>100-290 шт - 4,46 руб / шт с НДС</v>
      </c>
      <c r="R688" s="235"/>
      <c r="S688" s="239"/>
      <c r="T688" s="226"/>
      <c r="U688" s="228"/>
      <c r="V688" s="222"/>
      <c r="W688" s="229"/>
      <c r="X688" s="227"/>
      <c r="Y688" s="229"/>
      <c r="Z688" s="236"/>
      <c r="AA688" s="237"/>
      <c r="AB688" s="238"/>
      <c r="AC688" s="223"/>
      <c r="AD688" s="222"/>
    </row>
    <row r="689" spans="1:30" x14ac:dyDescent="0.4">
      <c r="A689" s="230"/>
      <c r="B689" s="8">
        <v>139</v>
      </c>
      <c r="C689" s="14">
        <f t="shared" ca="1" si="387"/>
        <v>2.23</v>
      </c>
      <c r="D689" s="20">
        <f t="shared" ca="1" si="399"/>
        <v>2.6759999999999997</v>
      </c>
      <c r="E689" s="225"/>
      <c r="F689" s="231"/>
      <c r="G689" s="172" t="str">
        <f t="shared" ca="1" si="382"/>
        <v/>
      </c>
      <c r="H689" s="93" t="str">
        <f t="shared" ca="1" si="383"/>
        <v/>
      </c>
      <c r="I689" s="21">
        <v>300</v>
      </c>
      <c r="J689" s="68">
        <f t="shared" si="384"/>
        <v>3.0583333333333336</v>
      </c>
      <c r="K689" s="70">
        <v>3.67</v>
      </c>
      <c r="L689" s="72">
        <f t="shared" ca="1" si="379"/>
        <v>0.66266666666666685</v>
      </c>
      <c r="M689" s="73">
        <f t="shared" ca="1" si="380"/>
        <v>198.80000000000007</v>
      </c>
      <c r="N689" s="12" t="s">
        <v>42</v>
      </c>
      <c r="O689" s="47" t="s">
        <v>45</v>
      </c>
      <c r="P689" s="13">
        <f t="shared" si="405"/>
        <v>3.67</v>
      </c>
      <c r="Q689" s="1" t="str">
        <f t="shared" si="408"/>
        <v>300-490 шт - 3,67 руб / шт с НДС</v>
      </c>
      <c r="R689" s="235"/>
      <c r="S689" s="239"/>
      <c r="T689" s="226"/>
      <c r="U689" s="228"/>
      <c r="V689" s="222"/>
      <c r="W689" s="229"/>
      <c r="X689" s="227"/>
      <c r="Y689" s="229"/>
      <c r="Z689" s="236"/>
      <c r="AA689" s="237"/>
      <c r="AB689" s="238"/>
      <c r="AC689" s="223"/>
      <c r="AD689" s="222"/>
    </row>
    <row r="690" spans="1:30" x14ac:dyDescent="0.4">
      <c r="A690" s="230"/>
      <c r="B690" s="8">
        <v>139</v>
      </c>
      <c r="C690" s="14">
        <f t="shared" ca="1" si="387"/>
        <v>2.23</v>
      </c>
      <c r="D690" s="20">
        <f t="shared" ca="1" si="399"/>
        <v>2.6759999999999997</v>
      </c>
      <c r="E690" s="225"/>
      <c r="F690" s="231"/>
      <c r="G690" s="172" t="str">
        <f t="shared" ca="1" si="382"/>
        <v/>
      </c>
      <c r="H690" s="93" t="str">
        <f t="shared" ca="1" si="383"/>
        <v/>
      </c>
      <c r="I690" s="21">
        <v>500</v>
      </c>
      <c r="J690" s="68">
        <f t="shared" si="384"/>
        <v>3.0083333333333333</v>
      </c>
      <c r="K690" s="70">
        <v>3.61</v>
      </c>
      <c r="L690" s="72">
        <f t="shared" ca="1" si="379"/>
        <v>0.6226666666666667</v>
      </c>
      <c r="M690" s="73">
        <f t="shared" ca="1" si="380"/>
        <v>311.33333333333337</v>
      </c>
      <c r="N690" s="12" t="s">
        <v>43</v>
      </c>
      <c r="O690" s="47" t="s">
        <v>45</v>
      </c>
      <c r="P690" s="13">
        <f t="shared" si="405"/>
        <v>3.61</v>
      </c>
      <c r="Q690" s="1" t="str">
        <f t="shared" si="408"/>
        <v>500-990 шт - 3,61 руб / шт с НДС</v>
      </c>
      <c r="R690" s="235"/>
      <c r="S690" s="239"/>
      <c r="T690" s="226"/>
      <c r="U690" s="228"/>
      <c r="V690" s="222"/>
      <c r="W690" s="229"/>
      <c r="X690" s="227"/>
      <c r="Y690" s="229"/>
      <c r="Z690" s="236"/>
      <c r="AA690" s="237"/>
      <c r="AB690" s="238"/>
      <c r="AC690" s="223"/>
      <c r="AD690" s="222"/>
    </row>
    <row r="691" spans="1:30" x14ac:dyDescent="0.4">
      <c r="A691" s="230"/>
      <c r="B691" s="8">
        <v>139</v>
      </c>
      <c r="C691" s="14">
        <f t="shared" ca="1" si="387"/>
        <v>2.23</v>
      </c>
      <c r="D691" s="20">
        <f t="shared" ca="1" si="399"/>
        <v>2.6759999999999997</v>
      </c>
      <c r="E691" s="225"/>
      <c r="F691" s="231"/>
      <c r="G691" s="172" t="str">
        <f t="shared" ca="1" si="382"/>
        <v/>
      </c>
      <c r="H691" s="93" t="str">
        <f t="shared" ca="1" si="383"/>
        <v/>
      </c>
      <c r="I691" s="21">
        <v>1000</v>
      </c>
      <c r="J691" s="68">
        <f t="shared" si="384"/>
        <v>2.9083333333333337</v>
      </c>
      <c r="K691" s="70">
        <v>3.49</v>
      </c>
      <c r="L691" s="72">
        <f t="shared" ca="1" si="379"/>
        <v>0.54266666666666696</v>
      </c>
      <c r="M691" s="73">
        <f t="shared" ca="1" si="380"/>
        <v>542.66666666666697</v>
      </c>
      <c r="N691" s="12" t="s">
        <v>44</v>
      </c>
      <c r="O691" s="47" t="s">
        <v>45</v>
      </c>
      <c r="P691" s="13">
        <f t="shared" si="405"/>
        <v>3.49</v>
      </c>
      <c r="Q691" s="1" t="str">
        <f t="shared" si="408"/>
        <v>1000 + шт - 3,49 руб / шт с НДС</v>
      </c>
      <c r="R691" s="235"/>
      <c r="S691" s="239"/>
      <c r="T691" s="226"/>
      <c r="U691" s="228"/>
      <c r="V691" s="222"/>
      <c r="W691" s="229"/>
      <c r="X691" s="227"/>
      <c r="Y691" s="229"/>
      <c r="Z691" s="236"/>
      <c r="AA691" s="237"/>
      <c r="AB691" s="238"/>
      <c r="AC691" s="223"/>
      <c r="AD691" s="222"/>
    </row>
    <row r="692" spans="1:30" x14ac:dyDescent="0.4">
      <c r="A692" s="230">
        <v>140</v>
      </c>
      <c r="B692" s="8">
        <v>140</v>
      </c>
      <c r="C692" s="14">
        <f t="shared" ca="1" si="387"/>
        <v>1.31</v>
      </c>
      <c r="D692" s="20">
        <f t="shared" ca="1" si="399"/>
        <v>1.5720000000000001</v>
      </c>
      <c r="E692" s="224" t="str">
        <f ca="1">INDIRECT("'Закуп'!D" &amp; A692)</f>
        <v>У</v>
      </c>
      <c r="F692" s="231" t="str">
        <f t="shared" ref="F692" ca="1" si="409">INDIRECT("'Закуп'!E" &amp; B692)</f>
        <v>350х340х190</v>
      </c>
      <c r="G692" s="172" t="str">
        <f t="shared" ca="1" si="382"/>
        <v/>
      </c>
      <c r="H692" s="93" t="str">
        <f t="shared" ca="1" si="383"/>
        <v/>
      </c>
      <c r="I692" s="21">
        <v>50</v>
      </c>
      <c r="J692" s="68">
        <f t="shared" si="384"/>
        <v>2.8</v>
      </c>
      <c r="K692" s="70">
        <v>3.36</v>
      </c>
      <c r="L692" s="72">
        <f t="shared" ca="1" si="379"/>
        <v>1.1919999999999997</v>
      </c>
      <c r="M692" s="73">
        <f t="shared" ca="1" si="380"/>
        <v>59.599999999999987</v>
      </c>
      <c r="N692" s="12" t="s">
        <v>40</v>
      </c>
      <c r="O692" s="47" t="s">
        <v>45</v>
      </c>
      <c r="P692" s="13">
        <f t="shared" si="405"/>
        <v>3.36</v>
      </c>
      <c r="Q692" s="1" t="str">
        <f t="shared" si="408"/>
        <v>50-90 шт - 3,36 руб / шт с НДС</v>
      </c>
      <c r="R692" s="235" t="str">
        <f ca="1">INDIRECT("'Закуп'!k" &amp; A692)</f>
        <v>K141</v>
      </c>
      <c r="S692" s="239">
        <f ca="1">INDIRECT("'Закуп'!o" &amp; A692)</f>
        <v>22.61</v>
      </c>
      <c r="T692" s="226" t="str">
        <f ca="1">INDIRECT("'Закуп'!p" &amp; A692)</f>
        <v>20-29 литров</v>
      </c>
      <c r="U692" s="228" t="str">
        <f ca="1">INDIRECT("'Закуп'!v" &amp; A692)</f>
        <v/>
      </c>
      <c r="V692" s="222" t="str">
        <f ca="1">INDIRECT("'Закуп'!w" &amp; A692)</f>
        <v/>
      </c>
      <c r="W692" s="229" t="str">
        <f ca="1">INDIRECT("'Закуп'!H" &amp; A692)</f>
        <v>х</v>
      </c>
      <c r="X692" s="227" t="str">
        <f t="shared" ref="X692" ca="1" si="410">INDIRECT("'Закуп'!g" &amp; A692)</f>
        <v>Ч</v>
      </c>
      <c r="Y692" s="229" t="str">
        <f ca="1">INDIRECT("'Закуп'!i" &amp; A692)</f>
        <v>В</v>
      </c>
      <c r="Z692" s="236" t="str">
        <f ca="1">INDIRECT("'Закуп'!x" &amp; A692)</f>
        <v>300-399 мм</v>
      </c>
      <c r="AA692" s="237" t="str">
        <f ca="1">INDIRECT("'Закуп'!y" &amp; A692)</f>
        <v>300-399 мм</v>
      </c>
      <c r="AB692" s="238" t="str">
        <f ca="1">INDIRECT("'Закуп'!z" &amp; A692)</f>
        <v>100-199 мм</v>
      </c>
      <c r="AC692" s="223" t="str">
        <f t="shared" ca="1" si="407"/>
        <v>350x340x190</v>
      </c>
      <c r="AD692" s="222" t="str">
        <f t="shared" ca="1" si="394"/>
        <v>350x340x190 - 350*340*190 мм</v>
      </c>
    </row>
    <row r="693" spans="1:30" x14ac:dyDescent="0.4">
      <c r="A693" s="230"/>
      <c r="B693" s="8">
        <v>140</v>
      </c>
      <c r="C693" s="14">
        <f t="shared" ca="1" si="387"/>
        <v>1.31</v>
      </c>
      <c r="D693" s="20">
        <f t="shared" ca="1" si="399"/>
        <v>1.5720000000000001</v>
      </c>
      <c r="E693" s="225"/>
      <c r="F693" s="231"/>
      <c r="G693" s="172" t="str">
        <f t="shared" ca="1" si="382"/>
        <v/>
      </c>
      <c r="H693" s="93" t="str">
        <f t="shared" ca="1" si="383"/>
        <v/>
      </c>
      <c r="I693" s="21">
        <v>100</v>
      </c>
      <c r="J693" s="68">
        <f t="shared" si="384"/>
        <v>2.2500000000000004</v>
      </c>
      <c r="K693" s="70">
        <v>2.7</v>
      </c>
      <c r="L693" s="72">
        <f t="shared" ca="1" si="379"/>
        <v>0.75200000000000033</v>
      </c>
      <c r="M693" s="73">
        <f t="shared" ca="1" si="380"/>
        <v>75.200000000000031</v>
      </c>
      <c r="N693" s="12" t="s">
        <v>41</v>
      </c>
      <c r="O693" s="47" t="s">
        <v>45</v>
      </c>
      <c r="P693" s="13">
        <f t="shared" si="405"/>
        <v>2.7</v>
      </c>
      <c r="Q693" s="1" t="str">
        <f t="shared" si="408"/>
        <v>100-290 шт - 2,7 руб / шт с НДС</v>
      </c>
      <c r="R693" s="235"/>
      <c r="S693" s="239"/>
      <c r="T693" s="226"/>
      <c r="U693" s="228"/>
      <c r="V693" s="222"/>
      <c r="W693" s="229"/>
      <c r="X693" s="227"/>
      <c r="Y693" s="229"/>
      <c r="Z693" s="236"/>
      <c r="AA693" s="237"/>
      <c r="AB693" s="238"/>
      <c r="AC693" s="223"/>
      <c r="AD693" s="222"/>
    </row>
    <row r="694" spans="1:30" x14ac:dyDescent="0.4">
      <c r="A694" s="230"/>
      <c r="B694" s="8">
        <v>140</v>
      </c>
      <c r="C694" s="14">
        <f t="shared" ca="1" si="387"/>
        <v>1.31</v>
      </c>
      <c r="D694" s="20">
        <f t="shared" ca="1" si="399"/>
        <v>1.5720000000000001</v>
      </c>
      <c r="E694" s="225"/>
      <c r="F694" s="231"/>
      <c r="G694" s="172" t="str">
        <f t="shared" ca="1" si="382"/>
        <v/>
      </c>
      <c r="H694" s="93" t="str">
        <f t="shared" ca="1" si="383"/>
        <v/>
      </c>
      <c r="I694" s="21">
        <v>300</v>
      </c>
      <c r="J694" s="68">
        <f t="shared" si="384"/>
        <v>2.0166666666666666</v>
      </c>
      <c r="K694" s="70">
        <v>2.42</v>
      </c>
      <c r="L694" s="72">
        <f t="shared" ca="1" si="379"/>
        <v>0.56533333333333324</v>
      </c>
      <c r="M694" s="73">
        <f t="shared" ca="1" si="380"/>
        <v>169.59999999999997</v>
      </c>
      <c r="N694" s="12" t="s">
        <v>42</v>
      </c>
      <c r="O694" s="47" t="s">
        <v>45</v>
      </c>
      <c r="P694" s="13">
        <f t="shared" si="405"/>
        <v>2.42</v>
      </c>
      <c r="Q694" s="1" t="str">
        <f t="shared" si="408"/>
        <v>300-490 шт - 2,42 руб / шт с НДС</v>
      </c>
      <c r="R694" s="235"/>
      <c r="S694" s="239"/>
      <c r="T694" s="226"/>
      <c r="U694" s="228"/>
      <c r="V694" s="222"/>
      <c r="W694" s="229"/>
      <c r="X694" s="227"/>
      <c r="Y694" s="229"/>
      <c r="Z694" s="236"/>
      <c r="AA694" s="237"/>
      <c r="AB694" s="238"/>
      <c r="AC694" s="223"/>
      <c r="AD694" s="222"/>
    </row>
    <row r="695" spans="1:30" x14ac:dyDescent="0.4">
      <c r="A695" s="230"/>
      <c r="B695" s="8">
        <v>140</v>
      </c>
      <c r="C695" s="14">
        <f t="shared" ca="1" si="387"/>
        <v>1.31</v>
      </c>
      <c r="D695" s="20">
        <f t="shared" ca="1" si="399"/>
        <v>1.5720000000000001</v>
      </c>
      <c r="E695" s="225"/>
      <c r="F695" s="231"/>
      <c r="G695" s="172" t="str">
        <f t="shared" ca="1" si="382"/>
        <v/>
      </c>
      <c r="H695" s="93" t="str">
        <f t="shared" ca="1" si="383"/>
        <v/>
      </c>
      <c r="I695" s="21">
        <v>500</v>
      </c>
      <c r="J695" s="68">
        <f t="shared" si="384"/>
        <v>1.8166666666666669</v>
      </c>
      <c r="K695" s="70">
        <v>2.1800000000000002</v>
      </c>
      <c r="L695" s="72">
        <f t="shared" ca="1" si="379"/>
        <v>0.40533333333333343</v>
      </c>
      <c r="M695" s="73">
        <f t="shared" ca="1" si="380"/>
        <v>202.66666666666671</v>
      </c>
      <c r="N695" s="12" t="s">
        <v>43</v>
      </c>
      <c r="O695" s="47" t="s">
        <v>45</v>
      </c>
      <c r="P695" s="13">
        <f t="shared" si="405"/>
        <v>2.1800000000000002</v>
      </c>
      <c r="Q695" s="1" t="str">
        <f t="shared" si="408"/>
        <v>500-990 шт - 2,18 руб / шт с НДС</v>
      </c>
      <c r="R695" s="235"/>
      <c r="S695" s="239"/>
      <c r="T695" s="226"/>
      <c r="U695" s="228"/>
      <c r="V695" s="222"/>
      <c r="W695" s="229"/>
      <c r="X695" s="227"/>
      <c r="Y695" s="229"/>
      <c r="Z695" s="236"/>
      <c r="AA695" s="237"/>
      <c r="AB695" s="238"/>
      <c r="AC695" s="223"/>
      <c r="AD695" s="222"/>
    </row>
    <row r="696" spans="1:30" x14ac:dyDescent="0.4">
      <c r="A696" s="230"/>
      <c r="B696" s="8">
        <v>140</v>
      </c>
      <c r="C696" s="14">
        <f t="shared" ca="1" si="387"/>
        <v>1.31</v>
      </c>
      <c r="D696" s="20">
        <f t="shared" ca="1" si="399"/>
        <v>1.5720000000000001</v>
      </c>
      <c r="E696" s="225"/>
      <c r="F696" s="231"/>
      <c r="G696" s="172" t="str">
        <f t="shared" ca="1" si="382"/>
        <v/>
      </c>
      <c r="H696" s="93" t="str">
        <f t="shared" ca="1" si="383"/>
        <v/>
      </c>
      <c r="I696" s="21">
        <v>1000</v>
      </c>
      <c r="J696" s="68">
        <f t="shared" si="384"/>
        <v>1.7416666666666667</v>
      </c>
      <c r="K696" s="70">
        <v>2.09</v>
      </c>
      <c r="L696" s="72">
        <f t="shared" ca="1" si="379"/>
        <v>0.34533333333333333</v>
      </c>
      <c r="M696" s="73">
        <f t="shared" ca="1" si="380"/>
        <v>345.33333333333331</v>
      </c>
      <c r="N696" s="12" t="s">
        <v>44</v>
      </c>
      <c r="O696" s="47" t="s">
        <v>45</v>
      </c>
      <c r="P696" s="13">
        <f t="shared" si="405"/>
        <v>2.09</v>
      </c>
      <c r="Q696" s="1" t="str">
        <f t="shared" si="408"/>
        <v>1000 + шт - 2,09 руб / шт с НДС</v>
      </c>
      <c r="R696" s="235"/>
      <c r="S696" s="239"/>
      <c r="T696" s="226"/>
      <c r="U696" s="228"/>
      <c r="V696" s="222"/>
      <c r="W696" s="229"/>
      <c r="X696" s="227"/>
      <c r="Y696" s="229"/>
      <c r="Z696" s="236"/>
      <c r="AA696" s="237"/>
      <c r="AB696" s="238"/>
      <c r="AC696" s="223"/>
      <c r="AD696" s="222"/>
    </row>
    <row r="697" spans="1:30" x14ac:dyDescent="0.4">
      <c r="A697" s="230">
        <v>141</v>
      </c>
      <c r="B697" s="8">
        <v>141</v>
      </c>
      <c r="C697" s="14">
        <f t="shared" ca="1" si="387"/>
        <v>0.2</v>
      </c>
      <c r="D697" s="20">
        <f t="shared" ca="1" si="399"/>
        <v>0.24</v>
      </c>
      <c r="E697" s="224" t="str">
        <f ca="1">INDIRECT("'Закуп'!D" &amp; A697)</f>
        <v>У</v>
      </c>
      <c r="F697" s="231" t="str">
        <f t="shared" ref="F697" ca="1" si="411">INDIRECT("'Закуп'!E" &amp; B697)</f>
        <v>103х103х130</v>
      </c>
      <c r="G697" s="172" t="str">
        <f t="shared" ca="1" si="382"/>
        <v/>
      </c>
      <c r="H697" s="93" t="str">
        <f t="shared" ca="1" si="383"/>
        <v/>
      </c>
      <c r="I697" s="21">
        <v>50</v>
      </c>
      <c r="J697" s="68">
        <f t="shared" si="384"/>
        <v>0.81666666666666665</v>
      </c>
      <c r="K697" s="70">
        <v>0.98</v>
      </c>
      <c r="L697" s="72">
        <f t="shared" ca="1" si="379"/>
        <v>0.49333333333333335</v>
      </c>
      <c r="M697" s="73">
        <f t="shared" ca="1" si="380"/>
        <v>24.666666666666668</v>
      </c>
      <c r="N697" s="12" t="s">
        <v>40</v>
      </c>
      <c r="O697" s="47" t="s">
        <v>45</v>
      </c>
      <c r="P697" s="13">
        <f t="shared" si="405"/>
        <v>0.98</v>
      </c>
      <c r="Q697" s="1" t="str">
        <f t="shared" si="408"/>
        <v>50-90 шт - 0,98 руб / шт с НДС</v>
      </c>
      <c r="R697" s="235" t="str">
        <f ca="1">INDIRECT("'Закуп'!k" &amp; A697)</f>
        <v>K142</v>
      </c>
      <c r="S697" s="239">
        <f ca="1">INDIRECT("'Закуп'!o" &amp; A697)</f>
        <v>1.38</v>
      </c>
      <c r="T697" s="226" t="str">
        <f ca="1">INDIRECT("'Закуп'!p" &amp; A697)</f>
        <v>1-1,9 литра</v>
      </c>
      <c r="U697" s="228" t="str">
        <f ca="1">INDIRECT("'Закуп'!v" &amp; A697)</f>
        <v/>
      </c>
      <c r="V697" s="222" t="str">
        <f ca="1">INDIRECT("'Закуп'!w" &amp; A697)</f>
        <v/>
      </c>
      <c r="W697" s="229" t="str">
        <f ca="1">INDIRECT("'Закуп'!H" &amp; A697)</f>
        <v>х</v>
      </c>
      <c r="X697" s="227" t="str">
        <f t="shared" ref="X697" ca="1" si="412">INDIRECT("'Закуп'!g" &amp; A697)</f>
        <v>Ч</v>
      </c>
      <c r="Y697" s="229" t="str">
        <f ca="1">INDIRECT("'Закуп'!i" &amp; A697)</f>
        <v>В</v>
      </c>
      <c r="Z697" s="236" t="str">
        <f ca="1">INDIRECT("'Закуп'!x" &amp; A697)</f>
        <v>100-199 мм</v>
      </c>
      <c r="AA697" s="237" t="str">
        <f ca="1">INDIRECT("'Закуп'!y" &amp; A697)</f>
        <v>100-199 мм</v>
      </c>
      <c r="AB697" s="238" t="str">
        <f ca="1">INDIRECT("'Закуп'!z" &amp; A697)</f>
        <v>100-199 мм</v>
      </c>
      <c r="AC697" s="223" t="str">
        <f t="shared" ca="1" si="407"/>
        <v>103x103x130</v>
      </c>
      <c r="AD697" s="222" t="str">
        <f t="shared" ca="1" si="394"/>
        <v>103x103x130 - 103*103*130 мм</v>
      </c>
    </row>
    <row r="698" spans="1:30" x14ac:dyDescent="0.4">
      <c r="A698" s="230"/>
      <c r="B698" s="8">
        <v>141</v>
      </c>
      <c r="C698" s="14">
        <f t="shared" ca="1" si="387"/>
        <v>0.2</v>
      </c>
      <c r="D698" s="20">
        <f t="shared" ca="1" si="399"/>
        <v>0.24</v>
      </c>
      <c r="E698" s="225"/>
      <c r="F698" s="231"/>
      <c r="G698" s="172" t="str">
        <f t="shared" ca="1" si="382"/>
        <v/>
      </c>
      <c r="H698" s="93" t="str">
        <f t="shared" ca="1" si="383"/>
        <v/>
      </c>
      <c r="I698" s="21">
        <v>100</v>
      </c>
      <c r="J698" s="68">
        <f t="shared" si="384"/>
        <v>0.71666666666666667</v>
      </c>
      <c r="K698" s="70">
        <v>0.86</v>
      </c>
      <c r="L698" s="72">
        <f t="shared" ca="1" si="379"/>
        <v>0.41333333333333327</v>
      </c>
      <c r="M698" s="73">
        <f t="shared" ca="1" si="380"/>
        <v>41.333333333333329</v>
      </c>
      <c r="N698" s="12" t="s">
        <v>41</v>
      </c>
      <c r="O698" s="47" t="s">
        <v>45</v>
      </c>
      <c r="P698" s="13">
        <f t="shared" si="405"/>
        <v>0.86</v>
      </c>
      <c r="Q698" s="1" t="str">
        <f t="shared" si="408"/>
        <v>100-290 шт - 0,86 руб / шт с НДС</v>
      </c>
      <c r="R698" s="235"/>
      <c r="S698" s="239"/>
      <c r="T698" s="226"/>
      <c r="U698" s="228"/>
      <c r="V698" s="222"/>
      <c r="W698" s="229"/>
      <c r="X698" s="227"/>
      <c r="Y698" s="229"/>
      <c r="Z698" s="236"/>
      <c r="AA698" s="237"/>
      <c r="AB698" s="238"/>
      <c r="AC698" s="223"/>
      <c r="AD698" s="222"/>
    </row>
    <row r="699" spans="1:30" x14ac:dyDescent="0.4">
      <c r="A699" s="230"/>
      <c r="B699" s="8">
        <v>141</v>
      </c>
      <c r="C699" s="14">
        <f t="shared" ca="1" si="387"/>
        <v>0.2</v>
      </c>
      <c r="D699" s="20">
        <f t="shared" ca="1" si="399"/>
        <v>0.24</v>
      </c>
      <c r="E699" s="225"/>
      <c r="F699" s="231"/>
      <c r="G699" s="172" t="str">
        <f t="shared" ca="1" si="382"/>
        <v/>
      </c>
      <c r="H699" s="93" t="str">
        <f t="shared" ca="1" si="383"/>
        <v/>
      </c>
      <c r="I699" s="21">
        <v>300</v>
      </c>
      <c r="J699" s="68">
        <f t="shared" si="384"/>
        <v>0.6166666666666667</v>
      </c>
      <c r="K699" s="70">
        <v>0.74</v>
      </c>
      <c r="L699" s="72">
        <f t="shared" ca="1" si="379"/>
        <v>0.33333333333333337</v>
      </c>
      <c r="M699" s="73">
        <f t="shared" ca="1" si="380"/>
        <v>100.00000000000001</v>
      </c>
      <c r="N699" s="12" t="s">
        <v>42</v>
      </c>
      <c r="O699" s="47" t="s">
        <v>45</v>
      </c>
      <c r="P699" s="13">
        <f t="shared" si="405"/>
        <v>0.74</v>
      </c>
      <c r="Q699" s="1" t="str">
        <f t="shared" si="408"/>
        <v>300-490 шт - 0,74 руб / шт с НДС</v>
      </c>
      <c r="R699" s="235"/>
      <c r="S699" s="239"/>
      <c r="T699" s="226"/>
      <c r="U699" s="228"/>
      <c r="V699" s="222"/>
      <c r="W699" s="229"/>
      <c r="X699" s="227"/>
      <c r="Y699" s="229"/>
      <c r="Z699" s="236"/>
      <c r="AA699" s="237"/>
      <c r="AB699" s="238"/>
      <c r="AC699" s="223"/>
      <c r="AD699" s="222"/>
    </row>
    <row r="700" spans="1:30" x14ac:dyDescent="0.4">
      <c r="A700" s="230"/>
      <c r="B700" s="8">
        <v>141</v>
      </c>
      <c r="C700" s="14">
        <f t="shared" ca="1" si="387"/>
        <v>0.2</v>
      </c>
      <c r="D700" s="20">
        <f t="shared" ca="1" si="399"/>
        <v>0.24</v>
      </c>
      <c r="E700" s="225"/>
      <c r="F700" s="231"/>
      <c r="G700" s="172" t="str">
        <f t="shared" ca="1" si="382"/>
        <v/>
      </c>
      <c r="H700" s="93" t="str">
        <f t="shared" ca="1" si="383"/>
        <v/>
      </c>
      <c r="I700" s="21">
        <v>500</v>
      </c>
      <c r="J700" s="68">
        <f t="shared" si="384"/>
        <v>0.55833333333333335</v>
      </c>
      <c r="K700" s="70">
        <v>0.67</v>
      </c>
      <c r="L700" s="72">
        <f t="shared" ca="1" si="379"/>
        <v>0.28666666666666668</v>
      </c>
      <c r="M700" s="73">
        <f t="shared" ca="1" si="380"/>
        <v>143.33333333333334</v>
      </c>
      <c r="N700" s="12" t="s">
        <v>43</v>
      </c>
      <c r="O700" s="47" t="s">
        <v>45</v>
      </c>
      <c r="P700" s="13">
        <f t="shared" si="405"/>
        <v>0.67</v>
      </c>
      <c r="Q700" s="1" t="str">
        <f t="shared" si="408"/>
        <v>500-990 шт - 0,67 руб / шт с НДС</v>
      </c>
      <c r="R700" s="235"/>
      <c r="S700" s="239"/>
      <c r="T700" s="226"/>
      <c r="U700" s="228"/>
      <c r="V700" s="222"/>
      <c r="W700" s="229"/>
      <c r="X700" s="227"/>
      <c r="Y700" s="229"/>
      <c r="Z700" s="236"/>
      <c r="AA700" s="237"/>
      <c r="AB700" s="238"/>
      <c r="AC700" s="223"/>
      <c r="AD700" s="222"/>
    </row>
    <row r="701" spans="1:30" x14ac:dyDescent="0.4">
      <c r="A701" s="230"/>
      <c r="B701" s="8">
        <v>141</v>
      </c>
      <c r="C701" s="14">
        <f t="shared" ca="1" si="387"/>
        <v>0.2</v>
      </c>
      <c r="D701" s="20">
        <f t="shared" ca="1" si="399"/>
        <v>0.24</v>
      </c>
      <c r="E701" s="225"/>
      <c r="F701" s="231"/>
      <c r="G701" s="172" t="str">
        <f t="shared" ca="1" si="382"/>
        <v/>
      </c>
      <c r="H701" s="93" t="str">
        <f t="shared" ca="1" si="383"/>
        <v/>
      </c>
      <c r="I701" s="21">
        <v>1000</v>
      </c>
      <c r="J701" s="68">
        <f t="shared" si="384"/>
        <v>0.49166666666666664</v>
      </c>
      <c r="K701" s="70">
        <v>0.59</v>
      </c>
      <c r="L701" s="72">
        <f t="shared" ca="1" si="379"/>
        <v>0.23333333333333331</v>
      </c>
      <c r="M701" s="73">
        <f t="shared" ca="1" si="380"/>
        <v>233.33333333333331</v>
      </c>
      <c r="N701" s="12" t="s">
        <v>44</v>
      </c>
      <c r="O701" s="47" t="s">
        <v>45</v>
      </c>
      <c r="P701" s="13">
        <f t="shared" si="405"/>
        <v>0.59</v>
      </c>
      <c r="Q701" s="1" t="str">
        <f t="shared" si="408"/>
        <v>1000 + шт - 0,59 руб / шт с НДС</v>
      </c>
      <c r="R701" s="235"/>
      <c r="S701" s="239"/>
      <c r="T701" s="226"/>
      <c r="U701" s="228"/>
      <c r="V701" s="222"/>
      <c r="W701" s="229"/>
      <c r="X701" s="227"/>
      <c r="Y701" s="229"/>
      <c r="Z701" s="236"/>
      <c r="AA701" s="237"/>
      <c r="AB701" s="238"/>
      <c r="AC701" s="223"/>
      <c r="AD701" s="222"/>
    </row>
    <row r="702" spans="1:30" x14ac:dyDescent="0.4">
      <c r="A702" s="230">
        <v>142</v>
      </c>
      <c r="B702" s="8">
        <v>142</v>
      </c>
      <c r="C702" s="14">
        <f t="shared" ca="1" si="387"/>
        <v>0.38</v>
      </c>
      <c r="D702" s="20">
        <f t="shared" ca="1" si="399"/>
        <v>0.45599999999999996</v>
      </c>
      <c r="E702" s="224" t="str">
        <f ca="1">INDIRECT("'Закуп'!D" &amp; A702)</f>
        <v>У</v>
      </c>
      <c r="F702" s="231" t="str">
        <f t="shared" ref="F702" ca="1" si="413">INDIRECT("'Закуп'!E" &amp; B702)</f>
        <v>200х120х200</v>
      </c>
      <c r="G702" s="172" t="str">
        <f t="shared" ca="1" si="382"/>
        <v/>
      </c>
      <c r="H702" s="93" t="str">
        <f t="shared" ca="1" si="383"/>
        <v/>
      </c>
      <c r="I702" s="21">
        <v>50</v>
      </c>
      <c r="J702" s="68">
        <f t="shared" si="384"/>
        <v>0.97499999999999998</v>
      </c>
      <c r="K702" s="70">
        <v>1.17</v>
      </c>
      <c r="L702" s="72">
        <f t="shared" ca="1" si="379"/>
        <v>0.47599999999999998</v>
      </c>
      <c r="M702" s="73">
        <f t="shared" ca="1" si="380"/>
        <v>23.799999999999997</v>
      </c>
      <c r="N702" s="12" t="s">
        <v>40</v>
      </c>
      <c r="O702" s="47" t="s">
        <v>45</v>
      </c>
      <c r="P702" s="13">
        <f t="shared" si="405"/>
        <v>1.17</v>
      </c>
      <c r="Q702" s="1" t="str">
        <f t="shared" si="408"/>
        <v>50-90 шт - 1,17 руб / шт с НДС</v>
      </c>
      <c r="R702" s="235" t="str">
        <f ca="1">INDIRECT("'Закуп'!k" &amp; A702)</f>
        <v>K143</v>
      </c>
      <c r="S702" s="239">
        <f ca="1">INDIRECT("'Закуп'!o" &amp; A702)</f>
        <v>4.8</v>
      </c>
      <c r="T702" s="226" t="str">
        <f ca="1">INDIRECT("'Закуп'!p" &amp; A702)</f>
        <v>4-5,9 литра</v>
      </c>
      <c r="U702" s="228" t="str">
        <f ca="1">INDIRECT("'Закуп'!v" &amp; A702)</f>
        <v/>
      </c>
      <c r="V702" s="222" t="str">
        <f ca="1">INDIRECT("'Закуп'!w" &amp; A702)</f>
        <v/>
      </c>
      <c r="W702" s="229" t="str">
        <f ca="1">INDIRECT("'Закуп'!H" &amp; A702)</f>
        <v>х</v>
      </c>
      <c r="X702" s="227" t="str">
        <f t="shared" ref="X702" ca="1" si="414">INDIRECT("'Закуп'!g" &amp; A702)</f>
        <v>Ч</v>
      </c>
      <c r="Y702" s="229" t="str">
        <f ca="1">INDIRECT("'Закуп'!i" &amp; A702)</f>
        <v>В</v>
      </c>
      <c r="Z702" s="236" t="str">
        <f ca="1">INDIRECT("'Закуп'!x" &amp; A702)</f>
        <v>200-299 мм</v>
      </c>
      <c r="AA702" s="237" t="str">
        <f ca="1">INDIRECT("'Закуп'!y" &amp; A702)</f>
        <v>200-299 мм</v>
      </c>
      <c r="AB702" s="238" t="str">
        <f ca="1">INDIRECT("'Закуп'!z" &amp; A702)</f>
        <v>100-199 мм</v>
      </c>
      <c r="AC702" s="223" t="str">
        <f t="shared" ca="1" si="407"/>
        <v>200x120x200</v>
      </c>
      <c r="AD702" s="222" t="str">
        <f t="shared" ca="1" si="394"/>
        <v>200x120x200 - 200*120*200 мм</v>
      </c>
    </row>
    <row r="703" spans="1:30" x14ac:dyDescent="0.4">
      <c r="A703" s="230"/>
      <c r="B703" s="8">
        <v>142</v>
      </c>
      <c r="C703" s="14">
        <f t="shared" ca="1" si="387"/>
        <v>0.38</v>
      </c>
      <c r="D703" s="20">
        <f t="shared" ca="1" si="399"/>
        <v>0.45599999999999996</v>
      </c>
      <c r="E703" s="225"/>
      <c r="F703" s="231"/>
      <c r="G703" s="172" t="str">
        <f t="shared" ca="1" si="382"/>
        <v/>
      </c>
      <c r="H703" s="93" t="str">
        <f t="shared" ca="1" si="383"/>
        <v/>
      </c>
      <c r="I703" s="21">
        <v>100</v>
      </c>
      <c r="J703" s="68">
        <f t="shared" si="384"/>
        <v>0.80833333333333335</v>
      </c>
      <c r="K703" s="70">
        <v>0.97</v>
      </c>
      <c r="L703" s="72">
        <f t="shared" ca="1" si="379"/>
        <v>0.34266666666666667</v>
      </c>
      <c r="M703" s="73">
        <f t="shared" ca="1" si="380"/>
        <v>34.266666666666666</v>
      </c>
      <c r="N703" s="12" t="s">
        <v>41</v>
      </c>
      <c r="O703" s="47" t="s">
        <v>45</v>
      </c>
      <c r="P703" s="13">
        <f t="shared" si="405"/>
        <v>0.97</v>
      </c>
      <c r="Q703" s="1" t="str">
        <f t="shared" si="408"/>
        <v>100-290 шт - 0,97 руб / шт с НДС</v>
      </c>
      <c r="R703" s="235"/>
      <c r="S703" s="239"/>
      <c r="T703" s="226"/>
      <c r="U703" s="228"/>
      <c r="V703" s="222"/>
      <c r="W703" s="229"/>
      <c r="X703" s="227"/>
      <c r="Y703" s="229"/>
      <c r="Z703" s="236"/>
      <c r="AA703" s="237"/>
      <c r="AB703" s="238"/>
      <c r="AC703" s="223"/>
      <c r="AD703" s="222"/>
    </row>
    <row r="704" spans="1:30" x14ac:dyDescent="0.4">
      <c r="A704" s="230"/>
      <c r="B704" s="8">
        <v>142</v>
      </c>
      <c r="C704" s="14">
        <f t="shared" ca="1" si="387"/>
        <v>0.38</v>
      </c>
      <c r="D704" s="20">
        <f t="shared" ca="1" si="399"/>
        <v>0.45599999999999996</v>
      </c>
      <c r="E704" s="225"/>
      <c r="F704" s="231"/>
      <c r="G704" s="172" t="str">
        <f t="shared" ca="1" si="382"/>
        <v/>
      </c>
      <c r="H704" s="93" t="str">
        <f t="shared" ca="1" si="383"/>
        <v/>
      </c>
      <c r="I704" s="21">
        <v>300</v>
      </c>
      <c r="J704" s="68">
        <f t="shared" si="384"/>
        <v>0.7416666666666667</v>
      </c>
      <c r="K704" s="70">
        <v>0.89</v>
      </c>
      <c r="L704" s="72">
        <f t="shared" ca="1" si="379"/>
        <v>0.28933333333333333</v>
      </c>
      <c r="M704" s="73">
        <f t="shared" ca="1" si="380"/>
        <v>86.8</v>
      </c>
      <c r="N704" s="12" t="s">
        <v>42</v>
      </c>
      <c r="O704" s="47" t="s">
        <v>45</v>
      </c>
      <c r="P704" s="13">
        <f t="shared" si="405"/>
        <v>0.89</v>
      </c>
      <c r="Q704" s="1" t="str">
        <f t="shared" si="408"/>
        <v>300-490 шт - 0,89 руб / шт с НДС</v>
      </c>
      <c r="R704" s="235"/>
      <c r="S704" s="239"/>
      <c r="T704" s="226"/>
      <c r="U704" s="228"/>
      <c r="V704" s="222"/>
      <c r="W704" s="229"/>
      <c r="X704" s="227"/>
      <c r="Y704" s="229"/>
      <c r="Z704" s="236"/>
      <c r="AA704" s="237"/>
      <c r="AB704" s="238"/>
      <c r="AC704" s="223"/>
      <c r="AD704" s="222"/>
    </row>
    <row r="705" spans="1:30" x14ac:dyDescent="0.4">
      <c r="A705" s="230"/>
      <c r="B705" s="8">
        <v>142</v>
      </c>
      <c r="C705" s="14">
        <f t="shared" ca="1" si="387"/>
        <v>0.38</v>
      </c>
      <c r="D705" s="20">
        <f t="shared" ca="1" si="399"/>
        <v>0.45599999999999996</v>
      </c>
      <c r="E705" s="225"/>
      <c r="F705" s="231"/>
      <c r="G705" s="172" t="str">
        <f t="shared" ca="1" si="382"/>
        <v/>
      </c>
      <c r="H705" s="93" t="str">
        <f t="shared" ca="1" si="383"/>
        <v/>
      </c>
      <c r="I705" s="21">
        <v>500</v>
      </c>
      <c r="J705" s="68">
        <f t="shared" si="384"/>
        <v>0.67500000000000004</v>
      </c>
      <c r="K705" s="70">
        <v>0.81</v>
      </c>
      <c r="L705" s="72">
        <f t="shared" ca="1" si="379"/>
        <v>0.23600000000000004</v>
      </c>
      <c r="M705" s="73">
        <f t="shared" ca="1" si="380"/>
        <v>118.00000000000003</v>
      </c>
      <c r="N705" s="12" t="s">
        <v>43</v>
      </c>
      <c r="O705" s="47" t="s">
        <v>45</v>
      </c>
      <c r="P705" s="13">
        <f t="shared" si="405"/>
        <v>0.81</v>
      </c>
      <c r="Q705" s="1" t="str">
        <f t="shared" si="408"/>
        <v>500-990 шт - 0,81 руб / шт с НДС</v>
      </c>
      <c r="R705" s="235"/>
      <c r="S705" s="239"/>
      <c r="T705" s="226"/>
      <c r="U705" s="228"/>
      <c r="V705" s="222"/>
      <c r="W705" s="229"/>
      <c r="X705" s="227"/>
      <c r="Y705" s="229"/>
      <c r="Z705" s="236"/>
      <c r="AA705" s="237"/>
      <c r="AB705" s="238"/>
      <c r="AC705" s="223"/>
      <c r="AD705" s="222"/>
    </row>
    <row r="706" spans="1:30" x14ac:dyDescent="0.4">
      <c r="A706" s="230"/>
      <c r="B706" s="8">
        <v>142</v>
      </c>
      <c r="C706" s="14">
        <f t="shared" ca="1" si="387"/>
        <v>0.38</v>
      </c>
      <c r="D706" s="20">
        <f t="shared" ca="1" si="399"/>
        <v>0.45599999999999996</v>
      </c>
      <c r="E706" s="225"/>
      <c r="F706" s="231"/>
      <c r="G706" s="172" t="str">
        <f t="shared" ca="1" si="382"/>
        <v/>
      </c>
      <c r="H706" s="93" t="str">
        <f t="shared" ca="1" si="383"/>
        <v/>
      </c>
      <c r="I706" s="21">
        <v>1000</v>
      </c>
      <c r="J706" s="68">
        <f t="shared" si="384"/>
        <v>0.63333333333333341</v>
      </c>
      <c r="K706" s="70">
        <v>0.76</v>
      </c>
      <c r="L706" s="72">
        <f t="shared" ref="L706:L769" ca="1" si="415">J706-C706-(J706-C706)*0.2</f>
        <v>0.20266666666666672</v>
      </c>
      <c r="M706" s="73">
        <f t="shared" ref="M706:M769" ca="1" si="416">L706*I706</f>
        <v>202.66666666666671</v>
      </c>
      <c r="N706" s="12" t="s">
        <v>44</v>
      </c>
      <c r="O706" s="47" t="s">
        <v>45</v>
      </c>
      <c r="P706" s="13">
        <f t="shared" si="405"/>
        <v>0.76</v>
      </c>
      <c r="Q706" s="1" t="str">
        <f t="shared" si="408"/>
        <v>1000 + шт - 0,76 руб / шт с НДС</v>
      </c>
      <c r="R706" s="235"/>
      <c r="S706" s="239"/>
      <c r="T706" s="226"/>
      <c r="U706" s="228"/>
      <c r="V706" s="222"/>
      <c r="W706" s="229"/>
      <c r="X706" s="227"/>
      <c r="Y706" s="229"/>
      <c r="Z706" s="236"/>
      <c r="AA706" s="237"/>
      <c r="AB706" s="238"/>
      <c r="AC706" s="223"/>
      <c r="AD706" s="222"/>
    </row>
    <row r="707" spans="1:30" x14ac:dyDescent="0.4">
      <c r="A707" s="230">
        <v>143</v>
      </c>
      <c r="B707" s="8">
        <v>143</v>
      </c>
      <c r="C707" s="14">
        <f t="shared" ca="1" si="387"/>
        <v>1.1399999999999999</v>
      </c>
      <c r="D707" s="20">
        <f t="shared" ca="1" si="399"/>
        <v>1.3679999999999999</v>
      </c>
      <c r="E707" s="224" t="str">
        <f ca="1">INDIRECT("'Закуп'!D" &amp; A707)</f>
        <v>У</v>
      </c>
      <c r="F707" s="231" t="str">
        <f t="shared" ref="F707" ca="1" si="417">INDIRECT("'Закуп'!E" &amp; B707)</f>
        <v>380х285х190</v>
      </c>
      <c r="G707" s="172" t="str">
        <f t="shared" ref="G707:G770" ca="1" si="418">IF(INDIRECT("'Закуп'!L" &amp; B707)="Sale","Sale","")</f>
        <v/>
      </c>
      <c r="H707" s="93" t="str">
        <f t="shared" ref="H707:H770" ca="1" si="419">IF(INDIRECT("'Закуп'!F" &amp; B707)=0,"",INDIRECT("'Закуп'!F" &amp; B707))</f>
        <v/>
      </c>
      <c r="I707" s="21">
        <v>50</v>
      </c>
      <c r="J707" s="68">
        <f t="shared" ref="J707:J770" si="420">K707/1.2</f>
        <v>2.4416666666666669</v>
      </c>
      <c r="K707" s="70">
        <v>2.93</v>
      </c>
      <c r="L707" s="72">
        <f t="shared" ca="1" si="415"/>
        <v>1.0413333333333337</v>
      </c>
      <c r="M707" s="73">
        <f t="shared" ca="1" si="416"/>
        <v>52.066666666666684</v>
      </c>
      <c r="N707" s="12" t="s">
        <v>40</v>
      </c>
      <c r="O707" s="47" t="s">
        <v>45</v>
      </c>
      <c r="P707" s="13">
        <f t="shared" si="405"/>
        <v>2.93</v>
      </c>
      <c r="Q707" s="1" t="str">
        <f t="shared" si="408"/>
        <v>50-90 шт - 2,93 руб / шт с НДС</v>
      </c>
      <c r="R707" s="235" t="str">
        <f ca="1">INDIRECT("'Закуп'!k" &amp; A707)</f>
        <v>K144</v>
      </c>
      <c r="S707" s="239">
        <f ca="1">INDIRECT("'Закуп'!o" &amp; A707)</f>
        <v>20.58</v>
      </c>
      <c r="T707" s="226" t="str">
        <f ca="1">INDIRECT("'Закуп'!p" &amp; A707)</f>
        <v>20-29 литров</v>
      </c>
      <c r="U707" s="228" t="str">
        <f ca="1">INDIRECT("'Закуп'!v" &amp; A707)</f>
        <v/>
      </c>
      <c r="V707" s="222" t="str">
        <f ca="1">INDIRECT("'Закуп'!w" &amp; A707)</f>
        <v/>
      </c>
      <c r="W707" s="229" t="str">
        <f ca="1">INDIRECT("'Закуп'!H" &amp; A707)</f>
        <v>х</v>
      </c>
      <c r="X707" s="227" t="str">
        <f t="shared" ref="X707" ca="1" si="421">INDIRECT("'Закуп'!g" &amp; A707)</f>
        <v>Ч</v>
      </c>
      <c r="Y707" s="229" t="str">
        <f ca="1">INDIRECT("'Закуп'!i" &amp; A707)</f>
        <v>В</v>
      </c>
      <c r="Z707" s="236" t="str">
        <f ca="1">INDIRECT("'Закуп'!x" &amp; A707)</f>
        <v>300-399 мм</v>
      </c>
      <c r="AA707" s="237" t="str">
        <f ca="1">INDIRECT("'Закуп'!y" &amp; A707)</f>
        <v>200-299 мм</v>
      </c>
      <c r="AB707" s="238" t="str">
        <f ca="1">INDIRECT("'Закуп'!z" &amp; A707)</f>
        <v>100-199 мм</v>
      </c>
      <c r="AC707" s="223" t="str">
        <f t="shared" ca="1" si="407"/>
        <v>380x285x190</v>
      </c>
      <c r="AD707" s="222" t="str">
        <f t="shared" ca="1" si="394"/>
        <v>380x285x190 - 380*285*190 мм</v>
      </c>
    </row>
    <row r="708" spans="1:30" x14ac:dyDescent="0.4">
      <c r="A708" s="230"/>
      <c r="B708" s="8">
        <v>143</v>
      </c>
      <c r="C708" s="14">
        <f t="shared" ca="1" si="387"/>
        <v>1.1399999999999999</v>
      </c>
      <c r="D708" s="20">
        <f t="shared" ca="1" si="399"/>
        <v>1.3679999999999999</v>
      </c>
      <c r="E708" s="225"/>
      <c r="F708" s="231"/>
      <c r="G708" s="172" t="str">
        <f t="shared" ca="1" si="418"/>
        <v/>
      </c>
      <c r="H708" s="93" t="str">
        <f t="shared" ca="1" si="419"/>
        <v/>
      </c>
      <c r="I708" s="21">
        <v>100</v>
      </c>
      <c r="J708" s="68">
        <f t="shared" si="420"/>
        <v>1.95</v>
      </c>
      <c r="K708" s="70">
        <v>2.34</v>
      </c>
      <c r="L708" s="72">
        <f t="shared" ca="1" si="415"/>
        <v>0.64800000000000002</v>
      </c>
      <c r="M708" s="73">
        <f t="shared" ca="1" si="416"/>
        <v>64.8</v>
      </c>
      <c r="N708" s="12" t="s">
        <v>41</v>
      </c>
      <c r="O708" s="47" t="s">
        <v>45</v>
      </c>
      <c r="P708" s="13">
        <f t="shared" si="405"/>
        <v>2.34</v>
      </c>
      <c r="Q708" s="1" t="str">
        <f t="shared" si="408"/>
        <v>100-290 шт - 2,34 руб / шт с НДС</v>
      </c>
      <c r="R708" s="235"/>
      <c r="S708" s="239"/>
      <c r="T708" s="226"/>
      <c r="U708" s="228"/>
      <c r="V708" s="222"/>
      <c r="W708" s="229"/>
      <c r="X708" s="227"/>
      <c r="Y708" s="229"/>
      <c r="Z708" s="236"/>
      <c r="AA708" s="237"/>
      <c r="AB708" s="238"/>
      <c r="AC708" s="223"/>
      <c r="AD708" s="222"/>
    </row>
    <row r="709" spans="1:30" x14ac:dyDescent="0.4">
      <c r="A709" s="230"/>
      <c r="B709" s="8">
        <v>143</v>
      </c>
      <c r="C709" s="14">
        <f t="shared" ca="1" si="387"/>
        <v>1.1399999999999999</v>
      </c>
      <c r="D709" s="20">
        <f t="shared" ca="1" si="399"/>
        <v>1.3679999999999999</v>
      </c>
      <c r="E709" s="225"/>
      <c r="F709" s="231"/>
      <c r="G709" s="172" t="str">
        <f t="shared" ca="1" si="418"/>
        <v/>
      </c>
      <c r="H709" s="93" t="str">
        <f t="shared" ca="1" si="419"/>
        <v/>
      </c>
      <c r="I709" s="21">
        <v>300</v>
      </c>
      <c r="J709" s="68">
        <f t="shared" si="420"/>
        <v>1.7833333333333334</v>
      </c>
      <c r="K709" s="70">
        <v>2.14</v>
      </c>
      <c r="L709" s="72">
        <f t="shared" ca="1" si="415"/>
        <v>0.51466666666666683</v>
      </c>
      <c r="M709" s="73">
        <f t="shared" ca="1" si="416"/>
        <v>154.40000000000003</v>
      </c>
      <c r="N709" s="12" t="s">
        <v>42</v>
      </c>
      <c r="O709" s="47" t="s">
        <v>45</v>
      </c>
      <c r="P709" s="13">
        <f t="shared" si="405"/>
        <v>2.14</v>
      </c>
      <c r="Q709" s="1" t="str">
        <f t="shared" si="408"/>
        <v>300-490 шт - 2,14 руб / шт с НДС</v>
      </c>
      <c r="R709" s="235"/>
      <c r="S709" s="239"/>
      <c r="T709" s="226"/>
      <c r="U709" s="228"/>
      <c r="V709" s="222"/>
      <c r="W709" s="229"/>
      <c r="X709" s="227"/>
      <c r="Y709" s="229"/>
      <c r="Z709" s="236"/>
      <c r="AA709" s="237"/>
      <c r="AB709" s="238"/>
      <c r="AC709" s="223"/>
      <c r="AD709" s="222"/>
    </row>
    <row r="710" spans="1:30" x14ac:dyDescent="0.4">
      <c r="A710" s="230"/>
      <c r="B710" s="8">
        <v>143</v>
      </c>
      <c r="C710" s="14">
        <f t="shared" ca="1" si="387"/>
        <v>1.1399999999999999</v>
      </c>
      <c r="D710" s="20">
        <f t="shared" ca="1" si="399"/>
        <v>1.3679999999999999</v>
      </c>
      <c r="E710" s="225"/>
      <c r="F710" s="231"/>
      <c r="G710" s="172" t="str">
        <f t="shared" ca="1" si="418"/>
        <v/>
      </c>
      <c r="H710" s="93" t="str">
        <f t="shared" ca="1" si="419"/>
        <v/>
      </c>
      <c r="I710" s="21">
        <v>500</v>
      </c>
      <c r="J710" s="68">
        <f t="shared" si="420"/>
        <v>1.5833333333333333</v>
      </c>
      <c r="K710" s="70">
        <v>1.9</v>
      </c>
      <c r="L710" s="72">
        <f t="shared" ca="1" si="415"/>
        <v>0.35466666666666669</v>
      </c>
      <c r="M710" s="73">
        <f t="shared" ca="1" si="416"/>
        <v>177.33333333333334</v>
      </c>
      <c r="N710" s="12" t="s">
        <v>43</v>
      </c>
      <c r="O710" s="47" t="s">
        <v>45</v>
      </c>
      <c r="P710" s="13">
        <f t="shared" si="405"/>
        <v>1.9</v>
      </c>
      <c r="Q710" s="1" t="str">
        <f t="shared" si="408"/>
        <v>500-990 шт - 1,9 руб / шт с НДС</v>
      </c>
      <c r="R710" s="235"/>
      <c r="S710" s="239"/>
      <c r="T710" s="226"/>
      <c r="U710" s="228"/>
      <c r="V710" s="222"/>
      <c r="W710" s="229"/>
      <c r="X710" s="227"/>
      <c r="Y710" s="229"/>
      <c r="Z710" s="236"/>
      <c r="AA710" s="237"/>
      <c r="AB710" s="238"/>
      <c r="AC710" s="223"/>
      <c r="AD710" s="222"/>
    </row>
    <row r="711" spans="1:30" x14ac:dyDescent="0.4">
      <c r="A711" s="230"/>
      <c r="B711" s="8">
        <v>143</v>
      </c>
      <c r="C711" s="14">
        <f t="shared" ca="1" si="387"/>
        <v>1.1399999999999999</v>
      </c>
      <c r="D711" s="20">
        <f t="shared" ca="1" si="399"/>
        <v>1.3679999999999999</v>
      </c>
      <c r="E711" s="225"/>
      <c r="F711" s="231"/>
      <c r="G711" s="172" t="str">
        <f t="shared" ca="1" si="418"/>
        <v/>
      </c>
      <c r="H711" s="93" t="str">
        <f t="shared" ca="1" si="419"/>
        <v/>
      </c>
      <c r="I711" s="21">
        <v>1000</v>
      </c>
      <c r="J711" s="68">
        <f t="shared" si="420"/>
        <v>1.5166666666666668</v>
      </c>
      <c r="K711" s="70">
        <v>1.82</v>
      </c>
      <c r="L711" s="72">
        <f t="shared" ca="1" si="415"/>
        <v>0.30133333333333356</v>
      </c>
      <c r="M711" s="73">
        <f t="shared" ca="1" si="416"/>
        <v>301.33333333333354</v>
      </c>
      <c r="N711" s="12" t="s">
        <v>44</v>
      </c>
      <c r="O711" s="47" t="s">
        <v>45</v>
      </c>
      <c r="P711" s="13">
        <f t="shared" si="405"/>
        <v>1.82</v>
      </c>
      <c r="Q711" s="1" t="str">
        <f t="shared" si="408"/>
        <v>1000 + шт - 1,82 руб / шт с НДС</v>
      </c>
      <c r="R711" s="235"/>
      <c r="S711" s="239"/>
      <c r="T711" s="226"/>
      <c r="U711" s="228"/>
      <c r="V711" s="222"/>
      <c r="W711" s="229"/>
      <c r="X711" s="227"/>
      <c r="Y711" s="229"/>
      <c r="Z711" s="236"/>
      <c r="AA711" s="237"/>
      <c r="AB711" s="238"/>
      <c r="AC711" s="223"/>
      <c r="AD711" s="222"/>
    </row>
    <row r="712" spans="1:30" x14ac:dyDescent="0.4">
      <c r="A712" s="230">
        <v>144</v>
      </c>
      <c r="B712" s="8">
        <v>144</v>
      </c>
      <c r="C712" s="14">
        <f t="shared" ca="1" si="387"/>
        <v>1.34</v>
      </c>
      <c r="D712" s="20">
        <f t="shared" ca="1" si="399"/>
        <v>1.6080000000000001</v>
      </c>
      <c r="E712" s="224" t="str">
        <f ca="1">INDIRECT("'Закуп'!D" &amp; A712)</f>
        <v>У</v>
      </c>
      <c r="F712" s="231" t="str">
        <f t="shared" ref="F712" ca="1" si="422">INDIRECT("'Закуп'!E" &amp; B712)</f>
        <v>540х325х110</v>
      </c>
      <c r="G712" s="172" t="str">
        <f t="shared" ca="1" si="418"/>
        <v/>
      </c>
      <c r="H712" s="93" t="str">
        <f t="shared" ca="1" si="419"/>
        <v/>
      </c>
      <c r="I712" s="21">
        <v>50</v>
      </c>
      <c r="J712" s="68">
        <f t="shared" si="420"/>
        <v>2.8750000000000004</v>
      </c>
      <c r="K712" s="70">
        <v>3.45</v>
      </c>
      <c r="L712" s="72">
        <f t="shared" ca="1" si="415"/>
        <v>1.2280000000000002</v>
      </c>
      <c r="M712" s="73">
        <f t="shared" ca="1" si="416"/>
        <v>61.400000000000013</v>
      </c>
      <c r="N712" s="12" t="s">
        <v>40</v>
      </c>
      <c r="O712" s="47" t="s">
        <v>45</v>
      </c>
      <c r="P712" s="13">
        <f t="shared" si="405"/>
        <v>3.45</v>
      </c>
      <c r="Q712" s="1" t="str">
        <f t="shared" si="408"/>
        <v>50-90 шт - 3,45 руб / шт с НДС</v>
      </c>
      <c r="R712" s="235" t="str">
        <f ca="1">INDIRECT("'Закуп'!k" &amp; A712)</f>
        <v>K145</v>
      </c>
      <c r="S712" s="239">
        <f ca="1">INDIRECT("'Закуп'!o" &amp; A712)</f>
        <v>19.309999999999999</v>
      </c>
      <c r="T712" s="226" t="str">
        <f ca="1">INDIRECT("'Закуп'!p" &amp; A712)</f>
        <v>15-19,9 литров</v>
      </c>
      <c r="U712" s="228" t="str">
        <f ca="1">INDIRECT("'Закуп'!v" &amp; A712)</f>
        <v/>
      </c>
      <c r="V712" s="222" t="str">
        <f ca="1">INDIRECT("'Закуп'!w" &amp; A712)</f>
        <v>Плоские</v>
      </c>
      <c r="W712" s="229" t="str">
        <f ca="1">INDIRECT("'Закуп'!H" &amp; A712)</f>
        <v>х</v>
      </c>
      <c r="X712" s="227" t="str">
        <f t="shared" ref="X712" ca="1" si="423">INDIRECT("'Закуп'!g" &amp; A712)</f>
        <v>Ч</v>
      </c>
      <c r="Y712" s="229" t="str">
        <f ca="1">INDIRECT("'Закуп'!i" &amp; A712)</f>
        <v>В</v>
      </c>
      <c r="Z712" s="236" t="str">
        <f ca="1">INDIRECT("'Закуп'!x" &amp; A712)</f>
        <v>500-599 мм</v>
      </c>
      <c r="AA712" s="237" t="str">
        <f ca="1">INDIRECT("'Закуп'!y" &amp; A712)</f>
        <v>300-399 мм</v>
      </c>
      <c r="AB712" s="238" t="str">
        <f ca="1">INDIRECT("'Закуп'!z" &amp; A712)</f>
        <v>100-199 мм</v>
      </c>
      <c r="AC712" s="223" t="str">
        <f t="shared" ca="1" si="407"/>
        <v>540x325x110</v>
      </c>
      <c r="AD712" s="222" t="str">
        <f t="shared" ca="1" si="394"/>
        <v>540x325x110 - 540*325*110 мм</v>
      </c>
    </row>
    <row r="713" spans="1:30" x14ac:dyDescent="0.4">
      <c r="A713" s="230"/>
      <c r="B713" s="8">
        <v>144</v>
      </c>
      <c r="C713" s="14">
        <f t="shared" ref="C713:C776" ca="1" si="424">INDIRECT("'Закуп'!A" &amp; B713)</f>
        <v>1.34</v>
      </c>
      <c r="D713" s="20">
        <f t="shared" ca="1" si="399"/>
        <v>1.6080000000000001</v>
      </c>
      <c r="E713" s="225"/>
      <c r="F713" s="231"/>
      <c r="G713" s="172" t="str">
        <f t="shared" ca="1" si="418"/>
        <v/>
      </c>
      <c r="H713" s="93" t="str">
        <f t="shared" ca="1" si="419"/>
        <v/>
      </c>
      <c r="I713" s="21">
        <v>100</v>
      </c>
      <c r="J713" s="68">
        <f t="shared" si="420"/>
        <v>2.291666666666667</v>
      </c>
      <c r="K713" s="70">
        <v>2.75</v>
      </c>
      <c r="L713" s="72">
        <f t="shared" ca="1" si="415"/>
        <v>0.76133333333333353</v>
      </c>
      <c r="M713" s="73">
        <f t="shared" ca="1" si="416"/>
        <v>76.133333333333354</v>
      </c>
      <c r="N713" s="12" t="s">
        <v>41</v>
      </c>
      <c r="O713" s="47" t="s">
        <v>45</v>
      </c>
      <c r="P713" s="13">
        <f t="shared" si="405"/>
        <v>2.75</v>
      </c>
      <c r="Q713" s="1" t="str">
        <f t="shared" si="408"/>
        <v>100-290 шт - 2,75 руб / шт с НДС</v>
      </c>
      <c r="R713" s="235"/>
      <c r="S713" s="239"/>
      <c r="T713" s="226"/>
      <c r="U713" s="228"/>
      <c r="V713" s="222"/>
      <c r="W713" s="229"/>
      <c r="X713" s="227"/>
      <c r="Y713" s="229"/>
      <c r="Z713" s="236"/>
      <c r="AA713" s="237"/>
      <c r="AB713" s="238"/>
      <c r="AC713" s="223"/>
      <c r="AD713" s="222"/>
    </row>
    <row r="714" spans="1:30" x14ac:dyDescent="0.4">
      <c r="A714" s="230"/>
      <c r="B714" s="8">
        <v>144</v>
      </c>
      <c r="C714" s="14">
        <f t="shared" ca="1" si="424"/>
        <v>1.34</v>
      </c>
      <c r="D714" s="20">
        <f t="shared" ca="1" si="399"/>
        <v>1.6080000000000001</v>
      </c>
      <c r="E714" s="225"/>
      <c r="F714" s="231"/>
      <c r="G714" s="172" t="str">
        <f t="shared" ca="1" si="418"/>
        <v/>
      </c>
      <c r="H714" s="93" t="str">
        <f t="shared" ca="1" si="419"/>
        <v/>
      </c>
      <c r="I714" s="21">
        <v>300</v>
      </c>
      <c r="J714" s="68">
        <f t="shared" si="420"/>
        <v>2.0666666666666669</v>
      </c>
      <c r="K714" s="70">
        <v>2.48</v>
      </c>
      <c r="L714" s="72">
        <f t="shared" ca="1" si="415"/>
        <v>0.58133333333333348</v>
      </c>
      <c r="M714" s="73">
        <f t="shared" ca="1" si="416"/>
        <v>174.40000000000003</v>
      </c>
      <c r="N714" s="12" t="s">
        <v>42</v>
      </c>
      <c r="O714" s="47" t="s">
        <v>45</v>
      </c>
      <c r="P714" s="13">
        <f t="shared" si="405"/>
        <v>2.48</v>
      </c>
      <c r="Q714" s="1" t="str">
        <f t="shared" si="408"/>
        <v>300-490 шт - 2,48 руб / шт с НДС</v>
      </c>
      <c r="R714" s="235"/>
      <c r="S714" s="239"/>
      <c r="T714" s="226"/>
      <c r="U714" s="228"/>
      <c r="V714" s="222"/>
      <c r="W714" s="229"/>
      <c r="X714" s="227"/>
      <c r="Y714" s="229"/>
      <c r="Z714" s="236"/>
      <c r="AA714" s="237"/>
      <c r="AB714" s="238"/>
      <c r="AC714" s="223"/>
      <c r="AD714" s="222"/>
    </row>
    <row r="715" spans="1:30" x14ac:dyDescent="0.4">
      <c r="A715" s="230"/>
      <c r="B715" s="8">
        <v>144</v>
      </c>
      <c r="C715" s="14">
        <f t="shared" ca="1" si="424"/>
        <v>1.34</v>
      </c>
      <c r="D715" s="20">
        <f t="shared" ca="1" si="399"/>
        <v>1.6080000000000001</v>
      </c>
      <c r="E715" s="225"/>
      <c r="F715" s="231"/>
      <c r="G715" s="172" t="str">
        <f t="shared" ca="1" si="418"/>
        <v/>
      </c>
      <c r="H715" s="93" t="str">
        <f t="shared" ca="1" si="419"/>
        <v/>
      </c>
      <c r="I715" s="21">
        <v>500</v>
      </c>
      <c r="J715" s="68">
        <f t="shared" si="420"/>
        <v>1.8666666666666669</v>
      </c>
      <c r="K715" s="70">
        <v>2.2400000000000002</v>
      </c>
      <c r="L715" s="72">
        <f t="shared" ca="1" si="415"/>
        <v>0.42133333333333345</v>
      </c>
      <c r="M715" s="73">
        <f t="shared" ca="1" si="416"/>
        <v>210.66666666666671</v>
      </c>
      <c r="N715" s="12" t="s">
        <v>43</v>
      </c>
      <c r="O715" s="47" t="s">
        <v>45</v>
      </c>
      <c r="P715" s="13">
        <f t="shared" si="405"/>
        <v>2.2400000000000002</v>
      </c>
      <c r="Q715" s="1" t="str">
        <f t="shared" si="408"/>
        <v>500-990 шт - 2,24 руб / шт с НДС</v>
      </c>
      <c r="R715" s="235"/>
      <c r="S715" s="239"/>
      <c r="T715" s="226"/>
      <c r="U715" s="228"/>
      <c r="V715" s="222"/>
      <c r="W715" s="229"/>
      <c r="X715" s="227"/>
      <c r="Y715" s="229"/>
      <c r="Z715" s="236"/>
      <c r="AA715" s="237"/>
      <c r="AB715" s="238"/>
      <c r="AC715" s="223"/>
      <c r="AD715" s="222"/>
    </row>
    <row r="716" spans="1:30" x14ac:dyDescent="0.4">
      <c r="A716" s="230"/>
      <c r="B716" s="8">
        <v>144</v>
      </c>
      <c r="C716" s="14">
        <f t="shared" ca="1" si="424"/>
        <v>1.34</v>
      </c>
      <c r="D716" s="20">
        <f t="shared" ca="1" si="399"/>
        <v>1.6080000000000001</v>
      </c>
      <c r="E716" s="225"/>
      <c r="F716" s="231"/>
      <c r="G716" s="172" t="str">
        <f t="shared" ca="1" si="418"/>
        <v/>
      </c>
      <c r="H716" s="93" t="str">
        <f t="shared" ca="1" si="419"/>
        <v/>
      </c>
      <c r="I716" s="21">
        <v>1000</v>
      </c>
      <c r="J716" s="68">
        <f t="shared" si="420"/>
        <v>1.7749999999999999</v>
      </c>
      <c r="K716" s="70">
        <v>2.13</v>
      </c>
      <c r="L716" s="72">
        <f t="shared" ca="1" si="415"/>
        <v>0.34799999999999986</v>
      </c>
      <c r="M716" s="73">
        <f t="shared" ca="1" si="416"/>
        <v>347.99999999999989</v>
      </c>
      <c r="N716" s="12" t="s">
        <v>44</v>
      </c>
      <c r="O716" s="47" t="s">
        <v>45</v>
      </c>
      <c r="P716" s="13">
        <f t="shared" si="405"/>
        <v>2.13</v>
      </c>
      <c r="Q716" s="1" t="str">
        <f t="shared" si="408"/>
        <v>1000 + шт - 2,13 руб / шт с НДС</v>
      </c>
      <c r="R716" s="235"/>
      <c r="S716" s="239"/>
      <c r="T716" s="226"/>
      <c r="U716" s="228"/>
      <c r="V716" s="222"/>
      <c r="W716" s="229"/>
      <c r="X716" s="227"/>
      <c r="Y716" s="229"/>
      <c r="Z716" s="236"/>
      <c r="AA716" s="237"/>
      <c r="AB716" s="238"/>
      <c r="AC716" s="223"/>
      <c r="AD716" s="222"/>
    </row>
    <row r="717" spans="1:30" x14ac:dyDescent="0.4">
      <c r="A717" s="230">
        <v>145</v>
      </c>
      <c r="B717" s="8">
        <v>145</v>
      </c>
      <c r="C717" s="14">
        <f t="shared" ca="1" si="424"/>
        <v>1.1499999999999999</v>
      </c>
      <c r="D717" s="20">
        <f t="shared" ca="1" si="399"/>
        <v>1.38</v>
      </c>
      <c r="E717" s="224" t="str">
        <f ca="1">INDIRECT("'Закуп'!D" &amp; A717)</f>
        <v>У</v>
      </c>
      <c r="F717" s="231" t="str">
        <f t="shared" ref="F717" ca="1" si="425">INDIRECT("'Закуп'!E" &amp; B717)</f>
        <v>260х230х420</v>
      </c>
      <c r="G717" s="172" t="str">
        <f t="shared" ca="1" si="418"/>
        <v/>
      </c>
      <c r="H717" s="93" t="str">
        <f t="shared" ca="1" si="419"/>
        <v/>
      </c>
      <c r="I717" s="21">
        <v>50</v>
      </c>
      <c r="J717" s="68">
        <f t="shared" si="420"/>
        <v>2.4583333333333335</v>
      </c>
      <c r="K717" s="70">
        <v>2.95</v>
      </c>
      <c r="L717" s="72">
        <f t="shared" ca="1" si="415"/>
        <v>1.0466666666666669</v>
      </c>
      <c r="M717" s="73">
        <f t="shared" ca="1" si="416"/>
        <v>52.333333333333343</v>
      </c>
      <c r="N717" s="12" t="s">
        <v>40</v>
      </c>
      <c r="O717" s="47" t="s">
        <v>45</v>
      </c>
      <c r="P717" s="13">
        <f t="shared" si="405"/>
        <v>2.95</v>
      </c>
      <c r="Q717" s="1" t="str">
        <f t="shared" si="408"/>
        <v>50-90 шт - 2,95 руб / шт с НДС</v>
      </c>
      <c r="R717" s="235" t="str">
        <f ca="1">INDIRECT("'Закуп'!k" &amp; A717)</f>
        <v>K146</v>
      </c>
      <c r="S717" s="239">
        <f ca="1">INDIRECT("'Закуп'!o" &amp; A717)</f>
        <v>25.12</v>
      </c>
      <c r="T717" s="226" t="str">
        <f ca="1">INDIRECT("'Закуп'!p" &amp; A717)</f>
        <v>20-29 литров</v>
      </c>
      <c r="U717" s="228" t="str">
        <f ca="1">INDIRECT("'Закуп'!v" &amp; A717)</f>
        <v/>
      </c>
      <c r="V717" s="222" t="str">
        <f ca="1">INDIRECT("'Закуп'!w" &amp; A717)</f>
        <v/>
      </c>
      <c r="W717" s="229" t="str">
        <f ca="1">INDIRECT("'Закуп'!H" &amp; A717)</f>
        <v>х</v>
      </c>
      <c r="X717" s="227" t="str">
        <f t="shared" ref="X717" ca="1" si="426">INDIRECT("'Закуп'!g" &amp; A717)</f>
        <v>Ч</v>
      </c>
      <c r="Y717" s="229" t="str">
        <f ca="1">INDIRECT("'Закуп'!i" &amp; A717)</f>
        <v>В</v>
      </c>
      <c r="Z717" s="236" t="str">
        <f ca="1">INDIRECT("'Закуп'!x" &amp; A717)</f>
        <v>400-499 мм</v>
      </c>
      <c r="AA717" s="237" t="str">
        <f ca="1">INDIRECT("'Закуп'!y" &amp; A717)</f>
        <v>200-299 мм</v>
      </c>
      <c r="AB717" s="238" t="str">
        <f ca="1">INDIRECT("'Закуп'!z" &amp; A717)</f>
        <v>200-299 мм</v>
      </c>
      <c r="AC717" s="223" t="str">
        <f t="shared" ca="1" si="407"/>
        <v>260x230x420</v>
      </c>
      <c r="AD717" s="222" t="str">
        <f t="shared" ca="1" si="394"/>
        <v>260x230x420 - 260*230*420 мм</v>
      </c>
    </row>
    <row r="718" spans="1:30" x14ac:dyDescent="0.4">
      <c r="A718" s="230"/>
      <c r="B718" s="8">
        <v>145</v>
      </c>
      <c r="C718" s="14">
        <f t="shared" ca="1" si="424"/>
        <v>1.1499999999999999</v>
      </c>
      <c r="D718" s="20">
        <f t="shared" ca="1" si="399"/>
        <v>1.38</v>
      </c>
      <c r="E718" s="225"/>
      <c r="F718" s="231"/>
      <c r="G718" s="172" t="str">
        <f t="shared" ca="1" si="418"/>
        <v/>
      </c>
      <c r="H718" s="93" t="str">
        <f t="shared" ca="1" si="419"/>
        <v/>
      </c>
      <c r="I718" s="21">
        <v>100</v>
      </c>
      <c r="J718" s="68">
        <f t="shared" si="420"/>
        <v>1.9666666666666666</v>
      </c>
      <c r="K718" s="70">
        <v>2.36</v>
      </c>
      <c r="L718" s="72">
        <f t="shared" ca="1" si="415"/>
        <v>0.65333333333333332</v>
      </c>
      <c r="M718" s="73">
        <f t="shared" ca="1" si="416"/>
        <v>65.333333333333329</v>
      </c>
      <c r="N718" s="12" t="s">
        <v>41</v>
      </c>
      <c r="O718" s="47" t="s">
        <v>45</v>
      </c>
      <c r="P718" s="13">
        <f t="shared" si="405"/>
        <v>2.36</v>
      </c>
      <c r="Q718" s="1" t="str">
        <f t="shared" si="408"/>
        <v>100-290 шт - 2,36 руб / шт с НДС</v>
      </c>
      <c r="R718" s="235"/>
      <c r="S718" s="239"/>
      <c r="T718" s="226"/>
      <c r="U718" s="228"/>
      <c r="V718" s="222"/>
      <c r="W718" s="229"/>
      <c r="X718" s="227"/>
      <c r="Y718" s="229"/>
      <c r="Z718" s="236"/>
      <c r="AA718" s="237"/>
      <c r="AB718" s="238"/>
      <c r="AC718" s="223"/>
      <c r="AD718" s="222"/>
    </row>
    <row r="719" spans="1:30" x14ac:dyDescent="0.4">
      <c r="A719" s="230"/>
      <c r="B719" s="8">
        <v>145</v>
      </c>
      <c r="C719" s="14">
        <f t="shared" ca="1" si="424"/>
        <v>1.1499999999999999</v>
      </c>
      <c r="D719" s="20">
        <f t="shared" ca="1" si="399"/>
        <v>1.38</v>
      </c>
      <c r="E719" s="225"/>
      <c r="F719" s="231"/>
      <c r="G719" s="172" t="str">
        <f t="shared" ca="1" si="418"/>
        <v/>
      </c>
      <c r="H719" s="93" t="str">
        <f t="shared" ca="1" si="419"/>
        <v/>
      </c>
      <c r="I719" s="21">
        <v>300</v>
      </c>
      <c r="J719" s="68">
        <f t="shared" si="420"/>
        <v>1.7916666666666667</v>
      </c>
      <c r="K719" s="70">
        <v>2.15</v>
      </c>
      <c r="L719" s="72">
        <f t="shared" ca="1" si="415"/>
        <v>0.51333333333333342</v>
      </c>
      <c r="M719" s="73">
        <f t="shared" ca="1" si="416"/>
        <v>154.00000000000003</v>
      </c>
      <c r="N719" s="12" t="s">
        <v>42</v>
      </c>
      <c r="O719" s="47" t="s">
        <v>45</v>
      </c>
      <c r="P719" s="13">
        <f t="shared" si="405"/>
        <v>2.15</v>
      </c>
      <c r="Q719" s="1" t="str">
        <f t="shared" si="408"/>
        <v>300-490 шт - 2,15 руб / шт с НДС</v>
      </c>
      <c r="R719" s="235"/>
      <c r="S719" s="239"/>
      <c r="T719" s="226"/>
      <c r="U719" s="228"/>
      <c r="V719" s="222"/>
      <c r="W719" s="229"/>
      <c r="X719" s="227"/>
      <c r="Y719" s="229"/>
      <c r="Z719" s="236"/>
      <c r="AA719" s="237"/>
      <c r="AB719" s="238"/>
      <c r="AC719" s="223"/>
      <c r="AD719" s="222"/>
    </row>
    <row r="720" spans="1:30" x14ac:dyDescent="0.4">
      <c r="A720" s="230"/>
      <c r="B720" s="8">
        <v>145</v>
      </c>
      <c r="C720" s="14">
        <f t="shared" ca="1" si="424"/>
        <v>1.1499999999999999</v>
      </c>
      <c r="D720" s="20">
        <f t="shared" ca="1" si="399"/>
        <v>1.38</v>
      </c>
      <c r="E720" s="225"/>
      <c r="F720" s="231"/>
      <c r="G720" s="172" t="str">
        <f t="shared" ca="1" si="418"/>
        <v/>
      </c>
      <c r="H720" s="93" t="str">
        <f t="shared" ca="1" si="419"/>
        <v/>
      </c>
      <c r="I720" s="21">
        <v>500</v>
      </c>
      <c r="J720" s="68">
        <f t="shared" si="420"/>
        <v>1.6</v>
      </c>
      <c r="K720" s="70">
        <v>1.92</v>
      </c>
      <c r="L720" s="72">
        <f t="shared" ca="1" si="415"/>
        <v>0.36000000000000015</v>
      </c>
      <c r="M720" s="73">
        <f t="shared" ca="1" si="416"/>
        <v>180.00000000000009</v>
      </c>
      <c r="N720" s="12" t="s">
        <v>43</v>
      </c>
      <c r="O720" s="47" t="s">
        <v>45</v>
      </c>
      <c r="P720" s="13">
        <f t="shared" si="405"/>
        <v>1.92</v>
      </c>
      <c r="Q720" s="1" t="str">
        <f t="shared" si="408"/>
        <v>500-990 шт - 1,92 руб / шт с НДС</v>
      </c>
      <c r="R720" s="235"/>
      <c r="S720" s="239"/>
      <c r="T720" s="226"/>
      <c r="U720" s="228"/>
      <c r="V720" s="222"/>
      <c r="W720" s="229"/>
      <c r="X720" s="227"/>
      <c r="Y720" s="229"/>
      <c r="Z720" s="236"/>
      <c r="AA720" s="237"/>
      <c r="AB720" s="238"/>
      <c r="AC720" s="223"/>
      <c r="AD720" s="222"/>
    </row>
    <row r="721" spans="1:30" x14ac:dyDescent="0.4">
      <c r="A721" s="230"/>
      <c r="B721" s="8">
        <v>145</v>
      </c>
      <c r="C721" s="14">
        <f t="shared" ca="1" si="424"/>
        <v>1.1499999999999999</v>
      </c>
      <c r="D721" s="20">
        <f t="shared" ca="1" si="399"/>
        <v>1.38</v>
      </c>
      <c r="E721" s="225"/>
      <c r="F721" s="231"/>
      <c r="G721" s="172" t="str">
        <f t="shared" ca="1" si="418"/>
        <v/>
      </c>
      <c r="H721" s="93" t="str">
        <f t="shared" ca="1" si="419"/>
        <v/>
      </c>
      <c r="I721" s="21">
        <v>1000</v>
      </c>
      <c r="J721" s="68">
        <f t="shared" si="420"/>
        <v>1.5250000000000001</v>
      </c>
      <c r="K721" s="70">
        <v>1.83</v>
      </c>
      <c r="L721" s="72">
        <f t="shared" ca="1" si="415"/>
        <v>0.30000000000000016</v>
      </c>
      <c r="M721" s="73">
        <f t="shared" ca="1" si="416"/>
        <v>300.00000000000017</v>
      </c>
      <c r="N721" s="12" t="s">
        <v>44</v>
      </c>
      <c r="O721" s="47" t="s">
        <v>45</v>
      </c>
      <c r="P721" s="13">
        <f t="shared" si="405"/>
        <v>1.83</v>
      </c>
      <c r="Q721" s="1" t="str">
        <f t="shared" si="408"/>
        <v>1000 + шт - 1,83 руб / шт с НДС</v>
      </c>
      <c r="R721" s="235"/>
      <c r="S721" s="239"/>
      <c r="T721" s="226"/>
      <c r="U721" s="228"/>
      <c r="V721" s="222"/>
      <c r="W721" s="229"/>
      <c r="X721" s="227"/>
      <c r="Y721" s="229"/>
      <c r="Z721" s="236"/>
      <c r="AA721" s="237"/>
      <c r="AB721" s="238"/>
      <c r="AC721" s="223"/>
      <c r="AD721" s="222"/>
    </row>
    <row r="722" spans="1:30" x14ac:dyDescent="0.4">
      <c r="A722" s="230">
        <v>146</v>
      </c>
      <c r="B722" s="8">
        <v>146</v>
      </c>
      <c r="C722" s="14">
        <f t="shared" ca="1" si="424"/>
        <v>0.59</v>
      </c>
      <c r="D722" s="20">
        <f t="shared" ca="1" si="399"/>
        <v>0.70799999999999996</v>
      </c>
      <c r="E722" s="224" t="str">
        <f ca="1">INDIRECT("'Закуп'!D" &amp; A722)</f>
        <v>У</v>
      </c>
      <c r="F722" s="231" t="str">
        <f t="shared" ref="F722" ca="1" si="427">INDIRECT("'Закуп'!E" &amp; B722)</f>
        <v>200х150х305</v>
      </c>
      <c r="G722" s="172" t="str">
        <f t="shared" ca="1" si="418"/>
        <v/>
      </c>
      <c r="H722" s="93" t="str">
        <f t="shared" ca="1" si="419"/>
        <v/>
      </c>
      <c r="I722" s="21">
        <v>50</v>
      </c>
      <c r="J722" s="68">
        <f t="shared" si="420"/>
        <v>1.3916666666666666</v>
      </c>
      <c r="K722" s="70">
        <v>1.67</v>
      </c>
      <c r="L722" s="72">
        <f t="shared" ca="1" si="415"/>
        <v>0.64133333333333331</v>
      </c>
      <c r="M722" s="73">
        <f t="shared" ca="1" si="416"/>
        <v>32.066666666666663</v>
      </c>
      <c r="N722" s="12" t="s">
        <v>40</v>
      </c>
      <c r="O722" s="47" t="s">
        <v>45</v>
      </c>
      <c r="P722" s="13">
        <f t="shared" si="405"/>
        <v>1.67</v>
      </c>
      <c r="Q722" s="1" t="str">
        <f t="shared" si="408"/>
        <v>50-90 шт - 1,67 руб / шт с НДС</v>
      </c>
      <c r="R722" s="235" t="str">
        <f ca="1">INDIRECT("'Закуп'!k" &amp; A722)</f>
        <v>K147</v>
      </c>
      <c r="S722" s="239">
        <f ca="1">INDIRECT("'Закуп'!o" &amp; A722)</f>
        <v>9.15</v>
      </c>
      <c r="T722" s="226" t="str">
        <f ca="1">INDIRECT("'Закуп'!p" &amp; A722)</f>
        <v>8-9,9 литров</v>
      </c>
      <c r="U722" s="228" t="str">
        <f ca="1">INDIRECT("'Закуп'!v" &amp; A722)</f>
        <v/>
      </c>
      <c r="V722" s="222" t="str">
        <f ca="1">INDIRECT("'Закуп'!w" &amp; A722)</f>
        <v/>
      </c>
      <c r="W722" s="229" t="str">
        <f ca="1">INDIRECT("'Закуп'!H" &amp; A722)</f>
        <v>х</v>
      </c>
      <c r="X722" s="227" t="str">
        <f t="shared" ref="X722" ca="1" si="428">INDIRECT("'Закуп'!g" &amp; A722)</f>
        <v>Ч</v>
      </c>
      <c r="Y722" s="229" t="str">
        <f ca="1">INDIRECT("'Закуп'!i" &amp; A722)</f>
        <v>В</v>
      </c>
      <c r="Z722" s="236" t="str">
        <f ca="1">INDIRECT("'Закуп'!x" &amp; A722)</f>
        <v>300-399 мм</v>
      </c>
      <c r="AA722" s="237" t="str">
        <f ca="1">INDIRECT("'Закуп'!y" &amp; A722)</f>
        <v>200-299 мм</v>
      </c>
      <c r="AB722" s="238" t="str">
        <f ca="1">INDIRECT("'Закуп'!z" &amp; A722)</f>
        <v>100-199 мм</v>
      </c>
      <c r="AC722" s="223" t="str">
        <f t="shared" ca="1" si="407"/>
        <v>200x150x305</v>
      </c>
      <c r="AD722" s="222" t="str">
        <f t="shared" ca="1" si="394"/>
        <v>200x150x305 - 200*150*305 мм</v>
      </c>
    </row>
    <row r="723" spans="1:30" x14ac:dyDescent="0.4">
      <c r="A723" s="230"/>
      <c r="B723" s="8">
        <v>146</v>
      </c>
      <c r="C723" s="14">
        <f t="shared" ca="1" si="424"/>
        <v>0.59</v>
      </c>
      <c r="D723" s="20">
        <f t="shared" ca="1" si="399"/>
        <v>0.70799999999999996</v>
      </c>
      <c r="E723" s="225"/>
      <c r="F723" s="231"/>
      <c r="G723" s="172" t="str">
        <f t="shared" ca="1" si="418"/>
        <v/>
      </c>
      <c r="H723" s="93" t="str">
        <f t="shared" ca="1" si="419"/>
        <v/>
      </c>
      <c r="I723" s="21">
        <v>100</v>
      </c>
      <c r="J723" s="68">
        <f t="shared" si="420"/>
        <v>1.2666666666666668</v>
      </c>
      <c r="K723" s="70">
        <v>1.52</v>
      </c>
      <c r="L723" s="72">
        <f t="shared" ca="1" si="415"/>
        <v>0.54133333333333344</v>
      </c>
      <c r="M723" s="73">
        <f t="shared" ca="1" si="416"/>
        <v>54.133333333333347</v>
      </c>
      <c r="N723" s="12" t="s">
        <v>41</v>
      </c>
      <c r="O723" s="47" t="s">
        <v>45</v>
      </c>
      <c r="P723" s="13">
        <f t="shared" si="405"/>
        <v>1.52</v>
      </c>
      <c r="Q723" s="1" t="str">
        <f t="shared" si="408"/>
        <v>100-290 шт - 1,52 руб / шт с НДС</v>
      </c>
      <c r="R723" s="235"/>
      <c r="S723" s="239"/>
      <c r="T723" s="226"/>
      <c r="U723" s="228"/>
      <c r="V723" s="222"/>
      <c r="W723" s="229"/>
      <c r="X723" s="227"/>
      <c r="Y723" s="229"/>
      <c r="Z723" s="236"/>
      <c r="AA723" s="237"/>
      <c r="AB723" s="238"/>
      <c r="AC723" s="223"/>
      <c r="AD723" s="222"/>
    </row>
    <row r="724" spans="1:30" x14ac:dyDescent="0.4">
      <c r="A724" s="230"/>
      <c r="B724" s="8">
        <v>146</v>
      </c>
      <c r="C724" s="14">
        <f t="shared" ca="1" si="424"/>
        <v>0.59</v>
      </c>
      <c r="D724" s="20">
        <f t="shared" ca="1" si="399"/>
        <v>0.70799999999999996</v>
      </c>
      <c r="E724" s="225"/>
      <c r="F724" s="231"/>
      <c r="G724" s="172" t="str">
        <f t="shared" ca="1" si="418"/>
        <v/>
      </c>
      <c r="H724" s="93" t="str">
        <f t="shared" ca="1" si="419"/>
        <v/>
      </c>
      <c r="I724" s="21">
        <v>300</v>
      </c>
      <c r="J724" s="68">
        <f t="shared" si="420"/>
        <v>1</v>
      </c>
      <c r="K724" s="70">
        <v>1.2</v>
      </c>
      <c r="L724" s="72">
        <f t="shared" ca="1" si="415"/>
        <v>0.32800000000000001</v>
      </c>
      <c r="M724" s="73">
        <f t="shared" ca="1" si="416"/>
        <v>98.4</v>
      </c>
      <c r="N724" s="12" t="s">
        <v>42</v>
      </c>
      <c r="O724" s="47" t="s">
        <v>45</v>
      </c>
      <c r="P724" s="13">
        <f t="shared" si="405"/>
        <v>1.2</v>
      </c>
      <c r="Q724" s="1" t="str">
        <f t="shared" si="408"/>
        <v>300-490 шт - 1,2 руб / шт с НДС</v>
      </c>
      <c r="R724" s="235"/>
      <c r="S724" s="239"/>
      <c r="T724" s="226"/>
      <c r="U724" s="228"/>
      <c r="V724" s="222"/>
      <c r="W724" s="229"/>
      <c r="X724" s="227"/>
      <c r="Y724" s="229"/>
      <c r="Z724" s="236"/>
      <c r="AA724" s="237"/>
      <c r="AB724" s="238"/>
      <c r="AC724" s="223"/>
      <c r="AD724" s="222"/>
    </row>
    <row r="725" spans="1:30" x14ac:dyDescent="0.4">
      <c r="A725" s="230"/>
      <c r="B725" s="8">
        <v>146</v>
      </c>
      <c r="C725" s="14">
        <f t="shared" ca="1" si="424"/>
        <v>0.59</v>
      </c>
      <c r="D725" s="20">
        <f t="shared" ca="1" si="399"/>
        <v>0.70799999999999996</v>
      </c>
      <c r="E725" s="225"/>
      <c r="F725" s="231"/>
      <c r="G725" s="172" t="str">
        <f t="shared" ca="1" si="418"/>
        <v/>
      </c>
      <c r="H725" s="93" t="str">
        <f t="shared" ca="1" si="419"/>
        <v/>
      </c>
      <c r="I725" s="21">
        <v>500</v>
      </c>
      <c r="J725" s="68">
        <f t="shared" si="420"/>
        <v>0.93333333333333346</v>
      </c>
      <c r="K725" s="70">
        <v>1.1200000000000001</v>
      </c>
      <c r="L725" s="72">
        <f t="shared" ca="1" si="415"/>
        <v>0.27466666666666678</v>
      </c>
      <c r="M725" s="73">
        <f t="shared" ca="1" si="416"/>
        <v>137.3333333333334</v>
      </c>
      <c r="N725" s="12" t="s">
        <v>43</v>
      </c>
      <c r="O725" s="47" t="s">
        <v>45</v>
      </c>
      <c r="P725" s="13">
        <f t="shared" si="405"/>
        <v>1.1200000000000001</v>
      </c>
      <c r="Q725" s="1" t="str">
        <f t="shared" si="408"/>
        <v>500-990 шт - 1,12 руб / шт с НДС</v>
      </c>
      <c r="R725" s="235"/>
      <c r="S725" s="239"/>
      <c r="T725" s="226"/>
      <c r="U725" s="228"/>
      <c r="V725" s="222"/>
      <c r="W725" s="229"/>
      <c r="X725" s="227"/>
      <c r="Y725" s="229"/>
      <c r="Z725" s="236"/>
      <c r="AA725" s="237"/>
      <c r="AB725" s="238"/>
      <c r="AC725" s="223"/>
      <c r="AD725" s="222"/>
    </row>
    <row r="726" spans="1:30" x14ac:dyDescent="0.4">
      <c r="A726" s="230"/>
      <c r="B726" s="8">
        <v>146</v>
      </c>
      <c r="C726" s="14">
        <f t="shared" ca="1" si="424"/>
        <v>0.59</v>
      </c>
      <c r="D726" s="20">
        <f t="shared" ca="1" si="399"/>
        <v>0.70799999999999996</v>
      </c>
      <c r="E726" s="225"/>
      <c r="F726" s="231"/>
      <c r="G726" s="172" t="str">
        <f t="shared" ca="1" si="418"/>
        <v/>
      </c>
      <c r="H726" s="93" t="str">
        <f t="shared" ca="1" si="419"/>
        <v/>
      </c>
      <c r="I726" s="21">
        <v>1000</v>
      </c>
      <c r="J726" s="68">
        <f t="shared" si="420"/>
        <v>0.88333333333333341</v>
      </c>
      <c r="K726" s="70">
        <v>1.06</v>
      </c>
      <c r="L726" s="72">
        <f t="shared" ca="1" si="415"/>
        <v>0.23466666666666675</v>
      </c>
      <c r="M726" s="73">
        <f t="shared" ca="1" si="416"/>
        <v>234.66666666666674</v>
      </c>
      <c r="N726" s="12" t="s">
        <v>44</v>
      </c>
      <c r="O726" s="47" t="s">
        <v>45</v>
      </c>
      <c r="P726" s="13">
        <f t="shared" si="405"/>
        <v>1.06</v>
      </c>
      <c r="Q726" s="1" t="str">
        <f t="shared" si="408"/>
        <v>1000 + шт - 1,06 руб / шт с НДС</v>
      </c>
      <c r="R726" s="235"/>
      <c r="S726" s="239"/>
      <c r="T726" s="226"/>
      <c r="U726" s="228"/>
      <c r="V726" s="222"/>
      <c r="W726" s="229"/>
      <c r="X726" s="227"/>
      <c r="Y726" s="229"/>
      <c r="Z726" s="236"/>
      <c r="AA726" s="237"/>
      <c r="AB726" s="238"/>
      <c r="AC726" s="223"/>
      <c r="AD726" s="222"/>
    </row>
    <row r="727" spans="1:30" x14ac:dyDescent="0.4">
      <c r="A727" s="230">
        <v>147</v>
      </c>
      <c r="B727" s="8">
        <v>147</v>
      </c>
      <c r="C727" s="14">
        <f t="shared" ca="1" si="424"/>
        <v>0.6</v>
      </c>
      <c r="D727" s="20">
        <f t="shared" ca="1" si="399"/>
        <v>0.72</v>
      </c>
      <c r="E727" s="224" t="str">
        <f ca="1">INDIRECT("'Закуп'!D" &amp; A727)</f>
        <v>У</v>
      </c>
      <c r="F727" s="231" t="str">
        <f t="shared" ref="F727" ca="1" si="429">INDIRECT("'Закуп'!E" &amp; B727)</f>
        <v>380х130х192</v>
      </c>
      <c r="G727" s="172" t="str">
        <f t="shared" ca="1" si="418"/>
        <v/>
      </c>
      <c r="H727" s="93" t="str">
        <f t="shared" ca="1" si="419"/>
        <v/>
      </c>
      <c r="I727" s="21">
        <v>50</v>
      </c>
      <c r="J727" s="68">
        <f t="shared" si="420"/>
        <v>1.4083333333333334</v>
      </c>
      <c r="K727" s="70">
        <v>1.69</v>
      </c>
      <c r="L727" s="72">
        <f t="shared" ca="1" si="415"/>
        <v>0.64666666666666672</v>
      </c>
      <c r="M727" s="73">
        <f t="shared" ca="1" si="416"/>
        <v>32.333333333333336</v>
      </c>
      <c r="N727" s="12" t="s">
        <v>40</v>
      </c>
      <c r="O727" s="47" t="s">
        <v>45</v>
      </c>
      <c r="P727" s="13">
        <f t="shared" si="405"/>
        <v>1.69</v>
      </c>
      <c r="Q727" s="1" t="str">
        <f t="shared" si="408"/>
        <v>50-90 шт - 1,69 руб / шт с НДС</v>
      </c>
      <c r="R727" s="235" t="str">
        <f ca="1">INDIRECT("'Закуп'!k" &amp; A727)</f>
        <v>K148</v>
      </c>
      <c r="S727" s="239">
        <f ca="1">INDIRECT("'Закуп'!o" &amp; A727)</f>
        <v>9.48</v>
      </c>
      <c r="T727" s="226" t="str">
        <f ca="1">INDIRECT("'Закуп'!p" &amp; A727)</f>
        <v>8-9,9 литров</v>
      </c>
      <c r="U727" s="228" t="str">
        <f ca="1">INDIRECT("'Закуп'!v" &amp; A727)</f>
        <v/>
      </c>
      <c r="V727" s="222" t="str">
        <f ca="1">INDIRECT("'Закуп'!w" &amp; A727)</f>
        <v/>
      </c>
      <c r="W727" s="229" t="str">
        <f ca="1">INDIRECT("'Закуп'!H" &amp; A727)</f>
        <v>х</v>
      </c>
      <c r="X727" s="227" t="str">
        <f t="shared" ref="X727" ca="1" si="430">INDIRECT("'Закуп'!g" &amp; A727)</f>
        <v>Ч</v>
      </c>
      <c r="Y727" s="229" t="str">
        <f ca="1">INDIRECT("'Закуп'!i" &amp; A727)</f>
        <v>В</v>
      </c>
      <c r="Z727" s="236" t="str">
        <f ca="1">INDIRECT("'Закуп'!x" &amp; A727)</f>
        <v>300-399 мм</v>
      </c>
      <c r="AA727" s="237" t="str">
        <f ca="1">INDIRECT("'Закуп'!y" &amp; A727)</f>
        <v>100-199 мм</v>
      </c>
      <c r="AB727" s="238" t="str">
        <f ca="1">INDIRECT("'Закуп'!z" &amp; A727)</f>
        <v>100-199 мм</v>
      </c>
      <c r="AC727" s="223" t="str">
        <f t="shared" ca="1" si="407"/>
        <v>380x130x192</v>
      </c>
      <c r="AD727" s="222" t="str">
        <f t="shared" ref="AD727:AD787" ca="1" si="431">SUBSTITUTE(INDEX(F:F, ROUNDUP((ROW(A726))/5,0)*5 - 3), "х", "x") &amp; " - " &amp; SUBSTITUTE(SUBSTITUTE(INDEX(F:F, ROUNDUP((ROW(A726))/5,0)*5 - 3), "х", "*"), "x", "*") &amp; " мм"</f>
        <v>380x130x192 - 380*130*192 мм</v>
      </c>
    </row>
    <row r="728" spans="1:30" x14ac:dyDescent="0.4">
      <c r="A728" s="230"/>
      <c r="B728" s="8">
        <v>147</v>
      </c>
      <c r="C728" s="14">
        <f t="shared" ca="1" si="424"/>
        <v>0.6</v>
      </c>
      <c r="D728" s="20">
        <f t="shared" ca="1" si="399"/>
        <v>0.72</v>
      </c>
      <c r="E728" s="225"/>
      <c r="F728" s="231"/>
      <c r="G728" s="172" t="str">
        <f t="shared" ca="1" si="418"/>
        <v/>
      </c>
      <c r="H728" s="93" t="str">
        <f t="shared" ca="1" si="419"/>
        <v/>
      </c>
      <c r="I728" s="21">
        <v>100</v>
      </c>
      <c r="J728" s="68">
        <f t="shared" si="420"/>
        <v>1.2833333333333334</v>
      </c>
      <c r="K728" s="70">
        <v>1.54</v>
      </c>
      <c r="L728" s="72">
        <f t="shared" ca="1" si="415"/>
        <v>0.54666666666666675</v>
      </c>
      <c r="M728" s="73">
        <f t="shared" ca="1" si="416"/>
        <v>54.666666666666671</v>
      </c>
      <c r="N728" s="12" t="s">
        <v>41</v>
      </c>
      <c r="O728" s="47" t="s">
        <v>45</v>
      </c>
      <c r="P728" s="13">
        <f t="shared" si="405"/>
        <v>1.54</v>
      </c>
      <c r="Q728" s="1" t="str">
        <f t="shared" si="408"/>
        <v>100-290 шт - 1,54 руб / шт с НДС</v>
      </c>
      <c r="R728" s="235"/>
      <c r="S728" s="239"/>
      <c r="T728" s="226"/>
      <c r="U728" s="228"/>
      <c r="V728" s="222"/>
      <c r="W728" s="229"/>
      <c r="X728" s="227"/>
      <c r="Y728" s="229"/>
      <c r="Z728" s="236"/>
      <c r="AA728" s="237"/>
      <c r="AB728" s="238"/>
      <c r="AC728" s="223"/>
      <c r="AD728" s="222"/>
    </row>
    <row r="729" spans="1:30" x14ac:dyDescent="0.4">
      <c r="A729" s="230"/>
      <c r="B729" s="8">
        <v>147</v>
      </c>
      <c r="C729" s="14">
        <f t="shared" ca="1" si="424"/>
        <v>0.6</v>
      </c>
      <c r="D729" s="20">
        <f t="shared" ca="1" si="399"/>
        <v>0.72</v>
      </c>
      <c r="E729" s="225"/>
      <c r="F729" s="231"/>
      <c r="G729" s="172" t="str">
        <f t="shared" ca="1" si="418"/>
        <v/>
      </c>
      <c r="H729" s="93" t="str">
        <f t="shared" ca="1" si="419"/>
        <v/>
      </c>
      <c r="I729" s="21">
        <v>300</v>
      </c>
      <c r="J729" s="68">
        <f t="shared" si="420"/>
        <v>1.0166666666666666</v>
      </c>
      <c r="K729" s="70">
        <v>1.22</v>
      </c>
      <c r="L729" s="72">
        <f t="shared" ca="1" si="415"/>
        <v>0.33333333333333331</v>
      </c>
      <c r="M729" s="73">
        <f t="shared" ca="1" si="416"/>
        <v>100</v>
      </c>
      <c r="N729" s="12" t="s">
        <v>42</v>
      </c>
      <c r="O729" s="47" t="s">
        <v>45</v>
      </c>
      <c r="P729" s="13">
        <f t="shared" si="405"/>
        <v>1.22</v>
      </c>
      <c r="Q729" s="1" t="str">
        <f t="shared" si="408"/>
        <v>300-490 шт - 1,22 руб / шт с НДС</v>
      </c>
      <c r="R729" s="235"/>
      <c r="S729" s="239"/>
      <c r="T729" s="226"/>
      <c r="U729" s="228"/>
      <c r="V729" s="222"/>
      <c r="W729" s="229"/>
      <c r="X729" s="227"/>
      <c r="Y729" s="229"/>
      <c r="Z729" s="236"/>
      <c r="AA729" s="237"/>
      <c r="AB729" s="238"/>
      <c r="AC729" s="223"/>
      <c r="AD729" s="222"/>
    </row>
    <row r="730" spans="1:30" x14ac:dyDescent="0.4">
      <c r="A730" s="230"/>
      <c r="B730" s="8">
        <v>147</v>
      </c>
      <c r="C730" s="14">
        <f t="shared" ca="1" si="424"/>
        <v>0.6</v>
      </c>
      <c r="D730" s="20">
        <f t="shared" ca="1" si="399"/>
        <v>0.72</v>
      </c>
      <c r="E730" s="225"/>
      <c r="F730" s="231"/>
      <c r="G730" s="172" t="str">
        <f t="shared" ca="1" si="418"/>
        <v/>
      </c>
      <c r="H730" s="93" t="str">
        <f t="shared" ca="1" si="419"/>
        <v/>
      </c>
      <c r="I730" s="21">
        <v>500</v>
      </c>
      <c r="J730" s="68">
        <f t="shared" si="420"/>
        <v>0.95</v>
      </c>
      <c r="K730" s="70">
        <v>1.1399999999999999</v>
      </c>
      <c r="L730" s="72">
        <f t="shared" ca="1" si="415"/>
        <v>0.27999999999999997</v>
      </c>
      <c r="M730" s="73">
        <f t="shared" ca="1" si="416"/>
        <v>139.99999999999997</v>
      </c>
      <c r="N730" s="12" t="s">
        <v>43</v>
      </c>
      <c r="O730" s="47" t="s">
        <v>45</v>
      </c>
      <c r="P730" s="13">
        <f t="shared" si="405"/>
        <v>1.1399999999999999</v>
      </c>
      <c r="Q730" s="1" t="str">
        <f t="shared" si="408"/>
        <v>500-990 шт - 1,14 руб / шт с НДС</v>
      </c>
      <c r="R730" s="235"/>
      <c r="S730" s="239"/>
      <c r="T730" s="226"/>
      <c r="U730" s="228"/>
      <c r="V730" s="222"/>
      <c r="W730" s="229"/>
      <c r="X730" s="227"/>
      <c r="Y730" s="229"/>
      <c r="Z730" s="236"/>
      <c r="AA730" s="237"/>
      <c r="AB730" s="238"/>
      <c r="AC730" s="223"/>
      <c r="AD730" s="222"/>
    </row>
    <row r="731" spans="1:30" x14ac:dyDescent="0.4">
      <c r="A731" s="230"/>
      <c r="B731" s="8">
        <v>147</v>
      </c>
      <c r="C731" s="14">
        <f t="shared" ca="1" si="424"/>
        <v>0.6</v>
      </c>
      <c r="D731" s="20">
        <f t="shared" ca="1" si="399"/>
        <v>0.72</v>
      </c>
      <c r="E731" s="225"/>
      <c r="F731" s="231"/>
      <c r="G731" s="172" t="str">
        <f t="shared" ca="1" si="418"/>
        <v/>
      </c>
      <c r="H731" s="93" t="str">
        <f t="shared" ca="1" si="419"/>
        <v/>
      </c>
      <c r="I731" s="21">
        <v>1000</v>
      </c>
      <c r="J731" s="68">
        <f t="shared" si="420"/>
        <v>0.84166666666666667</v>
      </c>
      <c r="K731" s="70">
        <v>1.01</v>
      </c>
      <c r="L731" s="72">
        <f t="shared" ca="1" si="415"/>
        <v>0.19333333333333336</v>
      </c>
      <c r="M731" s="73">
        <f t="shared" ca="1" si="416"/>
        <v>193.33333333333337</v>
      </c>
      <c r="N731" s="12" t="s">
        <v>44</v>
      </c>
      <c r="O731" s="47" t="s">
        <v>45</v>
      </c>
      <c r="P731" s="13">
        <f t="shared" si="405"/>
        <v>1.01</v>
      </c>
      <c r="Q731" s="1" t="str">
        <f t="shared" si="408"/>
        <v>1000 + шт - 1,01 руб / шт с НДС</v>
      </c>
      <c r="R731" s="235"/>
      <c r="S731" s="239"/>
      <c r="T731" s="226"/>
      <c r="U731" s="228"/>
      <c r="V731" s="222"/>
      <c r="W731" s="229"/>
      <c r="X731" s="227"/>
      <c r="Y731" s="229"/>
      <c r="Z731" s="236"/>
      <c r="AA731" s="237"/>
      <c r="AB731" s="238"/>
      <c r="AC731" s="223"/>
      <c r="AD731" s="222"/>
    </row>
    <row r="732" spans="1:30" x14ac:dyDescent="0.4">
      <c r="A732" s="230">
        <v>148</v>
      </c>
      <c r="B732" s="8">
        <v>148</v>
      </c>
      <c r="C732" s="14">
        <f t="shared" ca="1" si="424"/>
        <v>1.02</v>
      </c>
      <c r="D732" s="20">
        <f t="shared" ca="1" si="399"/>
        <v>1.224</v>
      </c>
      <c r="E732" s="224" t="str">
        <f ca="1">INDIRECT("'Закуп'!D" &amp; A732)</f>
        <v>У</v>
      </c>
      <c r="F732" s="231" t="str">
        <f t="shared" ref="F732" ca="1" si="432">INDIRECT("'Закуп'!E" &amp; B732)</f>
        <v>535х215х165</v>
      </c>
      <c r="G732" s="172" t="str">
        <f t="shared" ca="1" si="418"/>
        <v/>
      </c>
      <c r="H732" s="93" t="str">
        <f t="shared" ca="1" si="419"/>
        <v/>
      </c>
      <c r="I732" s="21">
        <v>50</v>
      </c>
      <c r="J732" s="68">
        <f t="shared" si="420"/>
        <v>2.1833333333333336</v>
      </c>
      <c r="K732" s="70">
        <v>2.62</v>
      </c>
      <c r="L732" s="72">
        <f t="shared" ca="1" si="415"/>
        <v>0.93066666666666686</v>
      </c>
      <c r="M732" s="73">
        <f t="shared" ca="1" si="416"/>
        <v>46.533333333333346</v>
      </c>
      <c r="N732" s="12" t="s">
        <v>40</v>
      </c>
      <c r="O732" s="47" t="s">
        <v>45</v>
      </c>
      <c r="P732" s="13">
        <f t="shared" si="405"/>
        <v>2.62</v>
      </c>
      <c r="Q732" s="1" t="str">
        <f t="shared" si="408"/>
        <v>50-90 шт - 2,62 руб / шт с НДС</v>
      </c>
      <c r="R732" s="235" t="str">
        <f ca="1">INDIRECT("'Закуп'!k" &amp; A732)</f>
        <v>K149</v>
      </c>
      <c r="S732" s="239">
        <f ca="1">INDIRECT("'Закуп'!o" &amp; A732)</f>
        <v>18.98</v>
      </c>
      <c r="T732" s="226" t="str">
        <f ca="1">INDIRECT("'Закуп'!p" &amp; A732)</f>
        <v>15-19,9 литров</v>
      </c>
      <c r="U732" s="228" t="str">
        <f ca="1">INDIRECT("'Закуп'!v" &amp; A732)</f>
        <v>Длинные</v>
      </c>
      <c r="V732" s="222" t="str">
        <f ca="1">INDIRECT("'Закуп'!w" &amp; A732)</f>
        <v/>
      </c>
      <c r="W732" s="229" t="str">
        <f ca="1">INDIRECT("'Закуп'!H" &amp; A732)</f>
        <v>х</v>
      </c>
      <c r="X732" s="227" t="str">
        <f t="shared" ref="X732" ca="1" si="433">INDIRECT("'Закуп'!g" &amp; A732)</f>
        <v>Ч</v>
      </c>
      <c r="Y732" s="229" t="str">
        <f ca="1">INDIRECT("'Закуп'!i" &amp; A732)</f>
        <v>В</v>
      </c>
      <c r="Z732" s="236" t="str">
        <f ca="1">INDIRECT("'Закуп'!x" &amp; A732)</f>
        <v>500-599 мм</v>
      </c>
      <c r="AA732" s="237" t="str">
        <f ca="1">INDIRECT("'Закуп'!y" &amp; A732)</f>
        <v>200-299 мм</v>
      </c>
      <c r="AB732" s="238" t="str">
        <f ca="1">INDIRECT("'Закуп'!z" &amp; A732)</f>
        <v>100-199 мм</v>
      </c>
      <c r="AC732" s="223" t="str">
        <f t="shared" ca="1" si="407"/>
        <v>535x215x165</v>
      </c>
      <c r="AD732" s="222" t="str">
        <f t="shared" ca="1" si="431"/>
        <v>535x215x165 - 535*215*165 мм</v>
      </c>
    </row>
    <row r="733" spans="1:30" x14ac:dyDescent="0.4">
      <c r="A733" s="230"/>
      <c r="B733" s="8">
        <v>148</v>
      </c>
      <c r="C733" s="14">
        <f t="shared" ca="1" si="424"/>
        <v>1.02</v>
      </c>
      <c r="D733" s="20">
        <f t="shared" ca="1" si="399"/>
        <v>1.224</v>
      </c>
      <c r="E733" s="225"/>
      <c r="F733" s="231"/>
      <c r="G733" s="172" t="str">
        <f t="shared" ca="1" si="418"/>
        <v/>
      </c>
      <c r="H733" s="93" t="str">
        <f t="shared" ca="1" si="419"/>
        <v/>
      </c>
      <c r="I733" s="21">
        <v>100</v>
      </c>
      <c r="J733" s="68">
        <f t="shared" si="420"/>
        <v>1.7500000000000002</v>
      </c>
      <c r="K733" s="70">
        <v>2.1</v>
      </c>
      <c r="L733" s="72">
        <f t="shared" ca="1" si="415"/>
        <v>0.58400000000000019</v>
      </c>
      <c r="M733" s="73">
        <f t="shared" ca="1" si="416"/>
        <v>58.40000000000002</v>
      </c>
      <c r="N733" s="12" t="s">
        <v>41</v>
      </c>
      <c r="O733" s="47" t="s">
        <v>45</v>
      </c>
      <c r="P733" s="13">
        <f t="shared" si="405"/>
        <v>2.1</v>
      </c>
      <c r="Q733" s="1" t="str">
        <f t="shared" si="408"/>
        <v>100-290 шт - 2,1 руб / шт с НДС</v>
      </c>
      <c r="R733" s="235"/>
      <c r="S733" s="239"/>
      <c r="T733" s="226"/>
      <c r="U733" s="228"/>
      <c r="V733" s="222"/>
      <c r="W733" s="229"/>
      <c r="X733" s="227"/>
      <c r="Y733" s="229"/>
      <c r="Z733" s="236"/>
      <c r="AA733" s="237"/>
      <c r="AB733" s="238"/>
      <c r="AC733" s="223"/>
      <c r="AD733" s="222"/>
    </row>
    <row r="734" spans="1:30" x14ac:dyDescent="0.4">
      <c r="A734" s="230"/>
      <c r="B734" s="8">
        <v>148</v>
      </c>
      <c r="C734" s="14">
        <f t="shared" ca="1" si="424"/>
        <v>1.02</v>
      </c>
      <c r="D734" s="20">
        <f t="shared" ca="1" si="399"/>
        <v>1.224</v>
      </c>
      <c r="E734" s="225"/>
      <c r="F734" s="231"/>
      <c r="G734" s="172" t="str">
        <f t="shared" ca="1" si="418"/>
        <v/>
      </c>
      <c r="H734" s="93" t="str">
        <f t="shared" ca="1" si="419"/>
        <v/>
      </c>
      <c r="I734" s="21">
        <v>300</v>
      </c>
      <c r="J734" s="68">
        <f t="shared" si="420"/>
        <v>1.6</v>
      </c>
      <c r="K734" s="70">
        <v>1.92</v>
      </c>
      <c r="L734" s="72">
        <f t="shared" ca="1" si="415"/>
        <v>0.46400000000000008</v>
      </c>
      <c r="M734" s="73">
        <f t="shared" ca="1" si="416"/>
        <v>139.20000000000002</v>
      </c>
      <c r="N734" s="12" t="s">
        <v>42</v>
      </c>
      <c r="O734" s="47" t="s">
        <v>45</v>
      </c>
      <c r="P734" s="13">
        <f t="shared" si="405"/>
        <v>1.92</v>
      </c>
      <c r="Q734" s="1" t="str">
        <f t="shared" si="408"/>
        <v>300-490 шт - 1,92 руб / шт с НДС</v>
      </c>
      <c r="R734" s="235"/>
      <c r="S734" s="239"/>
      <c r="T734" s="226"/>
      <c r="U734" s="228"/>
      <c r="V734" s="222"/>
      <c r="W734" s="229"/>
      <c r="X734" s="227"/>
      <c r="Y734" s="229"/>
      <c r="Z734" s="236"/>
      <c r="AA734" s="237"/>
      <c r="AB734" s="238"/>
      <c r="AC734" s="223"/>
      <c r="AD734" s="222"/>
    </row>
    <row r="735" spans="1:30" x14ac:dyDescent="0.4">
      <c r="A735" s="230"/>
      <c r="B735" s="8">
        <v>148</v>
      </c>
      <c r="C735" s="14">
        <f t="shared" ca="1" si="424"/>
        <v>1.02</v>
      </c>
      <c r="D735" s="20">
        <f t="shared" ca="1" si="399"/>
        <v>1.224</v>
      </c>
      <c r="E735" s="225"/>
      <c r="F735" s="231"/>
      <c r="G735" s="172" t="str">
        <f t="shared" ca="1" si="418"/>
        <v/>
      </c>
      <c r="H735" s="93" t="str">
        <f t="shared" ca="1" si="419"/>
        <v/>
      </c>
      <c r="I735" s="21">
        <v>500</v>
      </c>
      <c r="J735" s="68">
        <f t="shared" si="420"/>
        <v>1.4166666666666667</v>
      </c>
      <c r="K735" s="70">
        <v>1.7</v>
      </c>
      <c r="L735" s="72">
        <f t="shared" ca="1" si="415"/>
        <v>0.31733333333333336</v>
      </c>
      <c r="M735" s="73">
        <f t="shared" ca="1" si="416"/>
        <v>158.66666666666669</v>
      </c>
      <c r="N735" s="12" t="s">
        <v>43</v>
      </c>
      <c r="O735" s="47" t="s">
        <v>45</v>
      </c>
      <c r="P735" s="13">
        <f t="shared" si="405"/>
        <v>1.7</v>
      </c>
      <c r="Q735" s="1" t="str">
        <f t="shared" si="408"/>
        <v>500-990 шт - 1,7 руб / шт с НДС</v>
      </c>
      <c r="R735" s="235"/>
      <c r="S735" s="239"/>
      <c r="T735" s="226"/>
      <c r="U735" s="228"/>
      <c r="V735" s="222"/>
      <c r="W735" s="229"/>
      <c r="X735" s="227"/>
      <c r="Y735" s="229"/>
      <c r="Z735" s="236"/>
      <c r="AA735" s="237"/>
      <c r="AB735" s="238"/>
      <c r="AC735" s="223"/>
      <c r="AD735" s="222"/>
    </row>
    <row r="736" spans="1:30" x14ac:dyDescent="0.4">
      <c r="A736" s="230"/>
      <c r="B736" s="8">
        <v>148</v>
      </c>
      <c r="C736" s="14">
        <f t="shared" ca="1" si="424"/>
        <v>1.02</v>
      </c>
      <c r="D736" s="20">
        <f t="shared" ca="1" si="399"/>
        <v>1.224</v>
      </c>
      <c r="E736" s="225"/>
      <c r="F736" s="231"/>
      <c r="G736" s="172" t="str">
        <f t="shared" ca="1" si="418"/>
        <v/>
      </c>
      <c r="H736" s="93" t="str">
        <f t="shared" ca="1" si="419"/>
        <v/>
      </c>
      <c r="I736" s="21">
        <v>1000</v>
      </c>
      <c r="J736" s="68">
        <f t="shared" si="420"/>
        <v>1.375</v>
      </c>
      <c r="K736" s="70">
        <v>1.65</v>
      </c>
      <c r="L736" s="72">
        <f t="shared" ca="1" si="415"/>
        <v>0.28399999999999997</v>
      </c>
      <c r="M736" s="73">
        <f t="shared" ca="1" si="416"/>
        <v>284</v>
      </c>
      <c r="N736" s="12" t="s">
        <v>44</v>
      </c>
      <c r="O736" s="47" t="s">
        <v>45</v>
      </c>
      <c r="P736" s="13">
        <f t="shared" si="405"/>
        <v>1.65</v>
      </c>
      <c r="Q736" s="1" t="str">
        <f t="shared" si="408"/>
        <v>1000 + шт - 1,65 руб / шт с НДС</v>
      </c>
      <c r="R736" s="235"/>
      <c r="S736" s="239"/>
      <c r="T736" s="226"/>
      <c r="U736" s="228"/>
      <c r="V736" s="222"/>
      <c r="W736" s="229"/>
      <c r="X736" s="227"/>
      <c r="Y736" s="229"/>
      <c r="Z736" s="236"/>
      <c r="AA736" s="237"/>
      <c r="AB736" s="238"/>
      <c r="AC736" s="223"/>
      <c r="AD736" s="222"/>
    </row>
    <row r="737" spans="1:30" ht="42.9" x14ac:dyDescent="0.4">
      <c r="A737" s="230">
        <v>149</v>
      </c>
      <c r="B737" s="8">
        <v>149</v>
      </c>
      <c r="C737" s="14">
        <f t="shared" ca="1" si="424"/>
        <v>2.4500000000000002</v>
      </c>
      <c r="D737" s="20">
        <f t="shared" ref="D737:D800" ca="1" si="434">C737*1.2</f>
        <v>2.94</v>
      </c>
      <c r="E737" s="224" t="str">
        <f ca="1">INDIRECT("'Закуп'!D" &amp; A737)</f>
        <v>0-У</v>
      </c>
      <c r="F737" s="231" t="str">
        <f t="shared" ref="F737" ca="1" si="435">INDIRECT("'Закуп'!E" &amp; B737)</f>
        <v>560х360х390</v>
      </c>
      <c r="G737" s="172" t="str">
        <f t="shared" ca="1" si="418"/>
        <v/>
      </c>
      <c r="H737" s="93" t="str">
        <f t="shared" ca="1" si="419"/>
        <v>После расспр БМ опять вернуть У</v>
      </c>
      <c r="I737" s="21">
        <v>50</v>
      </c>
      <c r="J737" s="68">
        <f t="shared" si="420"/>
        <v>4.1916666666666673</v>
      </c>
      <c r="K737" s="70">
        <v>5.03</v>
      </c>
      <c r="L737" s="72">
        <f t="shared" ca="1" si="415"/>
        <v>1.3933333333333338</v>
      </c>
      <c r="M737" s="73">
        <f t="shared" ca="1" si="416"/>
        <v>69.666666666666686</v>
      </c>
      <c r="N737" s="12" t="s">
        <v>40</v>
      </c>
      <c r="O737" s="47" t="s">
        <v>45</v>
      </c>
      <c r="P737" s="13">
        <f t="shared" si="405"/>
        <v>5.03</v>
      </c>
      <c r="Q737" s="1" t="str">
        <f t="shared" si="408"/>
        <v>50-90 шт - 5,03 руб / шт с НДС</v>
      </c>
      <c r="R737" s="235" t="str">
        <f ca="1">INDIRECT("'Закуп'!k" &amp; A737)</f>
        <v>K150</v>
      </c>
      <c r="S737" s="239">
        <f ca="1">INDIRECT("'Закуп'!o" &amp; A737)</f>
        <v>78.62</v>
      </c>
      <c r="T737" s="226" t="str">
        <f ca="1">INDIRECT("'Закуп'!p" &amp; A737)</f>
        <v>70-79 литров</v>
      </c>
      <c r="U737" s="228" t="str">
        <f ca="1">INDIRECT("'Закуп'!v" &amp; A737)</f>
        <v/>
      </c>
      <c r="V737" s="222" t="str">
        <f ca="1">INDIRECT("'Закуп'!w" &amp; A737)</f>
        <v/>
      </c>
      <c r="W737" s="229" t="str">
        <f ca="1">INDIRECT("'Закуп'!H" &amp; A737)</f>
        <v>х</v>
      </c>
      <c r="X737" s="227" t="str">
        <f t="shared" ref="X737" ca="1" si="436">INDIRECT("'Закуп'!g" &amp; A737)</f>
        <v>Ч</v>
      </c>
      <c r="Y737" s="229" t="str">
        <f ca="1">INDIRECT("'Закуп'!i" &amp; A737)</f>
        <v>В</v>
      </c>
      <c r="Z737" s="236" t="str">
        <f ca="1">INDIRECT("'Закуп'!x" &amp; A737)</f>
        <v>500-599 мм</v>
      </c>
      <c r="AA737" s="237" t="str">
        <f ca="1">INDIRECT("'Закуп'!y" &amp; A737)</f>
        <v>300-399 мм</v>
      </c>
      <c r="AB737" s="238" t="str">
        <f ca="1">INDIRECT("'Закуп'!z" &amp; A737)</f>
        <v>300-399 мм</v>
      </c>
      <c r="AC737" s="223" t="str">
        <f t="shared" ca="1" si="407"/>
        <v>560x360x390</v>
      </c>
      <c r="AD737" s="222" t="str">
        <f t="shared" ca="1" si="431"/>
        <v>560x360x390 - 560*360*390 мм</v>
      </c>
    </row>
    <row r="738" spans="1:30" ht="42.9" x14ac:dyDescent="0.4">
      <c r="A738" s="230"/>
      <c r="B738" s="8">
        <v>149</v>
      </c>
      <c r="C738" s="14">
        <f t="shared" ca="1" si="424"/>
        <v>2.4500000000000002</v>
      </c>
      <c r="D738" s="20">
        <f t="shared" ca="1" si="434"/>
        <v>2.94</v>
      </c>
      <c r="E738" s="225"/>
      <c r="F738" s="231"/>
      <c r="G738" s="172" t="str">
        <f t="shared" ca="1" si="418"/>
        <v/>
      </c>
      <c r="H738" s="93" t="str">
        <f t="shared" ca="1" si="419"/>
        <v>После расспр БМ опять вернуть У</v>
      </c>
      <c r="I738" s="21">
        <v>100</v>
      </c>
      <c r="J738" s="68">
        <f t="shared" si="420"/>
        <v>3.8750000000000004</v>
      </c>
      <c r="K738" s="70">
        <v>4.6500000000000004</v>
      </c>
      <c r="L738" s="72">
        <f t="shared" ca="1" si="415"/>
        <v>1.1400000000000001</v>
      </c>
      <c r="M738" s="73">
        <f t="shared" ca="1" si="416"/>
        <v>114.00000000000001</v>
      </c>
      <c r="N738" s="12" t="s">
        <v>41</v>
      </c>
      <c r="O738" s="47" t="s">
        <v>45</v>
      </c>
      <c r="P738" s="13">
        <f t="shared" si="405"/>
        <v>4.6500000000000004</v>
      </c>
      <c r="Q738" s="1" t="str">
        <f t="shared" si="408"/>
        <v>100-290 шт - 4,65 руб / шт с НДС</v>
      </c>
      <c r="R738" s="235"/>
      <c r="S738" s="239"/>
      <c r="T738" s="226"/>
      <c r="U738" s="228"/>
      <c r="V738" s="222"/>
      <c r="W738" s="229"/>
      <c r="X738" s="227"/>
      <c r="Y738" s="229"/>
      <c r="Z738" s="236"/>
      <c r="AA738" s="237"/>
      <c r="AB738" s="238"/>
      <c r="AC738" s="223"/>
      <c r="AD738" s="222"/>
    </row>
    <row r="739" spans="1:30" ht="42.9" x14ac:dyDescent="0.4">
      <c r="A739" s="230"/>
      <c r="B739" s="8">
        <v>149</v>
      </c>
      <c r="C739" s="14">
        <f t="shared" ca="1" si="424"/>
        <v>2.4500000000000002</v>
      </c>
      <c r="D739" s="20">
        <f t="shared" ca="1" si="434"/>
        <v>2.94</v>
      </c>
      <c r="E739" s="225"/>
      <c r="F739" s="231"/>
      <c r="G739" s="172" t="str">
        <f t="shared" ca="1" si="418"/>
        <v/>
      </c>
      <c r="H739" s="93" t="str">
        <f t="shared" ca="1" si="419"/>
        <v>После расспр БМ опять вернуть У</v>
      </c>
      <c r="I739" s="21">
        <v>300</v>
      </c>
      <c r="J739" s="68">
        <f t="shared" si="420"/>
        <v>3.3000000000000003</v>
      </c>
      <c r="K739" s="70">
        <v>3.96</v>
      </c>
      <c r="L739" s="72">
        <f t="shared" ca="1" si="415"/>
        <v>0.68</v>
      </c>
      <c r="M739" s="73">
        <f t="shared" ca="1" si="416"/>
        <v>204.00000000000003</v>
      </c>
      <c r="N739" s="12" t="s">
        <v>42</v>
      </c>
      <c r="O739" s="47" t="s">
        <v>45</v>
      </c>
      <c r="P739" s="13">
        <f t="shared" si="405"/>
        <v>3.96</v>
      </c>
      <c r="Q739" s="1" t="str">
        <f t="shared" si="408"/>
        <v>300-490 шт - 3,96 руб / шт с НДС</v>
      </c>
      <c r="R739" s="235"/>
      <c r="S739" s="239"/>
      <c r="T739" s="226"/>
      <c r="U739" s="228"/>
      <c r="V739" s="222"/>
      <c r="W739" s="229"/>
      <c r="X739" s="227"/>
      <c r="Y739" s="229"/>
      <c r="Z739" s="236"/>
      <c r="AA739" s="237"/>
      <c r="AB739" s="238"/>
      <c r="AC739" s="223"/>
      <c r="AD739" s="222"/>
    </row>
    <row r="740" spans="1:30" ht="42.9" x14ac:dyDescent="0.4">
      <c r="A740" s="230"/>
      <c r="B740" s="8">
        <v>149</v>
      </c>
      <c r="C740" s="14">
        <f t="shared" ca="1" si="424"/>
        <v>2.4500000000000002</v>
      </c>
      <c r="D740" s="20">
        <f t="shared" ca="1" si="434"/>
        <v>2.94</v>
      </c>
      <c r="E740" s="225"/>
      <c r="F740" s="231"/>
      <c r="G740" s="172" t="str">
        <f t="shared" ca="1" si="418"/>
        <v/>
      </c>
      <c r="H740" s="93" t="str">
        <f t="shared" ca="1" si="419"/>
        <v>После расспр БМ опять вернуть У</v>
      </c>
      <c r="I740" s="21">
        <v>500</v>
      </c>
      <c r="J740" s="68">
        <f t="shared" si="420"/>
        <v>3.2</v>
      </c>
      <c r="K740" s="70">
        <v>3.84</v>
      </c>
      <c r="L740" s="72">
        <f t="shared" ca="1" si="415"/>
        <v>0.6</v>
      </c>
      <c r="M740" s="73">
        <f t="shared" ca="1" si="416"/>
        <v>300</v>
      </c>
      <c r="N740" s="12" t="s">
        <v>43</v>
      </c>
      <c r="O740" s="47" t="s">
        <v>45</v>
      </c>
      <c r="P740" s="13">
        <f t="shared" si="405"/>
        <v>3.84</v>
      </c>
      <c r="Q740" s="1" t="str">
        <f t="shared" si="408"/>
        <v>500-990 шт - 3,84 руб / шт с НДС</v>
      </c>
      <c r="R740" s="235"/>
      <c r="S740" s="239"/>
      <c r="T740" s="226"/>
      <c r="U740" s="228"/>
      <c r="V740" s="222"/>
      <c r="W740" s="229"/>
      <c r="X740" s="227"/>
      <c r="Y740" s="229"/>
      <c r="Z740" s="236"/>
      <c r="AA740" s="237"/>
      <c r="AB740" s="238"/>
      <c r="AC740" s="223"/>
      <c r="AD740" s="222"/>
    </row>
    <row r="741" spans="1:30" ht="42.9" x14ac:dyDescent="0.4">
      <c r="A741" s="230"/>
      <c r="B741" s="8">
        <v>149</v>
      </c>
      <c r="C741" s="14">
        <f t="shared" ca="1" si="424"/>
        <v>2.4500000000000002</v>
      </c>
      <c r="D741" s="20">
        <f t="shared" ca="1" si="434"/>
        <v>2.94</v>
      </c>
      <c r="E741" s="225"/>
      <c r="F741" s="231"/>
      <c r="G741" s="172" t="str">
        <f t="shared" ca="1" si="418"/>
        <v/>
      </c>
      <c r="H741" s="93" t="str">
        <f t="shared" ca="1" si="419"/>
        <v>После расспр БМ опять вернуть У</v>
      </c>
      <c r="I741" s="21">
        <v>1000</v>
      </c>
      <c r="J741" s="68">
        <f t="shared" si="420"/>
        <v>3.15</v>
      </c>
      <c r="K741" s="70">
        <v>3.78</v>
      </c>
      <c r="L741" s="72">
        <f t="shared" ca="1" si="415"/>
        <v>0.55999999999999983</v>
      </c>
      <c r="M741" s="73">
        <f t="shared" ca="1" si="416"/>
        <v>559.99999999999989</v>
      </c>
      <c r="N741" s="12" t="s">
        <v>44</v>
      </c>
      <c r="O741" s="47" t="s">
        <v>45</v>
      </c>
      <c r="P741" s="13">
        <f t="shared" si="405"/>
        <v>3.78</v>
      </c>
      <c r="Q741" s="1" t="str">
        <f t="shared" si="408"/>
        <v>1000 + шт - 3,78 руб / шт с НДС</v>
      </c>
      <c r="R741" s="235"/>
      <c r="S741" s="239"/>
      <c r="T741" s="226"/>
      <c r="U741" s="228"/>
      <c r="V741" s="222"/>
      <c r="W741" s="229"/>
      <c r="X741" s="227"/>
      <c r="Y741" s="229"/>
      <c r="Z741" s="236"/>
      <c r="AA741" s="237"/>
      <c r="AB741" s="238"/>
      <c r="AC741" s="223"/>
      <c r="AD741" s="222"/>
    </row>
    <row r="742" spans="1:30" x14ac:dyDescent="0.4">
      <c r="A742" s="230">
        <v>150</v>
      </c>
      <c r="B742" s="8">
        <v>150</v>
      </c>
      <c r="C742" s="14">
        <f t="shared" ca="1" si="424"/>
        <v>0.82</v>
      </c>
      <c r="D742" s="20">
        <f t="shared" ca="1" si="434"/>
        <v>0.98399999999999987</v>
      </c>
      <c r="E742" s="224" t="str">
        <f ca="1">INDIRECT("'Закуп'!D" &amp; A742)</f>
        <v>У</v>
      </c>
      <c r="F742" s="231" t="str">
        <f t="shared" ref="F742" ca="1" si="437">INDIRECT("'Закуп'!E" &amp; B742)</f>
        <v>340х265х110</v>
      </c>
      <c r="G742" s="172" t="str">
        <f t="shared" ca="1" si="418"/>
        <v/>
      </c>
      <c r="H742" s="93" t="str">
        <f t="shared" ca="1" si="419"/>
        <v/>
      </c>
      <c r="I742" s="21">
        <v>50</v>
      </c>
      <c r="J742" s="68">
        <f t="shared" si="420"/>
        <v>1.925</v>
      </c>
      <c r="K742" s="70">
        <v>2.31</v>
      </c>
      <c r="L742" s="72">
        <f t="shared" ca="1" si="415"/>
        <v>0.88400000000000001</v>
      </c>
      <c r="M742" s="73">
        <f t="shared" ca="1" si="416"/>
        <v>44.2</v>
      </c>
      <c r="N742" s="12" t="s">
        <v>40</v>
      </c>
      <c r="O742" s="47" t="s">
        <v>45</v>
      </c>
      <c r="P742" s="13">
        <f t="shared" si="405"/>
        <v>2.31</v>
      </c>
      <c r="Q742" s="1" t="str">
        <f t="shared" si="408"/>
        <v>50-90 шт - 2,31 руб / шт с НДС</v>
      </c>
      <c r="R742" s="235" t="str">
        <f ca="1">INDIRECT("'Закуп'!k" &amp; A742)</f>
        <v>K151</v>
      </c>
      <c r="S742" s="239">
        <f ca="1">INDIRECT("'Закуп'!o" &amp; A742)</f>
        <v>9.91</v>
      </c>
      <c r="T742" s="226" t="str">
        <f ca="1">INDIRECT("'Закуп'!p" &amp; A742)</f>
        <v>8-9,9 литров</v>
      </c>
      <c r="U742" s="228" t="str">
        <f ca="1">INDIRECT("'Закуп'!v" &amp; A742)</f>
        <v/>
      </c>
      <c r="V742" s="222" t="str">
        <f ca="1">INDIRECT("'Закуп'!w" &amp; A742)</f>
        <v>Плоские</v>
      </c>
      <c r="W742" s="229" t="str">
        <f ca="1">INDIRECT("'Закуп'!H" &amp; A742)</f>
        <v>х</v>
      </c>
      <c r="X742" s="227" t="str">
        <f t="shared" ref="X742" ca="1" si="438">INDIRECT("'Закуп'!g" &amp; A742)</f>
        <v>Ч</v>
      </c>
      <c r="Y742" s="229" t="str">
        <f ca="1">INDIRECT("'Закуп'!i" &amp; A742)</f>
        <v>В</v>
      </c>
      <c r="Z742" s="236" t="str">
        <f ca="1">INDIRECT("'Закуп'!x" &amp; A742)</f>
        <v>300-399 мм</v>
      </c>
      <c r="AA742" s="237" t="str">
        <f ca="1">INDIRECT("'Закуп'!y" &amp; A742)</f>
        <v>200-299 мм</v>
      </c>
      <c r="AB742" s="238" t="str">
        <f ca="1">INDIRECT("'Закуп'!z" &amp; A742)</f>
        <v>100-199 мм</v>
      </c>
      <c r="AC742" s="223" t="str">
        <f t="shared" ca="1" si="407"/>
        <v>340x265x110</v>
      </c>
      <c r="AD742" s="222" t="str">
        <f t="shared" ca="1" si="431"/>
        <v>340x265x110 - 340*265*110 мм</v>
      </c>
    </row>
    <row r="743" spans="1:30" x14ac:dyDescent="0.4">
      <c r="A743" s="230"/>
      <c r="B743" s="8">
        <v>150</v>
      </c>
      <c r="C743" s="14">
        <f t="shared" ca="1" si="424"/>
        <v>0.82</v>
      </c>
      <c r="D743" s="20">
        <f t="shared" ca="1" si="434"/>
        <v>0.98399999999999987</v>
      </c>
      <c r="E743" s="225"/>
      <c r="F743" s="231"/>
      <c r="G743" s="172" t="str">
        <f t="shared" ca="1" si="418"/>
        <v/>
      </c>
      <c r="H743" s="93" t="str">
        <f t="shared" ca="1" si="419"/>
        <v/>
      </c>
      <c r="I743" s="21">
        <v>100</v>
      </c>
      <c r="J743" s="68">
        <f t="shared" si="420"/>
        <v>1.7583333333333333</v>
      </c>
      <c r="K743" s="70">
        <v>2.11</v>
      </c>
      <c r="L743" s="72">
        <f t="shared" ca="1" si="415"/>
        <v>0.7506666666666667</v>
      </c>
      <c r="M743" s="73">
        <f t="shared" ca="1" si="416"/>
        <v>75.066666666666677</v>
      </c>
      <c r="N743" s="12" t="s">
        <v>41</v>
      </c>
      <c r="O743" s="47" t="s">
        <v>45</v>
      </c>
      <c r="P743" s="13">
        <f t="shared" si="405"/>
        <v>2.11</v>
      </c>
      <c r="Q743" s="1" t="str">
        <f t="shared" si="408"/>
        <v>100-290 шт - 2,11 руб / шт с НДС</v>
      </c>
      <c r="R743" s="235"/>
      <c r="S743" s="239"/>
      <c r="T743" s="226"/>
      <c r="U743" s="228"/>
      <c r="V743" s="222"/>
      <c r="W743" s="229"/>
      <c r="X743" s="227"/>
      <c r="Y743" s="229"/>
      <c r="Z743" s="236"/>
      <c r="AA743" s="237"/>
      <c r="AB743" s="238"/>
      <c r="AC743" s="223"/>
      <c r="AD743" s="222"/>
    </row>
    <row r="744" spans="1:30" x14ac:dyDescent="0.4">
      <c r="A744" s="230"/>
      <c r="B744" s="8">
        <v>150</v>
      </c>
      <c r="C744" s="14">
        <f t="shared" ca="1" si="424"/>
        <v>0.82</v>
      </c>
      <c r="D744" s="20">
        <f t="shared" ca="1" si="434"/>
        <v>0.98399999999999987</v>
      </c>
      <c r="E744" s="225"/>
      <c r="F744" s="231"/>
      <c r="G744" s="172" t="str">
        <f t="shared" ca="1" si="418"/>
        <v/>
      </c>
      <c r="H744" s="93" t="str">
        <f t="shared" ca="1" si="419"/>
        <v/>
      </c>
      <c r="I744" s="21">
        <v>300</v>
      </c>
      <c r="J744" s="68">
        <f t="shared" si="420"/>
        <v>1.375</v>
      </c>
      <c r="K744" s="70">
        <v>1.65</v>
      </c>
      <c r="L744" s="72">
        <f t="shared" ca="1" si="415"/>
        <v>0.44400000000000006</v>
      </c>
      <c r="M744" s="73">
        <f t="shared" ca="1" si="416"/>
        <v>133.20000000000002</v>
      </c>
      <c r="N744" s="12" t="s">
        <v>42</v>
      </c>
      <c r="O744" s="47" t="s">
        <v>45</v>
      </c>
      <c r="P744" s="13">
        <f t="shared" si="405"/>
        <v>1.65</v>
      </c>
      <c r="Q744" s="1" t="str">
        <f t="shared" si="408"/>
        <v>300-490 шт - 1,65 руб / шт с НДС</v>
      </c>
      <c r="R744" s="235"/>
      <c r="S744" s="239"/>
      <c r="T744" s="226"/>
      <c r="U744" s="228"/>
      <c r="V744" s="222"/>
      <c r="W744" s="229"/>
      <c r="X744" s="227"/>
      <c r="Y744" s="229"/>
      <c r="Z744" s="236"/>
      <c r="AA744" s="237"/>
      <c r="AB744" s="238"/>
      <c r="AC744" s="223"/>
      <c r="AD744" s="222"/>
    </row>
    <row r="745" spans="1:30" x14ac:dyDescent="0.4">
      <c r="A745" s="230"/>
      <c r="B745" s="8">
        <v>150</v>
      </c>
      <c r="C745" s="14">
        <f t="shared" ca="1" si="424"/>
        <v>0.82</v>
      </c>
      <c r="D745" s="20">
        <f t="shared" ca="1" si="434"/>
        <v>0.98399999999999987</v>
      </c>
      <c r="E745" s="225"/>
      <c r="F745" s="231"/>
      <c r="G745" s="172" t="str">
        <f t="shared" ca="1" si="418"/>
        <v/>
      </c>
      <c r="H745" s="93" t="str">
        <f t="shared" ca="1" si="419"/>
        <v/>
      </c>
      <c r="I745" s="21">
        <v>500</v>
      </c>
      <c r="J745" s="68">
        <f t="shared" si="420"/>
        <v>1.1833333333333333</v>
      </c>
      <c r="K745" s="70">
        <v>1.42</v>
      </c>
      <c r="L745" s="72">
        <f t="shared" ca="1" si="415"/>
        <v>0.29066666666666674</v>
      </c>
      <c r="M745" s="73">
        <f t="shared" ca="1" si="416"/>
        <v>145.33333333333337</v>
      </c>
      <c r="N745" s="12" t="s">
        <v>43</v>
      </c>
      <c r="O745" s="47" t="s">
        <v>45</v>
      </c>
      <c r="P745" s="13">
        <f t="shared" si="405"/>
        <v>1.42</v>
      </c>
      <c r="Q745" s="1" t="str">
        <f t="shared" si="408"/>
        <v>500-990 шт - 1,42 руб / шт с НДС</v>
      </c>
      <c r="R745" s="235"/>
      <c r="S745" s="239"/>
      <c r="T745" s="226"/>
      <c r="U745" s="228"/>
      <c r="V745" s="222"/>
      <c r="W745" s="229"/>
      <c r="X745" s="227"/>
      <c r="Y745" s="229"/>
      <c r="Z745" s="236"/>
      <c r="AA745" s="237"/>
      <c r="AB745" s="238"/>
      <c r="AC745" s="223"/>
      <c r="AD745" s="222"/>
    </row>
    <row r="746" spans="1:30" x14ac:dyDescent="0.4">
      <c r="A746" s="230"/>
      <c r="B746" s="8">
        <v>150</v>
      </c>
      <c r="C746" s="14">
        <f t="shared" ca="1" si="424"/>
        <v>0.82</v>
      </c>
      <c r="D746" s="20">
        <f t="shared" ca="1" si="434"/>
        <v>0.98399999999999987</v>
      </c>
      <c r="E746" s="225"/>
      <c r="F746" s="231"/>
      <c r="G746" s="172" t="str">
        <f t="shared" ca="1" si="418"/>
        <v/>
      </c>
      <c r="H746" s="93" t="str">
        <f t="shared" ca="1" si="419"/>
        <v/>
      </c>
      <c r="I746" s="21">
        <v>1000</v>
      </c>
      <c r="J746" s="68">
        <f t="shared" si="420"/>
        <v>1.1083333333333334</v>
      </c>
      <c r="K746" s="70">
        <v>1.33</v>
      </c>
      <c r="L746" s="72">
        <f t="shared" ca="1" si="415"/>
        <v>0.23066666666666674</v>
      </c>
      <c r="M746" s="73">
        <f t="shared" ca="1" si="416"/>
        <v>230.66666666666674</v>
      </c>
      <c r="N746" s="12" t="s">
        <v>44</v>
      </c>
      <c r="O746" s="47" t="s">
        <v>45</v>
      </c>
      <c r="P746" s="13">
        <f t="shared" si="405"/>
        <v>1.33</v>
      </c>
      <c r="Q746" s="1" t="str">
        <f t="shared" si="408"/>
        <v>1000 + шт - 1,33 руб / шт с НДС</v>
      </c>
      <c r="R746" s="235"/>
      <c r="S746" s="239"/>
      <c r="T746" s="226"/>
      <c r="U746" s="228"/>
      <c r="V746" s="222"/>
      <c r="W746" s="229"/>
      <c r="X746" s="227"/>
      <c r="Y746" s="229"/>
      <c r="Z746" s="236"/>
      <c r="AA746" s="237"/>
      <c r="AB746" s="238"/>
      <c r="AC746" s="223"/>
      <c r="AD746" s="222"/>
    </row>
    <row r="747" spans="1:30" x14ac:dyDescent="0.4">
      <c r="A747" s="230">
        <v>151</v>
      </c>
      <c r="B747" s="8">
        <v>151</v>
      </c>
      <c r="C747" s="14">
        <f t="shared" ca="1" si="424"/>
        <v>0.16</v>
      </c>
      <c r="D747" s="20">
        <f t="shared" ca="1" si="434"/>
        <v>0.192</v>
      </c>
      <c r="E747" s="224" t="str">
        <f ca="1">INDIRECT("'Закуп'!D" &amp; A747)</f>
        <v>У</v>
      </c>
      <c r="F747" s="231" t="str">
        <f t="shared" ref="F747" ca="1" si="439">INDIRECT("'Закуп'!E" &amp; B747)</f>
        <v>160х80х80</v>
      </c>
      <c r="G747" s="172" t="str">
        <f t="shared" ca="1" si="418"/>
        <v/>
      </c>
      <c r="H747" s="93" t="str">
        <f t="shared" ca="1" si="419"/>
        <v/>
      </c>
      <c r="I747" s="21">
        <v>50</v>
      </c>
      <c r="J747" s="68">
        <f t="shared" si="420"/>
        <v>0.93333333333333346</v>
      </c>
      <c r="K747" s="70">
        <v>1.1200000000000001</v>
      </c>
      <c r="L747" s="72">
        <f t="shared" ca="1" si="415"/>
        <v>0.6186666666666667</v>
      </c>
      <c r="M747" s="73">
        <f t="shared" ca="1" si="416"/>
        <v>30.933333333333334</v>
      </c>
      <c r="N747" s="12" t="s">
        <v>40</v>
      </c>
      <c r="O747" s="47" t="s">
        <v>45</v>
      </c>
      <c r="P747" s="13">
        <f t="shared" si="405"/>
        <v>1.1200000000000001</v>
      </c>
      <c r="Q747" s="1" t="str">
        <f t="shared" si="408"/>
        <v>50-90 шт - 1,12 руб / шт с НДС</v>
      </c>
      <c r="R747" s="235" t="str">
        <f ca="1">INDIRECT("'Закуп'!k" &amp; A747)</f>
        <v>K152</v>
      </c>
      <c r="S747" s="239">
        <f ca="1">INDIRECT("'Закуп'!o" &amp; A747)</f>
        <v>1.02</v>
      </c>
      <c r="T747" s="226" t="str">
        <f ca="1">INDIRECT("'Закуп'!p" &amp; A747)</f>
        <v>1-1,9 литра</v>
      </c>
      <c r="U747" s="228" t="str">
        <f ca="1">INDIRECT("'Закуп'!v" &amp; A747)</f>
        <v>Длинные</v>
      </c>
      <c r="V747" s="222" t="str">
        <f ca="1">INDIRECT("'Закуп'!w" &amp; A747)</f>
        <v/>
      </c>
      <c r="W747" s="229" t="str">
        <f ca="1">INDIRECT("'Закуп'!H" &amp; A747)</f>
        <v>х</v>
      </c>
      <c r="X747" s="227" t="str">
        <f t="shared" ref="X747" ca="1" si="440">INDIRECT("'Закуп'!g" &amp; A747)</f>
        <v>Ч</v>
      </c>
      <c r="Y747" s="229" t="str">
        <f ca="1">INDIRECT("'Закуп'!i" &amp; A747)</f>
        <v>В</v>
      </c>
      <c r="Z747" s="236" t="str">
        <f ca="1">INDIRECT("'Закуп'!x" &amp; A747)</f>
        <v>100-199 мм</v>
      </c>
      <c r="AA747" s="237" t="str">
        <f ca="1">INDIRECT("'Закуп'!y" &amp; A747)</f>
        <v>10-99 мм</v>
      </c>
      <c r="AB747" s="238" t="str">
        <f ca="1">INDIRECT("'Закуп'!z" &amp; A747)</f>
        <v>10-99 мм</v>
      </c>
      <c r="AC747" s="223" t="str">
        <f t="shared" ca="1" si="407"/>
        <v>160x80x80</v>
      </c>
      <c r="AD747" s="222" t="str">
        <f t="shared" ca="1" si="431"/>
        <v>160x80x80 - 160*80*80 мм</v>
      </c>
    </row>
    <row r="748" spans="1:30" x14ac:dyDescent="0.4">
      <c r="A748" s="230"/>
      <c r="B748" s="8">
        <v>151</v>
      </c>
      <c r="C748" s="14">
        <f t="shared" ca="1" si="424"/>
        <v>0.16</v>
      </c>
      <c r="D748" s="20">
        <f t="shared" ca="1" si="434"/>
        <v>0.192</v>
      </c>
      <c r="E748" s="225"/>
      <c r="F748" s="231"/>
      <c r="G748" s="172" t="str">
        <f t="shared" ca="1" si="418"/>
        <v/>
      </c>
      <c r="H748" s="93" t="str">
        <f t="shared" ca="1" si="419"/>
        <v/>
      </c>
      <c r="I748" s="21">
        <v>100</v>
      </c>
      <c r="J748" s="68">
        <f t="shared" si="420"/>
        <v>0.77500000000000002</v>
      </c>
      <c r="K748" s="70">
        <v>0.93</v>
      </c>
      <c r="L748" s="72">
        <f t="shared" ca="1" si="415"/>
        <v>0.49199999999999999</v>
      </c>
      <c r="M748" s="73">
        <f t="shared" ca="1" si="416"/>
        <v>49.2</v>
      </c>
      <c r="N748" s="12" t="s">
        <v>41</v>
      </c>
      <c r="O748" s="47" t="s">
        <v>45</v>
      </c>
      <c r="P748" s="13">
        <f t="shared" si="405"/>
        <v>0.93</v>
      </c>
      <c r="Q748" s="1" t="str">
        <f t="shared" si="408"/>
        <v>100-290 шт - 0,93 руб / шт с НДС</v>
      </c>
      <c r="R748" s="235"/>
      <c r="S748" s="239"/>
      <c r="T748" s="226"/>
      <c r="U748" s="228"/>
      <c r="V748" s="222"/>
      <c r="W748" s="229"/>
      <c r="X748" s="227"/>
      <c r="Y748" s="229"/>
      <c r="Z748" s="236"/>
      <c r="AA748" s="237"/>
      <c r="AB748" s="238"/>
      <c r="AC748" s="223"/>
      <c r="AD748" s="222"/>
    </row>
    <row r="749" spans="1:30" x14ac:dyDescent="0.4">
      <c r="A749" s="230"/>
      <c r="B749" s="8">
        <v>151</v>
      </c>
      <c r="C749" s="14">
        <f t="shared" ca="1" si="424"/>
        <v>0.16</v>
      </c>
      <c r="D749" s="20">
        <f t="shared" ca="1" si="434"/>
        <v>0.192</v>
      </c>
      <c r="E749" s="225"/>
      <c r="F749" s="231"/>
      <c r="G749" s="172" t="str">
        <f t="shared" ca="1" si="418"/>
        <v/>
      </c>
      <c r="H749" s="93" t="str">
        <f t="shared" ca="1" si="419"/>
        <v/>
      </c>
      <c r="I749" s="21">
        <v>300</v>
      </c>
      <c r="J749" s="68">
        <f t="shared" si="420"/>
        <v>0.67500000000000004</v>
      </c>
      <c r="K749" s="70">
        <v>0.81</v>
      </c>
      <c r="L749" s="72">
        <f t="shared" ca="1" si="415"/>
        <v>0.41200000000000003</v>
      </c>
      <c r="M749" s="73">
        <f t="shared" ca="1" si="416"/>
        <v>123.60000000000001</v>
      </c>
      <c r="N749" s="12" t="s">
        <v>42</v>
      </c>
      <c r="O749" s="47" t="s">
        <v>45</v>
      </c>
      <c r="P749" s="13">
        <f t="shared" si="405"/>
        <v>0.81</v>
      </c>
      <c r="Q749" s="1" t="str">
        <f t="shared" si="408"/>
        <v>300-490 шт - 0,81 руб / шт с НДС</v>
      </c>
      <c r="R749" s="235"/>
      <c r="S749" s="239"/>
      <c r="T749" s="226"/>
      <c r="U749" s="228"/>
      <c r="V749" s="222"/>
      <c r="W749" s="229"/>
      <c r="X749" s="227"/>
      <c r="Y749" s="229"/>
      <c r="Z749" s="236"/>
      <c r="AA749" s="237"/>
      <c r="AB749" s="238"/>
      <c r="AC749" s="223"/>
      <c r="AD749" s="222"/>
    </row>
    <row r="750" spans="1:30" x14ac:dyDescent="0.4">
      <c r="A750" s="230"/>
      <c r="B750" s="8">
        <v>151</v>
      </c>
      <c r="C750" s="14">
        <f t="shared" ca="1" si="424"/>
        <v>0.16</v>
      </c>
      <c r="D750" s="20">
        <f t="shared" ca="1" si="434"/>
        <v>0.192</v>
      </c>
      <c r="E750" s="225"/>
      <c r="F750" s="231"/>
      <c r="G750" s="172" t="str">
        <f t="shared" ca="1" si="418"/>
        <v/>
      </c>
      <c r="H750" s="93" t="str">
        <f t="shared" ca="1" si="419"/>
        <v/>
      </c>
      <c r="I750" s="21">
        <v>500</v>
      </c>
      <c r="J750" s="68">
        <f t="shared" si="420"/>
        <v>0.60833333333333339</v>
      </c>
      <c r="K750" s="70">
        <v>0.73</v>
      </c>
      <c r="L750" s="72">
        <f t="shared" ca="1" si="415"/>
        <v>0.35866666666666669</v>
      </c>
      <c r="M750" s="73">
        <f t="shared" ca="1" si="416"/>
        <v>179.33333333333334</v>
      </c>
      <c r="N750" s="12" t="s">
        <v>43</v>
      </c>
      <c r="O750" s="47" t="s">
        <v>45</v>
      </c>
      <c r="P750" s="13">
        <f t="shared" si="405"/>
        <v>0.73</v>
      </c>
      <c r="Q750" s="1" t="str">
        <f t="shared" si="408"/>
        <v>500-990 шт - 0,73 руб / шт с НДС</v>
      </c>
      <c r="R750" s="235"/>
      <c r="S750" s="239"/>
      <c r="T750" s="226"/>
      <c r="U750" s="228"/>
      <c r="V750" s="222"/>
      <c r="W750" s="229"/>
      <c r="X750" s="227"/>
      <c r="Y750" s="229"/>
      <c r="Z750" s="236"/>
      <c r="AA750" s="237"/>
      <c r="AB750" s="238"/>
      <c r="AC750" s="223"/>
      <c r="AD750" s="222"/>
    </row>
    <row r="751" spans="1:30" x14ac:dyDescent="0.4">
      <c r="A751" s="230"/>
      <c r="B751" s="8">
        <v>151</v>
      </c>
      <c r="C751" s="14">
        <f t="shared" ca="1" si="424"/>
        <v>0.16</v>
      </c>
      <c r="D751" s="20">
        <f t="shared" ca="1" si="434"/>
        <v>0.192</v>
      </c>
      <c r="E751" s="225"/>
      <c r="F751" s="231"/>
      <c r="G751" s="172" t="str">
        <f t="shared" ca="1" si="418"/>
        <v/>
      </c>
      <c r="H751" s="93" t="str">
        <f t="shared" ca="1" si="419"/>
        <v/>
      </c>
      <c r="I751" s="21">
        <v>1000</v>
      </c>
      <c r="J751" s="68">
        <f t="shared" si="420"/>
        <v>0.54166666666666674</v>
      </c>
      <c r="K751" s="70">
        <v>0.65</v>
      </c>
      <c r="L751" s="72">
        <f t="shared" ca="1" si="415"/>
        <v>0.30533333333333335</v>
      </c>
      <c r="M751" s="73">
        <f t="shared" ca="1" si="416"/>
        <v>305.33333333333337</v>
      </c>
      <c r="N751" s="12" t="s">
        <v>44</v>
      </c>
      <c r="O751" s="47" t="s">
        <v>45</v>
      </c>
      <c r="P751" s="13">
        <f t="shared" ref="P751:P814" si="441">ROUND(K751,2)</f>
        <v>0.65</v>
      </c>
      <c r="Q751" s="1" t="str">
        <f t="shared" si="408"/>
        <v>1000 + шт - 0,65 руб / шт с НДС</v>
      </c>
      <c r="R751" s="235"/>
      <c r="S751" s="239"/>
      <c r="T751" s="226"/>
      <c r="U751" s="228"/>
      <c r="V751" s="222"/>
      <c r="W751" s="229"/>
      <c r="X751" s="227"/>
      <c r="Y751" s="229"/>
      <c r="Z751" s="236"/>
      <c r="AA751" s="237"/>
      <c r="AB751" s="238"/>
      <c r="AC751" s="223"/>
      <c r="AD751" s="222"/>
    </row>
    <row r="752" spans="1:30" x14ac:dyDescent="0.4">
      <c r="A752" s="230">
        <v>152</v>
      </c>
      <c r="B752" s="8">
        <v>152</v>
      </c>
      <c r="C752" s="14">
        <f t="shared" ca="1" si="424"/>
        <v>1.75</v>
      </c>
      <c r="D752" s="20">
        <f t="shared" ca="1" si="434"/>
        <v>2.1</v>
      </c>
      <c r="E752" s="224" t="str">
        <f ca="1">INDIRECT("'Закуп'!D" &amp; A752)</f>
        <v>У</v>
      </c>
      <c r="F752" s="231" t="str">
        <f t="shared" ref="F752" ca="1" si="442">INDIRECT("'Закуп'!E" &amp; B752)</f>
        <v>370х370х290</v>
      </c>
      <c r="G752" s="172" t="str">
        <f t="shared" ca="1" si="418"/>
        <v/>
      </c>
      <c r="H752" s="93" t="str">
        <f t="shared" ca="1" si="419"/>
        <v/>
      </c>
      <c r="I752" s="21">
        <v>50</v>
      </c>
      <c r="J752" s="68">
        <f t="shared" si="420"/>
        <v>3.7416666666666671</v>
      </c>
      <c r="K752" s="70">
        <v>4.49</v>
      </c>
      <c r="L752" s="72">
        <f t="shared" ca="1" si="415"/>
        <v>1.5933333333333337</v>
      </c>
      <c r="M752" s="73">
        <f t="shared" ca="1" si="416"/>
        <v>79.666666666666686</v>
      </c>
      <c r="N752" s="12" t="s">
        <v>40</v>
      </c>
      <c r="O752" s="47" t="s">
        <v>45</v>
      </c>
      <c r="P752" s="13">
        <f t="shared" si="441"/>
        <v>4.49</v>
      </c>
      <c r="Q752" s="1" t="str">
        <f t="shared" ref="Q752:Q815" si="443">CONCATENATE(N752,P752,O752,)</f>
        <v>50-90 шт - 4,49 руб / шт с НДС</v>
      </c>
      <c r="R752" s="235" t="str">
        <f ca="1">INDIRECT("'Закуп'!k" &amp; A752)</f>
        <v>K153</v>
      </c>
      <c r="S752" s="239">
        <f ca="1">INDIRECT("'Закуп'!o" &amp; A752)</f>
        <v>39.700000000000003</v>
      </c>
      <c r="T752" s="226" t="str">
        <f ca="1">INDIRECT("'Закуп'!p" &amp; A752)</f>
        <v>30-49 литров</v>
      </c>
      <c r="U752" s="228" t="str">
        <f ca="1">INDIRECT("'Закуп'!v" &amp; A752)</f>
        <v/>
      </c>
      <c r="V752" s="222" t="str">
        <f ca="1">INDIRECT("'Закуп'!w" &amp; A752)</f>
        <v/>
      </c>
      <c r="W752" s="229" t="str">
        <f ca="1">INDIRECT("'Закуп'!H" &amp; A752)</f>
        <v>х</v>
      </c>
      <c r="X752" s="227" t="str">
        <f t="shared" ref="X752" ca="1" si="444">INDIRECT("'Закуп'!g" &amp; A752)</f>
        <v>Ч</v>
      </c>
      <c r="Y752" s="229" t="str">
        <f ca="1">INDIRECT("'Закуп'!i" &amp; A752)</f>
        <v>В</v>
      </c>
      <c r="Z752" s="236" t="str">
        <f ca="1">INDIRECT("'Закуп'!x" &amp; A752)</f>
        <v>300-399 мм</v>
      </c>
      <c r="AA752" s="237" t="str">
        <f ca="1">INDIRECT("'Закуп'!y" &amp; A752)</f>
        <v>300-399 мм</v>
      </c>
      <c r="AB752" s="238" t="str">
        <f ca="1">INDIRECT("'Закуп'!z" &amp; A752)</f>
        <v>200-299 мм</v>
      </c>
      <c r="AC752" s="223" t="str">
        <f t="shared" ref="AC752:AC812" ca="1" si="445">SUBSTITUTE(INDEX(F:F, ROUNDUP((ROW(A751))/5,0)*5 - 3), "х", "x")</f>
        <v>370x370x290</v>
      </c>
      <c r="AD752" s="222" t="str">
        <f t="shared" ca="1" si="431"/>
        <v>370x370x290 - 370*370*290 мм</v>
      </c>
    </row>
    <row r="753" spans="1:30" x14ac:dyDescent="0.4">
      <c r="A753" s="230"/>
      <c r="B753" s="8">
        <v>152</v>
      </c>
      <c r="C753" s="14">
        <f t="shared" ca="1" si="424"/>
        <v>1.75</v>
      </c>
      <c r="D753" s="20">
        <f t="shared" ca="1" si="434"/>
        <v>2.1</v>
      </c>
      <c r="E753" s="225"/>
      <c r="F753" s="231"/>
      <c r="G753" s="172" t="str">
        <f t="shared" ca="1" si="418"/>
        <v/>
      </c>
      <c r="H753" s="93" t="str">
        <f t="shared" ca="1" si="419"/>
        <v/>
      </c>
      <c r="I753" s="21">
        <v>100</v>
      </c>
      <c r="J753" s="68">
        <f t="shared" si="420"/>
        <v>2.9583333333333335</v>
      </c>
      <c r="K753" s="70">
        <v>3.55</v>
      </c>
      <c r="L753" s="72">
        <f t="shared" ca="1" si="415"/>
        <v>0.96666666666666679</v>
      </c>
      <c r="M753" s="73">
        <f t="shared" ca="1" si="416"/>
        <v>96.666666666666686</v>
      </c>
      <c r="N753" s="12" t="s">
        <v>41</v>
      </c>
      <c r="O753" s="47" t="s">
        <v>45</v>
      </c>
      <c r="P753" s="13">
        <f t="shared" si="441"/>
        <v>3.55</v>
      </c>
      <c r="Q753" s="1" t="str">
        <f t="shared" si="443"/>
        <v>100-290 шт - 3,55 руб / шт с НДС</v>
      </c>
      <c r="R753" s="235"/>
      <c r="S753" s="239"/>
      <c r="T753" s="226"/>
      <c r="U753" s="228"/>
      <c r="V753" s="222"/>
      <c r="W753" s="229"/>
      <c r="X753" s="227"/>
      <c r="Y753" s="229"/>
      <c r="Z753" s="236"/>
      <c r="AA753" s="237"/>
      <c r="AB753" s="238"/>
      <c r="AC753" s="223"/>
      <c r="AD753" s="222"/>
    </row>
    <row r="754" spans="1:30" x14ac:dyDescent="0.4">
      <c r="A754" s="230"/>
      <c r="B754" s="8">
        <v>152</v>
      </c>
      <c r="C754" s="14">
        <f t="shared" ca="1" si="424"/>
        <v>1.75</v>
      </c>
      <c r="D754" s="20">
        <f t="shared" ca="1" si="434"/>
        <v>2.1</v>
      </c>
      <c r="E754" s="225"/>
      <c r="F754" s="231"/>
      <c r="G754" s="172" t="str">
        <f t="shared" ca="1" si="418"/>
        <v/>
      </c>
      <c r="H754" s="93" t="str">
        <f t="shared" ca="1" si="419"/>
        <v/>
      </c>
      <c r="I754" s="21">
        <v>300</v>
      </c>
      <c r="J754" s="68">
        <f t="shared" si="420"/>
        <v>2.4333333333333336</v>
      </c>
      <c r="K754" s="70">
        <v>2.92</v>
      </c>
      <c r="L754" s="72">
        <f t="shared" ca="1" si="415"/>
        <v>0.54666666666666686</v>
      </c>
      <c r="M754" s="73">
        <f t="shared" ca="1" si="416"/>
        <v>164.00000000000006</v>
      </c>
      <c r="N754" s="12" t="s">
        <v>42</v>
      </c>
      <c r="O754" s="47" t="s">
        <v>45</v>
      </c>
      <c r="P754" s="13">
        <f t="shared" si="441"/>
        <v>2.92</v>
      </c>
      <c r="Q754" s="1" t="str">
        <f t="shared" si="443"/>
        <v>300-490 шт - 2,92 руб / шт с НДС</v>
      </c>
      <c r="R754" s="235"/>
      <c r="S754" s="239"/>
      <c r="T754" s="226"/>
      <c r="U754" s="228"/>
      <c r="V754" s="222"/>
      <c r="W754" s="229"/>
      <c r="X754" s="227"/>
      <c r="Y754" s="229"/>
      <c r="Z754" s="236"/>
      <c r="AA754" s="237"/>
      <c r="AB754" s="238"/>
      <c r="AC754" s="223"/>
      <c r="AD754" s="222"/>
    </row>
    <row r="755" spans="1:30" x14ac:dyDescent="0.4">
      <c r="A755" s="230"/>
      <c r="B755" s="8">
        <v>152</v>
      </c>
      <c r="C755" s="14">
        <f t="shared" ca="1" si="424"/>
        <v>1.75</v>
      </c>
      <c r="D755" s="20">
        <f t="shared" ca="1" si="434"/>
        <v>2.1</v>
      </c>
      <c r="E755" s="225"/>
      <c r="F755" s="231"/>
      <c r="G755" s="172" t="str">
        <f t="shared" ca="1" si="418"/>
        <v/>
      </c>
      <c r="H755" s="93" t="str">
        <f t="shared" ca="1" si="419"/>
        <v/>
      </c>
      <c r="I755" s="21">
        <v>500</v>
      </c>
      <c r="J755" s="68">
        <f t="shared" si="420"/>
        <v>2.3666666666666667</v>
      </c>
      <c r="K755" s="70">
        <v>2.84</v>
      </c>
      <c r="L755" s="72">
        <f t="shared" ca="1" si="415"/>
        <v>0.49333333333333335</v>
      </c>
      <c r="M755" s="73">
        <f t="shared" ca="1" si="416"/>
        <v>246.66666666666669</v>
      </c>
      <c r="N755" s="12" t="s">
        <v>43</v>
      </c>
      <c r="O755" s="47" t="s">
        <v>45</v>
      </c>
      <c r="P755" s="13">
        <f t="shared" si="441"/>
        <v>2.84</v>
      </c>
      <c r="Q755" s="1" t="str">
        <f t="shared" si="443"/>
        <v>500-990 шт - 2,84 руб / шт с НДС</v>
      </c>
      <c r="R755" s="235"/>
      <c r="S755" s="239"/>
      <c r="T755" s="226"/>
      <c r="U755" s="228"/>
      <c r="V755" s="222"/>
      <c r="W755" s="229"/>
      <c r="X755" s="227"/>
      <c r="Y755" s="229"/>
      <c r="Z755" s="236"/>
      <c r="AA755" s="237"/>
      <c r="AB755" s="238"/>
      <c r="AC755" s="223"/>
      <c r="AD755" s="222"/>
    </row>
    <row r="756" spans="1:30" x14ac:dyDescent="0.4">
      <c r="A756" s="230"/>
      <c r="B756" s="8">
        <v>152</v>
      </c>
      <c r="C756" s="14">
        <f t="shared" ca="1" si="424"/>
        <v>1.75</v>
      </c>
      <c r="D756" s="20">
        <f t="shared" ca="1" si="434"/>
        <v>2.1</v>
      </c>
      <c r="E756" s="225"/>
      <c r="F756" s="231"/>
      <c r="G756" s="172" t="str">
        <f t="shared" ca="1" si="418"/>
        <v/>
      </c>
      <c r="H756" s="93" t="str">
        <f t="shared" ca="1" si="419"/>
        <v/>
      </c>
      <c r="I756" s="21">
        <v>1000</v>
      </c>
      <c r="J756" s="68">
        <f t="shared" si="420"/>
        <v>2.2833333333333337</v>
      </c>
      <c r="K756" s="70">
        <v>2.74</v>
      </c>
      <c r="L756" s="72">
        <f t="shared" ca="1" si="415"/>
        <v>0.42666666666666692</v>
      </c>
      <c r="M756" s="73">
        <f t="shared" ca="1" si="416"/>
        <v>426.66666666666691</v>
      </c>
      <c r="N756" s="12" t="s">
        <v>44</v>
      </c>
      <c r="O756" s="47" t="s">
        <v>45</v>
      </c>
      <c r="P756" s="13">
        <f t="shared" si="441"/>
        <v>2.74</v>
      </c>
      <c r="Q756" s="1" t="str">
        <f t="shared" si="443"/>
        <v>1000 + шт - 2,74 руб / шт с НДС</v>
      </c>
      <c r="R756" s="235"/>
      <c r="S756" s="239"/>
      <c r="T756" s="226"/>
      <c r="U756" s="228"/>
      <c r="V756" s="222"/>
      <c r="W756" s="229"/>
      <c r="X756" s="227"/>
      <c r="Y756" s="229"/>
      <c r="Z756" s="236"/>
      <c r="AA756" s="237"/>
      <c r="AB756" s="238"/>
      <c r="AC756" s="223"/>
      <c r="AD756" s="222"/>
    </row>
    <row r="757" spans="1:30" x14ac:dyDescent="0.4">
      <c r="A757" s="230">
        <v>153</v>
      </c>
      <c r="B757" s="8">
        <v>153</v>
      </c>
      <c r="C757" s="14">
        <f t="shared" ca="1" si="424"/>
        <v>0.68</v>
      </c>
      <c r="D757" s="20">
        <f t="shared" ca="1" si="434"/>
        <v>0.81600000000000006</v>
      </c>
      <c r="E757" s="224" t="str">
        <f ca="1">INDIRECT("'Закуп'!D" &amp; A757)</f>
        <v>У</v>
      </c>
      <c r="F757" s="231" t="str">
        <f t="shared" ref="F757" ca="1" si="446">INDIRECT("'Закуп'!E" &amp; B757)</f>
        <v>240х240х150</v>
      </c>
      <c r="G757" s="172" t="str">
        <f t="shared" ca="1" si="418"/>
        <v/>
      </c>
      <c r="H757" s="93" t="str">
        <f t="shared" ca="1" si="419"/>
        <v/>
      </c>
      <c r="I757" s="21">
        <v>50</v>
      </c>
      <c r="J757" s="68">
        <f t="shared" si="420"/>
        <v>1.6083333333333334</v>
      </c>
      <c r="K757" s="70">
        <v>1.93</v>
      </c>
      <c r="L757" s="72">
        <f t="shared" ca="1" si="415"/>
        <v>0.7426666666666667</v>
      </c>
      <c r="M757" s="73">
        <f t="shared" ca="1" si="416"/>
        <v>37.133333333333333</v>
      </c>
      <c r="N757" s="12" t="s">
        <v>40</v>
      </c>
      <c r="O757" s="47" t="s">
        <v>45</v>
      </c>
      <c r="P757" s="13">
        <f t="shared" si="441"/>
        <v>1.93</v>
      </c>
      <c r="Q757" s="1" t="str">
        <f t="shared" si="443"/>
        <v>50-90 шт - 1,93 руб / шт с НДС</v>
      </c>
      <c r="R757" s="235" t="str">
        <f ca="1">INDIRECT("'Закуп'!k" &amp; A757)</f>
        <v>K154</v>
      </c>
      <c r="S757" s="239">
        <f ca="1">INDIRECT("'Закуп'!o" &amp; A757)</f>
        <v>8.64</v>
      </c>
      <c r="T757" s="226" t="str">
        <f ca="1">INDIRECT("'Закуп'!p" &amp; A757)</f>
        <v>8-9,9 литров</v>
      </c>
      <c r="U757" s="228" t="str">
        <f ca="1">INDIRECT("'Закуп'!v" &amp; A757)</f>
        <v/>
      </c>
      <c r="V757" s="222" t="str">
        <f ca="1">INDIRECT("'Закуп'!w" &amp; A757)</f>
        <v/>
      </c>
      <c r="W757" s="229" t="str">
        <f ca="1">INDIRECT("'Закуп'!H" &amp; A757)</f>
        <v>х</v>
      </c>
      <c r="X757" s="227" t="str">
        <f t="shared" ref="X757" ca="1" si="447">INDIRECT("'Закуп'!g" &amp; A757)</f>
        <v>Ч</v>
      </c>
      <c r="Y757" s="229" t="str">
        <f ca="1">INDIRECT("'Закуп'!i" &amp; A757)</f>
        <v>В</v>
      </c>
      <c r="Z757" s="236" t="str">
        <f ca="1">INDIRECT("'Закуп'!x" &amp; A757)</f>
        <v>200-299 мм</v>
      </c>
      <c r="AA757" s="237" t="str">
        <f ca="1">INDIRECT("'Закуп'!y" &amp; A757)</f>
        <v>200-299 мм</v>
      </c>
      <c r="AB757" s="238" t="str">
        <f ca="1">INDIRECT("'Закуп'!z" &amp; A757)</f>
        <v>100-199 мм</v>
      </c>
      <c r="AC757" s="223" t="str">
        <f t="shared" ca="1" si="445"/>
        <v>240x240x150</v>
      </c>
      <c r="AD757" s="222" t="str">
        <f t="shared" ca="1" si="431"/>
        <v>240x240x150 - 240*240*150 мм</v>
      </c>
    </row>
    <row r="758" spans="1:30" x14ac:dyDescent="0.4">
      <c r="A758" s="230"/>
      <c r="B758" s="8">
        <v>153</v>
      </c>
      <c r="C758" s="14">
        <f t="shared" ca="1" si="424"/>
        <v>0.68</v>
      </c>
      <c r="D758" s="20">
        <f t="shared" ca="1" si="434"/>
        <v>0.81600000000000006</v>
      </c>
      <c r="E758" s="225"/>
      <c r="F758" s="231"/>
      <c r="G758" s="172" t="str">
        <f t="shared" ca="1" si="418"/>
        <v/>
      </c>
      <c r="H758" s="93" t="str">
        <f t="shared" ca="1" si="419"/>
        <v/>
      </c>
      <c r="I758" s="21">
        <v>100</v>
      </c>
      <c r="J758" s="68">
        <f t="shared" si="420"/>
        <v>1.45</v>
      </c>
      <c r="K758" s="70">
        <v>1.74</v>
      </c>
      <c r="L758" s="72">
        <f t="shared" ca="1" si="415"/>
        <v>0.61599999999999988</v>
      </c>
      <c r="M758" s="73">
        <f t="shared" ca="1" si="416"/>
        <v>61.599999999999987</v>
      </c>
      <c r="N758" s="12" t="s">
        <v>41</v>
      </c>
      <c r="O758" s="47" t="s">
        <v>45</v>
      </c>
      <c r="P758" s="13">
        <f t="shared" si="441"/>
        <v>1.74</v>
      </c>
      <c r="Q758" s="1" t="str">
        <f t="shared" si="443"/>
        <v>100-290 шт - 1,74 руб / шт с НДС</v>
      </c>
      <c r="R758" s="235"/>
      <c r="S758" s="239"/>
      <c r="T758" s="226"/>
      <c r="U758" s="228"/>
      <c r="V758" s="222"/>
      <c r="W758" s="229"/>
      <c r="X758" s="227"/>
      <c r="Y758" s="229"/>
      <c r="Z758" s="236"/>
      <c r="AA758" s="237"/>
      <c r="AB758" s="238"/>
      <c r="AC758" s="223"/>
      <c r="AD758" s="222"/>
    </row>
    <row r="759" spans="1:30" x14ac:dyDescent="0.4">
      <c r="A759" s="230"/>
      <c r="B759" s="8">
        <v>153</v>
      </c>
      <c r="C759" s="14">
        <f t="shared" ca="1" si="424"/>
        <v>0.68</v>
      </c>
      <c r="D759" s="20">
        <f t="shared" ca="1" si="434"/>
        <v>0.81600000000000006</v>
      </c>
      <c r="E759" s="225"/>
      <c r="F759" s="231"/>
      <c r="G759" s="172" t="str">
        <f t="shared" ca="1" si="418"/>
        <v/>
      </c>
      <c r="H759" s="93" t="str">
        <f t="shared" ca="1" si="419"/>
        <v/>
      </c>
      <c r="I759" s="21">
        <v>300</v>
      </c>
      <c r="J759" s="68">
        <f t="shared" si="420"/>
        <v>1.1499999999999999</v>
      </c>
      <c r="K759" s="70">
        <v>1.38</v>
      </c>
      <c r="L759" s="72">
        <f t="shared" ca="1" si="415"/>
        <v>0.37599999999999989</v>
      </c>
      <c r="M759" s="73">
        <f t="shared" ca="1" si="416"/>
        <v>112.79999999999997</v>
      </c>
      <c r="N759" s="12" t="s">
        <v>42</v>
      </c>
      <c r="O759" s="47" t="s">
        <v>45</v>
      </c>
      <c r="P759" s="13">
        <f t="shared" si="441"/>
        <v>1.38</v>
      </c>
      <c r="Q759" s="1" t="str">
        <f t="shared" si="443"/>
        <v>300-490 шт - 1,38 руб / шт с НДС</v>
      </c>
      <c r="R759" s="235"/>
      <c r="S759" s="239"/>
      <c r="T759" s="226"/>
      <c r="U759" s="228"/>
      <c r="V759" s="222"/>
      <c r="W759" s="229"/>
      <c r="X759" s="227"/>
      <c r="Y759" s="229"/>
      <c r="Z759" s="236"/>
      <c r="AA759" s="237"/>
      <c r="AB759" s="238"/>
      <c r="AC759" s="223"/>
      <c r="AD759" s="222"/>
    </row>
    <row r="760" spans="1:30" x14ac:dyDescent="0.4">
      <c r="A760" s="230"/>
      <c r="B760" s="8">
        <v>153</v>
      </c>
      <c r="C760" s="14">
        <f t="shared" ca="1" si="424"/>
        <v>0.68</v>
      </c>
      <c r="D760" s="20">
        <f t="shared" ca="1" si="434"/>
        <v>0.81600000000000006</v>
      </c>
      <c r="E760" s="225"/>
      <c r="F760" s="231"/>
      <c r="G760" s="172" t="str">
        <f t="shared" ca="1" si="418"/>
        <v/>
      </c>
      <c r="H760" s="93" t="str">
        <f t="shared" ca="1" si="419"/>
        <v/>
      </c>
      <c r="I760" s="21">
        <v>500</v>
      </c>
      <c r="J760" s="68">
        <f t="shared" si="420"/>
        <v>1.0750000000000002</v>
      </c>
      <c r="K760" s="70">
        <v>1.29</v>
      </c>
      <c r="L760" s="72">
        <f t="shared" ca="1" si="415"/>
        <v>0.31600000000000011</v>
      </c>
      <c r="M760" s="73">
        <f t="shared" ca="1" si="416"/>
        <v>158.00000000000006</v>
      </c>
      <c r="N760" s="12" t="s">
        <v>43</v>
      </c>
      <c r="O760" s="47" t="s">
        <v>45</v>
      </c>
      <c r="P760" s="13">
        <f t="shared" si="441"/>
        <v>1.29</v>
      </c>
      <c r="Q760" s="1" t="str">
        <f t="shared" si="443"/>
        <v>500-990 шт - 1,29 руб / шт с НДС</v>
      </c>
      <c r="R760" s="235"/>
      <c r="S760" s="239"/>
      <c r="T760" s="226"/>
      <c r="U760" s="228"/>
      <c r="V760" s="222"/>
      <c r="W760" s="229"/>
      <c r="X760" s="227"/>
      <c r="Y760" s="229"/>
      <c r="Z760" s="236"/>
      <c r="AA760" s="237"/>
      <c r="AB760" s="238"/>
      <c r="AC760" s="223"/>
      <c r="AD760" s="222"/>
    </row>
    <row r="761" spans="1:30" x14ac:dyDescent="0.4">
      <c r="A761" s="230"/>
      <c r="B761" s="8">
        <v>153</v>
      </c>
      <c r="C761" s="14">
        <f t="shared" ca="1" si="424"/>
        <v>0.68</v>
      </c>
      <c r="D761" s="20">
        <f t="shared" ca="1" si="434"/>
        <v>0.81600000000000006</v>
      </c>
      <c r="E761" s="225"/>
      <c r="F761" s="231"/>
      <c r="G761" s="172" t="str">
        <f t="shared" ca="1" si="418"/>
        <v/>
      </c>
      <c r="H761" s="93" t="str">
        <f t="shared" ca="1" si="419"/>
        <v/>
      </c>
      <c r="I761" s="21">
        <v>1000</v>
      </c>
      <c r="J761" s="68">
        <f t="shared" si="420"/>
        <v>0.94166666666666665</v>
      </c>
      <c r="K761" s="70">
        <v>1.1299999999999999</v>
      </c>
      <c r="L761" s="72">
        <f t="shared" ca="1" si="415"/>
        <v>0.20933333333333329</v>
      </c>
      <c r="M761" s="73">
        <f t="shared" ca="1" si="416"/>
        <v>209.33333333333329</v>
      </c>
      <c r="N761" s="12" t="s">
        <v>44</v>
      </c>
      <c r="O761" s="47" t="s">
        <v>45</v>
      </c>
      <c r="P761" s="13">
        <f t="shared" si="441"/>
        <v>1.1299999999999999</v>
      </c>
      <c r="Q761" s="1" t="str">
        <f t="shared" si="443"/>
        <v>1000 + шт - 1,13 руб / шт с НДС</v>
      </c>
      <c r="R761" s="235"/>
      <c r="S761" s="239"/>
      <c r="T761" s="226"/>
      <c r="U761" s="228"/>
      <c r="V761" s="222"/>
      <c r="W761" s="229"/>
      <c r="X761" s="227"/>
      <c r="Y761" s="229"/>
      <c r="Z761" s="236"/>
      <c r="AA761" s="237"/>
      <c r="AB761" s="238"/>
      <c r="AC761" s="223"/>
      <c r="AD761" s="222"/>
    </row>
    <row r="762" spans="1:30" x14ac:dyDescent="0.4">
      <c r="A762" s="230">
        <v>154</v>
      </c>
      <c r="B762" s="8">
        <v>154</v>
      </c>
      <c r="C762" s="14">
        <f t="shared" ca="1" si="424"/>
        <v>2.1800000000000002</v>
      </c>
      <c r="D762" s="20">
        <f t="shared" ca="1" si="434"/>
        <v>2.6160000000000001</v>
      </c>
      <c r="E762" s="224" t="str">
        <f ca="1">INDIRECT("'Закуп'!D" &amp; A762)</f>
        <v>У</v>
      </c>
      <c r="F762" s="231" t="str">
        <f t="shared" ref="F762" ca="1" si="448">INDIRECT("'Закуп'!E" &amp; B762)</f>
        <v>760х375х166</v>
      </c>
      <c r="G762" s="172" t="str">
        <f t="shared" ca="1" si="418"/>
        <v/>
      </c>
      <c r="H762" s="93" t="str">
        <f t="shared" ca="1" si="419"/>
        <v/>
      </c>
      <c r="I762" s="21">
        <v>50</v>
      </c>
      <c r="J762" s="68">
        <f t="shared" si="420"/>
        <v>3.7333333333333338</v>
      </c>
      <c r="K762" s="70">
        <v>4.4800000000000004</v>
      </c>
      <c r="L762" s="72">
        <f t="shared" ca="1" si="415"/>
        <v>1.242666666666667</v>
      </c>
      <c r="M762" s="73">
        <f t="shared" ca="1" si="416"/>
        <v>62.133333333333354</v>
      </c>
      <c r="N762" s="12" t="s">
        <v>40</v>
      </c>
      <c r="O762" s="47" t="s">
        <v>45</v>
      </c>
      <c r="P762" s="13">
        <f t="shared" si="441"/>
        <v>4.4800000000000004</v>
      </c>
      <c r="Q762" s="1" t="str">
        <f t="shared" si="443"/>
        <v>50-90 шт - 4,48 руб / шт с НДС</v>
      </c>
      <c r="R762" s="235" t="str">
        <f ca="1">INDIRECT("'Закуп'!k" &amp; A762)</f>
        <v>K155</v>
      </c>
      <c r="S762" s="239">
        <f ca="1">INDIRECT("'Закуп'!o" &amp; A762)</f>
        <v>47.31</v>
      </c>
      <c r="T762" s="226" t="str">
        <f ca="1">INDIRECT("'Закуп'!p" &amp; A762)</f>
        <v>30-49 литров</v>
      </c>
      <c r="U762" s="228" t="str">
        <f ca="1">INDIRECT("'Закуп'!v" &amp; A762)</f>
        <v>Длинные</v>
      </c>
      <c r="V762" s="222" t="str">
        <f ca="1">INDIRECT("'Закуп'!w" &amp; A762)</f>
        <v>Плоские</v>
      </c>
      <c r="W762" s="229" t="str">
        <f ca="1">INDIRECT("'Закуп'!H" &amp; A762)</f>
        <v>х</v>
      </c>
      <c r="X762" s="227" t="str">
        <f t="shared" ref="X762" ca="1" si="449">INDIRECT("'Закуп'!g" &amp; A762)</f>
        <v>Ч</v>
      </c>
      <c r="Y762" s="229" t="str">
        <f ca="1">INDIRECT("'Закуп'!i" &amp; A762)</f>
        <v>В</v>
      </c>
      <c r="Z762" s="236" t="str">
        <f ca="1">INDIRECT("'Закуп'!x" &amp; A762)</f>
        <v>700-999 мм</v>
      </c>
      <c r="AA762" s="237" t="str">
        <f ca="1">INDIRECT("'Закуп'!y" &amp; A762)</f>
        <v>300-399 мм</v>
      </c>
      <c r="AB762" s="238" t="str">
        <f ca="1">INDIRECT("'Закуп'!z" &amp; A762)</f>
        <v>100-199 мм</v>
      </c>
      <c r="AC762" s="223" t="str">
        <f t="shared" ca="1" si="445"/>
        <v>760x375x166</v>
      </c>
      <c r="AD762" s="222" t="str">
        <f t="shared" ca="1" si="431"/>
        <v>760x375x166 - 760*375*166 мм</v>
      </c>
    </row>
    <row r="763" spans="1:30" x14ac:dyDescent="0.4">
      <c r="A763" s="230"/>
      <c r="B763" s="8">
        <v>154</v>
      </c>
      <c r="C763" s="14">
        <f t="shared" ca="1" si="424"/>
        <v>2.1800000000000002</v>
      </c>
      <c r="D763" s="20">
        <f t="shared" ca="1" si="434"/>
        <v>2.6160000000000001</v>
      </c>
      <c r="E763" s="225"/>
      <c r="F763" s="231"/>
      <c r="G763" s="172" t="str">
        <f t="shared" ca="1" si="418"/>
        <v/>
      </c>
      <c r="H763" s="93" t="str">
        <f t="shared" ca="1" si="419"/>
        <v/>
      </c>
      <c r="I763" s="21">
        <v>100</v>
      </c>
      <c r="J763" s="68">
        <f t="shared" si="420"/>
        <v>3.6416666666666671</v>
      </c>
      <c r="K763" s="70">
        <v>4.37</v>
      </c>
      <c r="L763" s="72">
        <f t="shared" ca="1" si="415"/>
        <v>1.1693333333333336</v>
      </c>
      <c r="M763" s="73">
        <f t="shared" ca="1" si="416"/>
        <v>116.93333333333335</v>
      </c>
      <c r="N763" s="12" t="s">
        <v>41</v>
      </c>
      <c r="O763" s="47" t="s">
        <v>45</v>
      </c>
      <c r="P763" s="13">
        <f t="shared" si="441"/>
        <v>4.37</v>
      </c>
      <c r="Q763" s="1" t="str">
        <f t="shared" si="443"/>
        <v>100-290 шт - 4,37 руб / шт с НДС</v>
      </c>
      <c r="R763" s="235"/>
      <c r="S763" s="239"/>
      <c r="T763" s="226"/>
      <c r="U763" s="228"/>
      <c r="V763" s="222"/>
      <c r="W763" s="229"/>
      <c r="X763" s="227"/>
      <c r="Y763" s="229"/>
      <c r="Z763" s="236"/>
      <c r="AA763" s="237"/>
      <c r="AB763" s="238"/>
      <c r="AC763" s="223"/>
      <c r="AD763" s="222"/>
    </row>
    <row r="764" spans="1:30" x14ac:dyDescent="0.4">
      <c r="A764" s="230"/>
      <c r="B764" s="8">
        <v>154</v>
      </c>
      <c r="C764" s="14">
        <f t="shared" ca="1" si="424"/>
        <v>2.1800000000000002</v>
      </c>
      <c r="D764" s="20">
        <f t="shared" ca="1" si="434"/>
        <v>2.6160000000000001</v>
      </c>
      <c r="E764" s="225"/>
      <c r="F764" s="231"/>
      <c r="G764" s="172" t="str">
        <f t="shared" ca="1" si="418"/>
        <v/>
      </c>
      <c r="H764" s="93" t="str">
        <f t="shared" ca="1" si="419"/>
        <v/>
      </c>
      <c r="I764" s="21">
        <v>300</v>
      </c>
      <c r="J764" s="68">
        <f t="shared" si="420"/>
        <v>2.9833333333333334</v>
      </c>
      <c r="K764" s="70">
        <v>3.58</v>
      </c>
      <c r="L764" s="72">
        <f t="shared" ca="1" si="415"/>
        <v>0.64266666666666661</v>
      </c>
      <c r="M764" s="73">
        <f t="shared" ca="1" si="416"/>
        <v>192.79999999999998</v>
      </c>
      <c r="N764" s="12" t="s">
        <v>42</v>
      </c>
      <c r="O764" s="47" t="s">
        <v>45</v>
      </c>
      <c r="P764" s="13">
        <f t="shared" si="441"/>
        <v>3.58</v>
      </c>
      <c r="Q764" s="1" t="str">
        <f t="shared" si="443"/>
        <v>300-490 шт - 3,58 руб / шт с НДС</v>
      </c>
      <c r="R764" s="235"/>
      <c r="S764" s="239"/>
      <c r="T764" s="226"/>
      <c r="U764" s="228"/>
      <c r="V764" s="222"/>
      <c r="W764" s="229"/>
      <c r="X764" s="227"/>
      <c r="Y764" s="229"/>
      <c r="Z764" s="236"/>
      <c r="AA764" s="237"/>
      <c r="AB764" s="238"/>
      <c r="AC764" s="223"/>
      <c r="AD764" s="222"/>
    </row>
    <row r="765" spans="1:30" x14ac:dyDescent="0.4">
      <c r="A765" s="230"/>
      <c r="B765" s="8">
        <v>154</v>
      </c>
      <c r="C765" s="14">
        <f t="shared" ca="1" si="424"/>
        <v>2.1800000000000002</v>
      </c>
      <c r="D765" s="20">
        <f t="shared" ca="1" si="434"/>
        <v>2.6160000000000001</v>
      </c>
      <c r="E765" s="225"/>
      <c r="F765" s="231"/>
      <c r="G765" s="172" t="str">
        <f t="shared" ca="1" si="418"/>
        <v/>
      </c>
      <c r="H765" s="93" t="str">
        <f t="shared" ca="1" si="419"/>
        <v/>
      </c>
      <c r="I765" s="21">
        <v>500</v>
      </c>
      <c r="J765" s="68">
        <f t="shared" si="420"/>
        <v>2.9416666666666664</v>
      </c>
      <c r="K765" s="70">
        <v>3.53</v>
      </c>
      <c r="L765" s="72">
        <f t="shared" ca="1" si="415"/>
        <v>0.60933333333333306</v>
      </c>
      <c r="M765" s="73">
        <f t="shared" ca="1" si="416"/>
        <v>304.66666666666652</v>
      </c>
      <c r="N765" s="12" t="s">
        <v>43</v>
      </c>
      <c r="O765" s="47" t="s">
        <v>45</v>
      </c>
      <c r="P765" s="13">
        <f t="shared" si="441"/>
        <v>3.53</v>
      </c>
      <c r="Q765" s="1" t="str">
        <f t="shared" si="443"/>
        <v>500-990 шт - 3,53 руб / шт с НДС</v>
      </c>
      <c r="R765" s="235"/>
      <c r="S765" s="239"/>
      <c r="T765" s="226"/>
      <c r="U765" s="228"/>
      <c r="V765" s="222"/>
      <c r="W765" s="229"/>
      <c r="X765" s="227"/>
      <c r="Y765" s="229"/>
      <c r="Z765" s="236"/>
      <c r="AA765" s="237"/>
      <c r="AB765" s="238"/>
      <c r="AC765" s="223"/>
      <c r="AD765" s="222"/>
    </row>
    <row r="766" spans="1:30" x14ac:dyDescent="0.4">
      <c r="A766" s="230"/>
      <c r="B766" s="8">
        <v>154</v>
      </c>
      <c r="C766" s="14">
        <f t="shared" ca="1" si="424"/>
        <v>2.1800000000000002</v>
      </c>
      <c r="D766" s="20">
        <f t="shared" ca="1" si="434"/>
        <v>2.6160000000000001</v>
      </c>
      <c r="E766" s="225"/>
      <c r="F766" s="231"/>
      <c r="G766" s="172" t="str">
        <f t="shared" ca="1" si="418"/>
        <v/>
      </c>
      <c r="H766" s="93" t="str">
        <f t="shared" ca="1" si="419"/>
        <v/>
      </c>
      <c r="I766" s="21">
        <v>1000</v>
      </c>
      <c r="J766" s="68">
        <f t="shared" si="420"/>
        <v>2.8416666666666668</v>
      </c>
      <c r="K766" s="70">
        <v>3.41</v>
      </c>
      <c r="L766" s="72">
        <f t="shared" ca="1" si="415"/>
        <v>0.52933333333333332</v>
      </c>
      <c r="M766" s="73">
        <f t="shared" ca="1" si="416"/>
        <v>529.33333333333337</v>
      </c>
      <c r="N766" s="12" t="s">
        <v>44</v>
      </c>
      <c r="O766" s="47" t="s">
        <v>45</v>
      </c>
      <c r="P766" s="13">
        <f t="shared" si="441"/>
        <v>3.41</v>
      </c>
      <c r="Q766" s="1" t="str">
        <f t="shared" si="443"/>
        <v>1000 + шт - 3,41 руб / шт с НДС</v>
      </c>
      <c r="R766" s="235"/>
      <c r="S766" s="239"/>
      <c r="T766" s="226"/>
      <c r="U766" s="228"/>
      <c r="V766" s="222"/>
      <c r="W766" s="229"/>
      <c r="X766" s="227"/>
      <c r="Y766" s="229"/>
      <c r="Z766" s="236"/>
      <c r="AA766" s="237"/>
      <c r="AB766" s="238"/>
      <c r="AC766" s="223"/>
      <c r="AD766" s="222"/>
    </row>
    <row r="767" spans="1:30" x14ac:dyDescent="0.4">
      <c r="A767" s="230">
        <v>155</v>
      </c>
      <c r="B767" s="8">
        <v>155</v>
      </c>
      <c r="C767" s="14">
        <f t="shared" ca="1" si="424"/>
        <v>0.75</v>
      </c>
      <c r="D767" s="20">
        <f t="shared" ca="1" si="434"/>
        <v>0.89999999999999991</v>
      </c>
      <c r="E767" s="224" t="str">
        <f ca="1">INDIRECT("'Закуп'!D" &amp; A767)</f>
        <v>У</v>
      </c>
      <c r="F767" s="231" t="str">
        <f t="shared" ref="F767" ca="1" si="450">INDIRECT("'Закуп'!E" &amp; B767)</f>
        <v>470х200х110</v>
      </c>
      <c r="G767" s="172" t="str">
        <f t="shared" ca="1" si="418"/>
        <v/>
      </c>
      <c r="H767" s="93" t="str">
        <f t="shared" ca="1" si="419"/>
        <v/>
      </c>
      <c r="I767" s="21">
        <v>50</v>
      </c>
      <c r="J767" s="68">
        <f t="shared" si="420"/>
        <v>1.5083333333333335</v>
      </c>
      <c r="K767" s="70">
        <v>1.81</v>
      </c>
      <c r="L767" s="72">
        <f t="shared" ca="1" si="415"/>
        <v>0.6066666666666668</v>
      </c>
      <c r="M767" s="73">
        <f t="shared" ca="1" si="416"/>
        <v>30.333333333333339</v>
      </c>
      <c r="N767" s="12" t="s">
        <v>40</v>
      </c>
      <c r="O767" s="47" t="s">
        <v>45</v>
      </c>
      <c r="P767" s="13">
        <f t="shared" si="441"/>
        <v>1.81</v>
      </c>
      <c r="Q767" s="1" t="str">
        <f t="shared" si="443"/>
        <v>50-90 шт - 1,81 руб / шт с НДС</v>
      </c>
      <c r="R767" s="235" t="str">
        <f ca="1">INDIRECT("'Закуп'!k" &amp; A767)</f>
        <v>K156</v>
      </c>
      <c r="S767" s="239">
        <f ca="1">INDIRECT("'Закуп'!o" &amp; A767)</f>
        <v>10.34</v>
      </c>
      <c r="T767" s="226" t="str">
        <f ca="1">INDIRECT("'Закуп'!p" &amp; A767)</f>
        <v>10-14,9 литров</v>
      </c>
      <c r="U767" s="228" t="str">
        <f ca="1">INDIRECT("'Закуп'!v" &amp; A767)</f>
        <v>Длинные</v>
      </c>
      <c r="V767" s="222" t="str">
        <f ca="1">INDIRECT("'Закуп'!w" &amp; A767)</f>
        <v/>
      </c>
      <c r="W767" s="229" t="str">
        <f ca="1">INDIRECT("'Закуп'!H" &amp; A767)</f>
        <v>х</v>
      </c>
      <c r="X767" s="227" t="str">
        <f t="shared" ref="X767" ca="1" si="451">INDIRECT("'Закуп'!g" &amp; A767)</f>
        <v>Ч</v>
      </c>
      <c r="Y767" s="229" t="str">
        <f ca="1">INDIRECT("'Закуп'!i" &amp; A767)</f>
        <v>В</v>
      </c>
      <c r="Z767" s="236" t="str">
        <f ca="1">INDIRECT("'Закуп'!x" &amp; A767)</f>
        <v>400-499 мм</v>
      </c>
      <c r="AA767" s="237" t="str">
        <f ca="1">INDIRECT("'Закуп'!y" &amp; A767)</f>
        <v>200-299 мм</v>
      </c>
      <c r="AB767" s="238" t="str">
        <f ca="1">INDIRECT("'Закуп'!z" &amp; A767)</f>
        <v>100-199 мм</v>
      </c>
      <c r="AC767" s="223" t="str">
        <f t="shared" ca="1" si="445"/>
        <v>470x200x110</v>
      </c>
      <c r="AD767" s="222" t="str">
        <f t="shared" ca="1" si="431"/>
        <v>470x200x110 - 470*200*110 мм</v>
      </c>
    </row>
    <row r="768" spans="1:30" x14ac:dyDescent="0.4">
      <c r="A768" s="230"/>
      <c r="B768" s="8">
        <v>155</v>
      </c>
      <c r="C768" s="14">
        <f t="shared" ca="1" si="424"/>
        <v>0.75</v>
      </c>
      <c r="D768" s="20">
        <f t="shared" ca="1" si="434"/>
        <v>0.89999999999999991</v>
      </c>
      <c r="E768" s="225"/>
      <c r="F768" s="231"/>
      <c r="G768" s="172" t="str">
        <f t="shared" ca="1" si="418"/>
        <v/>
      </c>
      <c r="H768" s="93" t="str">
        <f t="shared" ca="1" si="419"/>
        <v/>
      </c>
      <c r="I768" s="21">
        <v>100</v>
      </c>
      <c r="J768" s="68">
        <f t="shared" si="420"/>
        <v>1.375</v>
      </c>
      <c r="K768" s="70">
        <v>1.65</v>
      </c>
      <c r="L768" s="72">
        <f t="shared" ca="1" si="415"/>
        <v>0.5</v>
      </c>
      <c r="M768" s="73">
        <f t="shared" ca="1" si="416"/>
        <v>50</v>
      </c>
      <c r="N768" s="12" t="s">
        <v>41</v>
      </c>
      <c r="O768" s="47" t="s">
        <v>45</v>
      </c>
      <c r="P768" s="13">
        <f t="shared" si="441"/>
        <v>1.65</v>
      </c>
      <c r="Q768" s="1" t="str">
        <f t="shared" si="443"/>
        <v>100-290 шт - 1,65 руб / шт с НДС</v>
      </c>
      <c r="R768" s="235"/>
      <c r="S768" s="239"/>
      <c r="T768" s="226"/>
      <c r="U768" s="228"/>
      <c r="V768" s="222"/>
      <c r="W768" s="229"/>
      <c r="X768" s="227"/>
      <c r="Y768" s="229"/>
      <c r="Z768" s="236"/>
      <c r="AA768" s="237"/>
      <c r="AB768" s="238"/>
      <c r="AC768" s="223"/>
      <c r="AD768" s="222"/>
    </row>
    <row r="769" spans="1:30" x14ac:dyDescent="0.4">
      <c r="A769" s="230"/>
      <c r="B769" s="8">
        <v>155</v>
      </c>
      <c r="C769" s="14">
        <f t="shared" ca="1" si="424"/>
        <v>0.75</v>
      </c>
      <c r="D769" s="20">
        <f t="shared" ca="1" si="434"/>
        <v>0.89999999999999991</v>
      </c>
      <c r="E769" s="225"/>
      <c r="F769" s="231"/>
      <c r="G769" s="172" t="str">
        <f t="shared" ca="1" si="418"/>
        <v/>
      </c>
      <c r="H769" s="93" t="str">
        <f t="shared" ca="1" si="419"/>
        <v/>
      </c>
      <c r="I769" s="21">
        <v>300</v>
      </c>
      <c r="J769" s="68">
        <f t="shared" si="420"/>
        <v>1.25</v>
      </c>
      <c r="K769" s="70">
        <v>1.5</v>
      </c>
      <c r="L769" s="72">
        <f t="shared" ca="1" si="415"/>
        <v>0.4</v>
      </c>
      <c r="M769" s="73">
        <f t="shared" ca="1" si="416"/>
        <v>120</v>
      </c>
      <c r="N769" s="12" t="s">
        <v>42</v>
      </c>
      <c r="O769" s="47" t="s">
        <v>45</v>
      </c>
      <c r="P769" s="13">
        <f t="shared" si="441"/>
        <v>1.5</v>
      </c>
      <c r="Q769" s="1" t="str">
        <f t="shared" si="443"/>
        <v>300-490 шт - 1,5 руб / шт с НДС</v>
      </c>
      <c r="R769" s="235"/>
      <c r="S769" s="239"/>
      <c r="T769" s="226"/>
      <c r="U769" s="228"/>
      <c r="V769" s="222"/>
      <c r="W769" s="229"/>
      <c r="X769" s="227"/>
      <c r="Y769" s="229"/>
      <c r="Z769" s="236"/>
      <c r="AA769" s="237"/>
      <c r="AB769" s="238"/>
      <c r="AC769" s="223"/>
      <c r="AD769" s="222"/>
    </row>
    <row r="770" spans="1:30" x14ac:dyDescent="0.4">
      <c r="A770" s="230"/>
      <c r="B770" s="8">
        <v>155</v>
      </c>
      <c r="C770" s="14">
        <f t="shared" ca="1" si="424"/>
        <v>0.75</v>
      </c>
      <c r="D770" s="20">
        <f t="shared" ca="1" si="434"/>
        <v>0.89999999999999991</v>
      </c>
      <c r="E770" s="225"/>
      <c r="F770" s="231"/>
      <c r="G770" s="172" t="str">
        <f t="shared" ca="1" si="418"/>
        <v/>
      </c>
      <c r="H770" s="93" t="str">
        <f t="shared" ca="1" si="419"/>
        <v/>
      </c>
      <c r="I770" s="21">
        <v>500</v>
      </c>
      <c r="J770" s="68">
        <f t="shared" si="420"/>
        <v>1.1583333333333332</v>
      </c>
      <c r="K770" s="70">
        <v>1.39</v>
      </c>
      <c r="L770" s="72">
        <f t="shared" ref="L770:L833" ca="1" si="452">J770-C770-(J770-C770)*0.2</f>
        <v>0.32666666666666655</v>
      </c>
      <c r="M770" s="73">
        <f t="shared" ref="M770:M833" ca="1" si="453">L770*I770</f>
        <v>163.33333333333329</v>
      </c>
      <c r="N770" s="12" t="s">
        <v>43</v>
      </c>
      <c r="O770" s="47" t="s">
        <v>45</v>
      </c>
      <c r="P770" s="13">
        <f t="shared" si="441"/>
        <v>1.39</v>
      </c>
      <c r="Q770" s="1" t="str">
        <f t="shared" si="443"/>
        <v>500-990 шт - 1,39 руб / шт с НДС</v>
      </c>
      <c r="R770" s="235"/>
      <c r="S770" s="239"/>
      <c r="T770" s="226"/>
      <c r="U770" s="228"/>
      <c r="V770" s="222"/>
      <c r="W770" s="229"/>
      <c r="X770" s="227"/>
      <c r="Y770" s="229"/>
      <c r="Z770" s="236"/>
      <c r="AA770" s="237"/>
      <c r="AB770" s="238"/>
      <c r="AC770" s="223"/>
      <c r="AD770" s="222"/>
    </row>
    <row r="771" spans="1:30" x14ac:dyDescent="0.4">
      <c r="A771" s="230"/>
      <c r="B771" s="8">
        <v>155</v>
      </c>
      <c r="C771" s="14">
        <f t="shared" ca="1" si="424"/>
        <v>0.75</v>
      </c>
      <c r="D771" s="20">
        <f t="shared" ca="1" si="434"/>
        <v>0.89999999999999991</v>
      </c>
      <c r="E771" s="225"/>
      <c r="F771" s="231"/>
      <c r="G771" s="172" t="str">
        <f t="shared" ref="G771:G834" ca="1" si="454">IF(INDIRECT("'Закуп'!L" &amp; B771)="Sale","Sale","")</f>
        <v/>
      </c>
      <c r="H771" s="93" t="str">
        <f t="shared" ref="H771:H834" ca="1" si="455">IF(INDIRECT("'Закуп'!F" &amp; B771)=0,"",INDIRECT("'Закуп'!F" &amp; B771))</f>
        <v/>
      </c>
      <c r="I771" s="21">
        <v>1000</v>
      </c>
      <c r="J771" s="68">
        <f t="shared" ref="J771:J834" si="456">K771/1.2</f>
        <v>1.0250000000000001</v>
      </c>
      <c r="K771" s="70">
        <v>1.23</v>
      </c>
      <c r="L771" s="72">
        <f t="shared" ca="1" si="452"/>
        <v>0.22000000000000011</v>
      </c>
      <c r="M771" s="73">
        <f t="shared" ca="1" si="453"/>
        <v>220.00000000000011</v>
      </c>
      <c r="N771" s="12" t="s">
        <v>44</v>
      </c>
      <c r="O771" s="47" t="s">
        <v>45</v>
      </c>
      <c r="P771" s="13">
        <f t="shared" si="441"/>
        <v>1.23</v>
      </c>
      <c r="Q771" s="1" t="str">
        <f t="shared" si="443"/>
        <v>1000 + шт - 1,23 руб / шт с НДС</v>
      </c>
      <c r="R771" s="235"/>
      <c r="S771" s="239"/>
      <c r="T771" s="226"/>
      <c r="U771" s="228"/>
      <c r="V771" s="222"/>
      <c r="W771" s="229"/>
      <c r="X771" s="227"/>
      <c r="Y771" s="229"/>
      <c r="Z771" s="236"/>
      <c r="AA771" s="237"/>
      <c r="AB771" s="238"/>
      <c r="AC771" s="223"/>
      <c r="AD771" s="222"/>
    </row>
    <row r="772" spans="1:30" x14ac:dyDescent="0.4">
      <c r="A772" s="230">
        <v>156</v>
      </c>
      <c r="B772" s="8">
        <v>156</v>
      </c>
      <c r="C772" s="14">
        <f t="shared" ca="1" si="424"/>
        <v>1.05</v>
      </c>
      <c r="D772" s="20">
        <f t="shared" ca="1" si="434"/>
        <v>1.26</v>
      </c>
      <c r="E772" s="224" t="str">
        <f ca="1">INDIRECT("'Закуп'!D" &amp; A772)</f>
        <v>У</v>
      </c>
      <c r="F772" s="231" t="str">
        <f t="shared" ref="F772" ca="1" si="457">INDIRECT("'Закуп'!E" &amp; B772)</f>
        <v>270х270х270</v>
      </c>
      <c r="G772" s="172" t="str">
        <f t="shared" ca="1" si="454"/>
        <v/>
      </c>
      <c r="H772" s="93" t="str">
        <f t="shared" ca="1" si="455"/>
        <v/>
      </c>
      <c r="I772" s="21">
        <v>50</v>
      </c>
      <c r="J772" s="68">
        <f t="shared" si="456"/>
        <v>2.2500000000000004</v>
      </c>
      <c r="K772" s="70">
        <v>2.7</v>
      </c>
      <c r="L772" s="72">
        <f t="shared" ca="1" si="452"/>
        <v>0.9600000000000003</v>
      </c>
      <c r="M772" s="73">
        <f t="shared" ca="1" si="453"/>
        <v>48.000000000000014</v>
      </c>
      <c r="N772" s="12" t="s">
        <v>40</v>
      </c>
      <c r="O772" s="47" t="s">
        <v>45</v>
      </c>
      <c r="P772" s="13">
        <f t="shared" si="441"/>
        <v>2.7</v>
      </c>
      <c r="Q772" s="1" t="str">
        <f t="shared" si="443"/>
        <v>50-90 шт - 2,7 руб / шт с НДС</v>
      </c>
      <c r="R772" s="235" t="str">
        <f ca="1">INDIRECT("'Закуп'!k" &amp; A772)</f>
        <v>K157</v>
      </c>
      <c r="S772" s="239">
        <f ca="1">INDIRECT("'Закуп'!o" &amp; A772)</f>
        <v>19.68</v>
      </c>
      <c r="T772" s="226" t="str">
        <f ca="1">INDIRECT("'Закуп'!p" &amp; A772)</f>
        <v>15-19,9 литров</v>
      </c>
      <c r="U772" s="228" t="str">
        <f ca="1">INDIRECT("'Закуп'!v" &amp; A772)</f>
        <v/>
      </c>
      <c r="V772" s="222" t="str">
        <f ca="1">INDIRECT("'Закуп'!w" &amp; A772)</f>
        <v/>
      </c>
      <c r="W772" s="229" t="str">
        <f ca="1">INDIRECT("'Закуп'!H" &amp; A772)</f>
        <v>х</v>
      </c>
      <c r="X772" s="227" t="str">
        <f t="shared" ref="X772" ca="1" si="458">INDIRECT("'Закуп'!g" &amp; A772)</f>
        <v>Ч</v>
      </c>
      <c r="Y772" s="229" t="str">
        <f ca="1">INDIRECT("'Закуп'!i" &amp; A772)</f>
        <v>В</v>
      </c>
      <c r="Z772" s="236" t="str">
        <f ca="1">INDIRECT("'Закуп'!x" &amp; A772)</f>
        <v>200-299 мм</v>
      </c>
      <c r="AA772" s="237" t="str">
        <f ca="1">INDIRECT("'Закуп'!y" &amp; A772)</f>
        <v>200-299 мм</v>
      </c>
      <c r="AB772" s="238" t="str">
        <f ca="1">INDIRECT("'Закуп'!z" &amp; A772)</f>
        <v>200-299 мм</v>
      </c>
      <c r="AC772" s="223" t="str">
        <f t="shared" ca="1" si="445"/>
        <v>270x270x270</v>
      </c>
      <c r="AD772" s="222" t="str">
        <f t="shared" ca="1" si="431"/>
        <v>270x270x270 - 270*270*270 мм</v>
      </c>
    </row>
    <row r="773" spans="1:30" x14ac:dyDescent="0.4">
      <c r="A773" s="230"/>
      <c r="B773" s="8">
        <v>156</v>
      </c>
      <c r="C773" s="14">
        <f t="shared" ca="1" si="424"/>
        <v>1.05</v>
      </c>
      <c r="D773" s="20">
        <f t="shared" ca="1" si="434"/>
        <v>1.26</v>
      </c>
      <c r="E773" s="225"/>
      <c r="F773" s="231"/>
      <c r="G773" s="172" t="str">
        <f t="shared" ca="1" si="454"/>
        <v/>
      </c>
      <c r="H773" s="93" t="str">
        <f t="shared" ca="1" si="455"/>
        <v/>
      </c>
      <c r="I773" s="21">
        <v>100</v>
      </c>
      <c r="J773" s="68">
        <f t="shared" si="456"/>
        <v>1.8000000000000003</v>
      </c>
      <c r="K773" s="70">
        <v>2.16</v>
      </c>
      <c r="L773" s="72">
        <f t="shared" ca="1" si="452"/>
        <v>0.6000000000000002</v>
      </c>
      <c r="M773" s="73">
        <f t="shared" ca="1" si="453"/>
        <v>60.000000000000021</v>
      </c>
      <c r="N773" s="12" t="s">
        <v>41</v>
      </c>
      <c r="O773" s="47" t="s">
        <v>45</v>
      </c>
      <c r="P773" s="13">
        <f t="shared" si="441"/>
        <v>2.16</v>
      </c>
      <c r="Q773" s="1" t="str">
        <f t="shared" si="443"/>
        <v>100-290 шт - 2,16 руб / шт с НДС</v>
      </c>
      <c r="R773" s="235"/>
      <c r="S773" s="239"/>
      <c r="T773" s="226"/>
      <c r="U773" s="228"/>
      <c r="V773" s="222"/>
      <c r="W773" s="229"/>
      <c r="X773" s="227"/>
      <c r="Y773" s="229"/>
      <c r="Z773" s="236"/>
      <c r="AA773" s="237"/>
      <c r="AB773" s="238"/>
      <c r="AC773" s="223"/>
      <c r="AD773" s="222"/>
    </row>
    <row r="774" spans="1:30" x14ac:dyDescent="0.4">
      <c r="A774" s="230"/>
      <c r="B774" s="8">
        <v>156</v>
      </c>
      <c r="C774" s="14">
        <f t="shared" ca="1" si="424"/>
        <v>1.05</v>
      </c>
      <c r="D774" s="20">
        <f t="shared" ca="1" si="434"/>
        <v>1.26</v>
      </c>
      <c r="E774" s="225"/>
      <c r="F774" s="231"/>
      <c r="G774" s="172" t="str">
        <f t="shared" ca="1" si="454"/>
        <v/>
      </c>
      <c r="H774" s="93" t="str">
        <f t="shared" ca="1" si="455"/>
        <v/>
      </c>
      <c r="I774" s="21">
        <v>300</v>
      </c>
      <c r="J774" s="68">
        <f t="shared" si="456"/>
        <v>1.6416666666666666</v>
      </c>
      <c r="K774" s="70">
        <v>1.97</v>
      </c>
      <c r="L774" s="72">
        <f t="shared" ca="1" si="452"/>
        <v>0.47333333333333327</v>
      </c>
      <c r="M774" s="73">
        <f t="shared" ca="1" si="453"/>
        <v>141.99999999999997</v>
      </c>
      <c r="N774" s="12" t="s">
        <v>42</v>
      </c>
      <c r="O774" s="47" t="s">
        <v>45</v>
      </c>
      <c r="P774" s="13">
        <f t="shared" si="441"/>
        <v>1.97</v>
      </c>
      <c r="Q774" s="1" t="str">
        <f t="shared" si="443"/>
        <v>300-490 шт - 1,97 руб / шт с НДС</v>
      </c>
      <c r="R774" s="235"/>
      <c r="S774" s="239"/>
      <c r="T774" s="226"/>
      <c r="U774" s="228"/>
      <c r="V774" s="222"/>
      <c r="W774" s="229"/>
      <c r="X774" s="227"/>
      <c r="Y774" s="229"/>
      <c r="Z774" s="236"/>
      <c r="AA774" s="237"/>
      <c r="AB774" s="238"/>
      <c r="AC774" s="223"/>
      <c r="AD774" s="222"/>
    </row>
    <row r="775" spans="1:30" x14ac:dyDescent="0.4">
      <c r="A775" s="230"/>
      <c r="B775" s="8">
        <v>156</v>
      </c>
      <c r="C775" s="14">
        <f t="shared" ca="1" si="424"/>
        <v>1.05</v>
      </c>
      <c r="D775" s="20">
        <f t="shared" ca="1" si="434"/>
        <v>1.26</v>
      </c>
      <c r="E775" s="225"/>
      <c r="F775" s="231"/>
      <c r="G775" s="172" t="str">
        <f t="shared" ca="1" si="454"/>
        <v/>
      </c>
      <c r="H775" s="93" t="str">
        <f t="shared" ca="1" si="455"/>
        <v/>
      </c>
      <c r="I775" s="21">
        <v>500</v>
      </c>
      <c r="J775" s="68">
        <f t="shared" si="456"/>
        <v>1.4583333333333335</v>
      </c>
      <c r="K775" s="70">
        <v>1.75</v>
      </c>
      <c r="L775" s="72">
        <f t="shared" ca="1" si="452"/>
        <v>0.32666666666666677</v>
      </c>
      <c r="M775" s="73">
        <f t="shared" ca="1" si="453"/>
        <v>163.3333333333334</v>
      </c>
      <c r="N775" s="12" t="s">
        <v>43</v>
      </c>
      <c r="O775" s="47" t="s">
        <v>45</v>
      </c>
      <c r="P775" s="13">
        <f t="shared" si="441"/>
        <v>1.75</v>
      </c>
      <c r="Q775" s="1" t="str">
        <f t="shared" si="443"/>
        <v>500-990 шт - 1,75 руб / шт с НДС</v>
      </c>
      <c r="R775" s="235"/>
      <c r="S775" s="239"/>
      <c r="T775" s="226"/>
      <c r="U775" s="228"/>
      <c r="V775" s="222"/>
      <c r="W775" s="229"/>
      <c r="X775" s="227"/>
      <c r="Y775" s="229"/>
      <c r="Z775" s="236"/>
      <c r="AA775" s="237"/>
      <c r="AB775" s="238"/>
      <c r="AC775" s="223"/>
      <c r="AD775" s="222"/>
    </row>
    <row r="776" spans="1:30" x14ac:dyDescent="0.4">
      <c r="A776" s="230"/>
      <c r="B776" s="8">
        <v>156</v>
      </c>
      <c r="C776" s="14">
        <f t="shared" ca="1" si="424"/>
        <v>1.05</v>
      </c>
      <c r="D776" s="20">
        <f t="shared" ca="1" si="434"/>
        <v>1.26</v>
      </c>
      <c r="E776" s="225"/>
      <c r="F776" s="231"/>
      <c r="G776" s="172" t="str">
        <f t="shared" ca="1" si="454"/>
        <v/>
      </c>
      <c r="H776" s="93" t="str">
        <f t="shared" ca="1" si="455"/>
        <v/>
      </c>
      <c r="I776" s="21">
        <v>1000</v>
      </c>
      <c r="J776" s="68">
        <f t="shared" si="456"/>
        <v>1.4166666666666667</v>
      </c>
      <c r="K776" s="70">
        <v>1.7</v>
      </c>
      <c r="L776" s="72">
        <f t="shared" ca="1" si="452"/>
        <v>0.29333333333333333</v>
      </c>
      <c r="M776" s="73">
        <f t="shared" ca="1" si="453"/>
        <v>293.33333333333331</v>
      </c>
      <c r="N776" s="12" t="s">
        <v>44</v>
      </c>
      <c r="O776" s="47" t="s">
        <v>45</v>
      </c>
      <c r="P776" s="13">
        <f t="shared" si="441"/>
        <v>1.7</v>
      </c>
      <c r="Q776" s="1" t="str">
        <f t="shared" si="443"/>
        <v>1000 + шт - 1,7 руб / шт с НДС</v>
      </c>
      <c r="R776" s="235"/>
      <c r="S776" s="239"/>
      <c r="T776" s="226"/>
      <c r="U776" s="228"/>
      <c r="V776" s="222"/>
      <c r="W776" s="229"/>
      <c r="X776" s="227"/>
      <c r="Y776" s="229"/>
      <c r="Z776" s="236"/>
      <c r="AA776" s="237"/>
      <c r="AB776" s="238"/>
      <c r="AC776" s="223"/>
      <c r="AD776" s="222"/>
    </row>
    <row r="777" spans="1:30" x14ac:dyDescent="0.4">
      <c r="A777" s="230">
        <v>157</v>
      </c>
      <c r="B777" s="8">
        <v>157</v>
      </c>
      <c r="C777" s="14">
        <f t="shared" ref="C777:C840" ca="1" si="459">INDIRECT("'Закуп'!A" &amp; B777)</f>
        <v>0.27</v>
      </c>
      <c r="D777" s="20">
        <f t="shared" ca="1" si="434"/>
        <v>0.32400000000000001</v>
      </c>
      <c r="E777" s="224" t="str">
        <f ca="1">INDIRECT("'Закуп'!D" &amp; A777)</f>
        <v>У</v>
      </c>
      <c r="F777" s="231" t="str">
        <f t="shared" ref="F777" ca="1" si="460">INDIRECT("'Закуп'!E" &amp; B777)</f>
        <v>140х95х205</v>
      </c>
      <c r="G777" s="172" t="str">
        <f t="shared" ca="1" si="454"/>
        <v/>
      </c>
      <c r="H777" s="93" t="str">
        <f t="shared" ca="1" si="455"/>
        <v/>
      </c>
      <c r="I777" s="21">
        <v>50</v>
      </c>
      <c r="J777" s="68">
        <f t="shared" si="456"/>
        <v>0.88333333333333341</v>
      </c>
      <c r="K777" s="70">
        <v>1.06</v>
      </c>
      <c r="L777" s="72">
        <f t="shared" ca="1" si="452"/>
        <v>0.4906666666666667</v>
      </c>
      <c r="M777" s="73">
        <f t="shared" ca="1" si="453"/>
        <v>24.533333333333335</v>
      </c>
      <c r="N777" s="12" t="s">
        <v>40</v>
      </c>
      <c r="O777" s="47" t="s">
        <v>45</v>
      </c>
      <c r="P777" s="13">
        <f t="shared" si="441"/>
        <v>1.06</v>
      </c>
      <c r="Q777" s="1" t="str">
        <f t="shared" si="443"/>
        <v>50-90 шт - 1,06 руб / шт с НДС</v>
      </c>
      <c r="R777" s="235" t="str">
        <f ca="1">INDIRECT("'Закуп'!k" &amp; A777)</f>
        <v>K158</v>
      </c>
      <c r="S777" s="239">
        <f ca="1">INDIRECT("'Закуп'!o" &amp; A777)</f>
        <v>2.73</v>
      </c>
      <c r="T777" s="226" t="str">
        <f ca="1">INDIRECT("'Закуп'!p" &amp; A777)</f>
        <v>2-2,9 литра</v>
      </c>
      <c r="U777" s="228" t="str">
        <f ca="1">INDIRECT("'Закуп'!v" &amp; A777)</f>
        <v/>
      </c>
      <c r="V777" s="222" t="str">
        <f ca="1">INDIRECT("'Закуп'!w" &amp; A777)</f>
        <v/>
      </c>
      <c r="W777" s="229" t="str">
        <f ca="1">INDIRECT("'Закуп'!H" &amp; A777)</f>
        <v>х</v>
      </c>
      <c r="X777" s="227" t="str">
        <f t="shared" ref="X777" ca="1" si="461">INDIRECT("'Закуп'!g" &amp; A777)</f>
        <v>Ч</v>
      </c>
      <c r="Y777" s="229" t="str">
        <f ca="1">INDIRECT("'Закуп'!i" &amp; A777)</f>
        <v>В</v>
      </c>
      <c r="Z777" s="236" t="str">
        <f ca="1">INDIRECT("'Закуп'!x" &amp; A777)</f>
        <v>200-299 мм</v>
      </c>
      <c r="AA777" s="237" t="str">
        <f ca="1">INDIRECT("'Закуп'!y" &amp; A777)</f>
        <v>100-199 мм</v>
      </c>
      <c r="AB777" s="238" t="str">
        <f ca="1">INDIRECT("'Закуп'!z" &amp; A777)</f>
        <v>10-99 мм</v>
      </c>
      <c r="AC777" s="223" t="str">
        <f t="shared" ca="1" si="445"/>
        <v>140x95x205</v>
      </c>
      <c r="AD777" s="222" t="str">
        <f t="shared" ca="1" si="431"/>
        <v>140x95x205 - 140*95*205 мм</v>
      </c>
    </row>
    <row r="778" spans="1:30" x14ac:dyDescent="0.4">
      <c r="A778" s="230"/>
      <c r="B778" s="8">
        <v>157</v>
      </c>
      <c r="C778" s="14">
        <f t="shared" ca="1" si="459"/>
        <v>0.27</v>
      </c>
      <c r="D778" s="20">
        <f t="shared" ca="1" si="434"/>
        <v>0.32400000000000001</v>
      </c>
      <c r="E778" s="225"/>
      <c r="F778" s="231"/>
      <c r="G778" s="172" t="str">
        <f t="shared" ca="1" si="454"/>
        <v/>
      </c>
      <c r="H778" s="93" t="str">
        <f t="shared" ca="1" si="455"/>
        <v/>
      </c>
      <c r="I778" s="21">
        <v>100</v>
      </c>
      <c r="J778" s="68">
        <f t="shared" si="456"/>
        <v>0.75833333333333341</v>
      </c>
      <c r="K778" s="70">
        <v>0.91</v>
      </c>
      <c r="L778" s="72">
        <f t="shared" ca="1" si="452"/>
        <v>0.39066666666666672</v>
      </c>
      <c r="M778" s="73">
        <f t="shared" ca="1" si="453"/>
        <v>39.06666666666667</v>
      </c>
      <c r="N778" s="12" t="s">
        <v>41</v>
      </c>
      <c r="O778" s="47" t="s">
        <v>45</v>
      </c>
      <c r="P778" s="13">
        <f t="shared" si="441"/>
        <v>0.91</v>
      </c>
      <c r="Q778" s="1" t="str">
        <f t="shared" si="443"/>
        <v>100-290 шт - 0,91 руб / шт с НДС</v>
      </c>
      <c r="R778" s="235"/>
      <c r="S778" s="239"/>
      <c r="T778" s="226"/>
      <c r="U778" s="228"/>
      <c r="V778" s="222"/>
      <c r="W778" s="229"/>
      <c r="X778" s="227"/>
      <c r="Y778" s="229"/>
      <c r="Z778" s="236"/>
      <c r="AA778" s="237"/>
      <c r="AB778" s="238"/>
      <c r="AC778" s="223"/>
      <c r="AD778" s="222"/>
    </row>
    <row r="779" spans="1:30" x14ac:dyDescent="0.4">
      <c r="A779" s="230"/>
      <c r="B779" s="8">
        <v>157</v>
      </c>
      <c r="C779" s="14">
        <f t="shared" ca="1" si="459"/>
        <v>0.27</v>
      </c>
      <c r="D779" s="20">
        <f t="shared" ca="1" si="434"/>
        <v>0.32400000000000001</v>
      </c>
      <c r="E779" s="225"/>
      <c r="F779" s="231"/>
      <c r="G779" s="172" t="str">
        <f t="shared" ca="1" si="454"/>
        <v/>
      </c>
      <c r="H779" s="93" t="str">
        <f t="shared" ca="1" si="455"/>
        <v/>
      </c>
      <c r="I779" s="21">
        <v>300</v>
      </c>
      <c r="J779" s="68">
        <f t="shared" si="456"/>
        <v>0.58333333333333337</v>
      </c>
      <c r="K779" s="70">
        <v>0.7</v>
      </c>
      <c r="L779" s="72">
        <f t="shared" ca="1" si="452"/>
        <v>0.2506666666666667</v>
      </c>
      <c r="M779" s="73">
        <f t="shared" ca="1" si="453"/>
        <v>75.200000000000017</v>
      </c>
      <c r="N779" s="12" t="s">
        <v>42</v>
      </c>
      <c r="O779" s="47" t="s">
        <v>45</v>
      </c>
      <c r="P779" s="13">
        <f t="shared" si="441"/>
        <v>0.7</v>
      </c>
      <c r="Q779" s="1" t="str">
        <f t="shared" si="443"/>
        <v>300-490 шт - 0,7 руб / шт с НДС</v>
      </c>
      <c r="R779" s="235"/>
      <c r="S779" s="239"/>
      <c r="T779" s="226"/>
      <c r="U779" s="228"/>
      <c r="V779" s="222"/>
      <c r="W779" s="229"/>
      <c r="X779" s="227"/>
      <c r="Y779" s="229"/>
      <c r="Z779" s="236"/>
      <c r="AA779" s="237"/>
      <c r="AB779" s="238"/>
      <c r="AC779" s="223"/>
      <c r="AD779" s="222"/>
    </row>
    <row r="780" spans="1:30" x14ac:dyDescent="0.4">
      <c r="A780" s="230"/>
      <c r="B780" s="8">
        <v>157</v>
      </c>
      <c r="C780" s="14">
        <f t="shared" ca="1" si="459"/>
        <v>0.27</v>
      </c>
      <c r="D780" s="20">
        <f t="shared" ca="1" si="434"/>
        <v>0.32400000000000001</v>
      </c>
      <c r="E780" s="225"/>
      <c r="F780" s="231"/>
      <c r="G780" s="172" t="str">
        <f t="shared" ca="1" si="454"/>
        <v/>
      </c>
      <c r="H780" s="93" t="str">
        <f t="shared" ca="1" si="455"/>
        <v/>
      </c>
      <c r="I780" s="21">
        <v>500</v>
      </c>
      <c r="J780" s="68">
        <f t="shared" si="456"/>
        <v>0.54166666666666674</v>
      </c>
      <c r="K780" s="70">
        <v>0.65</v>
      </c>
      <c r="L780" s="72">
        <f t="shared" ca="1" si="452"/>
        <v>0.21733333333333338</v>
      </c>
      <c r="M780" s="73">
        <f t="shared" ca="1" si="453"/>
        <v>108.66666666666669</v>
      </c>
      <c r="N780" s="12" t="s">
        <v>43</v>
      </c>
      <c r="O780" s="47" t="s">
        <v>45</v>
      </c>
      <c r="P780" s="13">
        <f t="shared" si="441"/>
        <v>0.65</v>
      </c>
      <c r="Q780" s="1" t="str">
        <f t="shared" si="443"/>
        <v>500-990 шт - 0,65 руб / шт с НДС</v>
      </c>
      <c r="R780" s="235"/>
      <c r="S780" s="239"/>
      <c r="T780" s="226"/>
      <c r="U780" s="228"/>
      <c r="V780" s="222"/>
      <c r="W780" s="229"/>
      <c r="X780" s="227"/>
      <c r="Y780" s="229"/>
      <c r="Z780" s="236"/>
      <c r="AA780" s="237"/>
      <c r="AB780" s="238"/>
      <c r="AC780" s="223"/>
      <c r="AD780" s="222"/>
    </row>
    <row r="781" spans="1:30" x14ac:dyDescent="0.4">
      <c r="A781" s="230"/>
      <c r="B781" s="8">
        <v>157</v>
      </c>
      <c r="C781" s="14">
        <f t="shared" ca="1" si="459"/>
        <v>0.27</v>
      </c>
      <c r="D781" s="20">
        <f t="shared" ca="1" si="434"/>
        <v>0.32400000000000001</v>
      </c>
      <c r="E781" s="225"/>
      <c r="F781" s="231"/>
      <c r="G781" s="172" t="str">
        <f t="shared" ca="1" si="454"/>
        <v/>
      </c>
      <c r="H781" s="93" t="str">
        <f t="shared" ca="1" si="455"/>
        <v/>
      </c>
      <c r="I781" s="21">
        <v>1000</v>
      </c>
      <c r="J781" s="68">
        <f t="shared" si="456"/>
        <v>0.51666666666666672</v>
      </c>
      <c r="K781" s="70">
        <v>0.62</v>
      </c>
      <c r="L781" s="72">
        <f t="shared" ca="1" si="452"/>
        <v>0.19733333333333336</v>
      </c>
      <c r="M781" s="73">
        <f t="shared" ca="1" si="453"/>
        <v>197.33333333333337</v>
      </c>
      <c r="N781" s="12" t="s">
        <v>44</v>
      </c>
      <c r="O781" s="47" t="s">
        <v>45</v>
      </c>
      <c r="P781" s="13">
        <f t="shared" si="441"/>
        <v>0.62</v>
      </c>
      <c r="Q781" s="1" t="str">
        <f t="shared" si="443"/>
        <v>1000 + шт - 0,62 руб / шт с НДС</v>
      </c>
      <c r="R781" s="235"/>
      <c r="S781" s="239"/>
      <c r="T781" s="226"/>
      <c r="U781" s="228"/>
      <c r="V781" s="222"/>
      <c r="W781" s="229"/>
      <c r="X781" s="227"/>
      <c r="Y781" s="229"/>
      <c r="Z781" s="236"/>
      <c r="AA781" s="237"/>
      <c r="AB781" s="238"/>
      <c r="AC781" s="223"/>
      <c r="AD781" s="222"/>
    </row>
    <row r="782" spans="1:30" x14ac:dyDescent="0.4">
      <c r="A782" s="230">
        <v>158</v>
      </c>
      <c r="B782" s="8">
        <v>158</v>
      </c>
      <c r="C782" s="14">
        <f t="shared" ca="1" si="459"/>
        <v>0.27</v>
      </c>
      <c r="D782" s="20">
        <f t="shared" ca="1" si="434"/>
        <v>0.32400000000000001</v>
      </c>
      <c r="E782" s="224" t="str">
        <f ca="1">INDIRECT("'Закуп'!D" &amp; A782)</f>
        <v>У</v>
      </c>
      <c r="F782" s="231" t="str">
        <f t="shared" ref="F782" ca="1" si="462">INDIRECT("'Закуп'!E" &amp; B782)</f>
        <v>210х103х130</v>
      </c>
      <c r="G782" s="172" t="str">
        <f t="shared" ca="1" si="454"/>
        <v/>
      </c>
      <c r="H782" s="93" t="str">
        <f t="shared" ca="1" si="455"/>
        <v/>
      </c>
      <c r="I782" s="21">
        <v>50</v>
      </c>
      <c r="J782" s="68">
        <f t="shared" si="456"/>
        <v>0.88333333333333341</v>
      </c>
      <c r="K782" s="70">
        <v>1.06</v>
      </c>
      <c r="L782" s="72">
        <f t="shared" ca="1" si="452"/>
        <v>0.4906666666666667</v>
      </c>
      <c r="M782" s="73">
        <f t="shared" ca="1" si="453"/>
        <v>24.533333333333335</v>
      </c>
      <c r="N782" s="12" t="s">
        <v>40</v>
      </c>
      <c r="O782" s="47" t="s">
        <v>45</v>
      </c>
      <c r="P782" s="13">
        <f t="shared" si="441"/>
        <v>1.06</v>
      </c>
      <c r="Q782" s="1" t="str">
        <f t="shared" si="443"/>
        <v>50-90 шт - 1,06 руб / шт с НДС</v>
      </c>
      <c r="R782" s="235" t="str">
        <f ca="1">INDIRECT("'Закуп'!k" &amp; A782)</f>
        <v>K159</v>
      </c>
      <c r="S782" s="239">
        <f ca="1">INDIRECT("'Закуп'!o" &amp; A782)</f>
        <v>2.81</v>
      </c>
      <c r="T782" s="226" t="str">
        <f ca="1">INDIRECT("'Закуп'!p" &amp; A782)</f>
        <v>2-2,9 литра</v>
      </c>
      <c r="U782" s="228" t="str">
        <f ca="1">INDIRECT("'Закуп'!v" &amp; A782)</f>
        <v/>
      </c>
      <c r="V782" s="222" t="str">
        <f ca="1">INDIRECT("'Закуп'!w" &amp; A782)</f>
        <v/>
      </c>
      <c r="W782" s="229" t="str">
        <f ca="1">INDIRECT("'Закуп'!H" &amp; A782)</f>
        <v>х</v>
      </c>
      <c r="X782" s="227" t="str">
        <f t="shared" ref="X782" ca="1" si="463">INDIRECT("'Закуп'!g" &amp; A782)</f>
        <v>Ч</v>
      </c>
      <c r="Y782" s="229" t="str">
        <f ca="1">INDIRECT("'Закуп'!i" &amp; A782)</f>
        <v>В</v>
      </c>
      <c r="Z782" s="236" t="str">
        <f ca="1">INDIRECT("'Закуп'!x" &amp; A782)</f>
        <v>200-299 мм</v>
      </c>
      <c r="AA782" s="237" t="str">
        <f ca="1">INDIRECT("'Закуп'!y" &amp; A782)</f>
        <v>100-199 мм</v>
      </c>
      <c r="AB782" s="238" t="str">
        <f ca="1">INDIRECT("'Закуп'!z" &amp; A782)</f>
        <v>100-199 мм</v>
      </c>
      <c r="AC782" s="223" t="str">
        <f t="shared" ca="1" si="445"/>
        <v>210x103x130</v>
      </c>
      <c r="AD782" s="222" t="str">
        <f t="shared" ca="1" si="431"/>
        <v>210x103x130 - 210*103*130 мм</v>
      </c>
    </row>
    <row r="783" spans="1:30" x14ac:dyDescent="0.4">
      <c r="A783" s="230"/>
      <c r="B783" s="8">
        <v>158</v>
      </c>
      <c r="C783" s="14">
        <f t="shared" ca="1" si="459"/>
        <v>0.27</v>
      </c>
      <c r="D783" s="20">
        <f t="shared" ca="1" si="434"/>
        <v>0.32400000000000001</v>
      </c>
      <c r="E783" s="225"/>
      <c r="F783" s="231"/>
      <c r="G783" s="172" t="str">
        <f t="shared" ca="1" si="454"/>
        <v/>
      </c>
      <c r="H783" s="93" t="str">
        <f t="shared" ca="1" si="455"/>
        <v/>
      </c>
      <c r="I783" s="21">
        <v>100</v>
      </c>
      <c r="J783" s="68">
        <f t="shared" si="456"/>
        <v>0.75833333333333341</v>
      </c>
      <c r="K783" s="70">
        <v>0.91</v>
      </c>
      <c r="L783" s="72">
        <f t="shared" ca="1" si="452"/>
        <v>0.39066666666666672</v>
      </c>
      <c r="M783" s="73">
        <f t="shared" ca="1" si="453"/>
        <v>39.06666666666667</v>
      </c>
      <c r="N783" s="12" t="s">
        <v>41</v>
      </c>
      <c r="O783" s="47" t="s">
        <v>45</v>
      </c>
      <c r="P783" s="13">
        <f t="shared" si="441"/>
        <v>0.91</v>
      </c>
      <c r="Q783" s="1" t="str">
        <f t="shared" si="443"/>
        <v>100-290 шт - 0,91 руб / шт с НДС</v>
      </c>
      <c r="R783" s="235"/>
      <c r="S783" s="239"/>
      <c r="T783" s="226"/>
      <c r="U783" s="228"/>
      <c r="V783" s="222"/>
      <c r="W783" s="229"/>
      <c r="X783" s="227"/>
      <c r="Y783" s="229"/>
      <c r="Z783" s="236"/>
      <c r="AA783" s="237"/>
      <c r="AB783" s="238"/>
      <c r="AC783" s="223"/>
      <c r="AD783" s="222"/>
    </row>
    <row r="784" spans="1:30" x14ac:dyDescent="0.4">
      <c r="A784" s="230"/>
      <c r="B784" s="8">
        <v>158</v>
      </c>
      <c r="C784" s="14">
        <f t="shared" ca="1" si="459"/>
        <v>0.27</v>
      </c>
      <c r="D784" s="20">
        <f t="shared" ca="1" si="434"/>
        <v>0.32400000000000001</v>
      </c>
      <c r="E784" s="225"/>
      <c r="F784" s="231"/>
      <c r="G784" s="172" t="str">
        <f t="shared" ca="1" si="454"/>
        <v/>
      </c>
      <c r="H784" s="93" t="str">
        <f t="shared" ca="1" si="455"/>
        <v/>
      </c>
      <c r="I784" s="21">
        <v>300</v>
      </c>
      <c r="J784" s="68">
        <f t="shared" si="456"/>
        <v>0.58333333333333337</v>
      </c>
      <c r="K784" s="70">
        <v>0.7</v>
      </c>
      <c r="L784" s="72">
        <f t="shared" ca="1" si="452"/>
        <v>0.2506666666666667</v>
      </c>
      <c r="M784" s="73">
        <f t="shared" ca="1" si="453"/>
        <v>75.200000000000017</v>
      </c>
      <c r="N784" s="12" t="s">
        <v>42</v>
      </c>
      <c r="O784" s="47" t="s">
        <v>45</v>
      </c>
      <c r="P784" s="13">
        <f t="shared" si="441"/>
        <v>0.7</v>
      </c>
      <c r="Q784" s="1" t="str">
        <f t="shared" si="443"/>
        <v>300-490 шт - 0,7 руб / шт с НДС</v>
      </c>
      <c r="R784" s="235"/>
      <c r="S784" s="239"/>
      <c r="T784" s="226"/>
      <c r="U784" s="228"/>
      <c r="V784" s="222"/>
      <c r="W784" s="229"/>
      <c r="X784" s="227"/>
      <c r="Y784" s="229"/>
      <c r="Z784" s="236"/>
      <c r="AA784" s="237"/>
      <c r="AB784" s="238"/>
      <c r="AC784" s="223"/>
      <c r="AD784" s="222"/>
    </row>
    <row r="785" spans="1:30" x14ac:dyDescent="0.4">
      <c r="A785" s="230"/>
      <c r="B785" s="8">
        <v>158</v>
      </c>
      <c r="C785" s="14">
        <f t="shared" ca="1" si="459"/>
        <v>0.27</v>
      </c>
      <c r="D785" s="20">
        <f t="shared" ca="1" si="434"/>
        <v>0.32400000000000001</v>
      </c>
      <c r="E785" s="225"/>
      <c r="F785" s="231"/>
      <c r="G785" s="172" t="str">
        <f t="shared" ca="1" si="454"/>
        <v/>
      </c>
      <c r="H785" s="93" t="str">
        <f t="shared" ca="1" si="455"/>
        <v/>
      </c>
      <c r="I785" s="21">
        <v>500</v>
      </c>
      <c r="J785" s="68">
        <f t="shared" si="456"/>
        <v>0.54166666666666674</v>
      </c>
      <c r="K785" s="70">
        <v>0.65</v>
      </c>
      <c r="L785" s="72">
        <f t="shared" ca="1" si="452"/>
        <v>0.21733333333333338</v>
      </c>
      <c r="M785" s="73">
        <f t="shared" ca="1" si="453"/>
        <v>108.66666666666669</v>
      </c>
      <c r="N785" s="12" t="s">
        <v>43</v>
      </c>
      <c r="O785" s="47" t="s">
        <v>45</v>
      </c>
      <c r="P785" s="13">
        <f t="shared" si="441"/>
        <v>0.65</v>
      </c>
      <c r="Q785" s="1" t="str">
        <f t="shared" si="443"/>
        <v>500-990 шт - 0,65 руб / шт с НДС</v>
      </c>
      <c r="R785" s="235"/>
      <c r="S785" s="239"/>
      <c r="T785" s="226"/>
      <c r="U785" s="228"/>
      <c r="V785" s="222"/>
      <c r="W785" s="229"/>
      <c r="X785" s="227"/>
      <c r="Y785" s="229"/>
      <c r="Z785" s="236"/>
      <c r="AA785" s="237"/>
      <c r="AB785" s="238"/>
      <c r="AC785" s="223"/>
      <c r="AD785" s="222"/>
    </row>
    <row r="786" spans="1:30" x14ac:dyDescent="0.4">
      <c r="A786" s="230"/>
      <c r="B786" s="8">
        <v>158</v>
      </c>
      <c r="C786" s="14">
        <f t="shared" ca="1" si="459"/>
        <v>0.27</v>
      </c>
      <c r="D786" s="20">
        <f t="shared" ca="1" si="434"/>
        <v>0.32400000000000001</v>
      </c>
      <c r="E786" s="225"/>
      <c r="F786" s="231"/>
      <c r="G786" s="172" t="str">
        <f t="shared" ca="1" si="454"/>
        <v/>
      </c>
      <c r="H786" s="93" t="str">
        <f t="shared" ca="1" si="455"/>
        <v/>
      </c>
      <c r="I786" s="21">
        <v>1000</v>
      </c>
      <c r="J786" s="68">
        <f t="shared" si="456"/>
        <v>0.51666666666666672</v>
      </c>
      <c r="K786" s="70">
        <v>0.62</v>
      </c>
      <c r="L786" s="72">
        <f t="shared" ca="1" si="452"/>
        <v>0.19733333333333336</v>
      </c>
      <c r="M786" s="73">
        <f t="shared" ca="1" si="453"/>
        <v>197.33333333333337</v>
      </c>
      <c r="N786" s="12" t="s">
        <v>44</v>
      </c>
      <c r="O786" s="47" t="s">
        <v>45</v>
      </c>
      <c r="P786" s="13">
        <f t="shared" si="441"/>
        <v>0.62</v>
      </c>
      <c r="Q786" s="1" t="str">
        <f t="shared" si="443"/>
        <v>1000 + шт - 0,62 руб / шт с НДС</v>
      </c>
      <c r="R786" s="235"/>
      <c r="S786" s="239"/>
      <c r="T786" s="226"/>
      <c r="U786" s="228"/>
      <c r="V786" s="222"/>
      <c r="W786" s="229"/>
      <c r="X786" s="227"/>
      <c r="Y786" s="229"/>
      <c r="Z786" s="236"/>
      <c r="AA786" s="237"/>
      <c r="AB786" s="238"/>
      <c r="AC786" s="223"/>
      <c r="AD786" s="222"/>
    </row>
    <row r="787" spans="1:30" x14ac:dyDescent="0.4">
      <c r="A787" s="230">
        <v>159</v>
      </c>
      <c r="B787" s="8">
        <v>159</v>
      </c>
      <c r="C787" s="14">
        <f t="shared" ca="1" si="459"/>
        <v>0.88</v>
      </c>
      <c r="D787" s="20">
        <f t="shared" ca="1" si="434"/>
        <v>1.056</v>
      </c>
      <c r="E787" s="224" t="str">
        <f ca="1">INDIRECT("'Закуп'!D" &amp; A787)</f>
        <v>У</v>
      </c>
      <c r="F787" s="231" t="str">
        <f t="shared" ref="F787" ca="1" si="464">INDIRECT("'Закуп'!E" &amp; B787)</f>
        <v>350х230х190</v>
      </c>
      <c r="G787" s="172" t="str">
        <f t="shared" ca="1" si="454"/>
        <v/>
      </c>
      <c r="H787" s="93" t="str">
        <f t="shared" ca="1" si="455"/>
        <v/>
      </c>
      <c r="I787" s="21">
        <v>50</v>
      </c>
      <c r="J787" s="68">
        <f t="shared" si="456"/>
        <v>2.0666666666666669</v>
      </c>
      <c r="K787" s="70">
        <v>2.48</v>
      </c>
      <c r="L787" s="72">
        <f t="shared" ca="1" si="452"/>
        <v>0.94933333333333358</v>
      </c>
      <c r="M787" s="73">
        <f t="shared" ca="1" si="453"/>
        <v>47.466666666666683</v>
      </c>
      <c r="N787" s="12" t="s">
        <v>40</v>
      </c>
      <c r="O787" s="47" t="s">
        <v>45</v>
      </c>
      <c r="P787" s="13">
        <f t="shared" si="441"/>
        <v>2.48</v>
      </c>
      <c r="Q787" s="1" t="str">
        <f t="shared" si="443"/>
        <v>50-90 шт - 2,48 руб / шт с НДС</v>
      </c>
      <c r="R787" s="235" t="str">
        <f ca="1">INDIRECT("'Закуп'!k" &amp; A787)</f>
        <v>K160</v>
      </c>
      <c r="S787" s="239">
        <f ca="1">INDIRECT("'Закуп'!o" &amp; A787)</f>
        <v>15.3</v>
      </c>
      <c r="T787" s="226" t="str">
        <f ca="1">INDIRECT("'Закуп'!p" &amp; A787)</f>
        <v>15-19,9 литров</v>
      </c>
      <c r="U787" s="228" t="str">
        <f ca="1">INDIRECT("'Закуп'!v" &amp; A787)</f>
        <v/>
      </c>
      <c r="V787" s="222" t="str">
        <f ca="1">INDIRECT("'Закуп'!w" &amp; A787)</f>
        <v/>
      </c>
      <c r="W787" s="229" t="str">
        <f ca="1">INDIRECT("'Закуп'!H" &amp; A787)</f>
        <v>х</v>
      </c>
      <c r="X787" s="227" t="str">
        <f t="shared" ref="X787" ca="1" si="465">INDIRECT("'Закуп'!g" &amp; A787)</f>
        <v>Ч</v>
      </c>
      <c r="Y787" s="229" t="str">
        <f ca="1">INDIRECT("'Закуп'!i" &amp; A787)</f>
        <v>В</v>
      </c>
      <c r="Z787" s="236" t="str">
        <f ca="1">INDIRECT("'Закуп'!x" &amp; A787)</f>
        <v>300-399 мм</v>
      </c>
      <c r="AA787" s="237" t="str">
        <f ca="1">INDIRECT("'Закуп'!y" &amp; A787)</f>
        <v>200-299 мм</v>
      </c>
      <c r="AB787" s="238" t="str">
        <f ca="1">INDIRECT("'Закуп'!z" &amp; A787)</f>
        <v>100-199 мм</v>
      </c>
      <c r="AC787" s="223" t="str">
        <f t="shared" ca="1" si="445"/>
        <v>350x230x190</v>
      </c>
      <c r="AD787" s="222" t="str">
        <f t="shared" ca="1" si="431"/>
        <v>350x230x190 - 350*230*190 мм</v>
      </c>
    </row>
    <row r="788" spans="1:30" x14ac:dyDescent="0.4">
      <c r="A788" s="230"/>
      <c r="B788" s="8">
        <v>159</v>
      </c>
      <c r="C788" s="14">
        <f t="shared" ca="1" si="459"/>
        <v>0.88</v>
      </c>
      <c r="D788" s="20">
        <f t="shared" ca="1" si="434"/>
        <v>1.056</v>
      </c>
      <c r="E788" s="225"/>
      <c r="F788" s="231"/>
      <c r="G788" s="172" t="str">
        <f t="shared" ca="1" si="454"/>
        <v/>
      </c>
      <c r="H788" s="93" t="str">
        <f t="shared" ca="1" si="455"/>
        <v/>
      </c>
      <c r="I788" s="21">
        <v>100</v>
      </c>
      <c r="J788" s="68">
        <f t="shared" si="456"/>
        <v>1.8833333333333333</v>
      </c>
      <c r="K788" s="70">
        <v>2.2599999999999998</v>
      </c>
      <c r="L788" s="72">
        <f t="shared" ca="1" si="452"/>
        <v>0.80266666666666675</v>
      </c>
      <c r="M788" s="73">
        <f t="shared" ca="1" si="453"/>
        <v>80.26666666666668</v>
      </c>
      <c r="N788" s="12" t="s">
        <v>41</v>
      </c>
      <c r="O788" s="47" t="s">
        <v>45</v>
      </c>
      <c r="P788" s="13">
        <f t="shared" si="441"/>
        <v>2.2599999999999998</v>
      </c>
      <c r="Q788" s="1" t="str">
        <f t="shared" si="443"/>
        <v>100-290 шт - 2,26 руб / шт с НДС</v>
      </c>
      <c r="R788" s="235"/>
      <c r="S788" s="239"/>
      <c r="T788" s="226"/>
      <c r="U788" s="228"/>
      <c r="V788" s="222"/>
      <c r="W788" s="229"/>
      <c r="X788" s="227"/>
      <c r="Y788" s="229"/>
      <c r="Z788" s="236"/>
      <c r="AA788" s="237"/>
      <c r="AB788" s="238"/>
      <c r="AC788" s="223"/>
      <c r="AD788" s="222"/>
    </row>
    <row r="789" spans="1:30" x14ac:dyDescent="0.4">
      <c r="A789" s="230"/>
      <c r="B789" s="8">
        <v>159</v>
      </c>
      <c r="C789" s="14">
        <f t="shared" ca="1" si="459"/>
        <v>0.88</v>
      </c>
      <c r="D789" s="20">
        <f t="shared" ca="1" si="434"/>
        <v>1.056</v>
      </c>
      <c r="E789" s="225"/>
      <c r="F789" s="231"/>
      <c r="G789" s="172" t="str">
        <f t="shared" ca="1" si="454"/>
        <v/>
      </c>
      <c r="H789" s="93" t="str">
        <f t="shared" ca="1" si="455"/>
        <v/>
      </c>
      <c r="I789" s="21">
        <v>300</v>
      </c>
      <c r="J789" s="68">
        <f t="shared" si="456"/>
        <v>1.4750000000000001</v>
      </c>
      <c r="K789" s="70">
        <v>1.77</v>
      </c>
      <c r="L789" s="72">
        <f t="shared" ca="1" si="452"/>
        <v>0.47600000000000009</v>
      </c>
      <c r="M789" s="73">
        <f t="shared" ca="1" si="453"/>
        <v>142.80000000000004</v>
      </c>
      <c r="N789" s="12" t="s">
        <v>42</v>
      </c>
      <c r="O789" s="47" t="s">
        <v>45</v>
      </c>
      <c r="P789" s="13">
        <f t="shared" si="441"/>
        <v>1.77</v>
      </c>
      <c r="Q789" s="1" t="str">
        <f t="shared" si="443"/>
        <v>300-490 шт - 1,77 руб / шт с НДС</v>
      </c>
      <c r="R789" s="235"/>
      <c r="S789" s="239"/>
      <c r="T789" s="226"/>
      <c r="U789" s="228"/>
      <c r="V789" s="222"/>
      <c r="W789" s="229"/>
      <c r="X789" s="227"/>
      <c r="Y789" s="229"/>
      <c r="Z789" s="236"/>
      <c r="AA789" s="237"/>
      <c r="AB789" s="238"/>
      <c r="AC789" s="223"/>
      <c r="AD789" s="222"/>
    </row>
    <row r="790" spans="1:30" x14ac:dyDescent="0.4">
      <c r="A790" s="230"/>
      <c r="B790" s="8">
        <v>159</v>
      </c>
      <c r="C790" s="14">
        <f t="shared" ca="1" si="459"/>
        <v>0.88</v>
      </c>
      <c r="D790" s="20">
        <f t="shared" ca="1" si="434"/>
        <v>1.056</v>
      </c>
      <c r="E790" s="225"/>
      <c r="F790" s="231"/>
      <c r="G790" s="172" t="str">
        <f t="shared" ca="1" si="454"/>
        <v/>
      </c>
      <c r="H790" s="93" t="str">
        <f t="shared" ca="1" si="455"/>
        <v/>
      </c>
      <c r="I790" s="21">
        <v>500</v>
      </c>
      <c r="J790" s="68">
        <f t="shared" si="456"/>
        <v>1.2750000000000001</v>
      </c>
      <c r="K790" s="70">
        <v>1.53</v>
      </c>
      <c r="L790" s="72">
        <f t="shared" ca="1" si="452"/>
        <v>0.31600000000000011</v>
      </c>
      <c r="M790" s="73">
        <f t="shared" ca="1" si="453"/>
        <v>158.00000000000006</v>
      </c>
      <c r="N790" s="12" t="s">
        <v>43</v>
      </c>
      <c r="O790" s="47" t="s">
        <v>45</v>
      </c>
      <c r="P790" s="13">
        <f t="shared" si="441"/>
        <v>1.53</v>
      </c>
      <c r="Q790" s="1" t="str">
        <f t="shared" si="443"/>
        <v>500-990 шт - 1,53 руб / шт с НДС</v>
      </c>
      <c r="R790" s="235"/>
      <c r="S790" s="239"/>
      <c r="T790" s="226"/>
      <c r="U790" s="228"/>
      <c r="V790" s="222"/>
      <c r="W790" s="229"/>
      <c r="X790" s="227"/>
      <c r="Y790" s="229"/>
      <c r="Z790" s="236"/>
      <c r="AA790" s="237"/>
      <c r="AB790" s="238"/>
      <c r="AC790" s="223"/>
      <c r="AD790" s="222"/>
    </row>
    <row r="791" spans="1:30" x14ac:dyDescent="0.4">
      <c r="A791" s="230"/>
      <c r="B791" s="8">
        <v>159</v>
      </c>
      <c r="C791" s="14">
        <f t="shared" ca="1" si="459"/>
        <v>0.88</v>
      </c>
      <c r="D791" s="20">
        <f t="shared" ca="1" si="434"/>
        <v>1.056</v>
      </c>
      <c r="E791" s="225"/>
      <c r="F791" s="231"/>
      <c r="G791" s="172" t="str">
        <f t="shared" ca="1" si="454"/>
        <v/>
      </c>
      <c r="H791" s="93" t="str">
        <f t="shared" ca="1" si="455"/>
        <v/>
      </c>
      <c r="I791" s="21">
        <v>1000</v>
      </c>
      <c r="J791" s="68">
        <f t="shared" si="456"/>
        <v>1.1833333333333333</v>
      </c>
      <c r="K791" s="70">
        <v>1.42</v>
      </c>
      <c r="L791" s="72">
        <f t="shared" ca="1" si="452"/>
        <v>0.24266666666666667</v>
      </c>
      <c r="M791" s="73">
        <f t="shared" ca="1" si="453"/>
        <v>242.66666666666666</v>
      </c>
      <c r="N791" s="12" t="s">
        <v>44</v>
      </c>
      <c r="O791" s="47" t="s">
        <v>45</v>
      </c>
      <c r="P791" s="13">
        <f t="shared" si="441"/>
        <v>1.42</v>
      </c>
      <c r="Q791" s="1" t="str">
        <f t="shared" si="443"/>
        <v>1000 + шт - 1,42 руб / шт с НДС</v>
      </c>
      <c r="R791" s="235"/>
      <c r="S791" s="239"/>
      <c r="T791" s="226"/>
      <c r="U791" s="228"/>
      <c r="V791" s="222"/>
      <c r="W791" s="229"/>
      <c r="X791" s="227"/>
      <c r="Y791" s="229"/>
      <c r="Z791" s="236"/>
      <c r="AA791" s="237"/>
      <c r="AB791" s="238"/>
      <c r="AC791" s="223"/>
      <c r="AD791" s="222"/>
    </row>
    <row r="792" spans="1:30" x14ac:dyDescent="0.4">
      <c r="A792" s="230">
        <v>160</v>
      </c>
      <c r="B792" s="8">
        <v>160</v>
      </c>
      <c r="C792" s="14">
        <f t="shared" ca="1" si="459"/>
        <v>2.16</v>
      </c>
      <c r="D792" s="20">
        <f t="shared" ca="1" si="434"/>
        <v>2.5920000000000001</v>
      </c>
      <c r="E792" s="224" t="str">
        <f ca="1">INDIRECT("'Закуп'!D" &amp; A792)</f>
        <v>У</v>
      </c>
      <c r="F792" s="231" t="str">
        <f t="shared" ref="F792" ca="1" si="466">INDIRECT("'Закуп'!E" &amp; B792)</f>
        <v>560х360х300</v>
      </c>
      <c r="G792" s="172" t="str">
        <f t="shared" ca="1" si="454"/>
        <v/>
      </c>
      <c r="H792" s="93" t="str">
        <f t="shared" ca="1" si="455"/>
        <v/>
      </c>
      <c r="I792" s="21">
        <v>50</v>
      </c>
      <c r="J792" s="68">
        <f t="shared" si="456"/>
        <v>3.7000000000000006</v>
      </c>
      <c r="K792" s="70">
        <v>4.4400000000000004</v>
      </c>
      <c r="L792" s="72">
        <f t="shared" ca="1" si="452"/>
        <v>1.2320000000000004</v>
      </c>
      <c r="M792" s="73">
        <f t="shared" ca="1" si="453"/>
        <v>61.600000000000023</v>
      </c>
      <c r="N792" s="12" t="s">
        <v>40</v>
      </c>
      <c r="O792" s="47" t="s">
        <v>45</v>
      </c>
      <c r="P792" s="13">
        <f t="shared" si="441"/>
        <v>4.4400000000000004</v>
      </c>
      <c r="Q792" s="1" t="str">
        <f t="shared" si="443"/>
        <v>50-90 шт - 4,44 руб / шт с НДС</v>
      </c>
      <c r="R792" s="235" t="str">
        <f ca="1">INDIRECT("'Закуп'!k" &amp; A792)</f>
        <v>K161</v>
      </c>
      <c r="S792" s="239">
        <f ca="1">INDIRECT("'Закуп'!o" &amp; A792)</f>
        <v>60.48</v>
      </c>
      <c r="T792" s="226" t="str">
        <f ca="1">INDIRECT("'Закуп'!p" &amp; A792)</f>
        <v>60-69 литров</v>
      </c>
      <c r="U792" s="228" t="str">
        <f ca="1">INDIRECT("'Закуп'!v" &amp; A792)</f>
        <v/>
      </c>
      <c r="V792" s="222" t="str">
        <f ca="1">INDIRECT("'Закуп'!w" &amp; A792)</f>
        <v/>
      </c>
      <c r="W792" s="229" t="str">
        <f ca="1">INDIRECT("'Закуп'!H" &amp; A792)</f>
        <v>х</v>
      </c>
      <c r="X792" s="227" t="str">
        <f t="shared" ref="X792" ca="1" si="467">INDIRECT("'Закуп'!g" &amp; A792)</f>
        <v>Ч</v>
      </c>
      <c r="Y792" s="229" t="str">
        <f ca="1">INDIRECT("'Закуп'!i" &amp; A792)</f>
        <v>В</v>
      </c>
      <c r="Z792" s="236" t="str">
        <f ca="1">INDIRECT("'Закуп'!x" &amp; A792)</f>
        <v>500-599 мм</v>
      </c>
      <c r="AA792" s="237" t="str">
        <f ca="1">INDIRECT("'Закуп'!y" &amp; A792)</f>
        <v>300-399 мм</v>
      </c>
      <c r="AB792" s="238" t="str">
        <f ca="1">INDIRECT("'Закуп'!z" &amp; A792)</f>
        <v>300-399 мм</v>
      </c>
      <c r="AC792" s="223" t="str">
        <f t="shared" ca="1" si="445"/>
        <v>560x360x300</v>
      </c>
      <c r="AD792" s="222" t="str">
        <f t="shared" ref="AD792:AD852" ca="1" si="468">SUBSTITUTE(INDEX(F:F, ROUNDUP((ROW(A791))/5,0)*5 - 3), "х", "x") &amp; " - " &amp; SUBSTITUTE(SUBSTITUTE(INDEX(F:F, ROUNDUP((ROW(A791))/5,0)*5 - 3), "х", "*"), "x", "*") &amp; " мм"</f>
        <v>560x360x300 - 560*360*300 мм</v>
      </c>
    </row>
    <row r="793" spans="1:30" x14ac:dyDescent="0.4">
      <c r="A793" s="230"/>
      <c r="B793" s="8">
        <v>160</v>
      </c>
      <c r="C793" s="14">
        <f t="shared" ca="1" si="459"/>
        <v>2.16</v>
      </c>
      <c r="D793" s="20">
        <f t="shared" ca="1" si="434"/>
        <v>2.5920000000000001</v>
      </c>
      <c r="E793" s="225"/>
      <c r="F793" s="231"/>
      <c r="G793" s="172" t="str">
        <f t="shared" ca="1" si="454"/>
        <v/>
      </c>
      <c r="H793" s="93" t="str">
        <f t="shared" ca="1" si="455"/>
        <v/>
      </c>
      <c r="I793" s="21">
        <v>100</v>
      </c>
      <c r="J793" s="68">
        <f t="shared" si="456"/>
        <v>3.6000000000000005</v>
      </c>
      <c r="K793" s="70">
        <v>4.32</v>
      </c>
      <c r="L793" s="72">
        <f t="shared" ca="1" si="452"/>
        <v>1.1520000000000004</v>
      </c>
      <c r="M793" s="73">
        <f t="shared" ca="1" si="453"/>
        <v>115.20000000000003</v>
      </c>
      <c r="N793" s="12" t="s">
        <v>41</v>
      </c>
      <c r="O793" s="47" t="s">
        <v>45</v>
      </c>
      <c r="P793" s="13">
        <f t="shared" si="441"/>
        <v>4.32</v>
      </c>
      <c r="Q793" s="1" t="str">
        <f t="shared" si="443"/>
        <v>100-290 шт - 4,32 руб / шт с НДС</v>
      </c>
      <c r="R793" s="235"/>
      <c r="S793" s="239"/>
      <c r="T793" s="226"/>
      <c r="U793" s="228"/>
      <c r="V793" s="222"/>
      <c r="W793" s="229"/>
      <c r="X793" s="227"/>
      <c r="Y793" s="229"/>
      <c r="Z793" s="236"/>
      <c r="AA793" s="237"/>
      <c r="AB793" s="238"/>
      <c r="AC793" s="223"/>
      <c r="AD793" s="222"/>
    </row>
    <row r="794" spans="1:30" x14ac:dyDescent="0.4">
      <c r="A794" s="230"/>
      <c r="B794" s="8">
        <v>160</v>
      </c>
      <c r="C794" s="14">
        <f t="shared" ca="1" si="459"/>
        <v>2.16</v>
      </c>
      <c r="D794" s="20">
        <f t="shared" ca="1" si="434"/>
        <v>2.5920000000000001</v>
      </c>
      <c r="E794" s="225"/>
      <c r="F794" s="231"/>
      <c r="G794" s="172" t="str">
        <f t="shared" ca="1" si="454"/>
        <v/>
      </c>
      <c r="H794" s="93" t="str">
        <f t="shared" ca="1" si="455"/>
        <v/>
      </c>
      <c r="I794" s="21">
        <v>300</v>
      </c>
      <c r="J794" s="68">
        <f t="shared" si="456"/>
        <v>2.9583333333333335</v>
      </c>
      <c r="K794" s="70">
        <v>3.55</v>
      </c>
      <c r="L794" s="72">
        <f t="shared" ca="1" si="452"/>
        <v>0.63866666666666672</v>
      </c>
      <c r="M794" s="73">
        <f t="shared" ca="1" si="453"/>
        <v>191.60000000000002</v>
      </c>
      <c r="N794" s="12" t="s">
        <v>42</v>
      </c>
      <c r="O794" s="47" t="s">
        <v>45</v>
      </c>
      <c r="P794" s="13">
        <f t="shared" si="441"/>
        <v>3.55</v>
      </c>
      <c r="Q794" s="1" t="str">
        <f t="shared" si="443"/>
        <v>300-490 шт - 3,55 руб / шт с НДС</v>
      </c>
      <c r="R794" s="235"/>
      <c r="S794" s="239"/>
      <c r="T794" s="226"/>
      <c r="U794" s="228"/>
      <c r="V794" s="222"/>
      <c r="W794" s="229"/>
      <c r="X794" s="227"/>
      <c r="Y794" s="229"/>
      <c r="Z794" s="236"/>
      <c r="AA794" s="237"/>
      <c r="AB794" s="238"/>
      <c r="AC794" s="223"/>
      <c r="AD794" s="222"/>
    </row>
    <row r="795" spans="1:30" x14ac:dyDescent="0.4">
      <c r="A795" s="230"/>
      <c r="B795" s="8">
        <v>160</v>
      </c>
      <c r="C795" s="14">
        <f t="shared" ca="1" si="459"/>
        <v>2.16</v>
      </c>
      <c r="D795" s="20">
        <f t="shared" ca="1" si="434"/>
        <v>2.5920000000000001</v>
      </c>
      <c r="E795" s="225"/>
      <c r="F795" s="231"/>
      <c r="G795" s="172" t="str">
        <f t="shared" ca="1" si="454"/>
        <v/>
      </c>
      <c r="H795" s="93" t="str">
        <f t="shared" ca="1" si="455"/>
        <v/>
      </c>
      <c r="I795" s="21">
        <v>500</v>
      </c>
      <c r="J795" s="68">
        <f t="shared" si="456"/>
        <v>2.916666666666667</v>
      </c>
      <c r="K795" s="70">
        <v>3.5</v>
      </c>
      <c r="L795" s="72">
        <f t="shared" ca="1" si="452"/>
        <v>0.6053333333333335</v>
      </c>
      <c r="M795" s="73">
        <f t="shared" ca="1" si="453"/>
        <v>302.66666666666674</v>
      </c>
      <c r="N795" s="12" t="s">
        <v>43</v>
      </c>
      <c r="O795" s="47" t="s">
        <v>45</v>
      </c>
      <c r="P795" s="13">
        <f t="shared" si="441"/>
        <v>3.5</v>
      </c>
      <c r="Q795" s="1" t="str">
        <f t="shared" si="443"/>
        <v>500-990 шт - 3,5 руб / шт с НДС</v>
      </c>
      <c r="R795" s="235"/>
      <c r="S795" s="239"/>
      <c r="T795" s="226"/>
      <c r="U795" s="228"/>
      <c r="V795" s="222"/>
      <c r="W795" s="229"/>
      <c r="X795" s="227"/>
      <c r="Y795" s="229"/>
      <c r="Z795" s="236"/>
      <c r="AA795" s="237"/>
      <c r="AB795" s="238"/>
      <c r="AC795" s="223"/>
      <c r="AD795" s="222"/>
    </row>
    <row r="796" spans="1:30" x14ac:dyDescent="0.4">
      <c r="A796" s="230"/>
      <c r="B796" s="8">
        <v>160</v>
      </c>
      <c r="C796" s="14">
        <f t="shared" ca="1" si="459"/>
        <v>2.16</v>
      </c>
      <c r="D796" s="20">
        <f t="shared" ca="1" si="434"/>
        <v>2.5920000000000001</v>
      </c>
      <c r="E796" s="225"/>
      <c r="F796" s="231"/>
      <c r="G796" s="172" t="str">
        <f t="shared" ca="1" si="454"/>
        <v/>
      </c>
      <c r="H796" s="93" t="str">
        <f t="shared" ca="1" si="455"/>
        <v/>
      </c>
      <c r="I796" s="21">
        <v>1000</v>
      </c>
      <c r="J796" s="68">
        <f t="shared" si="456"/>
        <v>2.8166666666666669</v>
      </c>
      <c r="K796" s="70">
        <v>3.38</v>
      </c>
      <c r="L796" s="72">
        <f t="shared" ca="1" si="452"/>
        <v>0.52533333333333343</v>
      </c>
      <c r="M796" s="73">
        <f t="shared" ca="1" si="453"/>
        <v>525.33333333333348</v>
      </c>
      <c r="N796" s="12" t="s">
        <v>44</v>
      </c>
      <c r="O796" s="47" t="s">
        <v>45</v>
      </c>
      <c r="P796" s="13">
        <f t="shared" si="441"/>
        <v>3.38</v>
      </c>
      <c r="Q796" s="1" t="str">
        <f t="shared" si="443"/>
        <v>1000 + шт - 3,38 руб / шт с НДС</v>
      </c>
      <c r="R796" s="235"/>
      <c r="S796" s="239"/>
      <c r="T796" s="226"/>
      <c r="U796" s="228"/>
      <c r="V796" s="222"/>
      <c r="W796" s="229"/>
      <c r="X796" s="227"/>
      <c r="Y796" s="229"/>
      <c r="Z796" s="236"/>
      <c r="AA796" s="237"/>
      <c r="AB796" s="238"/>
      <c r="AC796" s="223"/>
      <c r="AD796" s="222"/>
    </row>
    <row r="797" spans="1:30" x14ac:dyDescent="0.4">
      <c r="A797" s="230">
        <v>161</v>
      </c>
      <c r="B797" s="8">
        <v>161</v>
      </c>
      <c r="C797" s="14">
        <f t="shared" ca="1" si="459"/>
        <v>0.32</v>
      </c>
      <c r="D797" s="20">
        <f t="shared" ca="1" si="434"/>
        <v>0.38400000000000001</v>
      </c>
      <c r="E797" s="224" t="str">
        <f ca="1">INDIRECT("'Закуп'!D" &amp; A797)</f>
        <v>У</v>
      </c>
      <c r="F797" s="231" t="str">
        <f t="shared" ref="F797" ca="1" si="469">INDIRECT("'Закуп'!E" &amp; B797)</f>
        <v>200х120х150</v>
      </c>
      <c r="G797" s="172" t="str">
        <f t="shared" ca="1" si="454"/>
        <v/>
      </c>
      <c r="H797" s="93" t="str">
        <f t="shared" ca="1" si="455"/>
        <v/>
      </c>
      <c r="I797" s="21">
        <v>50</v>
      </c>
      <c r="J797" s="68">
        <f t="shared" si="456"/>
        <v>0.96666666666666667</v>
      </c>
      <c r="K797" s="70">
        <v>1.1599999999999999</v>
      </c>
      <c r="L797" s="72">
        <f t="shared" ca="1" si="452"/>
        <v>0.51733333333333342</v>
      </c>
      <c r="M797" s="73">
        <f t="shared" ca="1" si="453"/>
        <v>25.866666666666671</v>
      </c>
      <c r="N797" s="12" t="s">
        <v>40</v>
      </c>
      <c r="O797" s="47" t="s">
        <v>45</v>
      </c>
      <c r="P797" s="13">
        <f t="shared" si="441"/>
        <v>1.1599999999999999</v>
      </c>
      <c r="Q797" s="1" t="str">
        <f t="shared" si="443"/>
        <v>50-90 шт - 1,16 руб / шт с НДС</v>
      </c>
      <c r="R797" s="235" t="str">
        <f ca="1">INDIRECT("'Закуп'!k" &amp; A797)</f>
        <v>K162</v>
      </c>
      <c r="S797" s="239">
        <f ca="1">INDIRECT("'Закуп'!o" &amp; A797)</f>
        <v>3.6</v>
      </c>
      <c r="T797" s="226" t="str">
        <f ca="1">INDIRECT("'Закуп'!p" &amp; A797)</f>
        <v>3-3,9 литра</v>
      </c>
      <c r="U797" s="228" t="str">
        <f ca="1">INDIRECT("'Закуп'!v" &amp; A797)</f>
        <v/>
      </c>
      <c r="V797" s="222" t="str">
        <f ca="1">INDIRECT("'Закуп'!w" &amp; A797)</f>
        <v/>
      </c>
      <c r="W797" s="229" t="str">
        <f ca="1">INDIRECT("'Закуп'!H" &amp; A797)</f>
        <v>х</v>
      </c>
      <c r="X797" s="227" t="str">
        <f t="shared" ref="X797" ca="1" si="470">INDIRECT("'Закуп'!g" &amp; A797)</f>
        <v>Ч</v>
      </c>
      <c r="Y797" s="229" t="str">
        <f ca="1">INDIRECT("'Закуп'!i" &amp; A797)</f>
        <v>В</v>
      </c>
      <c r="Z797" s="236" t="str">
        <f ca="1">INDIRECT("'Закуп'!x" &amp; A797)</f>
        <v>200-299 мм</v>
      </c>
      <c r="AA797" s="237" t="str">
        <f ca="1">INDIRECT("'Закуп'!y" &amp; A797)</f>
        <v>100-199 мм</v>
      </c>
      <c r="AB797" s="238" t="str">
        <f ca="1">INDIRECT("'Закуп'!z" &amp; A797)</f>
        <v>100-199 мм</v>
      </c>
      <c r="AC797" s="223" t="str">
        <f t="shared" ca="1" si="445"/>
        <v>200x120x150</v>
      </c>
      <c r="AD797" s="222" t="str">
        <f t="shared" ca="1" si="468"/>
        <v>200x120x150 - 200*120*150 мм</v>
      </c>
    </row>
    <row r="798" spans="1:30" x14ac:dyDescent="0.4">
      <c r="A798" s="230"/>
      <c r="B798" s="8">
        <v>161</v>
      </c>
      <c r="C798" s="14">
        <f t="shared" ca="1" si="459"/>
        <v>0.32</v>
      </c>
      <c r="D798" s="20">
        <f t="shared" ca="1" si="434"/>
        <v>0.38400000000000001</v>
      </c>
      <c r="E798" s="225"/>
      <c r="F798" s="231"/>
      <c r="G798" s="172" t="str">
        <f t="shared" ca="1" si="454"/>
        <v/>
      </c>
      <c r="H798" s="93" t="str">
        <f t="shared" ca="1" si="455"/>
        <v/>
      </c>
      <c r="I798" s="21">
        <v>100</v>
      </c>
      <c r="J798" s="68">
        <f t="shared" si="456"/>
        <v>0.84166666666666667</v>
      </c>
      <c r="K798" s="70">
        <v>1.01</v>
      </c>
      <c r="L798" s="72">
        <f t="shared" ca="1" si="452"/>
        <v>0.41733333333333339</v>
      </c>
      <c r="M798" s="73">
        <f t="shared" ca="1" si="453"/>
        <v>41.733333333333341</v>
      </c>
      <c r="N798" s="12" t="s">
        <v>41</v>
      </c>
      <c r="O798" s="47" t="s">
        <v>45</v>
      </c>
      <c r="P798" s="13">
        <f t="shared" si="441"/>
        <v>1.01</v>
      </c>
      <c r="Q798" s="1" t="str">
        <f t="shared" si="443"/>
        <v>100-290 шт - 1,01 руб / шт с НДС</v>
      </c>
      <c r="R798" s="235"/>
      <c r="S798" s="239"/>
      <c r="T798" s="226"/>
      <c r="U798" s="228"/>
      <c r="V798" s="222"/>
      <c r="W798" s="229"/>
      <c r="X798" s="227"/>
      <c r="Y798" s="229"/>
      <c r="Z798" s="236"/>
      <c r="AA798" s="237"/>
      <c r="AB798" s="238"/>
      <c r="AC798" s="223"/>
      <c r="AD798" s="222"/>
    </row>
    <row r="799" spans="1:30" x14ac:dyDescent="0.4">
      <c r="A799" s="230"/>
      <c r="B799" s="8">
        <v>161</v>
      </c>
      <c r="C799" s="14">
        <f t="shared" ca="1" si="459"/>
        <v>0.32</v>
      </c>
      <c r="D799" s="20">
        <f t="shared" ca="1" si="434"/>
        <v>0.38400000000000001</v>
      </c>
      <c r="E799" s="225"/>
      <c r="F799" s="231"/>
      <c r="G799" s="172" t="str">
        <f t="shared" ca="1" si="454"/>
        <v/>
      </c>
      <c r="H799" s="93" t="str">
        <f t="shared" ca="1" si="455"/>
        <v/>
      </c>
      <c r="I799" s="21">
        <v>300</v>
      </c>
      <c r="J799" s="68">
        <f t="shared" si="456"/>
        <v>0.68333333333333335</v>
      </c>
      <c r="K799" s="70">
        <v>0.82</v>
      </c>
      <c r="L799" s="72">
        <f t="shared" ca="1" si="452"/>
        <v>0.29066666666666668</v>
      </c>
      <c r="M799" s="73">
        <f t="shared" ca="1" si="453"/>
        <v>87.2</v>
      </c>
      <c r="N799" s="12" t="s">
        <v>42</v>
      </c>
      <c r="O799" s="47" t="s">
        <v>45</v>
      </c>
      <c r="P799" s="13">
        <f t="shared" si="441"/>
        <v>0.82</v>
      </c>
      <c r="Q799" s="1" t="str">
        <f t="shared" si="443"/>
        <v>300-490 шт - 0,82 руб / шт с НДС</v>
      </c>
      <c r="R799" s="235"/>
      <c r="S799" s="239"/>
      <c r="T799" s="226"/>
      <c r="U799" s="228"/>
      <c r="V799" s="222"/>
      <c r="W799" s="229"/>
      <c r="X799" s="227"/>
      <c r="Y799" s="229"/>
      <c r="Z799" s="236"/>
      <c r="AA799" s="237"/>
      <c r="AB799" s="238"/>
      <c r="AC799" s="223"/>
      <c r="AD799" s="222"/>
    </row>
    <row r="800" spans="1:30" x14ac:dyDescent="0.4">
      <c r="A800" s="230"/>
      <c r="B800" s="8">
        <v>161</v>
      </c>
      <c r="C800" s="14">
        <f t="shared" ca="1" si="459"/>
        <v>0.32</v>
      </c>
      <c r="D800" s="20">
        <f t="shared" ca="1" si="434"/>
        <v>0.38400000000000001</v>
      </c>
      <c r="E800" s="225"/>
      <c r="F800" s="231"/>
      <c r="G800" s="172" t="str">
        <f t="shared" ca="1" si="454"/>
        <v/>
      </c>
      <c r="H800" s="93" t="str">
        <f t="shared" ca="1" si="455"/>
        <v/>
      </c>
      <c r="I800" s="21">
        <v>500</v>
      </c>
      <c r="J800" s="68">
        <f t="shared" si="456"/>
        <v>0.64166666666666672</v>
      </c>
      <c r="K800" s="70">
        <v>0.77</v>
      </c>
      <c r="L800" s="72">
        <f t="shared" ca="1" si="452"/>
        <v>0.25733333333333336</v>
      </c>
      <c r="M800" s="73">
        <f t="shared" ca="1" si="453"/>
        <v>128.66666666666669</v>
      </c>
      <c r="N800" s="12" t="s">
        <v>43</v>
      </c>
      <c r="O800" s="47" t="s">
        <v>45</v>
      </c>
      <c r="P800" s="13">
        <f t="shared" si="441"/>
        <v>0.77</v>
      </c>
      <c r="Q800" s="1" t="str">
        <f t="shared" si="443"/>
        <v>500-990 шт - 0,77 руб / шт с НДС</v>
      </c>
      <c r="R800" s="235"/>
      <c r="S800" s="239"/>
      <c r="T800" s="226"/>
      <c r="U800" s="228"/>
      <c r="V800" s="222"/>
      <c r="W800" s="229"/>
      <c r="X800" s="227"/>
      <c r="Y800" s="229"/>
      <c r="Z800" s="236"/>
      <c r="AA800" s="237"/>
      <c r="AB800" s="238"/>
      <c r="AC800" s="223"/>
      <c r="AD800" s="222"/>
    </row>
    <row r="801" spans="1:30" x14ac:dyDescent="0.4">
      <c r="A801" s="230"/>
      <c r="B801" s="8">
        <v>161</v>
      </c>
      <c r="C801" s="14">
        <f t="shared" ca="1" si="459"/>
        <v>0.32</v>
      </c>
      <c r="D801" s="20">
        <f t="shared" ref="D801:D864" ca="1" si="471">C801*1.2</f>
        <v>0.38400000000000001</v>
      </c>
      <c r="E801" s="225"/>
      <c r="F801" s="231"/>
      <c r="G801" s="172" t="str">
        <f t="shared" ca="1" si="454"/>
        <v/>
      </c>
      <c r="H801" s="93" t="str">
        <f t="shared" ca="1" si="455"/>
        <v/>
      </c>
      <c r="I801" s="21">
        <v>1000</v>
      </c>
      <c r="J801" s="68">
        <f t="shared" si="456"/>
        <v>0.6</v>
      </c>
      <c r="K801" s="70">
        <v>0.72</v>
      </c>
      <c r="L801" s="72">
        <f t="shared" ca="1" si="452"/>
        <v>0.22399999999999998</v>
      </c>
      <c r="M801" s="73">
        <f t="shared" ca="1" si="453"/>
        <v>223.99999999999997</v>
      </c>
      <c r="N801" s="12" t="s">
        <v>44</v>
      </c>
      <c r="O801" s="47" t="s">
        <v>45</v>
      </c>
      <c r="P801" s="13">
        <f t="shared" si="441"/>
        <v>0.72</v>
      </c>
      <c r="Q801" s="1" t="str">
        <f t="shared" si="443"/>
        <v>1000 + шт - 0,72 руб / шт с НДС</v>
      </c>
      <c r="R801" s="235"/>
      <c r="S801" s="239"/>
      <c r="T801" s="226"/>
      <c r="U801" s="228"/>
      <c r="V801" s="222"/>
      <c r="W801" s="229"/>
      <c r="X801" s="227"/>
      <c r="Y801" s="229"/>
      <c r="Z801" s="236"/>
      <c r="AA801" s="237"/>
      <c r="AB801" s="238"/>
      <c r="AC801" s="223"/>
      <c r="AD801" s="222"/>
    </row>
    <row r="802" spans="1:30" x14ac:dyDescent="0.4">
      <c r="A802" s="230">
        <v>162</v>
      </c>
      <c r="B802" s="8">
        <v>162</v>
      </c>
      <c r="C802" s="14">
        <f t="shared" ca="1" si="459"/>
        <v>0.64</v>
      </c>
      <c r="D802" s="20">
        <f t="shared" ca="1" si="471"/>
        <v>0.76800000000000002</v>
      </c>
      <c r="E802" s="224" t="str">
        <f ca="1">INDIRECT("'Закуп'!D" &amp; A802)</f>
        <v>У</v>
      </c>
      <c r="F802" s="231" t="str">
        <f t="shared" ref="F802" ca="1" si="472">INDIRECT("'Закуп'!E" &amp; B802)</f>
        <v>260х170х240</v>
      </c>
      <c r="G802" s="172" t="str">
        <f t="shared" ca="1" si="454"/>
        <v/>
      </c>
      <c r="H802" s="93" t="str">
        <f t="shared" ca="1" si="455"/>
        <v/>
      </c>
      <c r="I802" s="21">
        <v>50</v>
      </c>
      <c r="J802" s="68">
        <f t="shared" si="456"/>
        <v>1.5083333333333335</v>
      </c>
      <c r="K802" s="70">
        <v>1.81</v>
      </c>
      <c r="L802" s="72">
        <f t="shared" ca="1" si="452"/>
        <v>0.69466666666666677</v>
      </c>
      <c r="M802" s="73">
        <f t="shared" ca="1" si="453"/>
        <v>34.733333333333341</v>
      </c>
      <c r="N802" s="12" t="s">
        <v>40</v>
      </c>
      <c r="O802" s="47" t="s">
        <v>45</v>
      </c>
      <c r="P802" s="13">
        <f t="shared" si="441"/>
        <v>1.81</v>
      </c>
      <c r="Q802" s="1" t="str">
        <f t="shared" si="443"/>
        <v>50-90 шт - 1,81 руб / шт с НДС</v>
      </c>
      <c r="R802" s="235" t="str">
        <f ca="1">INDIRECT("'Закуп'!k" &amp; A802)</f>
        <v>K163</v>
      </c>
      <c r="S802" s="239">
        <f ca="1">INDIRECT("'Закуп'!o" &amp; A802)</f>
        <v>10.61</v>
      </c>
      <c r="T802" s="226" t="str">
        <f ca="1">INDIRECT("'Закуп'!p" &amp; A802)</f>
        <v>10-14,9 литров</v>
      </c>
      <c r="U802" s="228" t="str">
        <f ca="1">INDIRECT("'Закуп'!v" &amp; A802)</f>
        <v/>
      </c>
      <c r="V802" s="222" t="str">
        <f ca="1">INDIRECT("'Закуп'!w" &amp; A802)</f>
        <v/>
      </c>
      <c r="W802" s="229" t="str">
        <f ca="1">INDIRECT("'Закуп'!H" &amp; A802)</f>
        <v>х</v>
      </c>
      <c r="X802" s="227" t="str">
        <f t="shared" ref="X802" ca="1" si="473">INDIRECT("'Закуп'!g" &amp; A802)</f>
        <v>Ч</v>
      </c>
      <c r="Y802" s="229" t="str">
        <f ca="1">INDIRECT("'Закуп'!i" &amp; A802)</f>
        <v>В</v>
      </c>
      <c r="Z802" s="236" t="str">
        <f ca="1">INDIRECT("'Закуп'!x" &amp; A802)</f>
        <v>200-299 мм</v>
      </c>
      <c r="AA802" s="237" t="str">
        <f ca="1">INDIRECT("'Закуп'!y" &amp; A802)</f>
        <v>200-299 мм</v>
      </c>
      <c r="AB802" s="238" t="str">
        <f ca="1">INDIRECT("'Закуп'!z" &amp; A802)</f>
        <v>100-199 мм</v>
      </c>
      <c r="AC802" s="223" t="str">
        <f t="shared" ca="1" si="445"/>
        <v>260x170x240</v>
      </c>
      <c r="AD802" s="222" t="str">
        <f t="shared" ca="1" si="468"/>
        <v>260x170x240 - 260*170*240 мм</v>
      </c>
    </row>
    <row r="803" spans="1:30" x14ac:dyDescent="0.4">
      <c r="A803" s="230"/>
      <c r="B803" s="8">
        <v>162</v>
      </c>
      <c r="C803" s="14">
        <f t="shared" ca="1" si="459"/>
        <v>0.64</v>
      </c>
      <c r="D803" s="20">
        <f t="shared" ca="1" si="471"/>
        <v>0.76800000000000002</v>
      </c>
      <c r="E803" s="225"/>
      <c r="F803" s="231"/>
      <c r="G803" s="172" t="str">
        <f t="shared" ca="1" si="454"/>
        <v/>
      </c>
      <c r="H803" s="93" t="str">
        <f t="shared" ca="1" si="455"/>
        <v/>
      </c>
      <c r="I803" s="21">
        <v>100</v>
      </c>
      <c r="J803" s="68">
        <f t="shared" si="456"/>
        <v>1.375</v>
      </c>
      <c r="K803" s="70">
        <v>1.65</v>
      </c>
      <c r="L803" s="72">
        <f t="shared" ca="1" si="452"/>
        <v>0.58799999999999997</v>
      </c>
      <c r="M803" s="73">
        <f t="shared" ca="1" si="453"/>
        <v>58.8</v>
      </c>
      <c r="N803" s="12" t="s">
        <v>41</v>
      </c>
      <c r="O803" s="47" t="s">
        <v>45</v>
      </c>
      <c r="P803" s="13">
        <f t="shared" si="441"/>
        <v>1.65</v>
      </c>
      <c r="Q803" s="1" t="str">
        <f t="shared" si="443"/>
        <v>100-290 шт - 1,65 руб / шт с НДС</v>
      </c>
      <c r="R803" s="235"/>
      <c r="S803" s="239"/>
      <c r="T803" s="226"/>
      <c r="U803" s="228"/>
      <c r="V803" s="222"/>
      <c r="W803" s="229"/>
      <c r="X803" s="227"/>
      <c r="Y803" s="229"/>
      <c r="Z803" s="236"/>
      <c r="AA803" s="237"/>
      <c r="AB803" s="238"/>
      <c r="AC803" s="223"/>
      <c r="AD803" s="222"/>
    </row>
    <row r="804" spans="1:30" x14ac:dyDescent="0.4">
      <c r="A804" s="230"/>
      <c r="B804" s="8">
        <v>162</v>
      </c>
      <c r="C804" s="14">
        <f t="shared" ca="1" si="459"/>
        <v>0.64</v>
      </c>
      <c r="D804" s="20">
        <f t="shared" ca="1" si="471"/>
        <v>0.76800000000000002</v>
      </c>
      <c r="E804" s="225"/>
      <c r="F804" s="231"/>
      <c r="G804" s="172" t="str">
        <f t="shared" ca="1" si="454"/>
        <v/>
      </c>
      <c r="H804" s="93" t="str">
        <f t="shared" ca="1" si="455"/>
        <v/>
      </c>
      <c r="I804" s="21">
        <v>300</v>
      </c>
      <c r="J804" s="68">
        <f t="shared" si="456"/>
        <v>1.0750000000000002</v>
      </c>
      <c r="K804" s="70">
        <v>1.29</v>
      </c>
      <c r="L804" s="72">
        <f t="shared" ca="1" si="452"/>
        <v>0.34800000000000014</v>
      </c>
      <c r="M804" s="73">
        <f t="shared" ca="1" si="453"/>
        <v>104.40000000000005</v>
      </c>
      <c r="N804" s="12" t="s">
        <v>42</v>
      </c>
      <c r="O804" s="47" t="s">
        <v>45</v>
      </c>
      <c r="P804" s="13">
        <f t="shared" si="441"/>
        <v>1.29</v>
      </c>
      <c r="Q804" s="1" t="str">
        <f t="shared" si="443"/>
        <v>300-490 шт - 1,29 руб / шт с НДС</v>
      </c>
      <c r="R804" s="235"/>
      <c r="S804" s="239"/>
      <c r="T804" s="226"/>
      <c r="U804" s="228"/>
      <c r="V804" s="222"/>
      <c r="W804" s="229"/>
      <c r="X804" s="227"/>
      <c r="Y804" s="229"/>
      <c r="Z804" s="236"/>
      <c r="AA804" s="237"/>
      <c r="AB804" s="238"/>
      <c r="AC804" s="223"/>
      <c r="AD804" s="222"/>
    </row>
    <row r="805" spans="1:30" x14ac:dyDescent="0.4">
      <c r="A805" s="230"/>
      <c r="B805" s="8">
        <v>162</v>
      </c>
      <c r="C805" s="14">
        <f t="shared" ca="1" si="459"/>
        <v>0.64</v>
      </c>
      <c r="D805" s="20">
        <f t="shared" ca="1" si="471"/>
        <v>0.76800000000000002</v>
      </c>
      <c r="E805" s="225"/>
      <c r="F805" s="231"/>
      <c r="G805" s="172" t="str">
        <f t="shared" ca="1" si="454"/>
        <v/>
      </c>
      <c r="H805" s="93" t="str">
        <f t="shared" ca="1" si="455"/>
        <v/>
      </c>
      <c r="I805" s="21">
        <v>500</v>
      </c>
      <c r="J805" s="68">
        <f t="shared" si="456"/>
        <v>1.0166666666666666</v>
      </c>
      <c r="K805" s="70">
        <v>1.22</v>
      </c>
      <c r="L805" s="72">
        <f t="shared" ca="1" si="452"/>
        <v>0.30133333333333329</v>
      </c>
      <c r="M805" s="73">
        <f t="shared" ca="1" si="453"/>
        <v>150.66666666666666</v>
      </c>
      <c r="N805" s="12" t="s">
        <v>43</v>
      </c>
      <c r="O805" s="47" t="s">
        <v>45</v>
      </c>
      <c r="P805" s="13">
        <f t="shared" si="441"/>
        <v>1.22</v>
      </c>
      <c r="Q805" s="1" t="str">
        <f t="shared" si="443"/>
        <v>500-990 шт - 1,22 руб / шт с НДС</v>
      </c>
      <c r="R805" s="235"/>
      <c r="S805" s="239"/>
      <c r="T805" s="226"/>
      <c r="U805" s="228"/>
      <c r="V805" s="222"/>
      <c r="W805" s="229"/>
      <c r="X805" s="227"/>
      <c r="Y805" s="229"/>
      <c r="Z805" s="236"/>
      <c r="AA805" s="237"/>
      <c r="AB805" s="238"/>
      <c r="AC805" s="223"/>
      <c r="AD805" s="222"/>
    </row>
    <row r="806" spans="1:30" x14ac:dyDescent="0.4">
      <c r="A806" s="230"/>
      <c r="B806" s="8">
        <v>162</v>
      </c>
      <c r="C806" s="14">
        <f t="shared" ca="1" si="459"/>
        <v>0.64</v>
      </c>
      <c r="D806" s="20">
        <f t="shared" ca="1" si="471"/>
        <v>0.76800000000000002</v>
      </c>
      <c r="E806" s="225"/>
      <c r="F806" s="231"/>
      <c r="G806" s="172" t="str">
        <f t="shared" ca="1" si="454"/>
        <v/>
      </c>
      <c r="H806" s="93" t="str">
        <f t="shared" ca="1" si="455"/>
        <v/>
      </c>
      <c r="I806" s="21">
        <v>1000</v>
      </c>
      <c r="J806" s="68">
        <f t="shared" si="456"/>
        <v>0.89166666666666672</v>
      </c>
      <c r="K806" s="70">
        <v>1.07</v>
      </c>
      <c r="L806" s="72">
        <f t="shared" ca="1" si="452"/>
        <v>0.20133333333333336</v>
      </c>
      <c r="M806" s="73">
        <f t="shared" ca="1" si="453"/>
        <v>201.33333333333337</v>
      </c>
      <c r="N806" s="12" t="s">
        <v>44</v>
      </c>
      <c r="O806" s="47" t="s">
        <v>45</v>
      </c>
      <c r="P806" s="13">
        <f t="shared" si="441"/>
        <v>1.07</v>
      </c>
      <c r="Q806" s="1" t="str">
        <f t="shared" si="443"/>
        <v>1000 + шт - 1,07 руб / шт с НДС</v>
      </c>
      <c r="R806" s="235"/>
      <c r="S806" s="239"/>
      <c r="T806" s="226"/>
      <c r="U806" s="228"/>
      <c r="V806" s="222"/>
      <c r="W806" s="229"/>
      <c r="X806" s="227"/>
      <c r="Y806" s="229"/>
      <c r="Z806" s="236"/>
      <c r="AA806" s="237"/>
      <c r="AB806" s="238"/>
      <c r="AC806" s="223"/>
      <c r="AD806" s="222"/>
    </row>
    <row r="807" spans="1:30" x14ac:dyDescent="0.4">
      <c r="A807" s="230">
        <v>163</v>
      </c>
      <c r="B807" s="8">
        <v>163</v>
      </c>
      <c r="C807" s="14">
        <f t="shared" ca="1" si="459"/>
        <v>3.48</v>
      </c>
      <c r="D807" s="20">
        <f t="shared" ca="1" si="471"/>
        <v>4.1760000000000002</v>
      </c>
      <c r="E807" s="224" t="str">
        <f ca="1">INDIRECT("'Закуп'!D" &amp; A807)</f>
        <v>У</v>
      </c>
      <c r="F807" s="231" t="str">
        <f t="shared" ref="F807" ca="1" si="474">INDIRECT("'Закуп'!E" &amp; B807)</f>
        <v>800х480х290</v>
      </c>
      <c r="G807" s="172" t="str">
        <f t="shared" ca="1" si="454"/>
        <v/>
      </c>
      <c r="H807" s="93" t="str">
        <f t="shared" ca="1" si="455"/>
        <v/>
      </c>
      <c r="I807" s="21">
        <v>50</v>
      </c>
      <c r="J807" s="68">
        <f t="shared" si="456"/>
        <v>5.8833333333333329</v>
      </c>
      <c r="K807" s="70">
        <v>7.06</v>
      </c>
      <c r="L807" s="72">
        <f t="shared" ca="1" si="452"/>
        <v>1.9226666666666663</v>
      </c>
      <c r="M807" s="73">
        <f t="shared" ca="1" si="453"/>
        <v>96.133333333333312</v>
      </c>
      <c r="N807" s="12" t="s">
        <v>40</v>
      </c>
      <c r="O807" s="47" t="s">
        <v>45</v>
      </c>
      <c r="P807" s="13">
        <f t="shared" si="441"/>
        <v>7.06</v>
      </c>
      <c r="Q807" s="1" t="str">
        <f t="shared" si="443"/>
        <v>50-90 шт - 7,06 руб / шт с НДС</v>
      </c>
      <c r="R807" s="235" t="str">
        <f ca="1">INDIRECT("'Закуп'!k" &amp; A807)</f>
        <v>K164</v>
      </c>
      <c r="S807" s="239">
        <f ca="1">INDIRECT("'Закуп'!o" &amp; A807)</f>
        <v>111.36</v>
      </c>
      <c r="T807" s="226" t="str">
        <f ca="1">INDIRECT("'Закуп'!p" &amp; A807)</f>
        <v>100-200 литров</v>
      </c>
      <c r="U807" s="228" t="str">
        <f ca="1">INDIRECT("'Закуп'!v" &amp; A807)</f>
        <v/>
      </c>
      <c r="V807" s="222" t="str">
        <f ca="1">INDIRECT("'Закуп'!w" &amp; A807)</f>
        <v/>
      </c>
      <c r="W807" s="229" t="str">
        <f ca="1">INDIRECT("'Закуп'!H" &amp; A807)</f>
        <v>х</v>
      </c>
      <c r="X807" s="227" t="str">
        <f t="shared" ref="X807" ca="1" si="475">INDIRECT("'Закуп'!g" &amp; A807)</f>
        <v>Ч</v>
      </c>
      <c r="Y807" s="229" t="str">
        <f ca="1">INDIRECT("'Закуп'!i" &amp; A807)</f>
        <v>В</v>
      </c>
      <c r="Z807" s="236" t="str">
        <f ca="1">INDIRECT("'Закуп'!x" &amp; A807)</f>
        <v>700-999 мм</v>
      </c>
      <c r="AA807" s="237" t="str">
        <f ca="1">INDIRECT("'Закуп'!y" &amp; A807)</f>
        <v>400-499 мм</v>
      </c>
      <c r="AB807" s="238" t="str">
        <f ca="1">INDIRECT("'Закуп'!z" &amp; A807)</f>
        <v>200-299 мм</v>
      </c>
      <c r="AC807" s="223" t="str">
        <f t="shared" ca="1" si="445"/>
        <v>800x480x290</v>
      </c>
      <c r="AD807" s="222" t="str">
        <f t="shared" ca="1" si="468"/>
        <v>800x480x290 - 800*480*290 мм</v>
      </c>
    </row>
    <row r="808" spans="1:30" x14ac:dyDescent="0.4">
      <c r="A808" s="230"/>
      <c r="B808" s="8">
        <v>163</v>
      </c>
      <c r="C808" s="14">
        <f t="shared" ca="1" si="459"/>
        <v>3.48</v>
      </c>
      <c r="D808" s="20">
        <f t="shared" ca="1" si="471"/>
        <v>4.1760000000000002</v>
      </c>
      <c r="E808" s="225"/>
      <c r="F808" s="231"/>
      <c r="G808" s="172" t="str">
        <f t="shared" ca="1" si="454"/>
        <v/>
      </c>
      <c r="H808" s="93" t="str">
        <f t="shared" ca="1" si="455"/>
        <v/>
      </c>
      <c r="I808" s="21">
        <v>100</v>
      </c>
      <c r="J808" s="68">
        <f t="shared" si="456"/>
        <v>5.4416666666666673</v>
      </c>
      <c r="K808" s="70">
        <v>6.53</v>
      </c>
      <c r="L808" s="72">
        <f t="shared" ca="1" si="452"/>
        <v>1.5693333333333339</v>
      </c>
      <c r="M808" s="73">
        <f t="shared" ca="1" si="453"/>
        <v>156.93333333333339</v>
      </c>
      <c r="N808" s="12" t="s">
        <v>41</v>
      </c>
      <c r="O808" s="47" t="s">
        <v>45</v>
      </c>
      <c r="P808" s="13">
        <f t="shared" si="441"/>
        <v>6.53</v>
      </c>
      <c r="Q808" s="1" t="str">
        <f t="shared" si="443"/>
        <v>100-290 шт - 6,53 руб / шт с НДС</v>
      </c>
      <c r="R808" s="235"/>
      <c r="S808" s="239"/>
      <c r="T808" s="226"/>
      <c r="U808" s="228"/>
      <c r="V808" s="222"/>
      <c r="W808" s="229"/>
      <c r="X808" s="227"/>
      <c r="Y808" s="229"/>
      <c r="Z808" s="236"/>
      <c r="AA808" s="237"/>
      <c r="AB808" s="238"/>
      <c r="AC808" s="223"/>
      <c r="AD808" s="222"/>
    </row>
    <row r="809" spans="1:30" x14ac:dyDescent="0.4">
      <c r="A809" s="230"/>
      <c r="B809" s="8">
        <v>163</v>
      </c>
      <c r="C809" s="14">
        <f t="shared" ca="1" si="459"/>
        <v>3.48</v>
      </c>
      <c r="D809" s="20">
        <f t="shared" ca="1" si="471"/>
        <v>4.1760000000000002</v>
      </c>
      <c r="E809" s="225"/>
      <c r="F809" s="231"/>
      <c r="G809" s="172" t="str">
        <f t="shared" ca="1" si="454"/>
        <v/>
      </c>
      <c r="H809" s="93" t="str">
        <f t="shared" ca="1" si="455"/>
        <v/>
      </c>
      <c r="I809" s="21">
        <v>300</v>
      </c>
      <c r="J809" s="68">
        <f t="shared" si="456"/>
        <v>4.6916666666666664</v>
      </c>
      <c r="K809" s="70">
        <v>5.63</v>
      </c>
      <c r="L809" s="72">
        <f t="shared" ca="1" si="452"/>
        <v>0.96933333333333316</v>
      </c>
      <c r="M809" s="73">
        <f t="shared" ca="1" si="453"/>
        <v>290.79999999999995</v>
      </c>
      <c r="N809" s="12" t="s">
        <v>42</v>
      </c>
      <c r="O809" s="47" t="s">
        <v>45</v>
      </c>
      <c r="P809" s="13">
        <f t="shared" si="441"/>
        <v>5.63</v>
      </c>
      <c r="Q809" s="1" t="str">
        <f t="shared" si="443"/>
        <v>300-490 шт - 5,63 руб / шт с НДС</v>
      </c>
      <c r="R809" s="235"/>
      <c r="S809" s="239"/>
      <c r="T809" s="226"/>
      <c r="U809" s="228"/>
      <c r="V809" s="222"/>
      <c r="W809" s="229"/>
      <c r="X809" s="227"/>
      <c r="Y809" s="229"/>
      <c r="Z809" s="236"/>
      <c r="AA809" s="237"/>
      <c r="AB809" s="238"/>
      <c r="AC809" s="223"/>
      <c r="AD809" s="222"/>
    </row>
    <row r="810" spans="1:30" x14ac:dyDescent="0.4">
      <c r="A810" s="230"/>
      <c r="B810" s="8">
        <v>163</v>
      </c>
      <c r="C810" s="14">
        <f t="shared" ca="1" si="459"/>
        <v>3.48</v>
      </c>
      <c r="D810" s="20">
        <f t="shared" ca="1" si="471"/>
        <v>4.1760000000000002</v>
      </c>
      <c r="E810" s="225"/>
      <c r="F810" s="231"/>
      <c r="G810" s="172" t="str">
        <f t="shared" ca="1" si="454"/>
        <v/>
      </c>
      <c r="H810" s="93" t="str">
        <f t="shared" ca="1" si="455"/>
        <v/>
      </c>
      <c r="I810" s="21">
        <v>500</v>
      </c>
      <c r="J810" s="68">
        <f t="shared" si="456"/>
        <v>4.541666666666667</v>
      </c>
      <c r="K810" s="70">
        <v>5.45</v>
      </c>
      <c r="L810" s="72">
        <f t="shared" ca="1" si="452"/>
        <v>0.84933333333333361</v>
      </c>
      <c r="M810" s="73">
        <f t="shared" ca="1" si="453"/>
        <v>424.6666666666668</v>
      </c>
      <c r="N810" s="12" t="s">
        <v>43</v>
      </c>
      <c r="O810" s="47" t="s">
        <v>45</v>
      </c>
      <c r="P810" s="13">
        <f t="shared" si="441"/>
        <v>5.45</v>
      </c>
      <c r="Q810" s="1" t="str">
        <f t="shared" si="443"/>
        <v>500-990 шт - 5,45 руб / шт с НДС</v>
      </c>
      <c r="R810" s="235"/>
      <c r="S810" s="239"/>
      <c r="T810" s="226"/>
      <c r="U810" s="228"/>
      <c r="V810" s="222"/>
      <c r="W810" s="229"/>
      <c r="X810" s="227"/>
      <c r="Y810" s="229"/>
      <c r="Z810" s="236"/>
      <c r="AA810" s="237"/>
      <c r="AB810" s="238"/>
      <c r="AC810" s="223"/>
      <c r="AD810" s="222"/>
    </row>
    <row r="811" spans="1:30" x14ac:dyDescent="0.4">
      <c r="A811" s="230"/>
      <c r="B811" s="8">
        <v>163</v>
      </c>
      <c r="C811" s="14">
        <f t="shared" ca="1" si="459"/>
        <v>3.48</v>
      </c>
      <c r="D811" s="20">
        <f t="shared" ca="1" si="471"/>
        <v>4.1760000000000002</v>
      </c>
      <c r="E811" s="225"/>
      <c r="F811" s="231"/>
      <c r="G811" s="172" t="str">
        <f t="shared" ca="1" si="454"/>
        <v/>
      </c>
      <c r="H811" s="93" t="str">
        <f t="shared" ca="1" si="455"/>
        <v/>
      </c>
      <c r="I811" s="21">
        <v>1000</v>
      </c>
      <c r="J811" s="68">
        <f t="shared" si="456"/>
        <v>4.4666666666666668</v>
      </c>
      <c r="K811" s="70">
        <v>5.36</v>
      </c>
      <c r="L811" s="72">
        <f t="shared" ca="1" si="452"/>
        <v>0.78933333333333344</v>
      </c>
      <c r="M811" s="73">
        <f t="shared" ca="1" si="453"/>
        <v>789.33333333333348</v>
      </c>
      <c r="N811" s="12" t="s">
        <v>44</v>
      </c>
      <c r="O811" s="47" t="s">
        <v>45</v>
      </c>
      <c r="P811" s="13">
        <f t="shared" si="441"/>
        <v>5.36</v>
      </c>
      <c r="Q811" s="1" t="str">
        <f t="shared" si="443"/>
        <v>1000 + шт - 5,36 руб / шт с НДС</v>
      </c>
      <c r="R811" s="235"/>
      <c r="S811" s="239"/>
      <c r="T811" s="226"/>
      <c r="U811" s="228"/>
      <c r="V811" s="222"/>
      <c r="W811" s="229"/>
      <c r="X811" s="227"/>
      <c r="Y811" s="229"/>
      <c r="Z811" s="236"/>
      <c r="AA811" s="237"/>
      <c r="AB811" s="238"/>
      <c r="AC811" s="223"/>
      <c r="AD811" s="222"/>
    </row>
    <row r="812" spans="1:30" x14ac:dyDescent="0.4">
      <c r="A812" s="230">
        <v>164</v>
      </c>
      <c r="B812" s="8">
        <v>164</v>
      </c>
      <c r="C812" s="14">
        <f t="shared" ca="1" si="459"/>
        <v>2.17</v>
      </c>
      <c r="D812" s="20">
        <f t="shared" ca="1" si="471"/>
        <v>2.6039999999999996</v>
      </c>
      <c r="E812" s="224" t="str">
        <f ca="1">INDIRECT("'Закуп'!D" &amp; A812)</f>
        <v>У</v>
      </c>
      <c r="F812" s="231" t="str">
        <f t="shared" ref="F812" ca="1" si="476">INDIRECT("'Закуп'!E" &amp; B812)</f>
        <v>390х390х390</v>
      </c>
      <c r="G812" s="172" t="str">
        <f t="shared" ca="1" si="454"/>
        <v/>
      </c>
      <c r="H812" s="93" t="str">
        <f t="shared" ca="1" si="455"/>
        <v/>
      </c>
      <c r="I812" s="21">
        <v>50</v>
      </c>
      <c r="J812" s="68">
        <f t="shared" si="456"/>
        <v>3.7166666666666668</v>
      </c>
      <c r="K812" s="70">
        <v>4.46</v>
      </c>
      <c r="L812" s="72">
        <f t="shared" ca="1" si="452"/>
        <v>1.2373333333333334</v>
      </c>
      <c r="M812" s="73">
        <f t="shared" ca="1" si="453"/>
        <v>61.866666666666667</v>
      </c>
      <c r="N812" s="12" t="s">
        <v>40</v>
      </c>
      <c r="O812" s="47" t="s">
        <v>45</v>
      </c>
      <c r="P812" s="13">
        <f t="shared" si="441"/>
        <v>4.46</v>
      </c>
      <c r="Q812" s="1" t="str">
        <f t="shared" si="443"/>
        <v>50-90 шт - 4,46 руб / шт с НДС</v>
      </c>
      <c r="R812" s="235" t="str">
        <f ca="1">INDIRECT("'Закуп'!k" &amp; A812)</f>
        <v>K165</v>
      </c>
      <c r="S812" s="239">
        <f ca="1">INDIRECT("'Закуп'!o" &amp; A812)</f>
        <v>59.32</v>
      </c>
      <c r="T812" s="226" t="str">
        <f ca="1">INDIRECT("'Закуп'!p" &amp; A812)</f>
        <v>50-59 литров</v>
      </c>
      <c r="U812" s="228" t="str">
        <f ca="1">INDIRECT("'Закуп'!v" &amp; A812)</f>
        <v/>
      </c>
      <c r="V812" s="222" t="str">
        <f ca="1">INDIRECT("'Закуп'!w" &amp; A812)</f>
        <v/>
      </c>
      <c r="W812" s="229" t="str">
        <f ca="1">INDIRECT("'Закуп'!H" &amp; A812)</f>
        <v>х</v>
      </c>
      <c r="X812" s="227" t="str">
        <f t="shared" ref="X812" ca="1" si="477">INDIRECT("'Закуп'!g" &amp; A812)</f>
        <v>Ч</v>
      </c>
      <c r="Y812" s="229" t="str">
        <f ca="1">INDIRECT("'Закуп'!i" &amp; A812)</f>
        <v>В</v>
      </c>
      <c r="Z812" s="236" t="str">
        <f ca="1">INDIRECT("'Закуп'!x" &amp; A812)</f>
        <v>300-399 мм</v>
      </c>
      <c r="AA812" s="237" t="str">
        <f ca="1">INDIRECT("'Закуп'!y" &amp; A812)</f>
        <v>300-399 мм</v>
      </c>
      <c r="AB812" s="238" t="str">
        <f ca="1">INDIRECT("'Закуп'!z" &amp; A812)</f>
        <v>300-399 мм</v>
      </c>
      <c r="AC812" s="223" t="str">
        <f t="shared" ca="1" si="445"/>
        <v>390x390x390</v>
      </c>
      <c r="AD812" s="222" t="str">
        <f t="shared" ca="1" si="468"/>
        <v>390x390x390 - 390*390*390 мм</v>
      </c>
    </row>
    <row r="813" spans="1:30" x14ac:dyDescent="0.4">
      <c r="A813" s="230"/>
      <c r="B813" s="8">
        <v>164</v>
      </c>
      <c r="C813" s="14">
        <f t="shared" ca="1" si="459"/>
        <v>2.17</v>
      </c>
      <c r="D813" s="20">
        <f t="shared" ca="1" si="471"/>
        <v>2.6039999999999996</v>
      </c>
      <c r="E813" s="225"/>
      <c r="F813" s="231"/>
      <c r="G813" s="172" t="str">
        <f t="shared" ca="1" si="454"/>
        <v/>
      </c>
      <c r="H813" s="93" t="str">
        <f t="shared" ca="1" si="455"/>
        <v/>
      </c>
      <c r="I813" s="21">
        <v>100</v>
      </c>
      <c r="J813" s="68">
        <f t="shared" si="456"/>
        <v>3.6166666666666667</v>
      </c>
      <c r="K813" s="70">
        <v>4.34</v>
      </c>
      <c r="L813" s="72">
        <f t="shared" ca="1" si="452"/>
        <v>1.1573333333333333</v>
      </c>
      <c r="M813" s="73">
        <f t="shared" ca="1" si="453"/>
        <v>115.73333333333333</v>
      </c>
      <c r="N813" s="12" t="s">
        <v>41</v>
      </c>
      <c r="O813" s="47" t="s">
        <v>45</v>
      </c>
      <c r="P813" s="13">
        <f t="shared" si="441"/>
        <v>4.34</v>
      </c>
      <c r="Q813" s="1" t="str">
        <f t="shared" si="443"/>
        <v>100-290 шт - 4,34 руб / шт с НДС</v>
      </c>
      <c r="R813" s="235"/>
      <c r="S813" s="239"/>
      <c r="T813" s="226"/>
      <c r="U813" s="228"/>
      <c r="V813" s="222"/>
      <c r="W813" s="229"/>
      <c r="X813" s="227"/>
      <c r="Y813" s="229"/>
      <c r="Z813" s="236"/>
      <c r="AA813" s="237"/>
      <c r="AB813" s="238"/>
      <c r="AC813" s="223"/>
      <c r="AD813" s="222"/>
    </row>
    <row r="814" spans="1:30" x14ac:dyDescent="0.4">
      <c r="A814" s="230"/>
      <c r="B814" s="8">
        <v>164</v>
      </c>
      <c r="C814" s="14">
        <f t="shared" ca="1" si="459"/>
        <v>2.17</v>
      </c>
      <c r="D814" s="20">
        <f t="shared" ca="1" si="471"/>
        <v>2.6039999999999996</v>
      </c>
      <c r="E814" s="225"/>
      <c r="F814" s="231"/>
      <c r="G814" s="172" t="str">
        <f t="shared" ca="1" si="454"/>
        <v/>
      </c>
      <c r="H814" s="93" t="str">
        <f t="shared" ca="1" si="455"/>
        <v/>
      </c>
      <c r="I814" s="21">
        <v>300</v>
      </c>
      <c r="J814" s="68">
        <f t="shared" si="456"/>
        <v>2.9666666666666668</v>
      </c>
      <c r="K814" s="70">
        <v>3.56</v>
      </c>
      <c r="L814" s="72">
        <f t="shared" ca="1" si="452"/>
        <v>0.63733333333333353</v>
      </c>
      <c r="M814" s="73">
        <f t="shared" ca="1" si="453"/>
        <v>191.20000000000005</v>
      </c>
      <c r="N814" s="12" t="s">
        <v>42</v>
      </c>
      <c r="O814" s="47" t="s">
        <v>45</v>
      </c>
      <c r="P814" s="13">
        <f t="shared" si="441"/>
        <v>3.56</v>
      </c>
      <c r="Q814" s="1" t="str">
        <f t="shared" si="443"/>
        <v>300-490 шт - 3,56 руб / шт с НДС</v>
      </c>
      <c r="R814" s="235"/>
      <c r="S814" s="239"/>
      <c r="T814" s="226"/>
      <c r="U814" s="228"/>
      <c r="V814" s="222"/>
      <c r="W814" s="229"/>
      <c r="X814" s="227"/>
      <c r="Y814" s="229"/>
      <c r="Z814" s="236"/>
      <c r="AA814" s="237"/>
      <c r="AB814" s="238"/>
      <c r="AC814" s="223"/>
      <c r="AD814" s="222"/>
    </row>
    <row r="815" spans="1:30" x14ac:dyDescent="0.4">
      <c r="A815" s="230"/>
      <c r="B815" s="8">
        <v>164</v>
      </c>
      <c r="C815" s="14">
        <f t="shared" ca="1" si="459"/>
        <v>2.17</v>
      </c>
      <c r="D815" s="20">
        <f t="shared" ca="1" si="471"/>
        <v>2.6039999999999996</v>
      </c>
      <c r="E815" s="225"/>
      <c r="F815" s="231"/>
      <c r="G815" s="172" t="str">
        <f t="shared" ca="1" si="454"/>
        <v/>
      </c>
      <c r="H815" s="93" t="str">
        <f t="shared" ca="1" si="455"/>
        <v/>
      </c>
      <c r="I815" s="21">
        <v>500</v>
      </c>
      <c r="J815" s="68">
        <f t="shared" si="456"/>
        <v>2.9249999999999998</v>
      </c>
      <c r="K815" s="70">
        <v>3.51</v>
      </c>
      <c r="L815" s="72">
        <f t="shared" ca="1" si="452"/>
        <v>0.60399999999999987</v>
      </c>
      <c r="M815" s="73">
        <f t="shared" ca="1" si="453"/>
        <v>301.99999999999994</v>
      </c>
      <c r="N815" s="12" t="s">
        <v>43</v>
      </c>
      <c r="O815" s="47" t="s">
        <v>45</v>
      </c>
      <c r="P815" s="13">
        <f t="shared" ref="P815:P878" si="478">ROUND(K815,2)</f>
        <v>3.51</v>
      </c>
      <c r="Q815" s="1" t="str">
        <f t="shared" si="443"/>
        <v>500-990 шт - 3,51 руб / шт с НДС</v>
      </c>
      <c r="R815" s="235"/>
      <c r="S815" s="239"/>
      <c r="T815" s="226"/>
      <c r="U815" s="228"/>
      <c r="V815" s="222"/>
      <c r="W815" s="229"/>
      <c r="X815" s="227"/>
      <c r="Y815" s="229"/>
      <c r="Z815" s="236"/>
      <c r="AA815" s="237"/>
      <c r="AB815" s="238"/>
      <c r="AC815" s="223"/>
      <c r="AD815" s="222"/>
    </row>
    <row r="816" spans="1:30" x14ac:dyDescent="0.4">
      <c r="A816" s="230"/>
      <c r="B816" s="8">
        <v>164</v>
      </c>
      <c r="C816" s="14">
        <f t="shared" ca="1" si="459"/>
        <v>2.17</v>
      </c>
      <c r="D816" s="20">
        <f t="shared" ca="1" si="471"/>
        <v>2.6039999999999996</v>
      </c>
      <c r="E816" s="225"/>
      <c r="F816" s="231"/>
      <c r="G816" s="172" t="str">
        <f t="shared" ca="1" si="454"/>
        <v/>
      </c>
      <c r="H816" s="93" t="str">
        <f t="shared" ca="1" si="455"/>
        <v/>
      </c>
      <c r="I816" s="21">
        <v>1000</v>
      </c>
      <c r="J816" s="68">
        <f t="shared" si="456"/>
        <v>2.8333333333333335</v>
      </c>
      <c r="K816" s="70">
        <v>3.4</v>
      </c>
      <c r="L816" s="72">
        <f t="shared" ca="1" si="452"/>
        <v>0.53066666666666684</v>
      </c>
      <c r="M816" s="73">
        <f t="shared" ca="1" si="453"/>
        <v>530.66666666666686</v>
      </c>
      <c r="N816" s="12" t="s">
        <v>44</v>
      </c>
      <c r="O816" s="47" t="s">
        <v>45</v>
      </c>
      <c r="P816" s="13">
        <f t="shared" si="478"/>
        <v>3.4</v>
      </c>
      <c r="Q816" s="1" t="str">
        <f t="shared" ref="Q816:Q879" si="479">CONCATENATE(N816,P816,O816,)</f>
        <v>1000 + шт - 3,4 руб / шт с НДС</v>
      </c>
      <c r="R816" s="235"/>
      <c r="S816" s="239"/>
      <c r="T816" s="226"/>
      <c r="U816" s="228"/>
      <c r="V816" s="222"/>
      <c r="W816" s="229"/>
      <c r="X816" s="227"/>
      <c r="Y816" s="229"/>
      <c r="Z816" s="236"/>
      <c r="AA816" s="237"/>
      <c r="AB816" s="238"/>
      <c r="AC816" s="223"/>
      <c r="AD816" s="222"/>
    </row>
    <row r="817" spans="1:30" x14ac:dyDescent="0.4">
      <c r="A817" s="230">
        <v>165</v>
      </c>
      <c r="B817" s="8">
        <v>165</v>
      </c>
      <c r="C817" s="14">
        <f t="shared" ca="1" si="459"/>
        <v>0.78</v>
      </c>
      <c r="D817" s="20">
        <f t="shared" ca="1" si="471"/>
        <v>0.93599999999999994</v>
      </c>
      <c r="E817" s="224" t="str">
        <f ca="1">INDIRECT("'Закуп'!D" &amp; A817)</f>
        <v>У</v>
      </c>
      <c r="F817" s="231" t="str">
        <f t="shared" ref="F817" ca="1" si="480">INDIRECT("'Закуп'!E" &amp; B817)</f>
        <v>465х155х192</v>
      </c>
      <c r="G817" s="172" t="str">
        <f t="shared" ca="1" si="454"/>
        <v/>
      </c>
      <c r="H817" s="93" t="str">
        <f t="shared" ca="1" si="455"/>
        <v/>
      </c>
      <c r="I817" s="21">
        <v>50</v>
      </c>
      <c r="J817" s="68">
        <f t="shared" si="456"/>
        <v>1.5666666666666667</v>
      </c>
      <c r="K817" s="70">
        <v>1.88</v>
      </c>
      <c r="L817" s="72">
        <f t="shared" ca="1" si="452"/>
        <v>0.6293333333333333</v>
      </c>
      <c r="M817" s="73">
        <f t="shared" ca="1" si="453"/>
        <v>31.466666666666665</v>
      </c>
      <c r="N817" s="12" t="s">
        <v>40</v>
      </c>
      <c r="O817" s="47" t="s">
        <v>45</v>
      </c>
      <c r="P817" s="13">
        <f t="shared" si="478"/>
        <v>1.88</v>
      </c>
      <c r="Q817" s="1" t="str">
        <f t="shared" si="479"/>
        <v>50-90 шт - 1,88 руб / шт с НДС</v>
      </c>
      <c r="R817" s="235" t="str">
        <f ca="1">INDIRECT("'Закуп'!k" &amp; A817)</f>
        <v>K166</v>
      </c>
      <c r="S817" s="239">
        <f ca="1">INDIRECT("'Закуп'!o" &amp; A817)</f>
        <v>13.84</v>
      </c>
      <c r="T817" s="226" t="str">
        <f ca="1">INDIRECT("'Закуп'!p" &amp; A817)</f>
        <v>10-14,9 литров</v>
      </c>
      <c r="U817" s="228" t="str">
        <f ca="1">INDIRECT("'Закуп'!v" &amp; A817)</f>
        <v>Длинные</v>
      </c>
      <c r="V817" s="222" t="str">
        <f ca="1">INDIRECT("'Закуп'!w" &amp; A817)</f>
        <v/>
      </c>
      <c r="W817" s="229" t="str">
        <f ca="1">INDIRECT("'Закуп'!H" &amp; A817)</f>
        <v>х</v>
      </c>
      <c r="X817" s="227" t="str">
        <f t="shared" ref="X817" ca="1" si="481">INDIRECT("'Закуп'!g" &amp; A817)</f>
        <v>Ч</v>
      </c>
      <c r="Y817" s="229" t="str">
        <f ca="1">INDIRECT("'Закуп'!i" &amp; A817)</f>
        <v>В</v>
      </c>
      <c r="Z817" s="236" t="str">
        <f ca="1">INDIRECT("'Закуп'!x" &amp; A817)</f>
        <v>400-499 мм</v>
      </c>
      <c r="AA817" s="237" t="str">
        <f ca="1">INDIRECT("'Закуп'!y" &amp; A817)</f>
        <v>100-199 мм</v>
      </c>
      <c r="AB817" s="238" t="str">
        <f ca="1">INDIRECT("'Закуп'!z" &amp; A817)</f>
        <v>100-199 мм</v>
      </c>
      <c r="AC817" s="223" t="str">
        <f t="shared" ref="AC817:AC877" ca="1" si="482">SUBSTITUTE(INDEX(F:F, ROUNDUP((ROW(A816))/5,0)*5 - 3), "х", "x")</f>
        <v>465x155x192</v>
      </c>
      <c r="AD817" s="222" t="str">
        <f t="shared" ca="1" si="468"/>
        <v>465x155x192 - 465*155*192 мм</v>
      </c>
    </row>
    <row r="818" spans="1:30" x14ac:dyDescent="0.4">
      <c r="A818" s="230"/>
      <c r="B818" s="8">
        <v>165</v>
      </c>
      <c r="C818" s="14">
        <f t="shared" ca="1" si="459"/>
        <v>0.78</v>
      </c>
      <c r="D818" s="20">
        <f t="shared" ca="1" si="471"/>
        <v>0.93599999999999994</v>
      </c>
      <c r="E818" s="225"/>
      <c r="F818" s="231"/>
      <c r="G818" s="172" t="str">
        <f t="shared" ca="1" si="454"/>
        <v/>
      </c>
      <c r="H818" s="93" t="str">
        <f t="shared" ca="1" si="455"/>
        <v/>
      </c>
      <c r="I818" s="21">
        <v>100</v>
      </c>
      <c r="J818" s="68">
        <f t="shared" si="456"/>
        <v>1.425</v>
      </c>
      <c r="K818" s="70">
        <v>1.71</v>
      </c>
      <c r="L818" s="72">
        <f t="shared" ca="1" si="452"/>
        <v>0.51600000000000001</v>
      </c>
      <c r="M818" s="73">
        <f t="shared" ca="1" si="453"/>
        <v>51.6</v>
      </c>
      <c r="N818" s="12" t="s">
        <v>41</v>
      </c>
      <c r="O818" s="47" t="s">
        <v>45</v>
      </c>
      <c r="P818" s="13">
        <f t="shared" si="478"/>
        <v>1.71</v>
      </c>
      <c r="Q818" s="1" t="str">
        <f t="shared" si="479"/>
        <v>100-290 шт - 1,71 руб / шт с НДС</v>
      </c>
      <c r="R818" s="235"/>
      <c r="S818" s="239"/>
      <c r="T818" s="226"/>
      <c r="U818" s="228"/>
      <c r="V818" s="222"/>
      <c r="W818" s="229"/>
      <c r="X818" s="227"/>
      <c r="Y818" s="229"/>
      <c r="Z818" s="236"/>
      <c r="AA818" s="237"/>
      <c r="AB818" s="238"/>
      <c r="AC818" s="223"/>
      <c r="AD818" s="222"/>
    </row>
    <row r="819" spans="1:30" x14ac:dyDescent="0.4">
      <c r="A819" s="230"/>
      <c r="B819" s="8">
        <v>165</v>
      </c>
      <c r="C819" s="14">
        <f t="shared" ca="1" si="459"/>
        <v>0.78</v>
      </c>
      <c r="D819" s="20">
        <f t="shared" ca="1" si="471"/>
        <v>0.93599999999999994</v>
      </c>
      <c r="E819" s="225"/>
      <c r="F819" s="231"/>
      <c r="G819" s="172" t="str">
        <f t="shared" ca="1" si="454"/>
        <v/>
      </c>
      <c r="H819" s="93" t="str">
        <f t="shared" ca="1" si="455"/>
        <v/>
      </c>
      <c r="I819" s="21">
        <v>300</v>
      </c>
      <c r="J819" s="68">
        <f t="shared" si="456"/>
        <v>1.3</v>
      </c>
      <c r="K819" s="70">
        <v>1.56</v>
      </c>
      <c r="L819" s="72">
        <f t="shared" ca="1" si="452"/>
        <v>0.41600000000000004</v>
      </c>
      <c r="M819" s="73">
        <f t="shared" ca="1" si="453"/>
        <v>124.80000000000001</v>
      </c>
      <c r="N819" s="12" t="s">
        <v>42</v>
      </c>
      <c r="O819" s="47" t="s">
        <v>45</v>
      </c>
      <c r="P819" s="13">
        <f t="shared" si="478"/>
        <v>1.56</v>
      </c>
      <c r="Q819" s="1" t="str">
        <f t="shared" si="479"/>
        <v>300-490 шт - 1,56 руб / шт с НДС</v>
      </c>
      <c r="R819" s="235"/>
      <c r="S819" s="239"/>
      <c r="T819" s="226"/>
      <c r="U819" s="228"/>
      <c r="V819" s="222"/>
      <c r="W819" s="229"/>
      <c r="X819" s="227"/>
      <c r="Y819" s="229"/>
      <c r="Z819" s="236"/>
      <c r="AA819" s="237"/>
      <c r="AB819" s="238"/>
      <c r="AC819" s="223"/>
      <c r="AD819" s="222"/>
    </row>
    <row r="820" spans="1:30" x14ac:dyDescent="0.4">
      <c r="A820" s="230"/>
      <c r="B820" s="8">
        <v>165</v>
      </c>
      <c r="C820" s="14">
        <f t="shared" ca="1" si="459"/>
        <v>0.78</v>
      </c>
      <c r="D820" s="20">
        <f t="shared" ca="1" si="471"/>
        <v>0.93599999999999994</v>
      </c>
      <c r="E820" s="225"/>
      <c r="F820" s="231"/>
      <c r="G820" s="172" t="str">
        <f t="shared" ca="1" si="454"/>
        <v/>
      </c>
      <c r="H820" s="93" t="str">
        <f t="shared" ca="1" si="455"/>
        <v/>
      </c>
      <c r="I820" s="21">
        <v>500</v>
      </c>
      <c r="J820" s="68">
        <f t="shared" si="456"/>
        <v>1.2</v>
      </c>
      <c r="K820" s="70">
        <v>1.44</v>
      </c>
      <c r="L820" s="72">
        <f t="shared" ca="1" si="452"/>
        <v>0.33599999999999997</v>
      </c>
      <c r="M820" s="73">
        <f t="shared" ca="1" si="453"/>
        <v>167.99999999999997</v>
      </c>
      <c r="N820" s="12" t="s">
        <v>43</v>
      </c>
      <c r="O820" s="47" t="s">
        <v>45</v>
      </c>
      <c r="P820" s="13">
        <f t="shared" si="478"/>
        <v>1.44</v>
      </c>
      <c r="Q820" s="1" t="str">
        <f t="shared" si="479"/>
        <v>500-990 шт - 1,44 руб / шт с НДС</v>
      </c>
      <c r="R820" s="235"/>
      <c r="S820" s="239"/>
      <c r="T820" s="226"/>
      <c r="U820" s="228"/>
      <c r="V820" s="222"/>
      <c r="W820" s="229"/>
      <c r="X820" s="227"/>
      <c r="Y820" s="229"/>
      <c r="Z820" s="236"/>
      <c r="AA820" s="237"/>
      <c r="AB820" s="238"/>
      <c r="AC820" s="223"/>
      <c r="AD820" s="222"/>
    </row>
    <row r="821" spans="1:30" x14ac:dyDescent="0.4">
      <c r="A821" s="230"/>
      <c r="B821" s="8">
        <v>165</v>
      </c>
      <c r="C821" s="14">
        <f t="shared" ca="1" si="459"/>
        <v>0.78</v>
      </c>
      <c r="D821" s="20">
        <f t="shared" ca="1" si="471"/>
        <v>0.93599999999999994</v>
      </c>
      <c r="E821" s="225"/>
      <c r="F821" s="231"/>
      <c r="G821" s="172" t="str">
        <f t="shared" ca="1" si="454"/>
        <v/>
      </c>
      <c r="H821" s="93" t="str">
        <f t="shared" ca="1" si="455"/>
        <v/>
      </c>
      <c r="I821" s="21">
        <v>1000</v>
      </c>
      <c r="J821" s="68">
        <f t="shared" si="456"/>
        <v>1.0666666666666667</v>
      </c>
      <c r="K821" s="70">
        <v>1.28</v>
      </c>
      <c r="L821" s="72">
        <f t="shared" ca="1" si="452"/>
        <v>0.22933333333333331</v>
      </c>
      <c r="M821" s="73">
        <f t="shared" ca="1" si="453"/>
        <v>229.33333333333331</v>
      </c>
      <c r="N821" s="12" t="s">
        <v>44</v>
      </c>
      <c r="O821" s="47" t="s">
        <v>45</v>
      </c>
      <c r="P821" s="13">
        <f t="shared" si="478"/>
        <v>1.28</v>
      </c>
      <c r="Q821" s="1" t="str">
        <f t="shared" si="479"/>
        <v>1000 + шт - 1,28 руб / шт с НДС</v>
      </c>
      <c r="R821" s="235"/>
      <c r="S821" s="239"/>
      <c r="T821" s="226"/>
      <c r="U821" s="228"/>
      <c r="V821" s="222"/>
      <c r="W821" s="229"/>
      <c r="X821" s="227"/>
      <c r="Y821" s="229"/>
      <c r="Z821" s="236"/>
      <c r="AA821" s="237"/>
      <c r="AB821" s="238"/>
      <c r="AC821" s="223"/>
      <c r="AD821" s="222"/>
    </row>
    <row r="822" spans="1:30" x14ac:dyDescent="0.4">
      <c r="A822" s="230">
        <v>166</v>
      </c>
      <c r="B822" s="8">
        <v>166</v>
      </c>
      <c r="C822" s="14">
        <f t="shared" ca="1" si="459"/>
        <v>1.57</v>
      </c>
      <c r="D822" s="20">
        <f t="shared" ca="1" si="471"/>
        <v>1.8839999999999999</v>
      </c>
      <c r="E822" s="224" t="str">
        <f ca="1">INDIRECT("'Закуп'!D" &amp; A822)</f>
        <v>У</v>
      </c>
      <c r="F822" s="231" t="str">
        <f t="shared" ref="F822" ca="1" si="483">INDIRECT("'Закуп'!E" &amp; B822)</f>
        <v>630х330х130</v>
      </c>
      <c r="G822" s="172" t="str">
        <f t="shared" ca="1" si="454"/>
        <v/>
      </c>
      <c r="H822" s="93" t="str">
        <f t="shared" ca="1" si="455"/>
        <v/>
      </c>
      <c r="I822" s="21">
        <v>50</v>
      </c>
      <c r="J822" s="68">
        <f t="shared" si="456"/>
        <v>3.3583333333333338</v>
      </c>
      <c r="K822" s="70">
        <v>4.03</v>
      </c>
      <c r="L822" s="72">
        <f t="shared" ca="1" si="452"/>
        <v>1.430666666666667</v>
      </c>
      <c r="M822" s="73">
        <f t="shared" ca="1" si="453"/>
        <v>71.533333333333346</v>
      </c>
      <c r="N822" s="12" t="s">
        <v>40</v>
      </c>
      <c r="O822" s="47" t="s">
        <v>45</v>
      </c>
      <c r="P822" s="13">
        <f t="shared" si="478"/>
        <v>4.03</v>
      </c>
      <c r="Q822" s="1" t="str">
        <f t="shared" si="479"/>
        <v>50-90 шт - 4,03 руб / шт с НДС</v>
      </c>
      <c r="R822" s="235" t="str">
        <f ca="1">INDIRECT("'Закуп'!k" &amp; A822)</f>
        <v>K167</v>
      </c>
      <c r="S822" s="239">
        <f ca="1">INDIRECT("'Закуп'!o" &amp; A822)</f>
        <v>27.03</v>
      </c>
      <c r="T822" s="226" t="str">
        <f ca="1">INDIRECT("'Закуп'!p" &amp; A822)</f>
        <v>20-29 литров</v>
      </c>
      <c r="U822" s="228" t="str">
        <f ca="1">INDIRECT("'Закуп'!v" &amp; A822)</f>
        <v/>
      </c>
      <c r="V822" s="222" t="str">
        <f ca="1">INDIRECT("'Закуп'!w" &amp; A822)</f>
        <v>Плоские</v>
      </c>
      <c r="W822" s="229" t="str">
        <f ca="1">INDIRECT("'Закуп'!H" &amp; A822)</f>
        <v>х</v>
      </c>
      <c r="X822" s="227" t="str">
        <f t="shared" ref="X822" ca="1" si="484">INDIRECT("'Закуп'!g" &amp; A822)</f>
        <v>Ч</v>
      </c>
      <c r="Y822" s="229" t="str">
        <f ca="1">INDIRECT("'Закуп'!i" &amp; A822)</f>
        <v>В</v>
      </c>
      <c r="Z822" s="236" t="str">
        <f ca="1">INDIRECT("'Закуп'!x" &amp; A822)</f>
        <v>600-699 мм</v>
      </c>
      <c r="AA822" s="237" t="str">
        <f ca="1">INDIRECT("'Закуп'!y" &amp; A822)</f>
        <v>300-399 мм</v>
      </c>
      <c r="AB822" s="238" t="str">
        <f ca="1">INDIRECT("'Закуп'!z" &amp; A822)</f>
        <v>100-199 мм</v>
      </c>
      <c r="AC822" s="223" t="str">
        <f t="shared" ca="1" si="482"/>
        <v>630x330x130</v>
      </c>
      <c r="AD822" s="222" t="str">
        <f t="shared" ca="1" si="468"/>
        <v>630x330x130 - 630*330*130 мм</v>
      </c>
    </row>
    <row r="823" spans="1:30" x14ac:dyDescent="0.4">
      <c r="A823" s="230"/>
      <c r="B823" s="8">
        <v>166</v>
      </c>
      <c r="C823" s="14">
        <f t="shared" ca="1" si="459"/>
        <v>1.57</v>
      </c>
      <c r="D823" s="20">
        <f t="shared" ca="1" si="471"/>
        <v>1.8839999999999999</v>
      </c>
      <c r="E823" s="225"/>
      <c r="F823" s="231"/>
      <c r="G823" s="172" t="str">
        <f t="shared" ca="1" si="454"/>
        <v/>
      </c>
      <c r="H823" s="93" t="str">
        <f t="shared" ca="1" si="455"/>
        <v/>
      </c>
      <c r="I823" s="21">
        <v>100</v>
      </c>
      <c r="J823" s="68">
        <f t="shared" si="456"/>
        <v>2.6583333333333332</v>
      </c>
      <c r="K823" s="70">
        <v>3.19</v>
      </c>
      <c r="L823" s="72">
        <f t="shared" ca="1" si="452"/>
        <v>0.87066666666666648</v>
      </c>
      <c r="M823" s="73">
        <f t="shared" ca="1" si="453"/>
        <v>87.066666666666649</v>
      </c>
      <c r="N823" s="12" t="s">
        <v>41</v>
      </c>
      <c r="O823" s="47" t="s">
        <v>45</v>
      </c>
      <c r="P823" s="13">
        <f t="shared" si="478"/>
        <v>3.19</v>
      </c>
      <c r="Q823" s="1" t="str">
        <f t="shared" si="479"/>
        <v>100-290 шт - 3,19 руб / шт с НДС</v>
      </c>
      <c r="R823" s="235"/>
      <c r="S823" s="239"/>
      <c r="T823" s="226"/>
      <c r="U823" s="228"/>
      <c r="V823" s="222"/>
      <c r="W823" s="229"/>
      <c r="X823" s="227"/>
      <c r="Y823" s="229"/>
      <c r="Z823" s="236"/>
      <c r="AA823" s="237"/>
      <c r="AB823" s="238"/>
      <c r="AC823" s="223"/>
      <c r="AD823" s="222"/>
    </row>
    <row r="824" spans="1:30" x14ac:dyDescent="0.4">
      <c r="A824" s="230"/>
      <c r="B824" s="8">
        <v>166</v>
      </c>
      <c r="C824" s="14">
        <f t="shared" ca="1" si="459"/>
        <v>1.57</v>
      </c>
      <c r="D824" s="20">
        <f t="shared" ca="1" si="471"/>
        <v>1.8839999999999999</v>
      </c>
      <c r="E824" s="225"/>
      <c r="F824" s="231"/>
      <c r="G824" s="172" t="str">
        <f t="shared" ca="1" si="454"/>
        <v/>
      </c>
      <c r="H824" s="93" t="str">
        <f t="shared" ca="1" si="455"/>
        <v/>
      </c>
      <c r="I824" s="21">
        <v>300</v>
      </c>
      <c r="J824" s="68">
        <f t="shared" si="456"/>
        <v>2.2416666666666667</v>
      </c>
      <c r="K824" s="70">
        <v>2.69</v>
      </c>
      <c r="L824" s="72">
        <f t="shared" ca="1" si="452"/>
        <v>0.53733333333333333</v>
      </c>
      <c r="M824" s="73">
        <f t="shared" ca="1" si="453"/>
        <v>161.19999999999999</v>
      </c>
      <c r="N824" s="12" t="s">
        <v>42</v>
      </c>
      <c r="O824" s="47" t="s">
        <v>45</v>
      </c>
      <c r="P824" s="13">
        <f t="shared" si="478"/>
        <v>2.69</v>
      </c>
      <c r="Q824" s="1" t="str">
        <f t="shared" si="479"/>
        <v>300-490 шт - 2,69 руб / шт с НДС</v>
      </c>
      <c r="R824" s="235"/>
      <c r="S824" s="239"/>
      <c r="T824" s="226"/>
      <c r="U824" s="228"/>
      <c r="V824" s="222"/>
      <c r="W824" s="229"/>
      <c r="X824" s="227"/>
      <c r="Y824" s="229"/>
      <c r="Z824" s="236"/>
      <c r="AA824" s="237"/>
      <c r="AB824" s="238"/>
      <c r="AC824" s="223"/>
      <c r="AD824" s="222"/>
    </row>
    <row r="825" spans="1:30" x14ac:dyDescent="0.4">
      <c r="A825" s="230"/>
      <c r="B825" s="8">
        <v>166</v>
      </c>
      <c r="C825" s="14">
        <f t="shared" ca="1" si="459"/>
        <v>1.57</v>
      </c>
      <c r="D825" s="20">
        <f t="shared" ca="1" si="471"/>
        <v>1.8839999999999999</v>
      </c>
      <c r="E825" s="225"/>
      <c r="F825" s="231"/>
      <c r="G825" s="172" t="str">
        <f t="shared" ca="1" si="454"/>
        <v/>
      </c>
      <c r="H825" s="93" t="str">
        <f t="shared" ca="1" si="455"/>
        <v/>
      </c>
      <c r="I825" s="21">
        <v>500</v>
      </c>
      <c r="J825" s="68">
        <f t="shared" si="456"/>
        <v>2.1166666666666667</v>
      </c>
      <c r="K825" s="70">
        <v>2.54</v>
      </c>
      <c r="L825" s="72">
        <f t="shared" ca="1" si="452"/>
        <v>0.4373333333333333</v>
      </c>
      <c r="M825" s="73">
        <f t="shared" ca="1" si="453"/>
        <v>218.66666666666666</v>
      </c>
      <c r="N825" s="12" t="s">
        <v>43</v>
      </c>
      <c r="O825" s="47" t="s">
        <v>45</v>
      </c>
      <c r="P825" s="13">
        <f t="shared" si="478"/>
        <v>2.54</v>
      </c>
      <c r="Q825" s="1" t="str">
        <f t="shared" si="479"/>
        <v>500-990 шт - 2,54 руб / шт с НДС</v>
      </c>
      <c r="R825" s="235"/>
      <c r="S825" s="239"/>
      <c r="T825" s="226"/>
      <c r="U825" s="228"/>
      <c r="V825" s="222"/>
      <c r="W825" s="229"/>
      <c r="X825" s="227"/>
      <c r="Y825" s="229"/>
      <c r="Z825" s="236"/>
      <c r="AA825" s="237"/>
      <c r="AB825" s="238"/>
      <c r="AC825" s="223"/>
      <c r="AD825" s="222"/>
    </row>
    <row r="826" spans="1:30" x14ac:dyDescent="0.4">
      <c r="A826" s="230"/>
      <c r="B826" s="8">
        <v>166</v>
      </c>
      <c r="C826" s="14">
        <f t="shared" ca="1" si="459"/>
        <v>1.57</v>
      </c>
      <c r="D826" s="20">
        <f t="shared" ca="1" si="471"/>
        <v>1.8839999999999999</v>
      </c>
      <c r="E826" s="225"/>
      <c r="F826" s="231"/>
      <c r="G826" s="172" t="str">
        <f t="shared" ca="1" si="454"/>
        <v/>
      </c>
      <c r="H826" s="93" t="str">
        <f t="shared" ca="1" si="455"/>
        <v/>
      </c>
      <c r="I826" s="21">
        <v>1000</v>
      </c>
      <c r="J826" s="68">
        <f t="shared" si="456"/>
        <v>2.0500000000000003</v>
      </c>
      <c r="K826" s="70">
        <v>2.46</v>
      </c>
      <c r="L826" s="72">
        <f t="shared" ca="1" si="452"/>
        <v>0.38400000000000017</v>
      </c>
      <c r="M826" s="73">
        <f t="shared" ca="1" si="453"/>
        <v>384.00000000000017</v>
      </c>
      <c r="N826" s="12" t="s">
        <v>44</v>
      </c>
      <c r="O826" s="47" t="s">
        <v>45</v>
      </c>
      <c r="P826" s="13">
        <f t="shared" si="478"/>
        <v>2.46</v>
      </c>
      <c r="Q826" s="1" t="str">
        <f t="shared" si="479"/>
        <v>1000 + шт - 2,46 руб / шт с НДС</v>
      </c>
      <c r="R826" s="235"/>
      <c r="S826" s="239"/>
      <c r="T826" s="226"/>
      <c r="U826" s="228"/>
      <c r="V826" s="222"/>
      <c r="W826" s="229"/>
      <c r="X826" s="227"/>
      <c r="Y826" s="229"/>
      <c r="Z826" s="236"/>
      <c r="AA826" s="237"/>
      <c r="AB826" s="238"/>
      <c r="AC826" s="223"/>
      <c r="AD826" s="222"/>
    </row>
    <row r="827" spans="1:30" x14ac:dyDescent="0.4">
      <c r="A827" s="230">
        <v>167</v>
      </c>
      <c r="B827" s="8">
        <v>167</v>
      </c>
      <c r="C827" s="14">
        <f t="shared" ca="1" si="459"/>
        <v>0.81</v>
      </c>
      <c r="D827" s="20">
        <f t="shared" ca="1" si="471"/>
        <v>0.97199999999999998</v>
      </c>
      <c r="E827" s="224" t="str">
        <f ca="1">INDIRECT("'Закуп'!D" &amp; A827)</f>
        <v>У</v>
      </c>
      <c r="F827" s="231" t="str">
        <f t="shared" ref="F827" ca="1" si="485">INDIRECT("'Закуп'!E" &amp; B827)</f>
        <v>274х186х87</v>
      </c>
      <c r="G827" s="172" t="str">
        <f t="shared" ca="1" si="454"/>
        <v/>
      </c>
      <c r="H827" s="93" t="str">
        <f t="shared" ca="1" si="455"/>
        <v/>
      </c>
      <c r="I827" s="21">
        <v>50</v>
      </c>
      <c r="J827" s="68">
        <f t="shared" si="456"/>
        <v>1.9333333333333333</v>
      </c>
      <c r="K827" s="70">
        <v>2.3199999999999998</v>
      </c>
      <c r="L827" s="72">
        <f t="shared" ca="1" si="452"/>
        <v>0.89866666666666661</v>
      </c>
      <c r="M827" s="73">
        <f t="shared" ca="1" si="453"/>
        <v>44.93333333333333</v>
      </c>
      <c r="N827" s="12" t="s">
        <v>40</v>
      </c>
      <c r="O827" s="47" t="s">
        <v>45</v>
      </c>
      <c r="P827" s="13">
        <f t="shared" si="478"/>
        <v>2.3199999999999998</v>
      </c>
      <c r="Q827" s="1" t="str">
        <f t="shared" si="479"/>
        <v>50-90 шт - 2,32 руб / шт с НДС</v>
      </c>
      <c r="R827" s="235" t="str">
        <f ca="1">INDIRECT("'Закуп'!k" &amp; A827)</f>
        <v>K168</v>
      </c>
      <c r="S827" s="239">
        <f ca="1">INDIRECT("'Закуп'!o" &amp; A827)</f>
        <v>4.43</v>
      </c>
      <c r="T827" s="226" t="str">
        <f ca="1">INDIRECT("'Закуп'!p" &amp; A827)</f>
        <v>4-5,9 литра</v>
      </c>
      <c r="U827" s="228" t="str">
        <f ca="1">INDIRECT("'Закуп'!v" &amp; A827)</f>
        <v/>
      </c>
      <c r="V827" s="222" t="str">
        <f ca="1">INDIRECT("'Закуп'!w" &amp; A827)</f>
        <v>Плоские</v>
      </c>
      <c r="W827" s="229" t="str">
        <f ca="1">INDIRECT("'Закуп'!H" &amp; A827)</f>
        <v>х</v>
      </c>
      <c r="X827" s="227" t="str">
        <f t="shared" ref="X827" ca="1" si="486">INDIRECT("'Закуп'!g" &amp; A827)</f>
        <v>С</v>
      </c>
      <c r="Y827" s="229" t="str">
        <f ca="1">INDIRECT("'Закуп'!i" &amp; A827)</f>
        <v>В</v>
      </c>
      <c r="Z827" s="236" t="str">
        <f ca="1">INDIRECT("'Закуп'!x" &amp; A827)</f>
        <v>200-299 мм</v>
      </c>
      <c r="AA827" s="237" t="str">
        <f ca="1">INDIRECT("'Закуп'!y" &amp; A827)</f>
        <v>100-199 мм</v>
      </c>
      <c r="AB827" s="238" t="str">
        <f ca="1">INDIRECT("'Закуп'!z" &amp; A827)</f>
        <v>10-99 мм</v>
      </c>
      <c r="AC827" s="223" t="str">
        <f t="shared" ca="1" si="482"/>
        <v>274x186x87</v>
      </c>
      <c r="AD827" s="222" t="str">
        <f t="shared" ca="1" si="468"/>
        <v>274x186x87 - 274*186*87 мм</v>
      </c>
    </row>
    <row r="828" spans="1:30" x14ac:dyDescent="0.4">
      <c r="A828" s="230"/>
      <c r="B828" s="8">
        <v>167</v>
      </c>
      <c r="C828" s="14">
        <f t="shared" ca="1" si="459"/>
        <v>0.81</v>
      </c>
      <c r="D828" s="20">
        <f t="shared" ca="1" si="471"/>
        <v>0.97199999999999998</v>
      </c>
      <c r="E828" s="225"/>
      <c r="F828" s="231"/>
      <c r="G828" s="172" t="str">
        <f t="shared" ca="1" si="454"/>
        <v/>
      </c>
      <c r="H828" s="93" t="str">
        <f t="shared" ca="1" si="455"/>
        <v/>
      </c>
      <c r="I828" s="21">
        <v>100</v>
      </c>
      <c r="J828" s="68">
        <f t="shared" si="456"/>
        <v>1.6666666666666667</v>
      </c>
      <c r="K828" s="70">
        <v>2</v>
      </c>
      <c r="L828" s="72">
        <f t="shared" ca="1" si="452"/>
        <v>0.68533333333333335</v>
      </c>
      <c r="M828" s="73">
        <f t="shared" ca="1" si="453"/>
        <v>68.533333333333331</v>
      </c>
      <c r="N828" s="12" t="s">
        <v>41</v>
      </c>
      <c r="O828" s="47" t="s">
        <v>45</v>
      </c>
      <c r="P828" s="13">
        <f t="shared" si="478"/>
        <v>2</v>
      </c>
      <c r="Q828" s="1" t="str">
        <f t="shared" si="479"/>
        <v>100-290 шт - 2 руб / шт с НДС</v>
      </c>
      <c r="R828" s="235"/>
      <c r="S828" s="239"/>
      <c r="T828" s="226"/>
      <c r="U828" s="228"/>
      <c r="V828" s="222"/>
      <c r="W828" s="229"/>
      <c r="X828" s="227"/>
      <c r="Y828" s="229"/>
      <c r="Z828" s="236"/>
      <c r="AA828" s="237"/>
      <c r="AB828" s="238"/>
      <c r="AC828" s="223"/>
      <c r="AD828" s="222"/>
    </row>
    <row r="829" spans="1:30" x14ac:dyDescent="0.4">
      <c r="A829" s="230"/>
      <c r="B829" s="8">
        <v>167</v>
      </c>
      <c r="C829" s="14">
        <f t="shared" ca="1" si="459"/>
        <v>0.81</v>
      </c>
      <c r="D829" s="20">
        <f t="shared" ca="1" si="471"/>
        <v>0.97199999999999998</v>
      </c>
      <c r="E829" s="225"/>
      <c r="F829" s="231"/>
      <c r="G829" s="172" t="str">
        <f t="shared" ca="1" si="454"/>
        <v/>
      </c>
      <c r="H829" s="93" t="str">
        <f t="shared" ca="1" si="455"/>
        <v/>
      </c>
      <c r="I829" s="21">
        <v>300</v>
      </c>
      <c r="J829" s="68">
        <f t="shared" si="456"/>
        <v>1.5666666666666667</v>
      </c>
      <c r="K829" s="70">
        <v>1.88</v>
      </c>
      <c r="L829" s="72">
        <f t="shared" ca="1" si="452"/>
        <v>0.60533333333333328</v>
      </c>
      <c r="M829" s="73">
        <f t="shared" ca="1" si="453"/>
        <v>181.6</v>
      </c>
      <c r="N829" s="12" t="s">
        <v>42</v>
      </c>
      <c r="O829" s="47" t="s">
        <v>45</v>
      </c>
      <c r="P829" s="13">
        <f t="shared" si="478"/>
        <v>1.88</v>
      </c>
      <c r="Q829" s="1" t="str">
        <f t="shared" si="479"/>
        <v>300-490 шт - 1,88 руб / шт с НДС</v>
      </c>
      <c r="R829" s="235"/>
      <c r="S829" s="239"/>
      <c r="T829" s="226"/>
      <c r="U829" s="228"/>
      <c r="V829" s="222"/>
      <c r="W829" s="229"/>
      <c r="X829" s="227"/>
      <c r="Y829" s="229"/>
      <c r="Z829" s="236"/>
      <c r="AA829" s="237"/>
      <c r="AB829" s="238"/>
      <c r="AC829" s="223"/>
      <c r="AD829" s="222"/>
    </row>
    <row r="830" spans="1:30" x14ac:dyDescent="0.4">
      <c r="A830" s="230"/>
      <c r="B830" s="8">
        <v>167</v>
      </c>
      <c r="C830" s="14">
        <f t="shared" ca="1" si="459"/>
        <v>0.81</v>
      </c>
      <c r="D830" s="20">
        <f t="shared" ca="1" si="471"/>
        <v>0.97199999999999998</v>
      </c>
      <c r="E830" s="225"/>
      <c r="F830" s="231"/>
      <c r="G830" s="172" t="str">
        <f t="shared" ca="1" si="454"/>
        <v/>
      </c>
      <c r="H830" s="93" t="str">
        <f t="shared" ca="1" si="455"/>
        <v/>
      </c>
      <c r="I830" s="21">
        <v>500</v>
      </c>
      <c r="J830" s="68">
        <f t="shared" si="456"/>
        <v>1.4583333333333335</v>
      </c>
      <c r="K830" s="70">
        <v>1.75</v>
      </c>
      <c r="L830" s="72">
        <f t="shared" ca="1" si="452"/>
        <v>0.51866666666666672</v>
      </c>
      <c r="M830" s="73">
        <f t="shared" ca="1" si="453"/>
        <v>259.33333333333337</v>
      </c>
      <c r="N830" s="12" t="s">
        <v>43</v>
      </c>
      <c r="O830" s="47" t="s">
        <v>45</v>
      </c>
      <c r="P830" s="13">
        <f t="shared" si="478"/>
        <v>1.75</v>
      </c>
      <c r="Q830" s="1" t="str">
        <f t="shared" si="479"/>
        <v>500-990 шт - 1,75 руб / шт с НДС</v>
      </c>
      <c r="R830" s="235"/>
      <c r="S830" s="239"/>
      <c r="T830" s="226"/>
      <c r="U830" s="228"/>
      <c r="V830" s="222"/>
      <c r="W830" s="229"/>
      <c r="X830" s="227"/>
      <c r="Y830" s="229"/>
      <c r="Z830" s="236"/>
      <c r="AA830" s="237"/>
      <c r="AB830" s="238"/>
      <c r="AC830" s="223"/>
      <c r="AD830" s="222"/>
    </row>
    <row r="831" spans="1:30" x14ac:dyDescent="0.4">
      <c r="A831" s="230"/>
      <c r="B831" s="8">
        <v>167</v>
      </c>
      <c r="C831" s="14">
        <f t="shared" ca="1" si="459"/>
        <v>0.81</v>
      </c>
      <c r="D831" s="20">
        <f t="shared" ca="1" si="471"/>
        <v>0.97199999999999998</v>
      </c>
      <c r="E831" s="225"/>
      <c r="F831" s="231"/>
      <c r="G831" s="172" t="str">
        <f t="shared" ca="1" si="454"/>
        <v/>
      </c>
      <c r="H831" s="93" t="str">
        <f t="shared" ca="1" si="455"/>
        <v/>
      </c>
      <c r="I831" s="21">
        <v>1000</v>
      </c>
      <c r="J831" s="68">
        <f t="shared" si="456"/>
        <v>1.2750000000000001</v>
      </c>
      <c r="K831" s="70">
        <v>1.53</v>
      </c>
      <c r="L831" s="72">
        <f t="shared" ca="1" si="452"/>
        <v>0.37200000000000005</v>
      </c>
      <c r="M831" s="73">
        <f t="shared" ca="1" si="453"/>
        <v>372.00000000000006</v>
      </c>
      <c r="N831" s="12" t="s">
        <v>44</v>
      </c>
      <c r="O831" s="47" t="s">
        <v>45</v>
      </c>
      <c r="P831" s="13">
        <f t="shared" si="478"/>
        <v>1.53</v>
      </c>
      <c r="Q831" s="1" t="str">
        <f t="shared" si="479"/>
        <v>1000 + шт - 1,53 руб / шт с НДС</v>
      </c>
      <c r="R831" s="235"/>
      <c r="S831" s="239"/>
      <c r="T831" s="226"/>
      <c r="U831" s="228"/>
      <c r="V831" s="222"/>
      <c r="W831" s="229"/>
      <c r="X831" s="227"/>
      <c r="Y831" s="229"/>
      <c r="Z831" s="236"/>
      <c r="AA831" s="237"/>
      <c r="AB831" s="238"/>
      <c r="AC831" s="223"/>
      <c r="AD831" s="222"/>
    </row>
    <row r="832" spans="1:30" x14ac:dyDescent="0.4">
      <c r="A832" s="230">
        <v>168</v>
      </c>
      <c r="B832" s="8">
        <v>168</v>
      </c>
      <c r="C832" s="14">
        <f t="shared" ca="1" si="459"/>
        <v>1.58</v>
      </c>
      <c r="D832" s="20">
        <f t="shared" ca="1" si="471"/>
        <v>1.8959999999999999</v>
      </c>
      <c r="E832" s="224" t="str">
        <f ca="1">INDIRECT("'Закуп'!D" &amp; A832)</f>
        <v>У</v>
      </c>
      <c r="F832" s="231" t="str">
        <f t="shared" ref="F832" ca="1" si="487">INDIRECT("'Закуп'!E" &amp; B832)</f>
        <v>579х261х265</v>
      </c>
      <c r="G832" s="172" t="str">
        <f t="shared" ca="1" si="454"/>
        <v/>
      </c>
      <c r="H832" s="93" t="str">
        <f t="shared" ca="1" si="455"/>
        <v/>
      </c>
      <c r="I832" s="21">
        <v>50</v>
      </c>
      <c r="J832" s="68">
        <f t="shared" si="456"/>
        <v>3.3833333333333333</v>
      </c>
      <c r="K832" s="70">
        <v>4.0599999999999996</v>
      </c>
      <c r="L832" s="72">
        <f t="shared" ca="1" si="452"/>
        <v>1.4426666666666665</v>
      </c>
      <c r="M832" s="73">
        <f t="shared" ca="1" si="453"/>
        <v>72.133333333333326</v>
      </c>
      <c r="N832" s="12" t="s">
        <v>40</v>
      </c>
      <c r="O832" s="47" t="s">
        <v>45</v>
      </c>
      <c r="P832" s="13">
        <f t="shared" si="478"/>
        <v>4.0599999999999996</v>
      </c>
      <c r="Q832" s="1" t="str">
        <f t="shared" si="479"/>
        <v>50-90 шт - 4,06 руб / шт с НДС</v>
      </c>
      <c r="R832" s="235" t="str">
        <f ca="1">INDIRECT("'Закуп'!k" &amp; A832)</f>
        <v>K169</v>
      </c>
      <c r="S832" s="239">
        <f ca="1">INDIRECT("'Закуп'!o" &amp; A832)</f>
        <v>40.049999999999997</v>
      </c>
      <c r="T832" s="226" t="str">
        <f ca="1">INDIRECT("'Закуп'!p" &amp; A832)</f>
        <v>30-49 литров</v>
      </c>
      <c r="U832" s="228" t="str">
        <f ca="1">INDIRECT("'Закуп'!v" &amp; A832)</f>
        <v>Длинные</v>
      </c>
      <c r="V832" s="222" t="str">
        <f ca="1">INDIRECT("'Закуп'!w" &amp; A832)</f>
        <v/>
      </c>
      <c r="W832" s="229" t="str">
        <f ca="1">INDIRECT("'Закуп'!H" &amp; A832)</f>
        <v>х</v>
      </c>
      <c r="X832" s="227" t="str">
        <f t="shared" ref="X832" ca="1" si="488">INDIRECT("'Закуп'!g" &amp; A832)</f>
        <v>Ч</v>
      </c>
      <c r="Y832" s="229" t="str">
        <f ca="1">INDIRECT("'Закуп'!i" &amp; A832)</f>
        <v>В</v>
      </c>
      <c r="Z832" s="236" t="str">
        <f ca="1">INDIRECT("'Закуп'!x" &amp; A832)</f>
        <v>500-599 мм</v>
      </c>
      <c r="AA832" s="237" t="str">
        <f ca="1">INDIRECT("'Закуп'!y" &amp; A832)</f>
        <v>200-299 мм</v>
      </c>
      <c r="AB832" s="238" t="str">
        <f ca="1">INDIRECT("'Закуп'!z" &amp; A832)</f>
        <v>200-299 мм</v>
      </c>
      <c r="AC832" s="223" t="str">
        <f t="shared" ca="1" si="482"/>
        <v>579x261x265</v>
      </c>
      <c r="AD832" s="222" t="str">
        <f t="shared" ca="1" si="468"/>
        <v>579x261x265 - 579*261*265 мм</v>
      </c>
    </row>
    <row r="833" spans="1:30" x14ac:dyDescent="0.4">
      <c r="A833" s="230"/>
      <c r="B833" s="8">
        <v>168</v>
      </c>
      <c r="C833" s="14">
        <f t="shared" ca="1" si="459"/>
        <v>1.58</v>
      </c>
      <c r="D833" s="20">
        <f t="shared" ca="1" si="471"/>
        <v>1.8959999999999999</v>
      </c>
      <c r="E833" s="225"/>
      <c r="F833" s="231"/>
      <c r="G833" s="172" t="str">
        <f t="shared" ca="1" si="454"/>
        <v/>
      </c>
      <c r="H833" s="93" t="str">
        <f t="shared" ca="1" si="455"/>
        <v/>
      </c>
      <c r="I833" s="21">
        <v>100</v>
      </c>
      <c r="J833" s="68">
        <f t="shared" si="456"/>
        <v>2.6750000000000003</v>
      </c>
      <c r="K833" s="70">
        <v>3.21</v>
      </c>
      <c r="L833" s="72">
        <f t="shared" ca="1" si="452"/>
        <v>0.87600000000000011</v>
      </c>
      <c r="M833" s="73">
        <f t="shared" ca="1" si="453"/>
        <v>87.600000000000009</v>
      </c>
      <c r="N833" s="12" t="s">
        <v>41</v>
      </c>
      <c r="O833" s="47" t="s">
        <v>45</v>
      </c>
      <c r="P833" s="13">
        <f t="shared" si="478"/>
        <v>3.21</v>
      </c>
      <c r="Q833" s="1" t="str">
        <f t="shared" si="479"/>
        <v>100-290 шт - 3,21 руб / шт с НДС</v>
      </c>
      <c r="R833" s="235"/>
      <c r="S833" s="239"/>
      <c r="T833" s="226"/>
      <c r="U833" s="228"/>
      <c r="V833" s="222"/>
      <c r="W833" s="229"/>
      <c r="X833" s="227"/>
      <c r="Y833" s="229"/>
      <c r="Z833" s="236"/>
      <c r="AA833" s="237"/>
      <c r="AB833" s="238"/>
      <c r="AC833" s="223"/>
      <c r="AD833" s="222"/>
    </row>
    <row r="834" spans="1:30" x14ac:dyDescent="0.4">
      <c r="A834" s="230"/>
      <c r="B834" s="8">
        <v>168</v>
      </c>
      <c r="C834" s="14">
        <f t="shared" ca="1" si="459"/>
        <v>1.58</v>
      </c>
      <c r="D834" s="20">
        <f t="shared" ca="1" si="471"/>
        <v>1.8959999999999999</v>
      </c>
      <c r="E834" s="225"/>
      <c r="F834" s="231"/>
      <c r="G834" s="172" t="str">
        <f t="shared" ca="1" si="454"/>
        <v/>
      </c>
      <c r="H834" s="93" t="str">
        <f t="shared" ca="1" si="455"/>
        <v/>
      </c>
      <c r="I834" s="21">
        <v>300</v>
      </c>
      <c r="J834" s="68">
        <f t="shared" si="456"/>
        <v>2.2500000000000004</v>
      </c>
      <c r="K834" s="70">
        <v>2.7</v>
      </c>
      <c r="L834" s="72">
        <f t="shared" ref="L834:L897" ca="1" si="489">J834-C834-(J834-C834)*0.2</f>
        <v>0.53600000000000025</v>
      </c>
      <c r="M834" s="73">
        <f t="shared" ref="M834:M897" ca="1" si="490">L834*I834</f>
        <v>160.80000000000007</v>
      </c>
      <c r="N834" s="12" t="s">
        <v>42</v>
      </c>
      <c r="O834" s="47" t="s">
        <v>45</v>
      </c>
      <c r="P834" s="13">
        <f t="shared" si="478"/>
        <v>2.7</v>
      </c>
      <c r="Q834" s="1" t="str">
        <f t="shared" si="479"/>
        <v>300-490 шт - 2,7 руб / шт с НДС</v>
      </c>
      <c r="R834" s="235"/>
      <c r="S834" s="239"/>
      <c r="T834" s="226"/>
      <c r="U834" s="228"/>
      <c r="V834" s="222"/>
      <c r="W834" s="229"/>
      <c r="X834" s="227"/>
      <c r="Y834" s="229"/>
      <c r="Z834" s="236"/>
      <c r="AA834" s="237"/>
      <c r="AB834" s="238"/>
      <c r="AC834" s="223"/>
      <c r="AD834" s="222"/>
    </row>
    <row r="835" spans="1:30" x14ac:dyDescent="0.4">
      <c r="A835" s="230"/>
      <c r="B835" s="8">
        <v>168</v>
      </c>
      <c r="C835" s="14">
        <f t="shared" ca="1" si="459"/>
        <v>1.58</v>
      </c>
      <c r="D835" s="20">
        <f t="shared" ca="1" si="471"/>
        <v>1.8959999999999999</v>
      </c>
      <c r="E835" s="225"/>
      <c r="F835" s="231"/>
      <c r="G835" s="172" t="str">
        <f t="shared" ref="G835:G898" ca="1" si="491">IF(INDIRECT("'Закуп'!L" &amp; B835)="Sale","Sale","")</f>
        <v/>
      </c>
      <c r="H835" s="93" t="str">
        <f t="shared" ref="H835:H898" ca="1" si="492">IF(INDIRECT("'Закуп'!F" &amp; B835)=0,"",INDIRECT("'Закуп'!F" &amp; B835))</f>
        <v/>
      </c>
      <c r="I835" s="21">
        <v>500</v>
      </c>
      <c r="J835" s="68">
        <f t="shared" ref="J835:J898" si="493">K835/1.2</f>
        <v>2.1333333333333333</v>
      </c>
      <c r="K835" s="70">
        <v>2.56</v>
      </c>
      <c r="L835" s="72">
        <f t="shared" ca="1" si="489"/>
        <v>0.4426666666666666</v>
      </c>
      <c r="M835" s="73">
        <f t="shared" ca="1" si="490"/>
        <v>221.33333333333329</v>
      </c>
      <c r="N835" s="12" t="s">
        <v>43</v>
      </c>
      <c r="O835" s="47" t="s">
        <v>45</v>
      </c>
      <c r="P835" s="13">
        <f t="shared" si="478"/>
        <v>2.56</v>
      </c>
      <c r="Q835" s="1" t="str">
        <f t="shared" si="479"/>
        <v>500-990 шт - 2,56 руб / шт с НДС</v>
      </c>
      <c r="R835" s="235"/>
      <c r="S835" s="239"/>
      <c r="T835" s="226"/>
      <c r="U835" s="228"/>
      <c r="V835" s="222"/>
      <c r="W835" s="229"/>
      <c r="X835" s="227"/>
      <c r="Y835" s="229"/>
      <c r="Z835" s="236"/>
      <c r="AA835" s="237"/>
      <c r="AB835" s="238"/>
      <c r="AC835" s="223"/>
      <c r="AD835" s="222"/>
    </row>
    <row r="836" spans="1:30" x14ac:dyDescent="0.4">
      <c r="A836" s="230"/>
      <c r="B836" s="8">
        <v>168</v>
      </c>
      <c r="C836" s="14">
        <f t="shared" ca="1" si="459"/>
        <v>1.58</v>
      </c>
      <c r="D836" s="20">
        <f t="shared" ca="1" si="471"/>
        <v>1.8959999999999999</v>
      </c>
      <c r="E836" s="225"/>
      <c r="F836" s="231"/>
      <c r="G836" s="172" t="str">
        <f t="shared" ca="1" si="491"/>
        <v/>
      </c>
      <c r="H836" s="93" t="str">
        <f t="shared" ca="1" si="492"/>
        <v/>
      </c>
      <c r="I836" s="21">
        <v>1000</v>
      </c>
      <c r="J836" s="68">
        <f t="shared" si="493"/>
        <v>2.0583333333333336</v>
      </c>
      <c r="K836" s="70">
        <v>2.4700000000000002</v>
      </c>
      <c r="L836" s="72">
        <f t="shared" ca="1" si="489"/>
        <v>0.38266666666666682</v>
      </c>
      <c r="M836" s="73">
        <f t="shared" ca="1" si="490"/>
        <v>382.6666666666668</v>
      </c>
      <c r="N836" s="12" t="s">
        <v>44</v>
      </c>
      <c r="O836" s="47" t="s">
        <v>45</v>
      </c>
      <c r="P836" s="13">
        <f t="shared" si="478"/>
        <v>2.4700000000000002</v>
      </c>
      <c r="Q836" s="1" t="str">
        <f t="shared" si="479"/>
        <v>1000 + шт - 2,47 руб / шт с НДС</v>
      </c>
      <c r="R836" s="235"/>
      <c r="S836" s="239"/>
      <c r="T836" s="226"/>
      <c r="U836" s="228"/>
      <c r="V836" s="222"/>
      <c r="W836" s="229"/>
      <c r="X836" s="227"/>
      <c r="Y836" s="229"/>
      <c r="Z836" s="236"/>
      <c r="AA836" s="237"/>
      <c r="AB836" s="238"/>
      <c r="AC836" s="223"/>
      <c r="AD836" s="222"/>
    </row>
    <row r="837" spans="1:30" x14ac:dyDescent="0.4">
      <c r="A837" s="230">
        <v>169</v>
      </c>
      <c r="B837" s="8">
        <v>169</v>
      </c>
      <c r="C837" s="14">
        <f t="shared" ca="1" si="459"/>
        <v>5.12</v>
      </c>
      <c r="D837" s="20">
        <f t="shared" ca="1" si="471"/>
        <v>6.1440000000000001</v>
      </c>
      <c r="E837" s="224" t="str">
        <f ca="1">INDIRECT("'Закуп'!D" &amp; A837)</f>
        <v>У</v>
      </c>
      <c r="F837" s="231" t="str">
        <f t="shared" ref="F837" ca="1" si="494">INDIRECT("'Закуп'!E" &amp; B837)</f>
        <v>745х545х580</v>
      </c>
      <c r="G837" s="172" t="str">
        <f t="shared" ca="1" si="491"/>
        <v/>
      </c>
      <c r="H837" s="93" t="str">
        <f t="shared" ca="1" si="492"/>
        <v/>
      </c>
      <c r="I837" s="21">
        <v>50</v>
      </c>
      <c r="J837" s="68">
        <f t="shared" si="493"/>
        <v>8.5416666666666679</v>
      </c>
      <c r="K837" s="70">
        <v>10.25</v>
      </c>
      <c r="L837" s="72">
        <f t="shared" ca="1" si="489"/>
        <v>2.7373333333333343</v>
      </c>
      <c r="M837" s="73">
        <f t="shared" ca="1" si="490"/>
        <v>136.8666666666667</v>
      </c>
      <c r="N837" s="12" t="s">
        <v>40</v>
      </c>
      <c r="O837" s="47" t="s">
        <v>45</v>
      </c>
      <c r="P837" s="13">
        <f t="shared" si="478"/>
        <v>10.25</v>
      </c>
      <c r="Q837" s="1" t="str">
        <f t="shared" si="479"/>
        <v>50-90 шт - 10,25 руб / шт с НДС</v>
      </c>
      <c r="R837" s="235" t="str">
        <f ca="1">INDIRECT("'Закуп'!k" &amp; A837)</f>
        <v>K170</v>
      </c>
      <c r="S837" s="239">
        <f ca="1">INDIRECT("'Закуп'!o" &amp; A837)</f>
        <v>235.49</v>
      </c>
      <c r="T837" s="226" t="str">
        <f ca="1">INDIRECT("'Закуп'!p" &amp; A837)</f>
        <v>200+ литров</v>
      </c>
      <c r="U837" s="228" t="str">
        <f ca="1">INDIRECT("'Закуп'!v" &amp; A837)</f>
        <v/>
      </c>
      <c r="V837" s="222" t="str">
        <f ca="1">INDIRECT("'Закуп'!w" &amp; A837)</f>
        <v/>
      </c>
      <c r="W837" s="229" t="str">
        <f ca="1">INDIRECT("'Закуп'!H" &amp; A837)</f>
        <v>х</v>
      </c>
      <c r="X837" s="227" t="str">
        <f t="shared" ref="X837" ca="1" si="495">INDIRECT("'Закуп'!g" &amp; A837)</f>
        <v>Ч</v>
      </c>
      <c r="Y837" s="229" t="str">
        <f ca="1">INDIRECT("'Закуп'!i" &amp; A837)</f>
        <v>В</v>
      </c>
      <c r="Z837" s="236" t="str">
        <f ca="1">INDIRECT("'Закуп'!x" &amp; A837)</f>
        <v>700-999 мм</v>
      </c>
      <c r="AA837" s="237" t="str">
        <f ca="1">INDIRECT("'Закуп'!y" &amp; A837)</f>
        <v>500-599 мм</v>
      </c>
      <c r="AB837" s="238" t="str">
        <f ca="1">INDIRECT("'Закуп'!z" &amp; A837)</f>
        <v>500-599 мм</v>
      </c>
      <c r="AC837" s="223" t="str">
        <f t="shared" ca="1" si="482"/>
        <v>745x545x580</v>
      </c>
      <c r="AD837" s="222" t="str">
        <f t="shared" ca="1" si="468"/>
        <v>745x545x580 - 745*545*580 мм</v>
      </c>
    </row>
    <row r="838" spans="1:30" x14ac:dyDescent="0.4">
      <c r="A838" s="230"/>
      <c r="B838" s="8">
        <v>169</v>
      </c>
      <c r="C838" s="14">
        <f t="shared" ca="1" si="459"/>
        <v>5.12</v>
      </c>
      <c r="D838" s="20">
        <f t="shared" ca="1" si="471"/>
        <v>6.1440000000000001</v>
      </c>
      <c r="E838" s="225"/>
      <c r="F838" s="231"/>
      <c r="G838" s="172" t="str">
        <f t="shared" ca="1" si="491"/>
        <v/>
      </c>
      <c r="H838" s="93" t="str">
        <f t="shared" ca="1" si="492"/>
        <v/>
      </c>
      <c r="I838" s="21">
        <v>100</v>
      </c>
      <c r="J838" s="68">
        <f t="shared" si="493"/>
        <v>7.2833333333333341</v>
      </c>
      <c r="K838" s="70">
        <v>8.74</v>
      </c>
      <c r="L838" s="72">
        <f t="shared" ca="1" si="489"/>
        <v>1.7306666666666672</v>
      </c>
      <c r="M838" s="73">
        <f t="shared" ca="1" si="490"/>
        <v>173.06666666666672</v>
      </c>
      <c r="N838" s="12" t="s">
        <v>41</v>
      </c>
      <c r="O838" s="47" t="s">
        <v>45</v>
      </c>
      <c r="P838" s="13">
        <f t="shared" si="478"/>
        <v>8.74</v>
      </c>
      <c r="Q838" s="1" t="str">
        <f t="shared" si="479"/>
        <v>100-290 шт - 8,74 руб / шт с НДС</v>
      </c>
      <c r="R838" s="235"/>
      <c r="S838" s="239"/>
      <c r="T838" s="226"/>
      <c r="U838" s="228"/>
      <c r="V838" s="222"/>
      <c r="W838" s="229"/>
      <c r="X838" s="227"/>
      <c r="Y838" s="229"/>
      <c r="Z838" s="236"/>
      <c r="AA838" s="237"/>
      <c r="AB838" s="238"/>
      <c r="AC838" s="223"/>
      <c r="AD838" s="222"/>
    </row>
    <row r="839" spans="1:30" x14ac:dyDescent="0.4">
      <c r="A839" s="230"/>
      <c r="B839" s="8">
        <v>169</v>
      </c>
      <c r="C839" s="14">
        <f t="shared" ca="1" si="459"/>
        <v>5.12</v>
      </c>
      <c r="D839" s="20">
        <f t="shared" ca="1" si="471"/>
        <v>6.1440000000000001</v>
      </c>
      <c r="E839" s="225"/>
      <c r="F839" s="231"/>
      <c r="G839" s="172" t="str">
        <f t="shared" ca="1" si="491"/>
        <v/>
      </c>
      <c r="H839" s="93" t="str">
        <f t="shared" ca="1" si="492"/>
        <v/>
      </c>
      <c r="I839" s="21">
        <v>300</v>
      </c>
      <c r="J839" s="68">
        <f t="shared" si="493"/>
        <v>6.6916666666666664</v>
      </c>
      <c r="K839" s="70">
        <v>8.0299999999999994</v>
      </c>
      <c r="L839" s="72">
        <f t="shared" ca="1" si="489"/>
        <v>1.257333333333333</v>
      </c>
      <c r="M839" s="73">
        <f t="shared" ca="1" si="490"/>
        <v>377.19999999999987</v>
      </c>
      <c r="N839" s="12" t="s">
        <v>42</v>
      </c>
      <c r="O839" s="47" t="s">
        <v>45</v>
      </c>
      <c r="P839" s="13">
        <f t="shared" si="478"/>
        <v>8.0299999999999994</v>
      </c>
      <c r="Q839" s="1" t="str">
        <f t="shared" si="479"/>
        <v>300-490 шт - 8,03 руб / шт с НДС</v>
      </c>
      <c r="R839" s="235"/>
      <c r="S839" s="239"/>
      <c r="T839" s="226"/>
      <c r="U839" s="228"/>
      <c r="V839" s="222"/>
      <c r="W839" s="229"/>
      <c r="X839" s="227"/>
      <c r="Y839" s="229"/>
      <c r="Z839" s="236"/>
      <c r="AA839" s="237"/>
      <c r="AB839" s="238"/>
      <c r="AC839" s="223"/>
      <c r="AD839" s="222"/>
    </row>
    <row r="840" spans="1:30" x14ac:dyDescent="0.4">
      <c r="A840" s="230"/>
      <c r="B840" s="8">
        <v>169</v>
      </c>
      <c r="C840" s="14">
        <f t="shared" ca="1" si="459"/>
        <v>5.12</v>
      </c>
      <c r="D840" s="20">
        <f t="shared" ca="1" si="471"/>
        <v>6.1440000000000001</v>
      </c>
      <c r="E840" s="225"/>
      <c r="F840" s="231"/>
      <c r="G840" s="172" t="str">
        <f t="shared" ca="1" si="491"/>
        <v/>
      </c>
      <c r="H840" s="93" t="str">
        <f t="shared" ca="1" si="492"/>
        <v/>
      </c>
      <c r="I840" s="21">
        <v>500</v>
      </c>
      <c r="J840" s="68">
        <f t="shared" si="493"/>
        <v>6.5750000000000002</v>
      </c>
      <c r="K840" s="70">
        <v>7.89</v>
      </c>
      <c r="L840" s="72">
        <f t="shared" ca="1" si="489"/>
        <v>1.1640000000000001</v>
      </c>
      <c r="M840" s="73">
        <f t="shared" ca="1" si="490"/>
        <v>582.00000000000011</v>
      </c>
      <c r="N840" s="12" t="s">
        <v>43</v>
      </c>
      <c r="O840" s="47" t="s">
        <v>45</v>
      </c>
      <c r="P840" s="13">
        <f t="shared" si="478"/>
        <v>7.89</v>
      </c>
      <c r="Q840" s="1" t="str">
        <f t="shared" si="479"/>
        <v>500-990 шт - 7,89 руб / шт с НДС</v>
      </c>
      <c r="R840" s="235"/>
      <c r="S840" s="239"/>
      <c r="T840" s="226"/>
      <c r="U840" s="228"/>
      <c r="V840" s="222"/>
      <c r="W840" s="229"/>
      <c r="X840" s="227"/>
      <c r="Y840" s="229"/>
      <c r="Z840" s="236"/>
      <c r="AA840" s="237"/>
      <c r="AB840" s="238"/>
      <c r="AC840" s="223"/>
      <c r="AD840" s="222"/>
    </row>
    <row r="841" spans="1:30" x14ac:dyDescent="0.4">
      <c r="A841" s="230"/>
      <c r="B841" s="8">
        <v>169</v>
      </c>
      <c r="C841" s="14">
        <f t="shared" ref="C841:C904" ca="1" si="496">INDIRECT("'Закуп'!A" &amp; B841)</f>
        <v>5.12</v>
      </c>
      <c r="D841" s="20">
        <f t="shared" ca="1" si="471"/>
        <v>6.1440000000000001</v>
      </c>
      <c r="E841" s="225"/>
      <c r="F841" s="231"/>
      <c r="G841" s="172" t="str">
        <f t="shared" ca="1" si="491"/>
        <v/>
      </c>
      <c r="H841" s="93" t="str">
        <f t="shared" ca="1" si="492"/>
        <v/>
      </c>
      <c r="I841" s="21">
        <v>1000</v>
      </c>
      <c r="J841" s="68">
        <f t="shared" si="493"/>
        <v>6.5166666666666675</v>
      </c>
      <c r="K841" s="70">
        <v>7.82</v>
      </c>
      <c r="L841" s="72">
        <f t="shared" ca="1" si="489"/>
        <v>1.117333333333334</v>
      </c>
      <c r="M841" s="73">
        <f t="shared" ca="1" si="490"/>
        <v>1117.3333333333339</v>
      </c>
      <c r="N841" s="12" t="s">
        <v>44</v>
      </c>
      <c r="O841" s="47" t="s">
        <v>45</v>
      </c>
      <c r="P841" s="13">
        <f t="shared" si="478"/>
        <v>7.82</v>
      </c>
      <c r="Q841" s="1" t="str">
        <f t="shared" si="479"/>
        <v>1000 + шт - 7,82 руб / шт с НДС</v>
      </c>
      <c r="R841" s="235"/>
      <c r="S841" s="239"/>
      <c r="T841" s="226"/>
      <c r="U841" s="228"/>
      <c r="V841" s="222"/>
      <c r="W841" s="229"/>
      <c r="X841" s="227"/>
      <c r="Y841" s="229"/>
      <c r="Z841" s="236"/>
      <c r="AA841" s="237"/>
      <c r="AB841" s="238"/>
      <c r="AC841" s="223"/>
      <c r="AD841" s="222"/>
    </row>
    <row r="842" spans="1:30" x14ac:dyDescent="0.4">
      <c r="A842" s="230">
        <v>170</v>
      </c>
      <c r="B842" s="8">
        <v>170</v>
      </c>
      <c r="C842" s="14">
        <f t="shared" ca="1" si="496"/>
        <v>0.28000000000000003</v>
      </c>
      <c r="D842" s="20">
        <f t="shared" ca="1" si="471"/>
        <v>0.33600000000000002</v>
      </c>
      <c r="E842" s="224" t="str">
        <f ca="1">INDIRECT("'Закуп'!D" &amp; A842)</f>
        <v>У</v>
      </c>
      <c r="F842" s="231" t="str">
        <f t="shared" ref="F842" ca="1" si="497">INDIRECT("'Закуп'!E" &amp; B842)</f>
        <v>150х150х100</v>
      </c>
      <c r="G842" s="172" t="str">
        <f t="shared" ca="1" si="491"/>
        <v/>
      </c>
      <c r="H842" s="93" t="str">
        <f t="shared" ca="1" si="492"/>
        <v/>
      </c>
      <c r="I842" s="21">
        <v>50</v>
      </c>
      <c r="J842" s="68">
        <f t="shared" si="493"/>
        <v>0.88333333333333341</v>
      </c>
      <c r="K842" s="70">
        <v>1.06</v>
      </c>
      <c r="L842" s="72">
        <f t="shared" ca="1" si="489"/>
        <v>0.48266666666666669</v>
      </c>
      <c r="M842" s="73">
        <f t="shared" ca="1" si="490"/>
        <v>24.133333333333333</v>
      </c>
      <c r="N842" s="12" t="s">
        <v>40</v>
      </c>
      <c r="O842" s="47" t="s">
        <v>45</v>
      </c>
      <c r="P842" s="13">
        <f t="shared" si="478"/>
        <v>1.06</v>
      </c>
      <c r="Q842" s="1" t="str">
        <f t="shared" si="479"/>
        <v>50-90 шт - 1,06 руб / шт с НДС</v>
      </c>
      <c r="R842" s="235" t="str">
        <f ca="1">INDIRECT("'Закуп'!k" &amp; A842)</f>
        <v>K171</v>
      </c>
      <c r="S842" s="239">
        <f ca="1">INDIRECT("'Закуп'!o" &amp; A842)</f>
        <v>2.25</v>
      </c>
      <c r="T842" s="226" t="str">
        <f ca="1">INDIRECT("'Закуп'!p" &amp; A842)</f>
        <v>2-2,9 литра</v>
      </c>
      <c r="U842" s="228" t="str">
        <f ca="1">INDIRECT("'Закуп'!v" &amp; A842)</f>
        <v/>
      </c>
      <c r="V842" s="222" t="str">
        <f ca="1">INDIRECT("'Закуп'!w" &amp; A842)</f>
        <v/>
      </c>
      <c r="W842" s="229" t="str">
        <f ca="1">INDIRECT("'Закуп'!H" &amp; A842)</f>
        <v>х</v>
      </c>
      <c r="X842" s="227" t="str">
        <f t="shared" ref="X842" ca="1" si="498">INDIRECT("'Закуп'!g" &amp; A842)</f>
        <v>Ч</v>
      </c>
      <c r="Y842" s="229" t="str">
        <f ca="1">INDIRECT("'Закуп'!i" &amp; A842)</f>
        <v>В</v>
      </c>
      <c r="Z842" s="236" t="str">
        <f ca="1">INDIRECT("'Закуп'!x" &amp; A842)</f>
        <v>100-199 мм</v>
      </c>
      <c r="AA842" s="237" t="str">
        <f ca="1">INDIRECT("'Закуп'!y" &amp; A842)</f>
        <v>100-199 мм</v>
      </c>
      <c r="AB842" s="238" t="str">
        <f ca="1">INDIRECT("'Закуп'!z" &amp; A842)</f>
        <v>100-199 мм</v>
      </c>
      <c r="AC842" s="223" t="str">
        <f t="shared" ca="1" si="482"/>
        <v>150x150x100</v>
      </c>
      <c r="AD842" s="222" t="str">
        <f t="shared" ca="1" si="468"/>
        <v>150x150x100 - 150*150*100 мм</v>
      </c>
    </row>
    <row r="843" spans="1:30" x14ac:dyDescent="0.4">
      <c r="A843" s="230"/>
      <c r="B843" s="8">
        <v>170</v>
      </c>
      <c r="C843" s="14">
        <f t="shared" ca="1" si="496"/>
        <v>0.28000000000000003</v>
      </c>
      <c r="D843" s="20">
        <f t="shared" ca="1" si="471"/>
        <v>0.33600000000000002</v>
      </c>
      <c r="E843" s="225"/>
      <c r="F843" s="231"/>
      <c r="G843" s="172" t="str">
        <f t="shared" ca="1" si="491"/>
        <v/>
      </c>
      <c r="H843" s="93" t="str">
        <f t="shared" ca="1" si="492"/>
        <v/>
      </c>
      <c r="I843" s="21">
        <v>100</v>
      </c>
      <c r="J843" s="68">
        <f t="shared" si="493"/>
        <v>0.75</v>
      </c>
      <c r="K843" s="70">
        <v>0.9</v>
      </c>
      <c r="L843" s="72">
        <f t="shared" ca="1" si="489"/>
        <v>0.376</v>
      </c>
      <c r="M843" s="73">
        <f t="shared" ca="1" si="490"/>
        <v>37.6</v>
      </c>
      <c r="N843" s="12" t="s">
        <v>41</v>
      </c>
      <c r="O843" s="47" t="s">
        <v>45</v>
      </c>
      <c r="P843" s="13">
        <f t="shared" si="478"/>
        <v>0.9</v>
      </c>
      <c r="Q843" s="1" t="str">
        <f t="shared" si="479"/>
        <v>100-290 шт - 0,9 руб / шт с НДС</v>
      </c>
      <c r="R843" s="235"/>
      <c r="S843" s="239"/>
      <c r="T843" s="226"/>
      <c r="U843" s="228"/>
      <c r="V843" s="222"/>
      <c r="W843" s="229"/>
      <c r="X843" s="227"/>
      <c r="Y843" s="229"/>
      <c r="Z843" s="236"/>
      <c r="AA843" s="237"/>
      <c r="AB843" s="238"/>
      <c r="AC843" s="223"/>
      <c r="AD843" s="222"/>
    </row>
    <row r="844" spans="1:30" x14ac:dyDescent="0.4">
      <c r="A844" s="230"/>
      <c r="B844" s="8">
        <v>170</v>
      </c>
      <c r="C844" s="14">
        <f t="shared" ca="1" si="496"/>
        <v>0.28000000000000003</v>
      </c>
      <c r="D844" s="20">
        <f t="shared" ca="1" si="471"/>
        <v>0.33600000000000002</v>
      </c>
      <c r="E844" s="225"/>
      <c r="F844" s="231"/>
      <c r="G844" s="172" t="str">
        <f t="shared" ca="1" si="491"/>
        <v/>
      </c>
      <c r="H844" s="93" t="str">
        <f t="shared" ca="1" si="492"/>
        <v/>
      </c>
      <c r="I844" s="21">
        <v>300</v>
      </c>
      <c r="J844" s="68">
        <f t="shared" si="493"/>
        <v>0.6</v>
      </c>
      <c r="K844" s="70">
        <v>0.72</v>
      </c>
      <c r="L844" s="72">
        <f t="shared" ca="1" si="489"/>
        <v>0.25599999999999995</v>
      </c>
      <c r="M844" s="73">
        <f t="shared" ca="1" si="490"/>
        <v>76.799999999999983</v>
      </c>
      <c r="N844" s="12" t="s">
        <v>42</v>
      </c>
      <c r="O844" s="47" t="s">
        <v>45</v>
      </c>
      <c r="P844" s="13">
        <f t="shared" si="478"/>
        <v>0.72</v>
      </c>
      <c r="Q844" s="1" t="str">
        <f t="shared" si="479"/>
        <v>300-490 шт - 0,72 руб / шт с НДС</v>
      </c>
      <c r="R844" s="235"/>
      <c r="S844" s="239"/>
      <c r="T844" s="226"/>
      <c r="U844" s="228"/>
      <c r="V844" s="222"/>
      <c r="W844" s="229"/>
      <c r="X844" s="227"/>
      <c r="Y844" s="229"/>
      <c r="Z844" s="236"/>
      <c r="AA844" s="237"/>
      <c r="AB844" s="238"/>
      <c r="AC844" s="223"/>
      <c r="AD844" s="222"/>
    </row>
    <row r="845" spans="1:30" x14ac:dyDescent="0.4">
      <c r="A845" s="230"/>
      <c r="B845" s="8">
        <v>170</v>
      </c>
      <c r="C845" s="14">
        <f t="shared" ca="1" si="496"/>
        <v>0.28000000000000003</v>
      </c>
      <c r="D845" s="20">
        <f t="shared" ca="1" si="471"/>
        <v>0.33600000000000002</v>
      </c>
      <c r="E845" s="225"/>
      <c r="F845" s="231"/>
      <c r="G845" s="172" t="str">
        <f t="shared" ca="1" si="491"/>
        <v/>
      </c>
      <c r="H845" s="93" t="str">
        <f t="shared" ca="1" si="492"/>
        <v/>
      </c>
      <c r="I845" s="21">
        <v>500</v>
      </c>
      <c r="J845" s="68">
        <f t="shared" si="493"/>
        <v>0.56666666666666676</v>
      </c>
      <c r="K845" s="70">
        <v>0.68</v>
      </c>
      <c r="L845" s="72">
        <f t="shared" ca="1" si="489"/>
        <v>0.22933333333333339</v>
      </c>
      <c r="M845" s="73">
        <f t="shared" ca="1" si="490"/>
        <v>114.6666666666667</v>
      </c>
      <c r="N845" s="12" t="s">
        <v>43</v>
      </c>
      <c r="O845" s="47" t="s">
        <v>45</v>
      </c>
      <c r="P845" s="13">
        <f t="shared" si="478"/>
        <v>0.68</v>
      </c>
      <c r="Q845" s="1" t="str">
        <f t="shared" si="479"/>
        <v>500-990 шт - 0,68 руб / шт с НДС</v>
      </c>
      <c r="R845" s="235"/>
      <c r="S845" s="239"/>
      <c r="T845" s="226"/>
      <c r="U845" s="228"/>
      <c r="V845" s="222"/>
      <c r="W845" s="229"/>
      <c r="X845" s="227"/>
      <c r="Y845" s="229"/>
      <c r="Z845" s="236"/>
      <c r="AA845" s="237"/>
      <c r="AB845" s="238"/>
      <c r="AC845" s="223"/>
      <c r="AD845" s="222"/>
    </row>
    <row r="846" spans="1:30" x14ac:dyDescent="0.4">
      <c r="A846" s="230"/>
      <c r="B846" s="8">
        <v>170</v>
      </c>
      <c r="C846" s="14">
        <f t="shared" ca="1" si="496"/>
        <v>0.28000000000000003</v>
      </c>
      <c r="D846" s="20">
        <f t="shared" ca="1" si="471"/>
        <v>0.33600000000000002</v>
      </c>
      <c r="E846" s="225"/>
      <c r="F846" s="231"/>
      <c r="G846" s="172" t="str">
        <f t="shared" ca="1" si="491"/>
        <v/>
      </c>
      <c r="H846" s="93" t="str">
        <f t="shared" ca="1" si="492"/>
        <v/>
      </c>
      <c r="I846" s="21">
        <v>1000</v>
      </c>
      <c r="J846" s="68">
        <f t="shared" si="493"/>
        <v>0.52500000000000002</v>
      </c>
      <c r="K846" s="70">
        <v>0.63</v>
      </c>
      <c r="L846" s="72">
        <f t="shared" ca="1" si="489"/>
        <v>0.19600000000000001</v>
      </c>
      <c r="M846" s="73">
        <f t="shared" ca="1" si="490"/>
        <v>196</v>
      </c>
      <c r="N846" s="12" t="s">
        <v>44</v>
      </c>
      <c r="O846" s="47" t="s">
        <v>45</v>
      </c>
      <c r="P846" s="13">
        <f t="shared" si="478"/>
        <v>0.63</v>
      </c>
      <c r="Q846" s="1" t="str">
        <f t="shared" si="479"/>
        <v>1000 + шт - 0,63 руб / шт с НДС</v>
      </c>
      <c r="R846" s="235"/>
      <c r="S846" s="239"/>
      <c r="T846" s="226"/>
      <c r="U846" s="228"/>
      <c r="V846" s="222"/>
      <c r="W846" s="229"/>
      <c r="X846" s="227"/>
      <c r="Y846" s="229"/>
      <c r="Z846" s="236"/>
      <c r="AA846" s="237"/>
      <c r="AB846" s="238"/>
      <c r="AC846" s="223"/>
      <c r="AD846" s="222"/>
    </row>
    <row r="847" spans="1:30" x14ac:dyDescent="0.4">
      <c r="A847" s="230">
        <v>171</v>
      </c>
      <c r="B847" s="8">
        <v>171</v>
      </c>
      <c r="C847" s="14">
        <f t="shared" ca="1" si="496"/>
        <v>0.57999999999999996</v>
      </c>
      <c r="D847" s="20">
        <f t="shared" ca="1" si="471"/>
        <v>0.69599999999999995</v>
      </c>
      <c r="E847" s="224" t="str">
        <f ca="1">INDIRECT("'Закуп'!D" &amp; A847)</f>
        <v>У</v>
      </c>
      <c r="F847" s="231" t="str">
        <f t="shared" ref="F847" ca="1" si="499">INDIRECT("'Закуп'!E" &amp; B847)</f>
        <v>260х190х160</v>
      </c>
      <c r="G847" s="172" t="str">
        <f t="shared" ca="1" si="491"/>
        <v/>
      </c>
      <c r="H847" s="93" t="str">
        <f t="shared" ca="1" si="492"/>
        <v/>
      </c>
      <c r="I847" s="21">
        <v>50</v>
      </c>
      <c r="J847" s="68">
        <f t="shared" si="493"/>
        <v>1.3666666666666667</v>
      </c>
      <c r="K847" s="70">
        <v>1.64</v>
      </c>
      <c r="L847" s="72">
        <f t="shared" ca="1" si="489"/>
        <v>0.62933333333333341</v>
      </c>
      <c r="M847" s="73">
        <f t="shared" ca="1" si="490"/>
        <v>31.466666666666672</v>
      </c>
      <c r="N847" s="12" t="s">
        <v>40</v>
      </c>
      <c r="O847" s="47" t="s">
        <v>45</v>
      </c>
      <c r="P847" s="13">
        <f t="shared" si="478"/>
        <v>1.64</v>
      </c>
      <c r="Q847" s="1" t="str">
        <f t="shared" si="479"/>
        <v>50-90 шт - 1,64 руб / шт с НДС</v>
      </c>
      <c r="R847" s="235" t="str">
        <f ca="1">INDIRECT("'Закуп'!k" &amp; A847)</f>
        <v>K172</v>
      </c>
      <c r="S847" s="239">
        <f ca="1">INDIRECT("'Закуп'!o" &amp; A847)</f>
        <v>7.9</v>
      </c>
      <c r="T847" s="226" t="str">
        <f ca="1">INDIRECT("'Закуп'!p" &amp; A847)</f>
        <v>6-7,9 литра</v>
      </c>
      <c r="U847" s="228" t="str">
        <f ca="1">INDIRECT("'Закуп'!v" &amp; A847)</f>
        <v/>
      </c>
      <c r="V847" s="222" t="str">
        <f ca="1">INDIRECT("'Закуп'!w" &amp; A847)</f>
        <v/>
      </c>
      <c r="W847" s="229" t="str">
        <f ca="1">INDIRECT("'Закуп'!H" &amp; A847)</f>
        <v>х</v>
      </c>
      <c r="X847" s="227" t="str">
        <f t="shared" ref="X847" ca="1" si="500">INDIRECT("'Закуп'!g" &amp; A847)</f>
        <v>Ч</v>
      </c>
      <c r="Y847" s="229" t="str">
        <f ca="1">INDIRECT("'Закуп'!i" &amp; A847)</f>
        <v>В</v>
      </c>
      <c r="Z847" s="236" t="str">
        <f ca="1">INDIRECT("'Закуп'!x" &amp; A847)</f>
        <v>200-299 мм</v>
      </c>
      <c r="AA847" s="237" t="str">
        <f ca="1">INDIRECT("'Закуп'!y" &amp; A847)</f>
        <v>100-199 мм</v>
      </c>
      <c r="AB847" s="238" t="str">
        <f ca="1">INDIRECT("'Закуп'!z" &amp; A847)</f>
        <v>100-199 мм</v>
      </c>
      <c r="AC847" s="223" t="str">
        <f t="shared" ca="1" si="482"/>
        <v>260x190x160</v>
      </c>
      <c r="AD847" s="222" t="str">
        <f t="shared" ca="1" si="468"/>
        <v>260x190x160 - 260*190*160 мм</v>
      </c>
    </row>
    <row r="848" spans="1:30" x14ac:dyDescent="0.4">
      <c r="A848" s="230"/>
      <c r="B848" s="8">
        <v>171</v>
      </c>
      <c r="C848" s="14">
        <f t="shared" ca="1" si="496"/>
        <v>0.57999999999999996</v>
      </c>
      <c r="D848" s="20">
        <f t="shared" ca="1" si="471"/>
        <v>0.69599999999999995</v>
      </c>
      <c r="E848" s="225"/>
      <c r="F848" s="231"/>
      <c r="G848" s="172" t="str">
        <f t="shared" ca="1" si="491"/>
        <v/>
      </c>
      <c r="H848" s="93" t="str">
        <f t="shared" ca="1" si="492"/>
        <v/>
      </c>
      <c r="I848" s="21">
        <v>100</v>
      </c>
      <c r="J848" s="68">
        <f t="shared" si="493"/>
        <v>1.2416666666666667</v>
      </c>
      <c r="K848" s="70">
        <v>1.49</v>
      </c>
      <c r="L848" s="72">
        <f t="shared" ca="1" si="489"/>
        <v>0.52933333333333343</v>
      </c>
      <c r="M848" s="73">
        <f t="shared" ca="1" si="490"/>
        <v>52.933333333333344</v>
      </c>
      <c r="N848" s="12" t="s">
        <v>41</v>
      </c>
      <c r="O848" s="47" t="s">
        <v>45</v>
      </c>
      <c r="P848" s="13">
        <f t="shared" si="478"/>
        <v>1.49</v>
      </c>
      <c r="Q848" s="1" t="str">
        <f t="shared" si="479"/>
        <v>100-290 шт - 1,49 руб / шт с НДС</v>
      </c>
      <c r="R848" s="235"/>
      <c r="S848" s="239"/>
      <c r="T848" s="226"/>
      <c r="U848" s="228"/>
      <c r="V848" s="222"/>
      <c r="W848" s="229"/>
      <c r="X848" s="227"/>
      <c r="Y848" s="229"/>
      <c r="Z848" s="236"/>
      <c r="AA848" s="237"/>
      <c r="AB848" s="238"/>
      <c r="AC848" s="223"/>
      <c r="AD848" s="222"/>
    </row>
    <row r="849" spans="1:30" x14ac:dyDescent="0.4">
      <c r="A849" s="230"/>
      <c r="B849" s="8">
        <v>171</v>
      </c>
      <c r="C849" s="14">
        <f t="shared" ca="1" si="496"/>
        <v>0.57999999999999996</v>
      </c>
      <c r="D849" s="20">
        <f t="shared" ca="1" si="471"/>
        <v>0.69599999999999995</v>
      </c>
      <c r="E849" s="225"/>
      <c r="F849" s="231"/>
      <c r="G849" s="172" t="str">
        <f t="shared" ca="1" si="491"/>
        <v/>
      </c>
      <c r="H849" s="93" t="str">
        <f t="shared" ca="1" si="492"/>
        <v/>
      </c>
      <c r="I849" s="21">
        <v>300</v>
      </c>
      <c r="J849" s="68">
        <f t="shared" si="493"/>
        <v>0.98333333333333328</v>
      </c>
      <c r="K849" s="70">
        <v>1.18</v>
      </c>
      <c r="L849" s="72">
        <f t="shared" ca="1" si="489"/>
        <v>0.32266666666666666</v>
      </c>
      <c r="M849" s="73">
        <f t="shared" ca="1" si="490"/>
        <v>96.8</v>
      </c>
      <c r="N849" s="12" t="s">
        <v>42</v>
      </c>
      <c r="O849" s="47" t="s">
        <v>45</v>
      </c>
      <c r="P849" s="13">
        <f t="shared" si="478"/>
        <v>1.18</v>
      </c>
      <c r="Q849" s="1" t="str">
        <f t="shared" si="479"/>
        <v>300-490 шт - 1,18 руб / шт с НДС</v>
      </c>
      <c r="R849" s="235"/>
      <c r="S849" s="239"/>
      <c r="T849" s="226"/>
      <c r="U849" s="228"/>
      <c r="V849" s="222"/>
      <c r="W849" s="229"/>
      <c r="X849" s="227"/>
      <c r="Y849" s="229"/>
      <c r="Z849" s="236"/>
      <c r="AA849" s="237"/>
      <c r="AB849" s="238"/>
      <c r="AC849" s="223"/>
      <c r="AD849" s="222"/>
    </row>
    <row r="850" spans="1:30" x14ac:dyDescent="0.4">
      <c r="A850" s="230"/>
      <c r="B850" s="8">
        <v>171</v>
      </c>
      <c r="C850" s="14">
        <f t="shared" ca="1" si="496"/>
        <v>0.57999999999999996</v>
      </c>
      <c r="D850" s="20">
        <f t="shared" ca="1" si="471"/>
        <v>0.69599999999999995</v>
      </c>
      <c r="E850" s="225"/>
      <c r="F850" s="231"/>
      <c r="G850" s="172" t="str">
        <f t="shared" ca="1" si="491"/>
        <v/>
      </c>
      <c r="H850" s="93" t="str">
        <f t="shared" ca="1" si="492"/>
        <v/>
      </c>
      <c r="I850" s="21">
        <v>500</v>
      </c>
      <c r="J850" s="68">
        <f t="shared" si="493"/>
        <v>0.91666666666666674</v>
      </c>
      <c r="K850" s="70">
        <v>1.1000000000000001</v>
      </c>
      <c r="L850" s="72">
        <f t="shared" ca="1" si="489"/>
        <v>0.26933333333333342</v>
      </c>
      <c r="M850" s="73">
        <f t="shared" ca="1" si="490"/>
        <v>134.66666666666671</v>
      </c>
      <c r="N850" s="12" t="s">
        <v>43</v>
      </c>
      <c r="O850" s="47" t="s">
        <v>45</v>
      </c>
      <c r="P850" s="13">
        <f t="shared" si="478"/>
        <v>1.1000000000000001</v>
      </c>
      <c r="Q850" s="1" t="str">
        <f t="shared" si="479"/>
        <v>500-990 шт - 1,1 руб / шт с НДС</v>
      </c>
      <c r="R850" s="235"/>
      <c r="S850" s="239"/>
      <c r="T850" s="226"/>
      <c r="U850" s="228"/>
      <c r="V850" s="222"/>
      <c r="W850" s="229"/>
      <c r="X850" s="227"/>
      <c r="Y850" s="229"/>
      <c r="Z850" s="236"/>
      <c r="AA850" s="237"/>
      <c r="AB850" s="238"/>
      <c r="AC850" s="223"/>
      <c r="AD850" s="222"/>
    </row>
    <row r="851" spans="1:30" x14ac:dyDescent="0.4">
      <c r="A851" s="230"/>
      <c r="B851" s="8">
        <v>171</v>
      </c>
      <c r="C851" s="14">
        <f t="shared" ca="1" si="496"/>
        <v>0.57999999999999996</v>
      </c>
      <c r="D851" s="20">
        <f t="shared" ca="1" si="471"/>
        <v>0.69599999999999995</v>
      </c>
      <c r="E851" s="225"/>
      <c r="F851" s="231"/>
      <c r="G851" s="172" t="str">
        <f t="shared" ca="1" si="491"/>
        <v/>
      </c>
      <c r="H851" s="93" t="str">
        <f t="shared" ca="1" si="492"/>
        <v/>
      </c>
      <c r="I851" s="21">
        <v>1000</v>
      </c>
      <c r="J851" s="68">
        <f t="shared" si="493"/>
        <v>0.8666666666666667</v>
      </c>
      <c r="K851" s="70">
        <v>1.04</v>
      </c>
      <c r="L851" s="72">
        <f t="shared" ca="1" si="489"/>
        <v>0.22933333333333339</v>
      </c>
      <c r="M851" s="73">
        <f t="shared" ca="1" si="490"/>
        <v>229.3333333333334</v>
      </c>
      <c r="N851" s="12" t="s">
        <v>44</v>
      </c>
      <c r="O851" s="47" t="s">
        <v>45</v>
      </c>
      <c r="P851" s="13">
        <f t="shared" si="478"/>
        <v>1.04</v>
      </c>
      <c r="Q851" s="1" t="str">
        <f t="shared" si="479"/>
        <v>1000 + шт - 1,04 руб / шт с НДС</v>
      </c>
      <c r="R851" s="235"/>
      <c r="S851" s="239"/>
      <c r="T851" s="226"/>
      <c r="U851" s="228"/>
      <c r="V851" s="222"/>
      <c r="W851" s="229"/>
      <c r="X851" s="227"/>
      <c r="Y851" s="229"/>
      <c r="Z851" s="236"/>
      <c r="AA851" s="237"/>
      <c r="AB851" s="238"/>
      <c r="AC851" s="223"/>
      <c r="AD851" s="222"/>
    </row>
    <row r="852" spans="1:30" x14ac:dyDescent="0.4">
      <c r="A852" s="230">
        <v>172</v>
      </c>
      <c r="B852" s="8">
        <v>172</v>
      </c>
      <c r="C852" s="14">
        <f t="shared" ca="1" si="496"/>
        <v>0.26</v>
      </c>
      <c r="D852" s="20">
        <f t="shared" ca="1" si="471"/>
        <v>0.312</v>
      </c>
      <c r="E852" s="224" t="str">
        <f ca="1">INDIRECT("'Закуп'!D" &amp; A852)</f>
        <v>У</v>
      </c>
      <c r="F852" s="231" t="str">
        <f t="shared" ref="F852" ca="1" si="501">INDIRECT("'Закуп'!E" &amp; B852)</f>
        <v>150х150х85</v>
      </c>
      <c r="G852" s="172" t="str">
        <f t="shared" ca="1" si="491"/>
        <v/>
      </c>
      <c r="H852" s="93" t="str">
        <f t="shared" ca="1" si="492"/>
        <v/>
      </c>
      <c r="I852" s="21">
        <v>50</v>
      </c>
      <c r="J852" s="68">
        <f t="shared" si="493"/>
        <v>0.88333333333333341</v>
      </c>
      <c r="K852" s="70">
        <v>1.06</v>
      </c>
      <c r="L852" s="72">
        <f t="shared" ca="1" si="489"/>
        <v>0.4986666666666667</v>
      </c>
      <c r="M852" s="73">
        <f t="shared" ca="1" si="490"/>
        <v>24.933333333333334</v>
      </c>
      <c r="N852" s="12" t="s">
        <v>40</v>
      </c>
      <c r="O852" s="47" t="s">
        <v>45</v>
      </c>
      <c r="P852" s="13">
        <f t="shared" si="478"/>
        <v>1.06</v>
      </c>
      <c r="Q852" s="1" t="str">
        <f t="shared" si="479"/>
        <v>50-90 шт - 1,06 руб / шт с НДС</v>
      </c>
      <c r="R852" s="235" t="str">
        <f ca="1">INDIRECT("'Закуп'!k" &amp; A852)</f>
        <v>K173</v>
      </c>
      <c r="S852" s="239">
        <f ca="1">INDIRECT("'Закуп'!o" &amp; A852)</f>
        <v>1.91</v>
      </c>
      <c r="T852" s="226" t="str">
        <f ca="1">INDIRECT("'Закуп'!p" &amp; A852)</f>
        <v>1-1,9 литра</v>
      </c>
      <c r="U852" s="228" t="str">
        <f ca="1">INDIRECT("'Закуп'!v" &amp; A852)</f>
        <v/>
      </c>
      <c r="V852" s="222" t="str">
        <f ca="1">INDIRECT("'Закуп'!w" &amp; A852)</f>
        <v/>
      </c>
      <c r="W852" s="229" t="str">
        <f ca="1">INDIRECT("'Закуп'!H" &amp; A852)</f>
        <v>х</v>
      </c>
      <c r="X852" s="227" t="str">
        <f t="shared" ref="X852" ca="1" si="502">INDIRECT("'Закуп'!g" &amp; A852)</f>
        <v>Ч</v>
      </c>
      <c r="Y852" s="229" t="str">
        <f ca="1">INDIRECT("'Закуп'!i" &amp; A852)</f>
        <v>В</v>
      </c>
      <c r="Z852" s="236" t="str">
        <f ca="1">INDIRECT("'Закуп'!x" &amp; A852)</f>
        <v>100-199 мм</v>
      </c>
      <c r="AA852" s="237" t="str">
        <f ca="1">INDIRECT("'Закуп'!y" &amp; A852)</f>
        <v>100-199 мм</v>
      </c>
      <c r="AB852" s="238" t="str">
        <f ca="1">INDIRECT("'Закуп'!z" &amp; A852)</f>
        <v>10-99 мм</v>
      </c>
      <c r="AC852" s="223" t="str">
        <f t="shared" ca="1" si="482"/>
        <v>150x150x85</v>
      </c>
      <c r="AD852" s="222" t="str">
        <f t="shared" ca="1" si="468"/>
        <v>150x150x85 - 150*150*85 мм</v>
      </c>
    </row>
    <row r="853" spans="1:30" x14ac:dyDescent="0.4">
      <c r="A853" s="230"/>
      <c r="B853" s="8">
        <v>172</v>
      </c>
      <c r="C853" s="14">
        <f t="shared" ca="1" si="496"/>
        <v>0.26</v>
      </c>
      <c r="D853" s="20">
        <f t="shared" ca="1" si="471"/>
        <v>0.312</v>
      </c>
      <c r="E853" s="225"/>
      <c r="F853" s="231"/>
      <c r="G853" s="172" t="str">
        <f t="shared" ca="1" si="491"/>
        <v/>
      </c>
      <c r="H853" s="93" t="str">
        <f t="shared" ca="1" si="492"/>
        <v/>
      </c>
      <c r="I853" s="21">
        <v>100</v>
      </c>
      <c r="J853" s="68">
        <f t="shared" si="493"/>
        <v>0.75833333333333341</v>
      </c>
      <c r="K853" s="70">
        <v>0.91</v>
      </c>
      <c r="L853" s="72">
        <f t="shared" ca="1" si="489"/>
        <v>0.39866666666666672</v>
      </c>
      <c r="M853" s="73">
        <f t="shared" ca="1" si="490"/>
        <v>39.866666666666674</v>
      </c>
      <c r="N853" s="12" t="s">
        <v>41</v>
      </c>
      <c r="O853" s="47" t="s">
        <v>45</v>
      </c>
      <c r="P853" s="13">
        <f t="shared" si="478"/>
        <v>0.91</v>
      </c>
      <c r="Q853" s="1" t="str">
        <f t="shared" si="479"/>
        <v>100-290 шт - 0,91 руб / шт с НДС</v>
      </c>
      <c r="R853" s="235"/>
      <c r="S853" s="239"/>
      <c r="T853" s="226"/>
      <c r="U853" s="228"/>
      <c r="V853" s="222"/>
      <c r="W853" s="229"/>
      <c r="X853" s="227"/>
      <c r="Y853" s="229"/>
      <c r="Z853" s="236"/>
      <c r="AA853" s="237"/>
      <c r="AB853" s="238"/>
      <c r="AC853" s="223"/>
      <c r="AD853" s="222"/>
    </row>
    <row r="854" spans="1:30" x14ac:dyDescent="0.4">
      <c r="A854" s="230"/>
      <c r="B854" s="8">
        <v>172</v>
      </c>
      <c r="C854" s="14">
        <f t="shared" ca="1" si="496"/>
        <v>0.26</v>
      </c>
      <c r="D854" s="20">
        <f t="shared" ca="1" si="471"/>
        <v>0.312</v>
      </c>
      <c r="E854" s="225"/>
      <c r="F854" s="231"/>
      <c r="G854" s="172" t="str">
        <f t="shared" ca="1" si="491"/>
        <v/>
      </c>
      <c r="H854" s="93" t="str">
        <f t="shared" ca="1" si="492"/>
        <v/>
      </c>
      <c r="I854" s="21">
        <v>300</v>
      </c>
      <c r="J854" s="68">
        <f t="shared" si="493"/>
        <v>0.58333333333333337</v>
      </c>
      <c r="K854" s="70">
        <v>0.7</v>
      </c>
      <c r="L854" s="72">
        <f t="shared" ca="1" si="489"/>
        <v>0.25866666666666671</v>
      </c>
      <c r="M854" s="73">
        <f t="shared" ca="1" si="490"/>
        <v>77.600000000000009</v>
      </c>
      <c r="N854" s="12" t="s">
        <v>42</v>
      </c>
      <c r="O854" s="47" t="s">
        <v>45</v>
      </c>
      <c r="P854" s="13">
        <f t="shared" si="478"/>
        <v>0.7</v>
      </c>
      <c r="Q854" s="1" t="str">
        <f t="shared" si="479"/>
        <v>300-490 шт - 0,7 руб / шт с НДС</v>
      </c>
      <c r="R854" s="235"/>
      <c r="S854" s="239"/>
      <c r="T854" s="226"/>
      <c r="U854" s="228"/>
      <c r="V854" s="222"/>
      <c r="W854" s="229"/>
      <c r="X854" s="227"/>
      <c r="Y854" s="229"/>
      <c r="Z854" s="236"/>
      <c r="AA854" s="237"/>
      <c r="AB854" s="238"/>
      <c r="AC854" s="223"/>
      <c r="AD854" s="222"/>
    </row>
    <row r="855" spans="1:30" x14ac:dyDescent="0.4">
      <c r="A855" s="230"/>
      <c r="B855" s="8">
        <v>172</v>
      </c>
      <c r="C855" s="14">
        <f t="shared" ca="1" si="496"/>
        <v>0.26</v>
      </c>
      <c r="D855" s="20">
        <f t="shared" ca="1" si="471"/>
        <v>0.312</v>
      </c>
      <c r="E855" s="225"/>
      <c r="F855" s="231"/>
      <c r="G855" s="172" t="str">
        <f t="shared" ca="1" si="491"/>
        <v/>
      </c>
      <c r="H855" s="93" t="str">
        <f t="shared" ca="1" si="492"/>
        <v/>
      </c>
      <c r="I855" s="21">
        <v>500</v>
      </c>
      <c r="J855" s="68">
        <f t="shared" si="493"/>
        <v>0.54166666666666674</v>
      </c>
      <c r="K855" s="70">
        <v>0.65</v>
      </c>
      <c r="L855" s="72">
        <f t="shared" ca="1" si="489"/>
        <v>0.22533333333333339</v>
      </c>
      <c r="M855" s="73">
        <f t="shared" ca="1" si="490"/>
        <v>112.66666666666669</v>
      </c>
      <c r="N855" s="12" t="s">
        <v>43</v>
      </c>
      <c r="O855" s="47" t="s">
        <v>45</v>
      </c>
      <c r="P855" s="13">
        <f t="shared" si="478"/>
        <v>0.65</v>
      </c>
      <c r="Q855" s="1" t="str">
        <f t="shared" si="479"/>
        <v>500-990 шт - 0,65 руб / шт с НДС</v>
      </c>
      <c r="R855" s="235"/>
      <c r="S855" s="239"/>
      <c r="T855" s="226"/>
      <c r="U855" s="228"/>
      <c r="V855" s="222"/>
      <c r="W855" s="229"/>
      <c r="X855" s="227"/>
      <c r="Y855" s="229"/>
      <c r="Z855" s="236"/>
      <c r="AA855" s="237"/>
      <c r="AB855" s="238"/>
      <c r="AC855" s="223"/>
      <c r="AD855" s="222"/>
    </row>
    <row r="856" spans="1:30" x14ac:dyDescent="0.4">
      <c r="A856" s="230"/>
      <c r="B856" s="8">
        <v>172</v>
      </c>
      <c r="C856" s="14">
        <f t="shared" ca="1" si="496"/>
        <v>0.26</v>
      </c>
      <c r="D856" s="20">
        <f t="shared" ca="1" si="471"/>
        <v>0.312</v>
      </c>
      <c r="E856" s="225"/>
      <c r="F856" s="231"/>
      <c r="G856" s="172" t="str">
        <f t="shared" ca="1" si="491"/>
        <v/>
      </c>
      <c r="H856" s="93" t="str">
        <f t="shared" ca="1" si="492"/>
        <v/>
      </c>
      <c r="I856" s="21">
        <v>1000</v>
      </c>
      <c r="J856" s="68">
        <f t="shared" si="493"/>
        <v>0.51666666666666672</v>
      </c>
      <c r="K856" s="70">
        <v>0.62</v>
      </c>
      <c r="L856" s="72">
        <f t="shared" ca="1" si="489"/>
        <v>0.20533333333333337</v>
      </c>
      <c r="M856" s="73">
        <f t="shared" ca="1" si="490"/>
        <v>205.33333333333337</v>
      </c>
      <c r="N856" s="12" t="s">
        <v>44</v>
      </c>
      <c r="O856" s="47" t="s">
        <v>45</v>
      </c>
      <c r="P856" s="13">
        <f t="shared" si="478"/>
        <v>0.62</v>
      </c>
      <c r="Q856" s="1" t="str">
        <f t="shared" si="479"/>
        <v>1000 + шт - 0,62 руб / шт с НДС</v>
      </c>
      <c r="R856" s="235"/>
      <c r="S856" s="239"/>
      <c r="T856" s="226"/>
      <c r="U856" s="228"/>
      <c r="V856" s="222"/>
      <c r="W856" s="229"/>
      <c r="X856" s="227"/>
      <c r="Y856" s="229"/>
      <c r="Z856" s="236"/>
      <c r="AA856" s="237"/>
      <c r="AB856" s="238"/>
      <c r="AC856" s="223"/>
      <c r="AD856" s="222"/>
    </row>
    <row r="857" spans="1:30" x14ac:dyDescent="0.4">
      <c r="A857" s="230">
        <v>173</v>
      </c>
      <c r="B857" s="8">
        <v>173</v>
      </c>
      <c r="C857" s="14">
        <f t="shared" ca="1" si="496"/>
        <v>0.22</v>
      </c>
      <c r="D857" s="20">
        <f t="shared" ca="1" si="471"/>
        <v>0.26400000000000001</v>
      </c>
      <c r="E857" s="224" t="str">
        <f ca="1">INDIRECT("'Закуп'!D" &amp; A857)</f>
        <v>У</v>
      </c>
      <c r="F857" s="231" t="str">
        <f t="shared" ref="F857" ca="1" si="503">INDIRECT("'Закуп'!E" &amp; B857)</f>
        <v>120х120х120</v>
      </c>
      <c r="G857" s="172" t="str">
        <f t="shared" ca="1" si="491"/>
        <v/>
      </c>
      <c r="H857" s="93" t="str">
        <f t="shared" ca="1" si="492"/>
        <v/>
      </c>
      <c r="I857" s="21">
        <v>50</v>
      </c>
      <c r="J857" s="68">
        <f t="shared" si="493"/>
        <v>0.83333333333333337</v>
      </c>
      <c r="K857" s="70">
        <v>1</v>
      </c>
      <c r="L857" s="72">
        <f t="shared" ca="1" si="489"/>
        <v>0.4906666666666667</v>
      </c>
      <c r="M857" s="73">
        <f t="shared" ca="1" si="490"/>
        <v>24.533333333333335</v>
      </c>
      <c r="N857" s="12" t="s">
        <v>40</v>
      </c>
      <c r="O857" s="47" t="s">
        <v>45</v>
      </c>
      <c r="P857" s="13">
        <f t="shared" si="478"/>
        <v>1</v>
      </c>
      <c r="Q857" s="1" t="str">
        <f t="shared" si="479"/>
        <v>50-90 шт - 1 руб / шт с НДС</v>
      </c>
      <c r="R857" s="235" t="str">
        <f ca="1">INDIRECT("'Закуп'!k" &amp; A857)</f>
        <v>K174</v>
      </c>
      <c r="S857" s="239">
        <f ca="1">INDIRECT("'Закуп'!o" &amp; A857)</f>
        <v>1.73</v>
      </c>
      <c r="T857" s="226" t="str">
        <f ca="1">INDIRECT("'Закуп'!p" &amp; A857)</f>
        <v>1-1,9 литра</v>
      </c>
      <c r="U857" s="228" t="str">
        <f ca="1">INDIRECT("'Закуп'!v" &amp; A857)</f>
        <v/>
      </c>
      <c r="V857" s="222" t="str">
        <f ca="1">INDIRECT("'Закуп'!w" &amp; A857)</f>
        <v/>
      </c>
      <c r="W857" s="229" t="str">
        <f ca="1">INDIRECT("'Закуп'!H" &amp; A857)</f>
        <v>х</v>
      </c>
      <c r="X857" s="227" t="str">
        <f t="shared" ref="X857" ca="1" si="504">INDIRECT("'Закуп'!g" &amp; A857)</f>
        <v>Ч</v>
      </c>
      <c r="Y857" s="229" t="str">
        <f ca="1">INDIRECT("'Закуп'!i" &amp; A857)</f>
        <v>В</v>
      </c>
      <c r="Z857" s="236" t="str">
        <f ca="1">INDIRECT("'Закуп'!x" &amp; A857)</f>
        <v>100-199 мм</v>
      </c>
      <c r="AA857" s="237" t="str">
        <f ca="1">INDIRECT("'Закуп'!y" &amp; A857)</f>
        <v>100-199 мм</v>
      </c>
      <c r="AB857" s="238" t="str">
        <f ca="1">INDIRECT("'Закуп'!z" &amp; A857)</f>
        <v>100-199 мм</v>
      </c>
      <c r="AC857" s="223" t="str">
        <f t="shared" ca="1" si="482"/>
        <v>120x120x120</v>
      </c>
      <c r="AD857" s="222" t="str">
        <f t="shared" ref="AD857:AD917" ca="1" si="505">SUBSTITUTE(INDEX(F:F, ROUNDUP((ROW(A856))/5,0)*5 - 3), "х", "x") &amp; " - " &amp; SUBSTITUTE(SUBSTITUTE(INDEX(F:F, ROUNDUP((ROW(A856))/5,0)*5 - 3), "х", "*"), "x", "*") &amp; " мм"</f>
        <v>120x120x120 - 120*120*120 мм</v>
      </c>
    </row>
    <row r="858" spans="1:30" x14ac:dyDescent="0.4">
      <c r="A858" s="230"/>
      <c r="B858" s="8">
        <v>173</v>
      </c>
      <c r="C858" s="14">
        <f t="shared" ca="1" si="496"/>
        <v>0.22</v>
      </c>
      <c r="D858" s="20">
        <f t="shared" ca="1" si="471"/>
        <v>0.26400000000000001</v>
      </c>
      <c r="E858" s="225"/>
      <c r="F858" s="231"/>
      <c r="G858" s="172" t="str">
        <f t="shared" ca="1" si="491"/>
        <v/>
      </c>
      <c r="H858" s="93" t="str">
        <f t="shared" ca="1" si="492"/>
        <v/>
      </c>
      <c r="I858" s="21">
        <v>100</v>
      </c>
      <c r="J858" s="68">
        <f t="shared" si="493"/>
        <v>0.75</v>
      </c>
      <c r="K858" s="70">
        <v>0.9</v>
      </c>
      <c r="L858" s="72">
        <f t="shared" ca="1" si="489"/>
        <v>0.42400000000000004</v>
      </c>
      <c r="M858" s="73">
        <f t="shared" ca="1" si="490"/>
        <v>42.400000000000006</v>
      </c>
      <c r="N858" s="12" t="s">
        <v>41</v>
      </c>
      <c r="O858" s="47" t="s">
        <v>45</v>
      </c>
      <c r="P858" s="13">
        <f t="shared" si="478"/>
        <v>0.9</v>
      </c>
      <c r="Q858" s="1" t="str">
        <f t="shared" si="479"/>
        <v>100-290 шт - 0,9 руб / шт с НДС</v>
      </c>
      <c r="R858" s="235"/>
      <c r="S858" s="239"/>
      <c r="T858" s="226"/>
      <c r="U858" s="228"/>
      <c r="V858" s="222"/>
      <c r="W858" s="229"/>
      <c r="X858" s="227"/>
      <c r="Y858" s="229"/>
      <c r="Z858" s="236"/>
      <c r="AA858" s="237"/>
      <c r="AB858" s="238"/>
      <c r="AC858" s="223"/>
      <c r="AD858" s="222"/>
    </row>
    <row r="859" spans="1:30" x14ac:dyDescent="0.4">
      <c r="A859" s="230"/>
      <c r="B859" s="8">
        <v>173</v>
      </c>
      <c r="C859" s="14">
        <f t="shared" ca="1" si="496"/>
        <v>0.22</v>
      </c>
      <c r="D859" s="20">
        <f t="shared" ca="1" si="471"/>
        <v>0.26400000000000001</v>
      </c>
      <c r="E859" s="225"/>
      <c r="F859" s="231"/>
      <c r="G859" s="172" t="str">
        <f t="shared" ca="1" si="491"/>
        <v/>
      </c>
      <c r="H859" s="93" t="str">
        <f t="shared" ca="1" si="492"/>
        <v/>
      </c>
      <c r="I859" s="21">
        <v>300</v>
      </c>
      <c r="J859" s="68">
        <f t="shared" si="493"/>
        <v>0.66666666666666674</v>
      </c>
      <c r="K859" s="70">
        <v>0.8</v>
      </c>
      <c r="L859" s="72">
        <f t="shared" ca="1" si="489"/>
        <v>0.35733333333333339</v>
      </c>
      <c r="M859" s="73">
        <f t="shared" ca="1" si="490"/>
        <v>107.20000000000002</v>
      </c>
      <c r="N859" s="12" t="s">
        <v>42</v>
      </c>
      <c r="O859" s="47" t="s">
        <v>45</v>
      </c>
      <c r="P859" s="13">
        <f t="shared" si="478"/>
        <v>0.8</v>
      </c>
      <c r="Q859" s="1" t="str">
        <f t="shared" si="479"/>
        <v>300-490 шт - 0,8 руб / шт с НДС</v>
      </c>
      <c r="R859" s="235"/>
      <c r="S859" s="239"/>
      <c r="T859" s="226"/>
      <c r="U859" s="228"/>
      <c r="V859" s="222"/>
      <c r="W859" s="229"/>
      <c r="X859" s="227"/>
      <c r="Y859" s="229"/>
      <c r="Z859" s="236"/>
      <c r="AA859" s="237"/>
      <c r="AB859" s="238"/>
      <c r="AC859" s="223"/>
      <c r="AD859" s="222"/>
    </row>
    <row r="860" spans="1:30" x14ac:dyDescent="0.4">
      <c r="A860" s="230"/>
      <c r="B860" s="8">
        <v>173</v>
      </c>
      <c r="C860" s="14">
        <f t="shared" ca="1" si="496"/>
        <v>0.22</v>
      </c>
      <c r="D860" s="20">
        <f t="shared" ca="1" si="471"/>
        <v>0.26400000000000001</v>
      </c>
      <c r="E860" s="225"/>
      <c r="F860" s="231"/>
      <c r="G860" s="172" t="str">
        <f t="shared" ca="1" si="491"/>
        <v/>
      </c>
      <c r="H860" s="93" t="str">
        <f t="shared" ca="1" si="492"/>
        <v/>
      </c>
      <c r="I860" s="21">
        <v>500</v>
      </c>
      <c r="J860" s="68">
        <f t="shared" si="493"/>
        <v>0.58333333333333337</v>
      </c>
      <c r="K860" s="70">
        <v>0.7</v>
      </c>
      <c r="L860" s="72">
        <f t="shared" ca="1" si="489"/>
        <v>0.29066666666666674</v>
      </c>
      <c r="M860" s="73">
        <f t="shared" ca="1" si="490"/>
        <v>145.33333333333337</v>
      </c>
      <c r="N860" s="12" t="s">
        <v>43</v>
      </c>
      <c r="O860" s="47" t="s">
        <v>45</v>
      </c>
      <c r="P860" s="13">
        <f t="shared" si="478"/>
        <v>0.7</v>
      </c>
      <c r="Q860" s="1" t="str">
        <f t="shared" si="479"/>
        <v>500-990 шт - 0,7 руб / шт с НДС</v>
      </c>
      <c r="R860" s="235"/>
      <c r="S860" s="239"/>
      <c r="T860" s="226"/>
      <c r="U860" s="228"/>
      <c r="V860" s="222"/>
      <c r="W860" s="229"/>
      <c r="X860" s="227"/>
      <c r="Y860" s="229"/>
      <c r="Z860" s="236"/>
      <c r="AA860" s="237"/>
      <c r="AB860" s="238"/>
      <c r="AC860" s="223"/>
      <c r="AD860" s="222"/>
    </row>
    <row r="861" spans="1:30" x14ac:dyDescent="0.4">
      <c r="A861" s="230"/>
      <c r="B861" s="8">
        <v>173</v>
      </c>
      <c r="C861" s="14">
        <f t="shared" ca="1" si="496"/>
        <v>0.22</v>
      </c>
      <c r="D861" s="20">
        <f t="shared" ca="1" si="471"/>
        <v>0.26400000000000001</v>
      </c>
      <c r="E861" s="225"/>
      <c r="F861" s="231"/>
      <c r="G861" s="172" t="str">
        <f t="shared" ca="1" si="491"/>
        <v/>
      </c>
      <c r="H861" s="93" t="str">
        <f t="shared" ca="1" si="492"/>
        <v/>
      </c>
      <c r="I861" s="21">
        <v>1000</v>
      </c>
      <c r="J861" s="68">
        <f t="shared" si="493"/>
        <v>0.5</v>
      </c>
      <c r="K861" s="70">
        <v>0.6</v>
      </c>
      <c r="L861" s="72">
        <f t="shared" ca="1" si="489"/>
        <v>0.22400000000000003</v>
      </c>
      <c r="M861" s="73">
        <f t="shared" ca="1" si="490"/>
        <v>224.00000000000003</v>
      </c>
      <c r="N861" s="12" t="s">
        <v>44</v>
      </c>
      <c r="O861" s="47" t="s">
        <v>45</v>
      </c>
      <c r="P861" s="13">
        <f t="shared" si="478"/>
        <v>0.6</v>
      </c>
      <c r="Q861" s="1" t="str">
        <f t="shared" si="479"/>
        <v>1000 + шт - 0,6 руб / шт с НДС</v>
      </c>
      <c r="R861" s="235"/>
      <c r="S861" s="239"/>
      <c r="T861" s="226"/>
      <c r="U861" s="228"/>
      <c r="V861" s="222"/>
      <c r="W861" s="229"/>
      <c r="X861" s="227"/>
      <c r="Y861" s="229"/>
      <c r="Z861" s="236"/>
      <c r="AA861" s="237"/>
      <c r="AB861" s="238"/>
      <c r="AC861" s="223"/>
      <c r="AD861" s="222"/>
    </row>
    <row r="862" spans="1:30" x14ac:dyDescent="0.4">
      <c r="A862" s="230">
        <v>174</v>
      </c>
      <c r="B862" s="8">
        <v>174</v>
      </c>
      <c r="C862" s="14">
        <f t="shared" ca="1" si="496"/>
        <v>0.42</v>
      </c>
      <c r="D862" s="20">
        <f t="shared" ca="1" si="471"/>
        <v>0.504</v>
      </c>
      <c r="E862" s="224" t="str">
        <f ca="1">INDIRECT("'Закуп'!D" &amp; A862)</f>
        <v>У</v>
      </c>
      <c r="F862" s="231" t="str">
        <f t="shared" ref="F862" ca="1" si="506">INDIRECT("'Закуп'!E" &amp; B862)</f>
        <v>180х180х125</v>
      </c>
      <c r="G862" s="172" t="str">
        <f t="shared" ca="1" si="491"/>
        <v/>
      </c>
      <c r="H862" s="93" t="str">
        <f t="shared" ca="1" si="492"/>
        <v/>
      </c>
      <c r="I862" s="21">
        <v>50</v>
      </c>
      <c r="J862" s="68">
        <f t="shared" si="493"/>
        <v>1.0333333333333334</v>
      </c>
      <c r="K862" s="70">
        <v>1.24</v>
      </c>
      <c r="L862" s="72">
        <f t="shared" ca="1" si="489"/>
        <v>0.49066666666666681</v>
      </c>
      <c r="M862" s="73">
        <f t="shared" ca="1" si="490"/>
        <v>24.533333333333339</v>
      </c>
      <c r="N862" s="12" t="s">
        <v>40</v>
      </c>
      <c r="O862" s="47" t="s">
        <v>45</v>
      </c>
      <c r="P862" s="13">
        <f t="shared" si="478"/>
        <v>1.24</v>
      </c>
      <c r="Q862" s="1" t="str">
        <f t="shared" si="479"/>
        <v>50-90 шт - 1,24 руб / шт с НДС</v>
      </c>
      <c r="R862" s="235" t="str">
        <f ca="1">INDIRECT("'Закуп'!k" &amp; A862)</f>
        <v>K175</v>
      </c>
      <c r="S862" s="239">
        <f ca="1">INDIRECT("'Закуп'!o" &amp; A862)</f>
        <v>4.05</v>
      </c>
      <c r="T862" s="226" t="str">
        <f ca="1">INDIRECT("'Закуп'!p" &amp; A862)</f>
        <v>4-5,9 литра</v>
      </c>
      <c r="U862" s="228" t="str">
        <f ca="1">INDIRECT("'Закуп'!v" &amp; A862)</f>
        <v/>
      </c>
      <c r="V862" s="222" t="str">
        <f ca="1">INDIRECT("'Закуп'!w" &amp; A862)</f>
        <v/>
      </c>
      <c r="W862" s="229" t="str">
        <f ca="1">INDIRECT("'Закуп'!H" &amp; A862)</f>
        <v>х</v>
      </c>
      <c r="X862" s="227" t="str">
        <f t="shared" ref="X862" ca="1" si="507">INDIRECT("'Закуп'!g" &amp; A862)</f>
        <v>Ч</v>
      </c>
      <c r="Y862" s="229" t="str">
        <f ca="1">INDIRECT("'Закуп'!i" &amp; A862)</f>
        <v>В</v>
      </c>
      <c r="Z862" s="236" t="str">
        <f ca="1">INDIRECT("'Закуп'!x" &amp; A862)</f>
        <v>100-199 мм</v>
      </c>
      <c r="AA862" s="237" t="str">
        <f ca="1">INDIRECT("'Закуп'!y" &amp; A862)</f>
        <v>100-199 мм</v>
      </c>
      <c r="AB862" s="238" t="str">
        <f ca="1">INDIRECT("'Закуп'!z" &amp; A862)</f>
        <v>100-199 мм</v>
      </c>
      <c r="AC862" s="223" t="str">
        <f t="shared" ca="1" si="482"/>
        <v>180x180x125</v>
      </c>
      <c r="AD862" s="222" t="str">
        <f t="shared" ca="1" si="505"/>
        <v>180x180x125 - 180*180*125 мм</v>
      </c>
    </row>
    <row r="863" spans="1:30" x14ac:dyDescent="0.4">
      <c r="A863" s="230"/>
      <c r="B863" s="8">
        <v>174</v>
      </c>
      <c r="C863" s="14">
        <f t="shared" ca="1" si="496"/>
        <v>0.42</v>
      </c>
      <c r="D863" s="20">
        <f t="shared" ca="1" si="471"/>
        <v>0.504</v>
      </c>
      <c r="E863" s="225"/>
      <c r="F863" s="231"/>
      <c r="G863" s="172" t="str">
        <f t="shared" ca="1" si="491"/>
        <v/>
      </c>
      <c r="H863" s="93" t="str">
        <f t="shared" ca="1" si="492"/>
        <v/>
      </c>
      <c r="I863" s="21">
        <v>100</v>
      </c>
      <c r="J863" s="68">
        <f t="shared" si="493"/>
        <v>0.90000000000000013</v>
      </c>
      <c r="K863" s="70">
        <v>1.08</v>
      </c>
      <c r="L863" s="72">
        <f t="shared" ca="1" si="489"/>
        <v>0.38400000000000012</v>
      </c>
      <c r="M863" s="73">
        <f t="shared" ca="1" si="490"/>
        <v>38.400000000000013</v>
      </c>
      <c r="N863" s="12" t="s">
        <v>41</v>
      </c>
      <c r="O863" s="47" t="s">
        <v>45</v>
      </c>
      <c r="P863" s="13">
        <f t="shared" si="478"/>
        <v>1.08</v>
      </c>
      <c r="Q863" s="1" t="str">
        <f t="shared" si="479"/>
        <v>100-290 шт - 1,08 руб / шт с НДС</v>
      </c>
      <c r="R863" s="235"/>
      <c r="S863" s="239"/>
      <c r="T863" s="226"/>
      <c r="U863" s="228"/>
      <c r="V863" s="222"/>
      <c r="W863" s="229"/>
      <c r="X863" s="227"/>
      <c r="Y863" s="229"/>
      <c r="Z863" s="236"/>
      <c r="AA863" s="237"/>
      <c r="AB863" s="238"/>
      <c r="AC863" s="223"/>
      <c r="AD863" s="222"/>
    </row>
    <row r="864" spans="1:30" x14ac:dyDescent="0.4">
      <c r="A864" s="230"/>
      <c r="B864" s="8">
        <v>174</v>
      </c>
      <c r="C864" s="14">
        <f t="shared" ca="1" si="496"/>
        <v>0.42</v>
      </c>
      <c r="D864" s="20">
        <f t="shared" ca="1" si="471"/>
        <v>0.504</v>
      </c>
      <c r="E864" s="225"/>
      <c r="F864" s="231"/>
      <c r="G864" s="172" t="str">
        <f t="shared" ca="1" si="491"/>
        <v/>
      </c>
      <c r="H864" s="93" t="str">
        <f t="shared" ca="1" si="492"/>
        <v/>
      </c>
      <c r="I864" s="21">
        <v>300</v>
      </c>
      <c r="J864" s="68">
        <f t="shared" si="493"/>
        <v>0.76666666666666672</v>
      </c>
      <c r="K864" s="70">
        <v>0.92</v>
      </c>
      <c r="L864" s="72">
        <f t="shared" ca="1" si="489"/>
        <v>0.27733333333333338</v>
      </c>
      <c r="M864" s="73">
        <f t="shared" ca="1" si="490"/>
        <v>83.200000000000017</v>
      </c>
      <c r="N864" s="12" t="s">
        <v>42</v>
      </c>
      <c r="O864" s="47" t="s">
        <v>45</v>
      </c>
      <c r="P864" s="13">
        <f t="shared" si="478"/>
        <v>0.92</v>
      </c>
      <c r="Q864" s="1" t="str">
        <f t="shared" si="479"/>
        <v>300-490 шт - 0,92 руб / шт с НДС</v>
      </c>
      <c r="R864" s="235"/>
      <c r="S864" s="239"/>
      <c r="T864" s="226"/>
      <c r="U864" s="228"/>
      <c r="V864" s="222"/>
      <c r="W864" s="229"/>
      <c r="X864" s="227"/>
      <c r="Y864" s="229"/>
      <c r="Z864" s="236"/>
      <c r="AA864" s="237"/>
      <c r="AB864" s="238"/>
      <c r="AC864" s="223"/>
      <c r="AD864" s="222"/>
    </row>
    <row r="865" spans="1:30" x14ac:dyDescent="0.4">
      <c r="A865" s="230"/>
      <c r="B865" s="8">
        <v>174</v>
      </c>
      <c r="C865" s="14">
        <f t="shared" ca="1" si="496"/>
        <v>0.42</v>
      </c>
      <c r="D865" s="20">
        <f t="shared" ref="D865:D928" ca="1" si="508">C865*1.2</f>
        <v>0.504</v>
      </c>
      <c r="E865" s="225"/>
      <c r="F865" s="231"/>
      <c r="G865" s="172" t="str">
        <f t="shared" ca="1" si="491"/>
        <v/>
      </c>
      <c r="H865" s="93" t="str">
        <f t="shared" ca="1" si="492"/>
        <v/>
      </c>
      <c r="I865" s="21">
        <v>500</v>
      </c>
      <c r="J865" s="68">
        <f t="shared" si="493"/>
        <v>0.72499999999999998</v>
      </c>
      <c r="K865" s="70">
        <v>0.87</v>
      </c>
      <c r="L865" s="72">
        <f t="shared" ca="1" si="489"/>
        <v>0.24399999999999999</v>
      </c>
      <c r="M865" s="73">
        <f t="shared" ca="1" si="490"/>
        <v>122</v>
      </c>
      <c r="N865" s="12" t="s">
        <v>43</v>
      </c>
      <c r="O865" s="47" t="s">
        <v>45</v>
      </c>
      <c r="P865" s="13">
        <f t="shared" si="478"/>
        <v>0.87</v>
      </c>
      <c r="Q865" s="1" t="str">
        <f t="shared" si="479"/>
        <v>500-990 шт - 0,87 руб / шт с НДС</v>
      </c>
      <c r="R865" s="235"/>
      <c r="S865" s="239"/>
      <c r="T865" s="226"/>
      <c r="U865" s="228"/>
      <c r="V865" s="222"/>
      <c r="W865" s="229"/>
      <c r="X865" s="227"/>
      <c r="Y865" s="229"/>
      <c r="Z865" s="236"/>
      <c r="AA865" s="237"/>
      <c r="AB865" s="238"/>
      <c r="AC865" s="223"/>
      <c r="AD865" s="222"/>
    </row>
    <row r="866" spans="1:30" x14ac:dyDescent="0.4">
      <c r="A866" s="230"/>
      <c r="B866" s="8">
        <v>174</v>
      </c>
      <c r="C866" s="14">
        <f t="shared" ca="1" si="496"/>
        <v>0.42</v>
      </c>
      <c r="D866" s="20">
        <f t="shared" ca="1" si="508"/>
        <v>0.504</v>
      </c>
      <c r="E866" s="225"/>
      <c r="F866" s="231"/>
      <c r="G866" s="172" t="str">
        <f t="shared" ca="1" si="491"/>
        <v/>
      </c>
      <c r="H866" s="93" t="str">
        <f t="shared" ca="1" si="492"/>
        <v/>
      </c>
      <c r="I866" s="21">
        <v>1000</v>
      </c>
      <c r="J866" s="68">
        <f t="shared" si="493"/>
        <v>0.66666666666666674</v>
      </c>
      <c r="K866" s="70">
        <v>0.8</v>
      </c>
      <c r="L866" s="72">
        <f t="shared" ca="1" si="489"/>
        <v>0.19733333333333342</v>
      </c>
      <c r="M866" s="73">
        <f t="shared" ca="1" si="490"/>
        <v>197.33333333333343</v>
      </c>
      <c r="N866" s="12" t="s">
        <v>44</v>
      </c>
      <c r="O866" s="47" t="s">
        <v>45</v>
      </c>
      <c r="P866" s="13">
        <f t="shared" si="478"/>
        <v>0.8</v>
      </c>
      <c r="Q866" s="1" t="str">
        <f t="shared" si="479"/>
        <v>1000 + шт - 0,8 руб / шт с НДС</v>
      </c>
      <c r="R866" s="235"/>
      <c r="S866" s="239"/>
      <c r="T866" s="226"/>
      <c r="U866" s="228"/>
      <c r="V866" s="222"/>
      <c r="W866" s="229"/>
      <c r="X866" s="227"/>
      <c r="Y866" s="229"/>
      <c r="Z866" s="236"/>
      <c r="AA866" s="237"/>
      <c r="AB866" s="238"/>
      <c r="AC866" s="223"/>
      <c r="AD866" s="222"/>
    </row>
    <row r="867" spans="1:30" x14ac:dyDescent="0.4">
      <c r="A867" s="230">
        <v>175</v>
      </c>
      <c r="B867" s="8">
        <v>175</v>
      </c>
      <c r="C867" s="14">
        <f t="shared" ca="1" si="496"/>
        <v>0.8</v>
      </c>
      <c r="D867" s="20">
        <f t="shared" ca="1" si="508"/>
        <v>0.96</v>
      </c>
      <c r="E867" s="224" t="str">
        <f ca="1">INDIRECT("'Закуп'!D" &amp; A867)</f>
        <v>У</v>
      </c>
      <c r="F867" s="231" t="str">
        <f t="shared" ref="F867" ca="1" si="509">INDIRECT("'Закуп'!E" &amp; B867)</f>
        <v>260х190х300</v>
      </c>
      <c r="G867" s="172" t="str">
        <f t="shared" ca="1" si="491"/>
        <v/>
      </c>
      <c r="H867" s="93" t="str">
        <f t="shared" ca="1" si="492"/>
        <v/>
      </c>
      <c r="I867" s="21">
        <v>50</v>
      </c>
      <c r="J867" s="68">
        <f t="shared" si="493"/>
        <v>1.8833333333333333</v>
      </c>
      <c r="K867" s="70">
        <v>2.2599999999999998</v>
      </c>
      <c r="L867" s="72">
        <f t="shared" ca="1" si="489"/>
        <v>0.86666666666666659</v>
      </c>
      <c r="M867" s="73">
        <f t="shared" ca="1" si="490"/>
        <v>43.333333333333329</v>
      </c>
      <c r="N867" s="12" t="s">
        <v>40</v>
      </c>
      <c r="O867" s="47" t="s">
        <v>45</v>
      </c>
      <c r="P867" s="13">
        <f t="shared" si="478"/>
        <v>2.2599999999999998</v>
      </c>
      <c r="Q867" s="1" t="str">
        <f t="shared" si="479"/>
        <v>50-90 шт - 2,26 руб / шт с НДС</v>
      </c>
      <c r="R867" s="235" t="str">
        <f ca="1">INDIRECT("'Закуп'!k" &amp; A867)</f>
        <v>K176</v>
      </c>
      <c r="S867" s="239">
        <f ca="1">INDIRECT("'Закуп'!o" &amp; A867)</f>
        <v>14.82</v>
      </c>
      <c r="T867" s="226" t="str">
        <f ca="1">INDIRECT("'Закуп'!p" &amp; A867)</f>
        <v>10-14,9 литров</v>
      </c>
      <c r="U867" s="228" t="str">
        <f ca="1">INDIRECT("'Закуп'!v" &amp; A867)</f>
        <v/>
      </c>
      <c r="V867" s="222" t="str">
        <f ca="1">INDIRECT("'Закуп'!w" &amp; A867)</f>
        <v/>
      </c>
      <c r="W867" s="229" t="str">
        <f ca="1">INDIRECT("'Закуп'!H" &amp; A867)</f>
        <v>х</v>
      </c>
      <c r="X867" s="227" t="str">
        <f t="shared" ref="X867" ca="1" si="510">INDIRECT("'Закуп'!g" &amp; A867)</f>
        <v>Ч</v>
      </c>
      <c r="Y867" s="229" t="str">
        <f ca="1">INDIRECT("'Закуп'!i" &amp; A867)</f>
        <v>В</v>
      </c>
      <c r="Z867" s="236" t="str">
        <f ca="1">INDIRECT("'Закуп'!x" &amp; A867)</f>
        <v>300-399 мм</v>
      </c>
      <c r="AA867" s="237" t="str">
        <f ca="1">INDIRECT("'Закуп'!y" &amp; A867)</f>
        <v>200-299 мм</v>
      </c>
      <c r="AB867" s="238" t="str">
        <f ca="1">INDIRECT("'Закуп'!z" &amp; A867)</f>
        <v>100-199 мм</v>
      </c>
      <c r="AC867" s="223" t="str">
        <f t="shared" ca="1" si="482"/>
        <v>260x190x300</v>
      </c>
      <c r="AD867" s="222" t="str">
        <f t="shared" ca="1" si="505"/>
        <v>260x190x300 - 260*190*300 мм</v>
      </c>
    </row>
    <row r="868" spans="1:30" x14ac:dyDescent="0.4">
      <c r="A868" s="230"/>
      <c r="B868" s="8">
        <v>175</v>
      </c>
      <c r="C868" s="14">
        <f t="shared" ca="1" si="496"/>
        <v>0.8</v>
      </c>
      <c r="D868" s="20">
        <f t="shared" ca="1" si="508"/>
        <v>0.96</v>
      </c>
      <c r="E868" s="225"/>
      <c r="F868" s="231"/>
      <c r="G868" s="172" t="str">
        <f t="shared" ca="1" si="491"/>
        <v/>
      </c>
      <c r="H868" s="93" t="str">
        <f t="shared" ca="1" si="492"/>
        <v/>
      </c>
      <c r="I868" s="21">
        <v>100</v>
      </c>
      <c r="J868" s="68">
        <f t="shared" si="493"/>
        <v>1.7083333333333333</v>
      </c>
      <c r="K868" s="70">
        <v>2.0499999999999998</v>
      </c>
      <c r="L868" s="72">
        <f t="shared" ca="1" si="489"/>
        <v>0.72666666666666657</v>
      </c>
      <c r="M868" s="73">
        <f t="shared" ca="1" si="490"/>
        <v>72.666666666666657</v>
      </c>
      <c r="N868" s="12" t="s">
        <v>41</v>
      </c>
      <c r="O868" s="47" t="s">
        <v>45</v>
      </c>
      <c r="P868" s="13">
        <f t="shared" si="478"/>
        <v>2.0499999999999998</v>
      </c>
      <c r="Q868" s="1" t="str">
        <f t="shared" si="479"/>
        <v>100-290 шт - 2,05 руб / шт с НДС</v>
      </c>
      <c r="R868" s="235"/>
      <c r="S868" s="239"/>
      <c r="T868" s="226"/>
      <c r="U868" s="228"/>
      <c r="V868" s="222"/>
      <c r="W868" s="229"/>
      <c r="X868" s="227"/>
      <c r="Y868" s="229"/>
      <c r="Z868" s="236"/>
      <c r="AA868" s="237"/>
      <c r="AB868" s="238"/>
      <c r="AC868" s="223"/>
      <c r="AD868" s="222"/>
    </row>
    <row r="869" spans="1:30" x14ac:dyDescent="0.4">
      <c r="A869" s="230"/>
      <c r="B869" s="8">
        <v>175</v>
      </c>
      <c r="C869" s="14">
        <f t="shared" ca="1" si="496"/>
        <v>0.8</v>
      </c>
      <c r="D869" s="20">
        <f t="shared" ca="1" si="508"/>
        <v>0.96</v>
      </c>
      <c r="E869" s="225"/>
      <c r="F869" s="231"/>
      <c r="G869" s="172" t="str">
        <f t="shared" ca="1" si="491"/>
        <v/>
      </c>
      <c r="H869" s="93" t="str">
        <f t="shared" ca="1" si="492"/>
        <v/>
      </c>
      <c r="I869" s="21">
        <v>300</v>
      </c>
      <c r="J869" s="68">
        <f t="shared" si="493"/>
        <v>1.3416666666666668</v>
      </c>
      <c r="K869" s="70">
        <v>1.61</v>
      </c>
      <c r="L869" s="72">
        <f t="shared" ca="1" si="489"/>
        <v>0.4333333333333334</v>
      </c>
      <c r="M869" s="73">
        <f t="shared" ca="1" si="490"/>
        <v>130.00000000000003</v>
      </c>
      <c r="N869" s="12" t="s">
        <v>42</v>
      </c>
      <c r="O869" s="47" t="s">
        <v>45</v>
      </c>
      <c r="P869" s="13">
        <f t="shared" si="478"/>
        <v>1.61</v>
      </c>
      <c r="Q869" s="1" t="str">
        <f t="shared" si="479"/>
        <v>300-490 шт - 1,61 руб / шт с НДС</v>
      </c>
      <c r="R869" s="235"/>
      <c r="S869" s="239"/>
      <c r="T869" s="226"/>
      <c r="U869" s="228"/>
      <c r="V869" s="222"/>
      <c r="W869" s="229"/>
      <c r="X869" s="227"/>
      <c r="Y869" s="229"/>
      <c r="Z869" s="236"/>
      <c r="AA869" s="237"/>
      <c r="AB869" s="238"/>
      <c r="AC869" s="223"/>
      <c r="AD869" s="222"/>
    </row>
    <row r="870" spans="1:30" x14ac:dyDescent="0.4">
      <c r="A870" s="230"/>
      <c r="B870" s="8">
        <v>175</v>
      </c>
      <c r="C870" s="14">
        <f t="shared" ca="1" si="496"/>
        <v>0.8</v>
      </c>
      <c r="D870" s="20">
        <f t="shared" ca="1" si="508"/>
        <v>0.96</v>
      </c>
      <c r="E870" s="225"/>
      <c r="F870" s="231"/>
      <c r="G870" s="172" t="str">
        <f t="shared" ca="1" si="491"/>
        <v/>
      </c>
      <c r="H870" s="93" t="str">
        <f t="shared" ca="1" si="492"/>
        <v/>
      </c>
      <c r="I870" s="21">
        <v>500</v>
      </c>
      <c r="J870" s="68">
        <f t="shared" si="493"/>
        <v>1.1583333333333332</v>
      </c>
      <c r="K870" s="70">
        <v>1.39</v>
      </c>
      <c r="L870" s="72">
        <f t="shared" ca="1" si="489"/>
        <v>0.28666666666666651</v>
      </c>
      <c r="M870" s="73">
        <f t="shared" ca="1" si="490"/>
        <v>143.33333333333326</v>
      </c>
      <c r="N870" s="12" t="s">
        <v>43</v>
      </c>
      <c r="O870" s="47" t="s">
        <v>45</v>
      </c>
      <c r="P870" s="13">
        <f t="shared" si="478"/>
        <v>1.39</v>
      </c>
      <c r="Q870" s="1" t="str">
        <f t="shared" si="479"/>
        <v>500-990 шт - 1,39 руб / шт с НДС</v>
      </c>
      <c r="R870" s="235"/>
      <c r="S870" s="239"/>
      <c r="T870" s="226"/>
      <c r="U870" s="228"/>
      <c r="V870" s="222"/>
      <c r="W870" s="229"/>
      <c r="X870" s="227"/>
      <c r="Y870" s="229"/>
      <c r="Z870" s="236"/>
      <c r="AA870" s="237"/>
      <c r="AB870" s="238"/>
      <c r="AC870" s="223"/>
      <c r="AD870" s="222"/>
    </row>
    <row r="871" spans="1:30" x14ac:dyDescent="0.4">
      <c r="A871" s="230"/>
      <c r="B871" s="8">
        <v>175</v>
      </c>
      <c r="C871" s="14">
        <f t="shared" ca="1" si="496"/>
        <v>0.8</v>
      </c>
      <c r="D871" s="20">
        <f t="shared" ca="1" si="508"/>
        <v>0.96</v>
      </c>
      <c r="E871" s="225"/>
      <c r="F871" s="231"/>
      <c r="G871" s="172" t="str">
        <f t="shared" ca="1" si="491"/>
        <v/>
      </c>
      <c r="H871" s="93" t="str">
        <f t="shared" ca="1" si="492"/>
        <v/>
      </c>
      <c r="I871" s="21">
        <v>1000</v>
      </c>
      <c r="J871" s="68">
        <f t="shared" si="493"/>
        <v>1.0750000000000002</v>
      </c>
      <c r="K871" s="70">
        <v>1.29</v>
      </c>
      <c r="L871" s="72">
        <f t="shared" ca="1" si="489"/>
        <v>0.22000000000000011</v>
      </c>
      <c r="M871" s="73">
        <f t="shared" ca="1" si="490"/>
        <v>220.00000000000011</v>
      </c>
      <c r="N871" s="12" t="s">
        <v>44</v>
      </c>
      <c r="O871" s="47" t="s">
        <v>45</v>
      </c>
      <c r="P871" s="13">
        <f t="shared" si="478"/>
        <v>1.29</v>
      </c>
      <c r="Q871" s="1" t="str">
        <f t="shared" si="479"/>
        <v>1000 + шт - 1,29 руб / шт с НДС</v>
      </c>
      <c r="R871" s="235"/>
      <c r="S871" s="239"/>
      <c r="T871" s="226"/>
      <c r="U871" s="228"/>
      <c r="V871" s="222"/>
      <c r="W871" s="229"/>
      <c r="X871" s="227"/>
      <c r="Y871" s="229"/>
      <c r="Z871" s="236"/>
      <c r="AA871" s="237"/>
      <c r="AB871" s="238"/>
      <c r="AC871" s="223"/>
      <c r="AD871" s="222"/>
    </row>
    <row r="872" spans="1:30" x14ac:dyDescent="0.4">
      <c r="A872" s="230">
        <v>176</v>
      </c>
      <c r="B872" s="8">
        <v>176</v>
      </c>
      <c r="C872" s="14">
        <f t="shared" ca="1" si="496"/>
        <v>0.3</v>
      </c>
      <c r="D872" s="20">
        <f t="shared" ca="1" si="508"/>
        <v>0.36</v>
      </c>
      <c r="E872" s="224" t="str">
        <f ca="1">INDIRECT("'Закуп'!D" &amp; A872)</f>
        <v>У</v>
      </c>
      <c r="F872" s="231" t="str">
        <f t="shared" ref="F872" ca="1" si="511">INDIRECT("'Закуп'!E" &amp; B872)</f>
        <v>280х90х125</v>
      </c>
      <c r="G872" s="172" t="str">
        <f t="shared" ca="1" si="491"/>
        <v/>
      </c>
      <c r="H872" s="93" t="str">
        <f t="shared" ca="1" si="492"/>
        <v/>
      </c>
      <c r="I872" s="21">
        <v>50</v>
      </c>
      <c r="J872" s="68">
        <f t="shared" si="493"/>
        <v>0.94166666666666665</v>
      </c>
      <c r="K872" s="70">
        <v>1.1299999999999999</v>
      </c>
      <c r="L872" s="72">
        <f t="shared" ca="1" si="489"/>
        <v>0.51333333333333331</v>
      </c>
      <c r="M872" s="73">
        <f t="shared" ca="1" si="490"/>
        <v>25.666666666666664</v>
      </c>
      <c r="N872" s="12" t="s">
        <v>40</v>
      </c>
      <c r="O872" s="47" t="s">
        <v>45</v>
      </c>
      <c r="P872" s="13">
        <f t="shared" si="478"/>
        <v>1.1299999999999999</v>
      </c>
      <c r="Q872" s="1" t="str">
        <f t="shared" si="479"/>
        <v>50-90 шт - 1,13 руб / шт с НДС</v>
      </c>
      <c r="R872" s="235" t="str">
        <f ca="1">INDIRECT("'Закуп'!k" &amp; A872)</f>
        <v>K177</v>
      </c>
      <c r="S872" s="239">
        <f ca="1">INDIRECT("'Закуп'!o" &amp; A872)</f>
        <v>3.15</v>
      </c>
      <c r="T872" s="226" t="str">
        <f ca="1">INDIRECT("'Закуп'!p" &amp; A872)</f>
        <v>3-3,9 литра</v>
      </c>
      <c r="U872" s="228" t="str">
        <f ca="1">INDIRECT("'Закуп'!v" &amp; A872)</f>
        <v>Длинные</v>
      </c>
      <c r="V872" s="222" t="str">
        <f ca="1">INDIRECT("'Закуп'!w" &amp; A872)</f>
        <v/>
      </c>
      <c r="W872" s="229" t="str">
        <f ca="1">INDIRECT("'Закуп'!H" &amp; A872)</f>
        <v>х</v>
      </c>
      <c r="X872" s="227" t="str">
        <f t="shared" ref="X872" ca="1" si="512">INDIRECT("'Закуп'!g" &amp; A872)</f>
        <v>Ч</v>
      </c>
      <c r="Y872" s="229" t="str">
        <f ca="1">INDIRECT("'Закуп'!i" &amp; A872)</f>
        <v>В</v>
      </c>
      <c r="Z872" s="236" t="str">
        <f ca="1">INDIRECT("'Закуп'!x" &amp; A872)</f>
        <v>200-299 мм</v>
      </c>
      <c r="AA872" s="237" t="str">
        <f ca="1">INDIRECT("'Закуп'!y" &amp; A872)</f>
        <v>100-199 мм</v>
      </c>
      <c r="AB872" s="238" t="str">
        <f ca="1">INDIRECT("'Закуп'!z" &amp; A872)</f>
        <v>10-99 мм</v>
      </c>
      <c r="AC872" s="223" t="str">
        <f t="shared" ca="1" si="482"/>
        <v>280x90x125</v>
      </c>
      <c r="AD872" s="222" t="str">
        <f t="shared" ca="1" si="505"/>
        <v>280x90x125 - 280*90*125 мм</v>
      </c>
    </row>
    <row r="873" spans="1:30" x14ac:dyDescent="0.4">
      <c r="A873" s="230"/>
      <c r="B873" s="8">
        <v>176</v>
      </c>
      <c r="C873" s="14">
        <f t="shared" ca="1" si="496"/>
        <v>0.3</v>
      </c>
      <c r="D873" s="20">
        <f t="shared" ca="1" si="508"/>
        <v>0.36</v>
      </c>
      <c r="E873" s="225"/>
      <c r="F873" s="231"/>
      <c r="G873" s="172" t="str">
        <f t="shared" ca="1" si="491"/>
        <v/>
      </c>
      <c r="H873" s="93" t="str">
        <f t="shared" ca="1" si="492"/>
        <v/>
      </c>
      <c r="I873" s="21">
        <v>100</v>
      </c>
      <c r="J873" s="68">
        <f t="shared" si="493"/>
        <v>0.78333333333333333</v>
      </c>
      <c r="K873" s="70">
        <v>0.94</v>
      </c>
      <c r="L873" s="72">
        <f t="shared" ca="1" si="489"/>
        <v>0.38666666666666666</v>
      </c>
      <c r="M873" s="73">
        <f t="shared" ca="1" si="490"/>
        <v>38.666666666666664</v>
      </c>
      <c r="N873" s="12" t="s">
        <v>41</v>
      </c>
      <c r="O873" s="47" t="s">
        <v>45</v>
      </c>
      <c r="P873" s="13">
        <f t="shared" si="478"/>
        <v>0.94</v>
      </c>
      <c r="Q873" s="1" t="str">
        <f t="shared" si="479"/>
        <v>100-290 шт - 0,94 руб / шт с НДС</v>
      </c>
      <c r="R873" s="235"/>
      <c r="S873" s="239"/>
      <c r="T873" s="226"/>
      <c r="U873" s="228"/>
      <c r="V873" s="222"/>
      <c r="W873" s="229"/>
      <c r="X873" s="227"/>
      <c r="Y873" s="229"/>
      <c r="Z873" s="236"/>
      <c r="AA873" s="237"/>
      <c r="AB873" s="238"/>
      <c r="AC873" s="223"/>
      <c r="AD873" s="222"/>
    </row>
    <row r="874" spans="1:30" x14ac:dyDescent="0.4">
      <c r="A874" s="230"/>
      <c r="B874" s="8">
        <v>176</v>
      </c>
      <c r="C874" s="14">
        <f t="shared" ca="1" si="496"/>
        <v>0.3</v>
      </c>
      <c r="D874" s="20">
        <f t="shared" ca="1" si="508"/>
        <v>0.36</v>
      </c>
      <c r="E874" s="225"/>
      <c r="F874" s="231"/>
      <c r="G874" s="172" t="str">
        <f t="shared" ca="1" si="491"/>
        <v/>
      </c>
      <c r="H874" s="93" t="str">
        <f t="shared" ca="1" si="492"/>
        <v/>
      </c>
      <c r="I874" s="21">
        <v>300</v>
      </c>
      <c r="J874" s="68">
        <f t="shared" si="493"/>
        <v>0.64166666666666672</v>
      </c>
      <c r="K874" s="70">
        <v>0.77</v>
      </c>
      <c r="L874" s="72">
        <f t="shared" ca="1" si="489"/>
        <v>0.27333333333333337</v>
      </c>
      <c r="M874" s="73">
        <f t="shared" ca="1" si="490"/>
        <v>82.000000000000014</v>
      </c>
      <c r="N874" s="12" t="s">
        <v>42</v>
      </c>
      <c r="O874" s="47" t="s">
        <v>45</v>
      </c>
      <c r="P874" s="13">
        <f t="shared" si="478"/>
        <v>0.77</v>
      </c>
      <c r="Q874" s="1" t="str">
        <f t="shared" si="479"/>
        <v>300-490 шт - 0,77 руб / шт с НДС</v>
      </c>
      <c r="R874" s="235"/>
      <c r="S874" s="239"/>
      <c r="T874" s="226"/>
      <c r="U874" s="228"/>
      <c r="V874" s="222"/>
      <c r="W874" s="229"/>
      <c r="X874" s="227"/>
      <c r="Y874" s="229"/>
      <c r="Z874" s="236"/>
      <c r="AA874" s="237"/>
      <c r="AB874" s="238"/>
      <c r="AC874" s="223"/>
      <c r="AD874" s="222"/>
    </row>
    <row r="875" spans="1:30" x14ac:dyDescent="0.4">
      <c r="A875" s="230"/>
      <c r="B875" s="8">
        <v>176</v>
      </c>
      <c r="C875" s="14">
        <f t="shared" ca="1" si="496"/>
        <v>0.3</v>
      </c>
      <c r="D875" s="20">
        <f t="shared" ca="1" si="508"/>
        <v>0.36</v>
      </c>
      <c r="E875" s="225"/>
      <c r="F875" s="231"/>
      <c r="G875" s="172" t="str">
        <f t="shared" ca="1" si="491"/>
        <v/>
      </c>
      <c r="H875" s="93" t="str">
        <f t="shared" ca="1" si="492"/>
        <v/>
      </c>
      <c r="I875" s="21">
        <v>500</v>
      </c>
      <c r="J875" s="68">
        <f t="shared" si="493"/>
        <v>0.6</v>
      </c>
      <c r="K875" s="70">
        <v>0.72</v>
      </c>
      <c r="L875" s="72">
        <f t="shared" ca="1" si="489"/>
        <v>0.24</v>
      </c>
      <c r="M875" s="73">
        <f t="shared" ca="1" si="490"/>
        <v>120</v>
      </c>
      <c r="N875" s="12" t="s">
        <v>43</v>
      </c>
      <c r="O875" s="47" t="s">
        <v>45</v>
      </c>
      <c r="P875" s="13">
        <f t="shared" si="478"/>
        <v>0.72</v>
      </c>
      <c r="Q875" s="1" t="str">
        <f t="shared" si="479"/>
        <v>500-990 шт - 0,72 руб / шт с НДС</v>
      </c>
      <c r="R875" s="235"/>
      <c r="S875" s="239"/>
      <c r="T875" s="226"/>
      <c r="U875" s="228"/>
      <c r="V875" s="222"/>
      <c r="W875" s="229"/>
      <c r="X875" s="227"/>
      <c r="Y875" s="229"/>
      <c r="Z875" s="236"/>
      <c r="AA875" s="237"/>
      <c r="AB875" s="238"/>
      <c r="AC875" s="223"/>
      <c r="AD875" s="222"/>
    </row>
    <row r="876" spans="1:30" x14ac:dyDescent="0.4">
      <c r="A876" s="230"/>
      <c r="B876" s="8">
        <v>176</v>
      </c>
      <c r="C876" s="14">
        <f t="shared" ca="1" si="496"/>
        <v>0.3</v>
      </c>
      <c r="D876" s="20">
        <f t="shared" ca="1" si="508"/>
        <v>0.36</v>
      </c>
      <c r="E876" s="225"/>
      <c r="F876" s="231"/>
      <c r="G876" s="172" t="str">
        <f t="shared" ca="1" si="491"/>
        <v/>
      </c>
      <c r="H876" s="93" t="str">
        <f t="shared" ca="1" si="492"/>
        <v/>
      </c>
      <c r="I876" s="21">
        <v>1000</v>
      </c>
      <c r="J876" s="68">
        <f t="shared" si="493"/>
        <v>0.56666666666666676</v>
      </c>
      <c r="K876" s="70">
        <v>0.68</v>
      </c>
      <c r="L876" s="72">
        <f t="shared" ca="1" si="489"/>
        <v>0.21333333333333343</v>
      </c>
      <c r="M876" s="73">
        <f t="shared" ca="1" si="490"/>
        <v>213.33333333333343</v>
      </c>
      <c r="N876" s="12" t="s">
        <v>44</v>
      </c>
      <c r="O876" s="47" t="s">
        <v>45</v>
      </c>
      <c r="P876" s="13">
        <f t="shared" si="478"/>
        <v>0.68</v>
      </c>
      <c r="Q876" s="1" t="str">
        <f t="shared" si="479"/>
        <v>1000 + шт - 0,68 руб / шт с НДС</v>
      </c>
      <c r="R876" s="235"/>
      <c r="S876" s="239"/>
      <c r="T876" s="226"/>
      <c r="U876" s="228"/>
      <c r="V876" s="222"/>
      <c r="W876" s="229"/>
      <c r="X876" s="227"/>
      <c r="Y876" s="229"/>
      <c r="Z876" s="236"/>
      <c r="AA876" s="237"/>
      <c r="AB876" s="238"/>
      <c r="AC876" s="223"/>
      <c r="AD876" s="222"/>
    </row>
    <row r="877" spans="1:30" x14ac:dyDescent="0.4">
      <c r="A877" s="230">
        <v>177</v>
      </c>
      <c r="B877" s="8">
        <v>177</v>
      </c>
      <c r="C877" s="14">
        <f t="shared" ca="1" si="496"/>
        <v>0.75</v>
      </c>
      <c r="D877" s="20">
        <f t="shared" ca="1" si="508"/>
        <v>0.89999999999999991</v>
      </c>
      <c r="E877" s="224" t="str">
        <f ca="1">INDIRECT("'Закуп'!D" &amp; A877)</f>
        <v>У</v>
      </c>
      <c r="F877" s="231" t="str">
        <f t="shared" ref="F877" ca="1" si="513">INDIRECT("'Закуп'!E" &amp; B877)</f>
        <v>350х60х440</v>
      </c>
      <c r="G877" s="172" t="str">
        <f t="shared" ca="1" si="491"/>
        <v/>
      </c>
      <c r="H877" s="93" t="str">
        <f t="shared" ca="1" si="492"/>
        <v/>
      </c>
      <c r="I877" s="21">
        <v>50</v>
      </c>
      <c r="J877" s="68">
        <f t="shared" si="493"/>
        <v>1.5083333333333335</v>
      </c>
      <c r="K877" s="70">
        <v>1.81</v>
      </c>
      <c r="L877" s="72">
        <f t="shared" ca="1" si="489"/>
        <v>0.6066666666666668</v>
      </c>
      <c r="M877" s="73">
        <f t="shared" ca="1" si="490"/>
        <v>30.333333333333339</v>
      </c>
      <c r="N877" s="12" t="s">
        <v>40</v>
      </c>
      <c r="O877" s="47" t="s">
        <v>45</v>
      </c>
      <c r="P877" s="13">
        <f t="shared" si="478"/>
        <v>1.81</v>
      </c>
      <c r="Q877" s="1" t="str">
        <f t="shared" si="479"/>
        <v>50-90 шт - 1,81 руб / шт с НДС</v>
      </c>
      <c r="R877" s="235" t="str">
        <f ca="1">INDIRECT("'Закуп'!k" &amp; A877)</f>
        <v>K178</v>
      </c>
      <c r="S877" s="239">
        <f ca="1">INDIRECT("'Закуп'!o" &amp; A877)</f>
        <v>9.24</v>
      </c>
      <c r="T877" s="226" t="str">
        <f ca="1">INDIRECT("'Закуп'!p" &amp; A877)</f>
        <v>8-9,9 литров</v>
      </c>
      <c r="U877" s="228" t="str">
        <f ca="1">INDIRECT("'Закуп'!v" &amp; A877)</f>
        <v/>
      </c>
      <c r="V877" s="222" t="str">
        <f ca="1">INDIRECT("'Закуп'!w" &amp; A877)</f>
        <v>Плоские</v>
      </c>
      <c r="W877" s="229" t="str">
        <f ca="1">INDIRECT("'Закуп'!H" &amp; A877)</f>
        <v>х</v>
      </c>
      <c r="X877" s="227" t="str">
        <f t="shared" ref="X877" ca="1" si="514">INDIRECT("'Закуп'!g" &amp; A877)</f>
        <v>Ч</v>
      </c>
      <c r="Y877" s="229" t="str">
        <f ca="1">INDIRECT("'Закуп'!i" &amp; A877)</f>
        <v>В</v>
      </c>
      <c r="Z877" s="236" t="str">
        <f ca="1">INDIRECT("'Закуп'!x" &amp; A877)</f>
        <v>400-499 мм</v>
      </c>
      <c r="AA877" s="237" t="str">
        <f ca="1">INDIRECT("'Закуп'!y" &amp; A877)</f>
        <v>300-399 мм</v>
      </c>
      <c r="AB877" s="238" t="str">
        <f ca="1">INDIRECT("'Закуп'!z" &amp; A877)</f>
        <v>10-99 мм</v>
      </c>
      <c r="AC877" s="223" t="str">
        <f t="shared" ca="1" si="482"/>
        <v>350x60x440</v>
      </c>
      <c r="AD877" s="222" t="str">
        <f t="shared" ca="1" si="505"/>
        <v>350x60x440 - 350*60*440 мм</v>
      </c>
    </row>
    <row r="878" spans="1:30" x14ac:dyDescent="0.4">
      <c r="A878" s="230"/>
      <c r="B878" s="8">
        <v>177</v>
      </c>
      <c r="C878" s="14">
        <f t="shared" ca="1" si="496"/>
        <v>0.75</v>
      </c>
      <c r="D878" s="20">
        <f t="shared" ca="1" si="508"/>
        <v>0.89999999999999991</v>
      </c>
      <c r="E878" s="225"/>
      <c r="F878" s="231"/>
      <c r="G878" s="172" t="str">
        <f t="shared" ca="1" si="491"/>
        <v/>
      </c>
      <c r="H878" s="93" t="str">
        <f t="shared" ca="1" si="492"/>
        <v/>
      </c>
      <c r="I878" s="21">
        <v>100</v>
      </c>
      <c r="J878" s="68">
        <f t="shared" si="493"/>
        <v>1.375</v>
      </c>
      <c r="K878" s="70">
        <v>1.65</v>
      </c>
      <c r="L878" s="72">
        <f t="shared" ca="1" si="489"/>
        <v>0.5</v>
      </c>
      <c r="M878" s="73">
        <f t="shared" ca="1" si="490"/>
        <v>50</v>
      </c>
      <c r="N878" s="12" t="s">
        <v>41</v>
      </c>
      <c r="O878" s="47" t="s">
        <v>45</v>
      </c>
      <c r="P878" s="13">
        <f t="shared" si="478"/>
        <v>1.65</v>
      </c>
      <c r="Q878" s="1" t="str">
        <f t="shared" si="479"/>
        <v>100-290 шт - 1,65 руб / шт с НДС</v>
      </c>
      <c r="R878" s="235"/>
      <c r="S878" s="239"/>
      <c r="T878" s="226"/>
      <c r="U878" s="228"/>
      <c r="V878" s="222"/>
      <c r="W878" s="229"/>
      <c r="X878" s="227"/>
      <c r="Y878" s="229"/>
      <c r="Z878" s="236"/>
      <c r="AA878" s="237"/>
      <c r="AB878" s="238"/>
      <c r="AC878" s="223"/>
      <c r="AD878" s="222"/>
    </row>
    <row r="879" spans="1:30" x14ac:dyDescent="0.4">
      <c r="A879" s="230"/>
      <c r="B879" s="8">
        <v>177</v>
      </c>
      <c r="C879" s="14">
        <f t="shared" ca="1" si="496"/>
        <v>0.75</v>
      </c>
      <c r="D879" s="20">
        <f t="shared" ca="1" si="508"/>
        <v>0.89999999999999991</v>
      </c>
      <c r="E879" s="225"/>
      <c r="F879" s="231"/>
      <c r="G879" s="172" t="str">
        <f t="shared" ca="1" si="491"/>
        <v/>
      </c>
      <c r="H879" s="93" t="str">
        <f t="shared" ca="1" si="492"/>
        <v/>
      </c>
      <c r="I879" s="21">
        <v>300</v>
      </c>
      <c r="J879" s="68">
        <f t="shared" si="493"/>
        <v>1.25</v>
      </c>
      <c r="K879" s="70">
        <v>1.5</v>
      </c>
      <c r="L879" s="72">
        <f t="shared" ca="1" si="489"/>
        <v>0.4</v>
      </c>
      <c r="M879" s="73">
        <f t="shared" ca="1" si="490"/>
        <v>120</v>
      </c>
      <c r="N879" s="12" t="s">
        <v>42</v>
      </c>
      <c r="O879" s="47" t="s">
        <v>45</v>
      </c>
      <c r="P879" s="13">
        <f t="shared" ref="P879:P942" si="515">ROUND(K879,2)</f>
        <v>1.5</v>
      </c>
      <c r="Q879" s="1" t="str">
        <f t="shared" si="479"/>
        <v>300-490 шт - 1,5 руб / шт с НДС</v>
      </c>
      <c r="R879" s="235"/>
      <c r="S879" s="239"/>
      <c r="T879" s="226"/>
      <c r="U879" s="228"/>
      <c r="V879" s="222"/>
      <c r="W879" s="229"/>
      <c r="X879" s="227"/>
      <c r="Y879" s="229"/>
      <c r="Z879" s="236"/>
      <c r="AA879" s="237"/>
      <c r="AB879" s="238"/>
      <c r="AC879" s="223"/>
      <c r="AD879" s="222"/>
    </row>
    <row r="880" spans="1:30" x14ac:dyDescent="0.4">
      <c r="A880" s="230"/>
      <c r="B880" s="8">
        <v>177</v>
      </c>
      <c r="C880" s="14">
        <f t="shared" ca="1" si="496"/>
        <v>0.75</v>
      </c>
      <c r="D880" s="20">
        <f t="shared" ca="1" si="508"/>
        <v>0.89999999999999991</v>
      </c>
      <c r="E880" s="225"/>
      <c r="F880" s="231"/>
      <c r="G880" s="172" t="str">
        <f t="shared" ca="1" si="491"/>
        <v/>
      </c>
      <c r="H880" s="93" t="str">
        <f t="shared" ca="1" si="492"/>
        <v/>
      </c>
      <c r="I880" s="21">
        <v>500</v>
      </c>
      <c r="J880" s="68">
        <f t="shared" si="493"/>
        <v>1.1583333333333332</v>
      </c>
      <c r="K880" s="70">
        <v>1.39</v>
      </c>
      <c r="L880" s="72">
        <f t="shared" ca="1" si="489"/>
        <v>0.32666666666666655</v>
      </c>
      <c r="M880" s="73">
        <f t="shared" ca="1" si="490"/>
        <v>163.33333333333329</v>
      </c>
      <c r="N880" s="12" t="s">
        <v>43</v>
      </c>
      <c r="O880" s="47" t="s">
        <v>45</v>
      </c>
      <c r="P880" s="13">
        <f t="shared" si="515"/>
        <v>1.39</v>
      </c>
      <c r="Q880" s="1" t="str">
        <f t="shared" ref="Q880:Q943" si="516">CONCATENATE(N880,P880,O880,)</f>
        <v>500-990 шт - 1,39 руб / шт с НДС</v>
      </c>
      <c r="R880" s="235"/>
      <c r="S880" s="239"/>
      <c r="T880" s="226"/>
      <c r="U880" s="228"/>
      <c r="V880" s="222"/>
      <c r="W880" s="229"/>
      <c r="X880" s="227"/>
      <c r="Y880" s="229"/>
      <c r="Z880" s="236"/>
      <c r="AA880" s="237"/>
      <c r="AB880" s="238"/>
      <c r="AC880" s="223"/>
      <c r="AD880" s="222"/>
    </row>
    <row r="881" spans="1:30" x14ac:dyDescent="0.4">
      <c r="A881" s="230"/>
      <c r="B881" s="8">
        <v>177</v>
      </c>
      <c r="C881" s="14">
        <f t="shared" ca="1" si="496"/>
        <v>0.75</v>
      </c>
      <c r="D881" s="20">
        <f t="shared" ca="1" si="508"/>
        <v>0.89999999999999991</v>
      </c>
      <c r="E881" s="225"/>
      <c r="F881" s="231"/>
      <c r="G881" s="172" t="str">
        <f t="shared" ca="1" si="491"/>
        <v/>
      </c>
      <c r="H881" s="93" t="str">
        <f t="shared" ca="1" si="492"/>
        <v/>
      </c>
      <c r="I881" s="21">
        <v>1000</v>
      </c>
      <c r="J881" s="68">
        <f t="shared" si="493"/>
        <v>1.0250000000000001</v>
      </c>
      <c r="K881" s="70">
        <v>1.23</v>
      </c>
      <c r="L881" s="72">
        <f t="shared" ca="1" si="489"/>
        <v>0.22000000000000011</v>
      </c>
      <c r="M881" s="73">
        <f t="shared" ca="1" si="490"/>
        <v>220.00000000000011</v>
      </c>
      <c r="N881" s="12" t="s">
        <v>44</v>
      </c>
      <c r="O881" s="47" t="s">
        <v>45</v>
      </c>
      <c r="P881" s="13">
        <f t="shared" si="515"/>
        <v>1.23</v>
      </c>
      <c r="Q881" s="1" t="str">
        <f t="shared" si="516"/>
        <v>1000 + шт - 1,23 руб / шт с НДС</v>
      </c>
      <c r="R881" s="235"/>
      <c r="S881" s="239"/>
      <c r="T881" s="226"/>
      <c r="U881" s="228"/>
      <c r="V881" s="222"/>
      <c r="W881" s="229"/>
      <c r="X881" s="227"/>
      <c r="Y881" s="229"/>
      <c r="Z881" s="236"/>
      <c r="AA881" s="237"/>
      <c r="AB881" s="238"/>
      <c r="AC881" s="223"/>
      <c r="AD881" s="222"/>
    </row>
    <row r="882" spans="1:30" x14ac:dyDescent="0.4">
      <c r="A882" s="230">
        <v>178</v>
      </c>
      <c r="B882" s="8">
        <v>178</v>
      </c>
      <c r="C882" s="14">
        <f t="shared" ca="1" si="496"/>
        <v>0.28000000000000003</v>
      </c>
      <c r="D882" s="20">
        <f t="shared" ca="1" si="508"/>
        <v>0.33600000000000002</v>
      </c>
      <c r="E882" s="224" t="str">
        <f ca="1">INDIRECT("'Закуп'!D" &amp; A882)</f>
        <v>У</v>
      </c>
      <c r="F882" s="231" t="str">
        <f t="shared" ref="F882" ca="1" si="517">INDIRECT("'Закуп'!E" &amp; B882)</f>
        <v>210х70х200</v>
      </c>
      <c r="G882" s="172" t="str">
        <f t="shared" ca="1" si="491"/>
        <v/>
      </c>
      <c r="H882" s="93" t="str">
        <f t="shared" ca="1" si="492"/>
        <v/>
      </c>
      <c r="I882" s="21">
        <v>50</v>
      </c>
      <c r="J882" s="68">
        <f t="shared" si="493"/>
        <v>0.91666666666666674</v>
      </c>
      <c r="K882" s="70">
        <v>1.1000000000000001</v>
      </c>
      <c r="L882" s="72">
        <f t="shared" ca="1" si="489"/>
        <v>0.50933333333333342</v>
      </c>
      <c r="M882" s="73">
        <f t="shared" ca="1" si="490"/>
        <v>25.466666666666672</v>
      </c>
      <c r="N882" s="12" t="s">
        <v>40</v>
      </c>
      <c r="O882" s="47" t="s">
        <v>45</v>
      </c>
      <c r="P882" s="13">
        <f t="shared" si="515"/>
        <v>1.1000000000000001</v>
      </c>
      <c r="Q882" s="1" t="str">
        <f t="shared" si="516"/>
        <v>50-90 шт - 1,1 руб / шт с НДС</v>
      </c>
      <c r="R882" s="235" t="str">
        <f ca="1">INDIRECT("'Закуп'!k" &amp; A882)</f>
        <v>K179</v>
      </c>
      <c r="S882" s="239">
        <f ca="1">INDIRECT("'Закуп'!o" &amp; A882)</f>
        <v>2.94</v>
      </c>
      <c r="T882" s="226" t="str">
        <f ca="1">INDIRECT("'Закуп'!p" &amp; A882)</f>
        <v>2-2,9 литра</v>
      </c>
      <c r="U882" s="228" t="str">
        <f ca="1">INDIRECT("'Закуп'!v" &amp; A882)</f>
        <v/>
      </c>
      <c r="V882" s="222" t="str">
        <f ca="1">INDIRECT("'Закуп'!w" &amp; A882)</f>
        <v>Плоские</v>
      </c>
      <c r="W882" s="229" t="str">
        <f ca="1">INDIRECT("'Закуп'!H" &amp; A882)</f>
        <v>х</v>
      </c>
      <c r="X882" s="227" t="str">
        <f t="shared" ref="X882" ca="1" si="518">INDIRECT("'Закуп'!g" &amp; A882)</f>
        <v>Ч</v>
      </c>
      <c r="Y882" s="229" t="str">
        <f ca="1">INDIRECT("'Закуп'!i" &amp; A882)</f>
        <v>В</v>
      </c>
      <c r="Z882" s="236" t="str">
        <f ca="1">INDIRECT("'Закуп'!x" &amp; A882)</f>
        <v>200-299 мм</v>
      </c>
      <c r="AA882" s="237" t="str">
        <f ca="1">INDIRECT("'Закуп'!y" &amp; A882)</f>
        <v>200-299 мм</v>
      </c>
      <c r="AB882" s="238" t="str">
        <f ca="1">INDIRECT("'Закуп'!z" &amp; A882)</f>
        <v>10-99 мм</v>
      </c>
      <c r="AC882" s="223" t="str">
        <f t="shared" ref="AC882:AC942" ca="1" si="519">SUBSTITUTE(INDEX(F:F, ROUNDUP((ROW(A881))/5,0)*5 - 3), "х", "x")</f>
        <v>210x70x200</v>
      </c>
      <c r="AD882" s="222" t="str">
        <f t="shared" ca="1" si="505"/>
        <v>210x70x200 - 210*70*200 мм</v>
      </c>
    </row>
    <row r="883" spans="1:30" x14ac:dyDescent="0.4">
      <c r="A883" s="230"/>
      <c r="B883" s="8">
        <v>178</v>
      </c>
      <c r="C883" s="14">
        <f t="shared" ca="1" si="496"/>
        <v>0.28000000000000003</v>
      </c>
      <c r="D883" s="20">
        <f t="shared" ca="1" si="508"/>
        <v>0.33600000000000002</v>
      </c>
      <c r="E883" s="225"/>
      <c r="F883" s="231"/>
      <c r="G883" s="172" t="str">
        <f t="shared" ca="1" si="491"/>
        <v/>
      </c>
      <c r="H883" s="93" t="str">
        <f t="shared" ca="1" si="492"/>
        <v/>
      </c>
      <c r="I883" s="21">
        <v>100</v>
      </c>
      <c r="J883" s="68">
        <f t="shared" si="493"/>
        <v>0.76666666666666672</v>
      </c>
      <c r="K883" s="70">
        <v>0.92</v>
      </c>
      <c r="L883" s="72">
        <f t="shared" ca="1" si="489"/>
        <v>0.38933333333333336</v>
      </c>
      <c r="M883" s="73">
        <f t="shared" ca="1" si="490"/>
        <v>38.933333333333337</v>
      </c>
      <c r="N883" s="12" t="s">
        <v>41</v>
      </c>
      <c r="O883" s="47" t="s">
        <v>45</v>
      </c>
      <c r="P883" s="13">
        <f t="shared" si="515"/>
        <v>0.92</v>
      </c>
      <c r="Q883" s="1" t="str">
        <f t="shared" si="516"/>
        <v>100-290 шт - 0,92 руб / шт с НДС</v>
      </c>
      <c r="R883" s="235"/>
      <c r="S883" s="239"/>
      <c r="T883" s="226"/>
      <c r="U883" s="228"/>
      <c r="V883" s="222"/>
      <c r="W883" s="229"/>
      <c r="X883" s="227"/>
      <c r="Y883" s="229"/>
      <c r="Z883" s="236"/>
      <c r="AA883" s="237"/>
      <c r="AB883" s="238"/>
      <c r="AC883" s="223"/>
      <c r="AD883" s="222"/>
    </row>
    <row r="884" spans="1:30" x14ac:dyDescent="0.4">
      <c r="A884" s="230"/>
      <c r="B884" s="8">
        <v>178</v>
      </c>
      <c r="C884" s="14">
        <f t="shared" ca="1" si="496"/>
        <v>0.28000000000000003</v>
      </c>
      <c r="D884" s="20">
        <f t="shared" ca="1" si="508"/>
        <v>0.33600000000000002</v>
      </c>
      <c r="E884" s="225"/>
      <c r="F884" s="231"/>
      <c r="G884" s="172" t="str">
        <f t="shared" ca="1" si="491"/>
        <v/>
      </c>
      <c r="H884" s="93" t="str">
        <f t="shared" ca="1" si="492"/>
        <v/>
      </c>
      <c r="I884" s="21">
        <v>300</v>
      </c>
      <c r="J884" s="68">
        <f t="shared" si="493"/>
        <v>0.625</v>
      </c>
      <c r="K884" s="70">
        <v>0.75</v>
      </c>
      <c r="L884" s="72">
        <f t="shared" ca="1" si="489"/>
        <v>0.27599999999999997</v>
      </c>
      <c r="M884" s="73">
        <f t="shared" ca="1" si="490"/>
        <v>82.8</v>
      </c>
      <c r="N884" s="12" t="s">
        <v>42</v>
      </c>
      <c r="O884" s="47" t="s">
        <v>45</v>
      </c>
      <c r="P884" s="13">
        <f t="shared" si="515"/>
        <v>0.75</v>
      </c>
      <c r="Q884" s="1" t="str">
        <f t="shared" si="516"/>
        <v>300-490 шт - 0,75 руб / шт с НДС</v>
      </c>
      <c r="R884" s="235"/>
      <c r="S884" s="239"/>
      <c r="T884" s="226"/>
      <c r="U884" s="228"/>
      <c r="V884" s="222"/>
      <c r="W884" s="229"/>
      <c r="X884" s="227"/>
      <c r="Y884" s="229"/>
      <c r="Z884" s="236"/>
      <c r="AA884" s="237"/>
      <c r="AB884" s="238"/>
      <c r="AC884" s="223"/>
      <c r="AD884" s="222"/>
    </row>
    <row r="885" spans="1:30" x14ac:dyDescent="0.4">
      <c r="A885" s="230"/>
      <c r="B885" s="8">
        <v>178</v>
      </c>
      <c r="C885" s="14">
        <f t="shared" ca="1" si="496"/>
        <v>0.28000000000000003</v>
      </c>
      <c r="D885" s="20">
        <f t="shared" ca="1" si="508"/>
        <v>0.33600000000000002</v>
      </c>
      <c r="E885" s="225"/>
      <c r="F885" s="231"/>
      <c r="G885" s="172" t="str">
        <f t="shared" ca="1" si="491"/>
        <v/>
      </c>
      <c r="H885" s="93" t="str">
        <f t="shared" ca="1" si="492"/>
        <v/>
      </c>
      <c r="I885" s="21">
        <v>500</v>
      </c>
      <c r="J885" s="68">
        <f t="shared" si="493"/>
        <v>0.59166666666666667</v>
      </c>
      <c r="K885" s="70">
        <v>0.71</v>
      </c>
      <c r="L885" s="72">
        <f t="shared" ca="1" si="489"/>
        <v>0.24933333333333332</v>
      </c>
      <c r="M885" s="73">
        <f t="shared" ca="1" si="490"/>
        <v>124.66666666666666</v>
      </c>
      <c r="N885" s="12" t="s">
        <v>43</v>
      </c>
      <c r="O885" s="47" t="s">
        <v>45</v>
      </c>
      <c r="P885" s="13">
        <f t="shared" si="515"/>
        <v>0.71</v>
      </c>
      <c r="Q885" s="1" t="str">
        <f t="shared" si="516"/>
        <v>500-990 шт - 0,71 руб / шт с НДС</v>
      </c>
      <c r="R885" s="235"/>
      <c r="S885" s="239"/>
      <c r="T885" s="226"/>
      <c r="U885" s="228"/>
      <c r="V885" s="222"/>
      <c r="W885" s="229"/>
      <c r="X885" s="227"/>
      <c r="Y885" s="229"/>
      <c r="Z885" s="236"/>
      <c r="AA885" s="237"/>
      <c r="AB885" s="238"/>
      <c r="AC885" s="223"/>
      <c r="AD885" s="222"/>
    </row>
    <row r="886" spans="1:30" x14ac:dyDescent="0.4">
      <c r="A886" s="230"/>
      <c r="B886" s="8">
        <v>178</v>
      </c>
      <c r="C886" s="14">
        <f t="shared" ca="1" si="496"/>
        <v>0.28000000000000003</v>
      </c>
      <c r="D886" s="20">
        <f t="shared" ca="1" si="508"/>
        <v>0.33600000000000002</v>
      </c>
      <c r="E886" s="225"/>
      <c r="F886" s="231"/>
      <c r="G886" s="172" t="str">
        <f t="shared" ca="1" si="491"/>
        <v/>
      </c>
      <c r="H886" s="93" t="str">
        <f t="shared" ca="1" si="492"/>
        <v/>
      </c>
      <c r="I886" s="21">
        <v>1000</v>
      </c>
      <c r="J886" s="68">
        <f t="shared" si="493"/>
        <v>0.55000000000000004</v>
      </c>
      <c r="K886" s="70">
        <v>0.66</v>
      </c>
      <c r="L886" s="72">
        <f t="shared" ca="1" si="489"/>
        <v>0.21600000000000003</v>
      </c>
      <c r="M886" s="73">
        <f t="shared" ca="1" si="490"/>
        <v>216.00000000000003</v>
      </c>
      <c r="N886" s="12" t="s">
        <v>44</v>
      </c>
      <c r="O886" s="47" t="s">
        <v>45</v>
      </c>
      <c r="P886" s="13">
        <f t="shared" si="515"/>
        <v>0.66</v>
      </c>
      <c r="Q886" s="1" t="str">
        <f t="shared" si="516"/>
        <v>1000 + шт - 0,66 руб / шт с НДС</v>
      </c>
      <c r="R886" s="235"/>
      <c r="S886" s="239"/>
      <c r="T886" s="226"/>
      <c r="U886" s="228"/>
      <c r="V886" s="222"/>
      <c r="W886" s="229"/>
      <c r="X886" s="227"/>
      <c r="Y886" s="229"/>
      <c r="Z886" s="236"/>
      <c r="AA886" s="237"/>
      <c r="AB886" s="238"/>
      <c r="AC886" s="223"/>
      <c r="AD886" s="222"/>
    </row>
    <row r="887" spans="1:30" x14ac:dyDescent="0.4">
      <c r="A887" s="230">
        <v>179</v>
      </c>
      <c r="B887" s="8">
        <v>179</v>
      </c>
      <c r="C887" s="14">
        <f t="shared" ca="1" si="496"/>
        <v>0.53</v>
      </c>
      <c r="D887" s="20">
        <f t="shared" ca="1" si="508"/>
        <v>0.63600000000000001</v>
      </c>
      <c r="E887" s="224" t="str">
        <f ca="1">INDIRECT("'Закуп'!D" &amp; A887)</f>
        <v>У</v>
      </c>
      <c r="F887" s="231" t="str">
        <f t="shared" ref="F887" ca="1" si="520">INDIRECT("'Закуп'!E" &amp; B887)</f>
        <v>215х215х120</v>
      </c>
      <c r="G887" s="172" t="str">
        <f t="shared" ca="1" si="491"/>
        <v/>
      </c>
      <c r="H887" s="93" t="str">
        <f t="shared" ca="1" si="492"/>
        <v/>
      </c>
      <c r="I887" s="21">
        <v>50</v>
      </c>
      <c r="J887" s="68">
        <f t="shared" si="493"/>
        <v>1.25</v>
      </c>
      <c r="K887" s="70">
        <v>1.5</v>
      </c>
      <c r="L887" s="72">
        <f t="shared" ca="1" si="489"/>
        <v>0.57599999999999996</v>
      </c>
      <c r="M887" s="73">
        <f t="shared" ca="1" si="490"/>
        <v>28.799999999999997</v>
      </c>
      <c r="N887" s="12" t="s">
        <v>40</v>
      </c>
      <c r="O887" s="47" t="s">
        <v>45</v>
      </c>
      <c r="P887" s="13">
        <f t="shared" si="515"/>
        <v>1.5</v>
      </c>
      <c r="Q887" s="1" t="str">
        <f t="shared" si="516"/>
        <v>50-90 шт - 1,5 руб / шт с НДС</v>
      </c>
      <c r="R887" s="235" t="str">
        <f ca="1">INDIRECT("'Закуп'!k" &amp; A887)</f>
        <v>K180</v>
      </c>
      <c r="S887" s="239">
        <f ca="1">INDIRECT("'Закуп'!o" &amp; A887)</f>
        <v>5.55</v>
      </c>
      <c r="T887" s="226" t="str">
        <f ca="1">INDIRECT("'Закуп'!p" &amp; A887)</f>
        <v>4-5,9 литра</v>
      </c>
      <c r="U887" s="228" t="str">
        <f ca="1">INDIRECT("'Закуп'!v" &amp; A887)</f>
        <v/>
      </c>
      <c r="V887" s="222" t="str">
        <f ca="1">INDIRECT("'Закуп'!w" &amp; A887)</f>
        <v/>
      </c>
      <c r="W887" s="229" t="str">
        <f ca="1">INDIRECT("'Закуп'!H" &amp; A887)</f>
        <v>х</v>
      </c>
      <c r="X887" s="227" t="str">
        <f t="shared" ref="X887" ca="1" si="521">INDIRECT("'Закуп'!g" &amp; A887)</f>
        <v>Ч</v>
      </c>
      <c r="Y887" s="229" t="str">
        <f ca="1">INDIRECT("'Закуп'!i" &amp; A887)</f>
        <v>В</v>
      </c>
      <c r="Z887" s="236" t="str">
        <f ca="1">INDIRECT("'Закуп'!x" &amp; A887)</f>
        <v>200-299 мм</v>
      </c>
      <c r="AA887" s="237" t="str">
        <f ca="1">INDIRECT("'Закуп'!y" &amp; A887)</f>
        <v>200-299 мм</v>
      </c>
      <c r="AB887" s="238" t="str">
        <f ca="1">INDIRECT("'Закуп'!z" &amp; A887)</f>
        <v>100-199 мм</v>
      </c>
      <c r="AC887" s="223" t="str">
        <f t="shared" ca="1" si="519"/>
        <v>215x215x120</v>
      </c>
      <c r="AD887" s="222" t="str">
        <f t="shared" ca="1" si="505"/>
        <v>215x215x120 - 215*215*120 мм</v>
      </c>
    </row>
    <row r="888" spans="1:30" x14ac:dyDescent="0.4">
      <c r="A888" s="230"/>
      <c r="B888" s="8">
        <v>179</v>
      </c>
      <c r="C888" s="14">
        <f t="shared" ca="1" si="496"/>
        <v>0.53</v>
      </c>
      <c r="D888" s="20">
        <f t="shared" ca="1" si="508"/>
        <v>0.63600000000000001</v>
      </c>
      <c r="E888" s="225"/>
      <c r="F888" s="231"/>
      <c r="G888" s="172" t="str">
        <f t="shared" ca="1" si="491"/>
        <v/>
      </c>
      <c r="H888" s="93" t="str">
        <f t="shared" ca="1" si="492"/>
        <v/>
      </c>
      <c r="I888" s="21">
        <v>100</v>
      </c>
      <c r="J888" s="68">
        <f t="shared" si="493"/>
        <v>1.1333333333333335</v>
      </c>
      <c r="K888" s="70">
        <v>1.36</v>
      </c>
      <c r="L888" s="72">
        <f t="shared" ca="1" si="489"/>
        <v>0.4826666666666668</v>
      </c>
      <c r="M888" s="73">
        <f t="shared" ca="1" si="490"/>
        <v>48.26666666666668</v>
      </c>
      <c r="N888" s="12" t="s">
        <v>41</v>
      </c>
      <c r="O888" s="47" t="s">
        <v>45</v>
      </c>
      <c r="P888" s="13">
        <f t="shared" si="515"/>
        <v>1.36</v>
      </c>
      <c r="Q888" s="1" t="str">
        <f t="shared" si="516"/>
        <v>100-290 шт - 1,36 руб / шт с НДС</v>
      </c>
      <c r="R888" s="235"/>
      <c r="S888" s="239"/>
      <c r="T888" s="226"/>
      <c r="U888" s="228"/>
      <c r="V888" s="222"/>
      <c r="W888" s="229"/>
      <c r="X888" s="227"/>
      <c r="Y888" s="229"/>
      <c r="Z888" s="236"/>
      <c r="AA888" s="237"/>
      <c r="AB888" s="238"/>
      <c r="AC888" s="223"/>
      <c r="AD888" s="222"/>
    </row>
    <row r="889" spans="1:30" x14ac:dyDescent="0.4">
      <c r="A889" s="230"/>
      <c r="B889" s="8">
        <v>179</v>
      </c>
      <c r="C889" s="14">
        <f t="shared" ca="1" si="496"/>
        <v>0.53</v>
      </c>
      <c r="D889" s="20">
        <f t="shared" ca="1" si="508"/>
        <v>0.63600000000000001</v>
      </c>
      <c r="E889" s="225"/>
      <c r="F889" s="231"/>
      <c r="G889" s="172" t="str">
        <f t="shared" ca="1" si="491"/>
        <v/>
      </c>
      <c r="H889" s="93" t="str">
        <f t="shared" ca="1" si="492"/>
        <v/>
      </c>
      <c r="I889" s="21">
        <v>300</v>
      </c>
      <c r="J889" s="68">
        <f t="shared" si="493"/>
        <v>0.89166666666666672</v>
      </c>
      <c r="K889" s="70">
        <v>1.07</v>
      </c>
      <c r="L889" s="72">
        <f t="shared" ca="1" si="489"/>
        <v>0.28933333333333333</v>
      </c>
      <c r="M889" s="73">
        <f t="shared" ca="1" si="490"/>
        <v>86.8</v>
      </c>
      <c r="N889" s="12" t="s">
        <v>42</v>
      </c>
      <c r="O889" s="47" t="s">
        <v>45</v>
      </c>
      <c r="P889" s="13">
        <f t="shared" si="515"/>
        <v>1.07</v>
      </c>
      <c r="Q889" s="1" t="str">
        <f t="shared" si="516"/>
        <v>300-490 шт - 1,07 руб / шт с НДС</v>
      </c>
      <c r="R889" s="235"/>
      <c r="S889" s="239"/>
      <c r="T889" s="226"/>
      <c r="U889" s="228"/>
      <c r="V889" s="222"/>
      <c r="W889" s="229"/>
      <c r="X889" s="227"/>
      <c r="Y889" s="229"/>
      <c r="Z889" s="236"/>
      <c r="AA889" s="237"/>
      <c r="AB889" s="238"/>
      <c r="AC889" s="223"/>
      <c r="AD889" s="222"/>
    </row>
    <row r="890" spans="1:30" x14ac:dyDescent="0.4">
      <c r="A890" s="230"/>
      <c r="B890" s="8">
        <v>179</v>
      </c>
      <c r="C890" s="14">
        <f t="shared" ca="1" si="496"/>
        <v>0.53</v>
      </c>
      <c r="D890" s="20">
        <f t="shared" ca="1" si="508"/>
        <v>0.63600000000000001</v>
      </c>
      <c r="E890" s="225"/>
      <c r="F890" s="231"/>
      <c r="G890" s="172" t="str">
        <f t="shared" ca="1" si="491"/>
        <v/>
      </c>
      <c r="H890" s="93" t="str">
        <f t="shared" ca="1" si="492"/>
        <v/>
      </c>
      <c r="I890" s="21">
        <v>500</v>
      </c>
      <c r="J890" s="68">
        <f t="shared" si="493"/>
        <v>0.84166666666666667</v>
      </c>
      <c r="K890" s="70">
        <v>1.01</v>
      </c>
      <c r="L890" s="72">
        <f t="shared" ca="1" si="489"/>
        <v>0.24933333333333332</v>
      </c>
      <c r="M890" s="73">
        <f t="shared" ca="1" si="490"/>
        <v>124.66666666666666</v>
      </c>
      <c r="N890" s="12" t="s">
        <v>43</v>
      </c>
      <c r="O890" s="47" t="s">
        <v>45</v>
      </c>
      <c r="P890" s="13">
        <f t="shared" si="515"/>
        <v>1.01</v>
      </c>
      <c r="Q890" s="1" t="str">
        <f t="shared" si="516"/>
        <v>500-990 шт - 1,01 руб / шт с НДС</v>
      </c>
      <c r="R890" s="235"/>
      <c r="S890" s="239"/>
      <c r="T890" s="226"/>
      <c r="U890" s="228"/>
      <c r="V890" s="222"/>
      <c r="W890" s="229"/>
      <c r="X890" s="227"/>
      <c r="Y890" s="229"/>
      <c r="Z890" s="236"/>
      <c r="AA890" s="237"/>
      <c r="AB890" s="238"/>
      <c r="AC890" s="223"/>
      <c r="AD890" s="222"/>
    </row>
    <row r="891" spans="1:30" x14ac:dyDescent="0.4">
      <c r="A891" s="230"/>
      <c r="B891" s="8">
        <v>179</v>
      </c>
      <c r="C891" s="14">
        <f t="shared" ca="1" si="496"/>
        <v>0.53</v>
      </c>
      <c r="D891" s="20">
        <f t="shared" ca="1" si="508"/>
        <v>0.63600000000000001</v>
      </c>
      <c r="E891" s="225"/>
      <c r="F891" s="231"/>
      <c r="G891" s="172" t="str">
        <f t="shared" ca="1" si="491"/>
        <v/>
      </c>
      <c r="H891" s="93" t="str">
        <f t="shared" ca="1" si="492"/>
        <v/>
      </c>
      <c r="I891" s="21">
        <v>1000</v>
      </c>
      <c r="J891" s="68">
        <f t="shared" si="493"/>
        <v>0.79166666666666663</v>
      </c>
      <c r="K891" s="70">
        <v>0.95</v>
      </c>
      <c r="L891" s="72">
        <f t="shared" ca="1" si="489"/>
        <v>0.20933333333333329</v>
      </c>
      <c r="M891" s="73">
        <f t="shared" ca="1" si="490"/>
        <v>209.33333333333329</v>
      </c>
      <c r="N891" s="12" t="s">
        <v>44</v>
      </c>
      <c r="O891" s="47" t="s">
        <v>45</v>
      </c>
      <c r="P891" s="13">
        <f t="shared" si="515"/>
        <v>0.95</v>
      </c>
      <c r="Q891" s="1" t="str">
        <f t="shared" si="516"/>
        <v>1000 + шт - 0,95 руб / шт с НДС</v>
      </c>
      <c r="R891" s="235"/>
      <c r="S891" s="239"/>
      <c r="T891" s="226"/>
      <c r="U891" s="228"/>
      <c r="V891" s="222"/>
      <c r="W891" s="229"/>
      <c r="X891" s="227"/>
      <c r="Y891" s="229"/>
      <c r="Z891" s="236"/>
      <c r="AA891" s="237"/>
      <c r="AB891" s="238"/>
      <c r="AC891" s="223"/>
      <c r="AD891" s="222"/>
    </row>
    <row r="892" spans="1:30" x14ac:dyDescent="0.4">
      <c r="A892" s="230">
        <v>180</v>
      </c>
      <c r="B892" s="8">
        <v>180</v>
      </c>
      <c r="C892" s="14">
        <f t="shared" ca="1" si="496"/>
        <v>0.43</v>
      </c>
      <c r="D892" s="20">
        <f t="shared" ca="1" si="508"/>
        <v>0.51600000000000001</v>
      </c>
      <c r="E892" s="224" t="str">
        <f ca="1">INDIRECT("'Закуп'!D" &amp; A892)</f>
        <v>У</v>
      </c>
      <c r="F892" s="231" t="str">
        <f t="shared" ref="F892" ca="1" si="522">INDIRECT("'Закуп'!E" &amp; B892)</f>
        <v>180х140х220</v>
      </c>
      <c r="G892" s="172" t="str">
        <f t="shared" ca="1" si="491"/>
        <v/>
      </c>
      <c r="H892" s="93" t="str">
        <f t="shared" ca="1" si="492"/>
        <v/>
      </c>
      <c r="I892" s="21">
        <v>50</v>
      </c>
      <c r="J892" s="68">
        <f t="shared" si="493"/>
        <v>1.0583333333333333</v>
      </c>
      <c r="K892" s="70">
        <v>1.27</v>
      </c>
      <c r="L892" s="72">
        <f t="shared" ca="1" si="489"/>
        <v>0.50266666666666671</v>
      </c>
      <c r="M892" s="73">
        <f t="shared" ca="1" si="490"/>
        <v>25.133333333333336</v>
      </c>
      <c r="N892" s="12" t="s">
        <v>40</v>
      </c>
      <c r="O892" s="47" t="s">
        <v>45</v>
      </c>
      <c r="P892" s="13">
        <f t="shared" si="515"/>
        <v>1.27</v>
      </c>
      <c r="Q892" s="1" t="str">
        <f t="shared" si="516"/>
        <v>50-90 шт - 1,27 руб / шт с НДС</v>
      </c>
      <c r="R892" s="235" t="str">
        <f ca="1">INDIRECT("'Закуп'!k" &amp; A892)</f>
        <v>K181</v>
      </c>
      <c r="S892" s="239">
        <f ca="1">INDIRECT("'Закуп'!o" &amp; A892)</f>
        <v>5.54</v>
      </c>
      <c r="T892" s="226" t="str">
        <f ca="1">INDIRECT("'Закуп'!p" &amp; A892)</f>
        <v>4-5,9 литра</v>
      </c>
      <c r="U892" s="228" t="str">
        <f ca="1">INDIRECT("'Закуп'!v" &amp; A892)</f>
        <v/>
      </c>
      <c r="V892" s="222" t="str">
        <f ca="1">INDIRECT("'Закуп'!w" &amp; A892)</f>
        <v/>
      </c>
      <c r="W892" s="229" t="str">
        <f ca="1">INDIRECT("'Закуп'!H" &amp; A892)</f>
        <v>х</v>
      </c>
      <c r="X892" s="227" t="str">
        <f t="shared" ref="X892" ca="1" si="523">INDIRECT("'Закуп'!g" &amp; A892)</f>
        <v>Ч</v>
      </c>
      <c r="Y892" s="229" t="str">
        <f ca="1">INDIRECT("'Закуп'!i" &amp; A892)</f>
        <v>В</v>
      </c>
      <c r="Z892" s="236" t="str">
        <f ca="1">INDIRECT("'Закуп'!x" &amp; A892)</f>
        <v>200-299 мм</v>
      </c>
      <c r="AA892" s="237" t="str">
        <f ca="1">INDIRECT("'Закуп'!y" &amp; A892)</f>
        <v>100-199 мм</v>
      </c>
      <c r="AB892" s="238" t="str">
        <f ca="1">INDIRECT("'Закуп'!z" &amp; A892)</f>
        <v>100-199 мм</v>
      </c>
      <c r="AC892" s="223" t="str">
        <f t="shared" ca="1" si="519"/>
        <v>180x140x220</v>
      </c>
      <c r="AD892" s="222" t="str">
        <f t="shared" ca="1" si="505"/>
        <v>180x140x220 - 180*140*220 мм</v>
      </c>
    </row>
    <row r="893" spans="1:30" x14ac:dyDescent="0.4">
      <c r="A893" s="230"/>
      <c r="B893" s="8">
        <v>180</v>
      </c>
      <c r="C893" s="14">
        <f t="shared" ca="1" si="496"/>
        <v>0.43</v>
      </c>
      <c r="D893" s="20">
        <f t="shared" ca="1" si="508"/>
        <v>0.51600000000000001</v>
      </c>
      <c r="E893" s="225"/>
      <c r="F893" s="231"/>
      <c r="G893" s="172" t="str">
        <f t="shared" ca="1" si="491"/>
        <v/>
      </c>
      <c r="H893" s="93" t="str">
        <f t="shared" ca="1" si="492"/>
        <v/>
      </c>
      <c r="I893" s="21">
        <v>100</v>
      </c>
      <c r="J893" s="68">
        <f t="shared" si="493"/>
        <v>0.91666666666666674</v>
      </c>
      <c r="K893" s="70">
        <v>1.1000000000000001</v>
      </c>
      <c r="L893" s="72">
        <f t="shared" ca="1" si="489"/>
        <v>0.38933333333333342</v>
      </c>
      <c r="M893" s="73">
        <f t="shared" ca="1" si="490"/>
        <v>38.933333333333344</v>
      </c>
      <c r="N893" s="12" t="s">
        <v>41</v>
      </c>
      <c r="O893" s="47" t="s">
        <v>45</v>
      </c>
      <c r="P893" s="13">
        <f t="shared" si="515"/>
        <v>1.1000000000000001</v>
      </c>
      <c r="Q893" s="1" t="str">
        <f t="shared" si="516"/>
        <v>100-290 шт - 1,1 руб / шт с НДС</v>
      </c>
      <c r="R893" s="235"/>
      <c r="S893" s="239"/>
      <c r="T893" s="226"/>
      <c r="U893" s="228"/>
      <c r="V893" s="222"/>
      <c r="W893" s="229"/>
      <c r="X893" s="227"/>
      <c r="Y893" s="229"/>
      <c r="Z893" s="236"/>
      <c r="AA893" s="237"/>
      <c r="AB893" s="238"/>
      <c r="AC893" s="223"/>
      <c r="AD893" s="222"/>
    </row>
    <row r="894" spans="1:30" x14ac:dyDescent="0.4">
      <c r="A894" s="230"/>
      <c r="B894" s="8">
        <v>180</v>
      </c>
      <c r="C894" s="14">
        <f t="shared" ca="1" si="496"/>
        <v>0.43</v>
      </c>
      <c r="D894" s="20">
        <f t="shared" ca="1" si="508"/>
        <v>0.51600000000000001</v>
      </c>
      <c r="E894" s="225"/>
      <c r="F894" s="231"/>
      <c r="G894" s="172" t="str">
        <f t="shared" ca="1" si="491"/>
        <v/>
      </c>
      <c r="H894" s="93" t="str">
        <f t="shared" ca="1" si="492"/>
        <v/>
      </c>
      <c r="I894" s="21">
        <v>300</v>
      </c>
      <c r="J894" s="68">
        <f t="shared" si="493"/>
        <v>0.78333333333333333</v>
      </c>
      <c r="K894" s="70">
        <v>0.94</v>
      </c>
      <c r="L894" s="72">
        <f t="shared" ca="1" si="489"/>
        <v>0.28266666666666668</v>
      </c>
      <c r="M894" s="73">
        <f t="shared" ca="1" si="490"/>
        <v>84.8</v>
      </c>
      <c r="N894" s="12" t="s">
        <v>42</v>
      </c>
      <c r="O894" s="47" t="s">
        <v>45</v>
      </c>
      <c r="P894" s="13">
        <f t="shared" si="515"/>
        <v>0.94</v>
      </c>
      <c r="Q894" s="1" t="str">
        <f t="shared" si="516"/>
        <v>300-490 шт - 0,94 руб / шт с НДС</v>
      </c>
      <c r="R894" s="235"/>
      <c r="S894" s="239"/>
      <c r="T894" s="226"/>
      <c r="U894" s="228"/>
      <c r="V894" s="222"/>
      <c r="W894" s="229"/>
      <c r="X894" s="227"/>
      <c r="Y894" s="229"/>
      <c r="Z894" s="236"/>
      <c r="AA894" s="237"/>
      <c r="AB894" s="238"/>
      <c r="AC894" s="223"/>
      <c r="AD894" s="222"/>
    </row>
    <row r="895" spans="1:30" x14ac:dyDescent="0.4">
      <c r="A895" s="230"/>
      <c r="B895" s="8">
        <v>180</v>
      </c>
      <c r="C895" s="14">
        <f t="shared" ca="1" si="496"/>
        <v>0.43</v>
      </c>
      <c r="D895" s="20">
        <f t="shared" ca="1" si="508"/>
        <v>0.51600000000000001</v>
      </c>
      <c r="E895" s="225"/>
      <c r="F895" s="231"/>
      <c r="G895" s="172" t="str">
        <f t="shared" ca="1" si="491"/>
        <v/>
      </c>
      <c r="H895" s="93" t="str">
        <f t="shared" ca="1" si="492"/>
        <v/>
      </c>
      <c r="I895" s="21">
        <v>500</v>
      </c>
      <c r="J895" s="68">
        <f t="shared" si="493"/>
        <v>0.7416666666666667</v>
      </c>
      <c r="K895" s="70">
        <v>0.89</v>
      </c>
      <c r="L895" s="72">
        <f t="shared" ca="1" si="489"/>
        <v>0.24933333333333335</v>
      </c>
      <c r="M895" s="73">
        <f t="shared" ca="1" si="490"/>
        <v>124.66666666666667</v>
      </c>
      <c r="N895" s="12" t="s">
        <v>43</v>
      </c>
      <c r="O895" s="47" t="s">
        <v>45</v>
      </c>
      <c r="P895" s="13">
        <f t="shared" si="515"/>
        <v>0.89</v>
      </c>
      <c r="Q895" s="1" t="str">
        <f t="shared" si="516"/>
        <v>500-990 шт - 0,89 руб / шт с НДС</v>
      </c>
      <c r="R895" s="235"/>
      <c r="S895" s="239"/>
      <c r="T895" s="226"/>
      <c r="U895" s="228"/>
      <c r="V895" s="222"/>
      <c r="W895" s="229"/>
      <c r="X895" s="227"/>
      <c r="Y895" s="229"/>
      <c r="Z895" s="236"/>
      <c r="AA895" s="237"/>
      <c r="AB895" s="238"/>
      <c r="AC895" s="223"/>
      <c r="AD895" s="222"/>
    </row>
    <row r="896" spans="1:30" x14ac:dyDescent="0.4">
      <c r="A896" s="230"/>
      <c r="B896" s="8">
        <v>180</v>
      </c>
      <c r="C896" s="14">
        <f t="shared" ca="1" si="496"/>
        <v>0.43</v>
      </c>
      <c r="D896" s="20">
        <f t="shared" ca="1" si="508"/>
        <v>0.51600000000000001</v>
      </c>
      <c r="E896" s="225"/>
      <c r="F896" s="231"/>
      <c r="G896" s="172" t="str">
        <f t="shared" ca="1" si="491"/>
        <v/>
      </c>
      <c r="H896" s="93" t="str">
        <f t="shared" ca="1" si="492"/>
        <v/>
      </c>
      <c r="I896" s="21">
        <v>1000</v>
      </c>
      <c r="J896" s="68">
        <f t="shared" si="493"/>
        <v>0.68333333333333335</v>
      </c>
      <c r="K896" s="70">
        <v>0.82</v>
      </c>
      <c r="L896" s="72">
        <f t="shared" ca="1" si="489"/>
        <v>0.20266666666666669</v>
      </c>
      <c r="M896" s="73">
        <f t="shared" ca="1" si="490"/>
        <v>202.66666666666669</v>
      </c>
      <c r="N896" s="12" t="s">
        <v>44</v>
      </c>
      <c r="O896" s="47" t="s">
        <v>45</v>
      </c>
      <c r="P896" s="13">
        <f t="shared" si="515"/>
        <v>0.82</v>
      </c>
      <c r="Q896" s="1" t="str">
        <f t="shared" si="516"/>
        <v>1000 + шт - 0,82 руб / шт с НДС</v>
      </c>
      <c r="R896" s="235"/>
      <c r="S896" s="239"/>
      <c r="T896" s="226"/>
      <c r="U896" s="228"/>
      <c r="V896" s="222"/>
      <c r="W896" s="229"/>
      <c r="X896" s="227"/>
      <c r="Y896" s="229"/>
      <c r="Z896" s="236"/>
      <c r="AA896" s="237"/>
      <c r="AB896" s="238"/>
      <c r="AC896" s="223"/>
      <c r="AD896" s="222"/>
    </row>
    <row r="897" spans="1:30" x14ac:dyDescent="0.4">
      <c r="A897" s="230">
        <v>181</v>
      </c>
      <c r="B897" s="8">
        <v>181</v>
      </c>
      <c r="C897" s="14">
        <f t="shared" ca="1" si="496"/>
        <v>0.77</v>
      </c>
      <c r="D897" s="20">
        <f t="shared" ca="1" si="508"/>
        <v>0.92399999999999993</v>
      </c>
      <c r="E897" s="224" t="str">
        <f ca="1">INDIRECT("'Закуп'!D" &amp; A897)</f>
        <v>У</v>
      </c>
      <c r="F897" s="231" t="str">
        <f t="shared" ref="F897" ca="1" si="524">INDIRECT("'Закуп'!E" &amp; B897)</f>
        <v>125х125х730</v>
      </c>
      <c r="G897" s="172" t="str">
        <f t="shared" ca="1" si="491"/>
        <v/>
      </c>
      <c r="H897" s="93" t="str">
        <f t="shared" ca="1" si="492"/>
        <v/>
      </c>
      <c r="I897" s="21">
        <v>50</v>
      </c>
      <c r="J897" s="68">
        <f t="shared" si="493"/>
        <v>1.7833333333333334</v>
      </c>
      <c r="K897" s="70">
        <v>2.14</v>
      </c>
      <c r="L897" s="72">
        <f t="shared" ca="1" si="489"/>
        <v>0.81066666666666676</v>
      </c>
      <c r="M897" s="73">
        <f t="shared" ca="1" si="490"/>
        <v>40.533333333333339</v>
      </c>
      <c r="N897" s="12" t="s">
        <v>40</v>
      </c>
      <c r="O897" s="47" t="s">
        <v>45</v>
      </c>
      <c r="P897" s="13">
        <f t="shared" si="515"/>
        <v>2.14</v>
      </c>
      <c r="Q897" s="1" t="str">
        <f t="shared" si="516"/>
        <v>50-90 шт - 2,14 руб / шт с НДС</v>
      </c>
      <c r="R897" s="235" t="str">
        <f ca="1">INDIRECT("'Закуп'!k" &amp; A897)</f>
        <v>K182</v>
      </c>
      <c r="S897" s="239">
        <f ca="1">INDIRECT("'Закуп'!o" &amp; A897)</f>
        <v>11.41</v>
      </c>
      <c r="T897" s="226" t="str">
        <f ca="1">INDIRECT("'Закуп'!p" &amp; A897)</f>
        <v>10-14,9 литров</v>
      </c>
      <c r="U897" s="228" t="str">
        <f ca="1">INDIRECT("'Закуп'!v" &amp; A897)</f>
        <v>Длинные</v>
      </c>
      <c r="V897" s="222" t="str">
        <f ca="1">INDIRECT("'Закуп'!w" &amp; A897)</f>
        <v/>
      </c>
      <c r="W897" s="229" t="str">
        <f ca="1">INDIRECT("'Закуп'!H" &amp; A897)</f>
        <v>х</v>
      </c>
      <c r="X897" s="227" t="str">
        <f t="shared" ref="X897" ca="1" si="525">INDIRECT("'Закуп'!g" &amp; A897)</f>
        <v>Ч</v>
      </c>
      <c r="Y897" s="229" t="str">
        <f ca="1">INDIRECT("'Закуп'!i" &amp; A897)</f>
        <v>В</v>
      </c>
      <c r="Z897" s="236" t="str">
        <f ca="1">INDIRECT("'Закуп'!x" &amp; A897)</f>
        <v>700-999 мм</v>
      </c>
      <c r="AA897" s="237" t="str">
        <f ca="1">INDIRECT("'Закуп'!y" &amp; A897)</f>
        <v>100-199 мм</v>
      </c>
      <c r="AB897" s="238" t="str">
        <f ca="1">INDIRECT("'Закуп'!z" &amp; A897)</f>
        <v>100-199 мм</v>
      </c>
      <c r="AC897" s="223" t="str">
        <f t="shared" ca="1" si="519"/>
        <v>125x125x730</v>
      </c>
      <c r="AD897" s="222" t="str">
        <f t="shared" ca="1" si="505"/>
        <v>125x125x730 - 125*125*730 мм</v>
      </c>
    </row>
    <row r="898" spans="1:30" x14ac:dyDescent="0.4">
      <c r="A898" s="230"/>
      <c r="B898" s="8">
        <v>181</v>
      </c>
      <c r="C898" s="14">
        <f t="shared" ca="1" si="496"/>
        <v>0.77</v>
      </c>
      <c r="D898" s="20">
        <f t="shared" ca="1" si="508"/>
        <v>0.92399999999999993</v>
      </c>
      <c r="E898" s="225"/>
      <c r="F898" s="231"/>
      <c r="G898" s="172" t="str">
        <f t="shared" ca="1" si="491"/>
        <v/>
      </c>
      <c r="H898" s="93" t="str">
        <f t="shared" ca="1" si="492"/>
        <v/>
      </c>
      <c r="I898" s="21">
        <v>100</v>
      </c>
      <c r="J898" s="68">
        <f t="shared" si="493"/>
        <v>1.6083333333333334</v>
      </c>
      <c r="K898" s="70">
        <v>1.93</v>
      </c>
      <c r="L898" s="72">
        <f t="shared" ref="L898:L961" ca="1" si="526">J898-C898-(J898-C898)*0.2</f>
        <v>0.67066666666666674</v>
      </c>
      <c r="M898" s="73">
        <f t="shared" ref="M898:M961" ca="1" si="527">L898*I898</f>
        <v>67.066666666666677</v>
      </c>
      <c r="N898" s="12" t="s">
        <v>41</v>
      </c>
      <c r="O898" s="47" t="s">
        <v>45</v>
      </c>
      <c r="P898" s="13">
        <f t="shared" si="515"/>
        <v>1.93</v>
      </c>
      <c r="Q898" s="1" t="str">
        <f t="shared" si="516"/>
        <v>100-290 шт - 1,93 руб / шт с НДС</v>
      </c>
      <c r="R898" s="235"/>
      <c r="S898" s="239"/>
      <c r="T898" s="226"/>
      <c r="U898" s="228"/>
      <c r="V898" s="222"/>
      <c r="W898" s="229"/>
      <c r="X898" s="227"/>
      <c r="Y898" s="229"/>
      <c r="Z898" s="236"/>
      <c r="AA898" s="237"/>
      <c r="AB898" s="238"/>
      <c r="AC898" s="223"/>
      <c r="AD898" s="222"/>
    </row>
    <row r="899" spans="1:30" x14ac:dyDescent="0.4">
      <c r="A899" s="230"/>
      <c r="B899" s="8">
        <v>181</v>
      </c>
      <c r="C899" s="14">
        <f t="shared" ca="1" si="496"/>
        <v>0.77</v>
      </c>
      <c r="D899" s="20">
        <f t="shared" ca="1" si="508"/>
        <v>0.92399999999999993</v>
      </c>
      <c r="E899" s="225"/>
      <c r="F899" s="231"/>
      <c r="G899" s="172" t="str">
        <f t="shared" ref="G899:G962" ca="1" si="528">IF(INDIRECT("'Закуп'!L" &amp; B899)="Sale","Sale","")</f>
        <v/>
      </c>
      <c r="H899" s="93" t="str">
        <f t="shared" ref="H899:H962" ca="1" si="529">IF(INDIRECT("'Закуп'!F" &amp; B899)=0,"",INDIRECT("'Закуп'!F" &amp; B899))</f>
        <v/>
      </c>
      <c r="I899" s="21">
        <v>300</v>
      </c>
      <c r="J899" s="68">
        <f t="shared" ref="J899:J962" si="530">K899/1.2</f>
        <v>1.425</v>
      </c>
      <c r="K899" s="70">
        <v>1.71</v>
      </c>
      <c r="L899" s="72">
        <f t="shared" ca="1" si="526"/>
        <v>0.52400000000000002</v>
      </c>
      <c r="M899" s="73">
        <f t="shared" ca="1" si="527"/>
        <v>157.20000000000002</v>
      </c>
      <c r="N899" s="12" t="s">
        <v>42</v>
      </c>
      <c r="O899" s="47" t="s">
        <v>45</v>
      </c>
      <c r="P899" s="13">
        <f t="shared" si="515"/>
        <v>1.71</v>
      </c>
      <c r="Q899" s="1" t="str">
        <f t="shared" si="516"/>
        <v>300-490 шт - 1,71 руб / шт с НДС</v>
      </c>
      <c r="R899" s="235"/>
      <c r="S899" s="239"/>
      <c r="T899" s="226"/>
      <c r="U899" s="228"/>
      <c r="V899" s="222"/>
      <c r="W899" s="229"/>
      <c r="X899" s="227"/>
      <c r="Y899" s="229"/>
      <c r="Z899" s="236"/>
      <c r="AA899" s="237"/>
      <c r="AB899" s="238"/>
      <c r="AC899" s="223"/>
      <c r="AD899" s="222"/>
    </row>
    <row r="900" spans="1:30" x14ac:dyDescent="0.4">
      <c r="A900" s="230"/>
      <c r="B900" s="8">
        <v>181</v>
      </c>
      <c r="C900" s="14">
        <f t="shared" ca="1" si="496"/>
        <v>0.77</v>
      </c>
      <c r="D900" s="20">
        <f t="shared" ca="1" si="508"/>
        <v>0.92399999999999993</v>
      </c>
      <c r="E900" s="225"/>
      <c r="F900" s="231"/>
      <c r="G900" s="172" t="str">
        <f t="shared" ca="1" si="528"/>
        <v/>
      </c>
      <c r="H900" s="93" t="str">
        <f t="shared" ca="1" si="529"/>
        <v/>
      </c>
      <c r="I900" s="21">
        <v>500</v>
      </c>
      <c r="J900" s="68">
        <f t="shared" si="530"/>
        <v>1.3416666666666668</v>
      </c>
      <c r="K900" s="70">
        <v>1.61</v>
      </c>
      <c r="L900" s="72">
        <f t="shared" ca="1" si="526"/>
        <v>0.45733333333333342</v>
      </c>
      <c r="M900" s="73">
        <f t="shared" ca="1" si="527"/>
        <v>228.66666666666671</v>
      </c>
      <c r="N900" s="12" t="s">
        <v>43</v>
      </c>
      <c r="O900" s="47" t="s">
        <v>45</v>
      </c>
      <c r="P900" s="13">
        <f t="shared" si="515"/>
        <v>1.61</v>
      </c>
      <c r="Q900" s="1" t="str">
        <f t="shared" si="516"/>
        <v>500-990 шт - 1,61 руб / шт с НДС</v>
      </c>
      <c r="R900" s="235"/>
      <c r="S900" s="239"/>
      <c r="T900" s="226"/>
      <c r="U900" s="228"/>
      <c r="V900" s="222"/>
      <c r="W900" s="229"/>
      <c r="X900" s="227"/>
      <c r="Y900" s="229"/>
      <c r="Z900" s="236"/>
      <c r="AA900" s="237"/>
      <c r="AB900" s="238"/>
      <c r="AC900" s="223"/>
      <c r="AD900" s="222"/>
    </row>
    <row r="901" spans="1:30" x14ac:dyDescent="0.4">
      <c r="A901" s="230"/>
      <c r="B901" s="8">
        <v>181</v>
      </c>
      <c r="C901" s="14">
        <f t="shared" ca="1" si="496"/>
        <v>0.77</v>
      </c>
      <c r="D901" s="20">
        <f t="shared" ca="1" si="508"/>
        <v>0.92399999999999993</v>
      </c>
      <c r="E901" s="225"/>
      <c r="F901" s="231"/>
      <c r="G901" s="172" t="str">
        <f t="shared" ca="1" si="528"/>
        <v/>
      </c>
      <c r="H901" s="93" t="str">
        <f t="shared" ca="1" si="529"/>
        <v/>
      </c>
      <c r="I901" s="21">
        <v>1000</v>
      </c>
      <c r="J901" s="68">
        <f t="shared" si="530"/>
        <v>1.25</v>
      </c>
      <c r="K901" s="70">
        <v>1.5</v>
      </c>
      <c r="L901" s="72">
        <f t="shared" ca="1" si="526"/>
        <v>0.38400000000000001</v>
      </c>
      <c r="M901" s="73">
        <f t="shared" ca="1" si="527"/>
        <v>384</v>
      </c>
      <c r="N901" s="12" t="s">
        <v>44</v>
      </c>
      <c r="O901" s="47" t="s">
        <v>45</v>
      </c>
      <c r="P901" s="13">
        <f t="shared" si="515"/>
        <v>1.5</v>
      </c>
      <c r="Q901" s="1" t="str">
        <f t="shared" si="516"/>
        <v>1000 + шт - 1,5 руб / шт с НДС</v>
      </c>
      <c r="R901" s="235"/>
      <c r="S901" s="239"/>
      <c r="T901" s="226"/>
      <c r="U901" s="228"/>
      <c r="V901" s="222"/>
      <c r="W901" s="229"/>
      <c r="X901" s="227"/>
      <c r="Y901" s="229"/>
      <c r="Z901" s="236"/>
      <c r="AA901" s="237"/>
      <c r="AB901" s="238"/>
      <c r="AC901" s="223"/>
      <c r="AD901" s="222"/>
    </row>
    <row r="902" spans="1:30" x14ac:dyDescent="0.4">
      <c r="A902" s="230">
        <v>182</v>
      </c>
      <c r="B902" s="8">
        <v>182</v>
      </c>
      <c r="C902" s="14">
        <f t="shared" ca="1" si="496"/>
        <v>0.57999999999999996</v>
      </c>
      <c r="D902" s="20">
        <f t="shared" ca="1" si="508"/>
        <v>0.69599999999999995</v>
      </c>
      <c r="E902" s="224" t="str">
        <f ca="1">INDIRECT("'Закуп'!D" &amp; A902)</f>
        <v>У</v>
      </c>
      <c r="F902" s="231" t="str">
        <f t="shared" ref="F902" ca="1" si="531">INDIRECT("'Закуп'!E" &amp; B902)</f>
        <v>250х190х170</v>
      </c>
      <c r="G902" s="172" t="str">
        <f t="shared" ca="1" si="528"/>
        <v/>
      </c>
      <c r="H902" s="93" t="str">
        <f t="shared" ca="1" si="529"/>
        <v/>
      </c>
      <c r="I902" s="21">
        <v>50</v>
      </c>
      <c r="J902" s="68">
        <f t="shared" si="530"/>
        <v>1.3666666666666667</v>
      </c>
      <c r="K902" s="70">
        <v>1.64</v>
      </c>
      <c r="L902" s="72">
        <f t="shared" ca="1" si="526"/>
        <v>0.62933333333333341</v>
      </c>
      <c r="M902" s="73">
        <f t="shared" ca="1" si="527"/>
        <v>31.466666666666672</v>
      </c>
      <c r="N902" s="12" t="s">
        <v>40</v>
      </c>
      <c r="O902" s="47" t="s">
        <v>45</v>
      </c>
      <c r="P902" s="13">
        <f t="shared" si="515"/>
        <v>1.64</v>
      </c>
      <c r="Q902" s="1" t="str">
        <f t="shared" si="516"/>
        <v>50-90 шт - 1,64 руб / шт с НДС</v>
      </c>
      <c r="R902" s="235" t="str">
        <f ca="1">INDIRECT("'Закуп'!k" &amp; A902)</f>
        <v>K183</v>
      </c>
      <c r="S902" s="239">
        <f ca="1">INDIRECT("'Закуп'!o" &amp; A902)</f>
        <v>8.08</v>
      </c>
      <c r="T902" s="226" t="str">
        <f ca="1">INDIRECT("'Закуп'!p" &amp; A902)</f>
        <v>8-9,9 литров</v>
      </c>
      <c r="U902" s="228" t="str">
        <f ca="1">INDIRECT("'Закуп'!v" &amp; A902)</f>
        <v/>
      </c>
      <c r="V902" s="222" t="str">
        <f ca="1">INDIRECT("'Закуп'!w" &amp; A902)</f>
        <v/>
      </c>
      <c r="W902" s="229" t="str">
        <f ca="1">INDIRECT("'Закуп'!H" &amp; A902)</f>
        <v>х</v>
      </c>
      <c r="X902" s="227" t="str">
        <f t="shared" ref="X902" ca="1" si="532">INDIRECT("'Закуп'!g" &amp; A902)</f>
        <v>Ч</v>
      </c>
      <c r="Y902" s="229" t="str">
        <f ca="1">INDIRECT("'Закуп'!i" &amp; A902)</f>
        <v>В</v>
      </c>
      <c r="Z902" s="236" t="str">
        <f ca="1">INDIRECT("'Закуп'!x" &amp; A902)</f>
        <v>200-299 мм</v>
      </c>
      <c r="AA902" s="237" t="str">
        <f ca="1">INDIRECT("'Закуп'!y" &amp; A902)</f>
        <v>100-199 мм</v>
      </c>
      <c r="AB902" s="238" t="str">
        <f ca="1">INDIRECT("'Закуп'!z" &amp; A902)</f>
        <v>100-199 мм</v>
      </c>
      <c r="AC902" s="223" t="str">
        <f t="shared" ca="1" si="519"/>
        <v>250x190x170</v>
      </c>
      <c r="AD902" s="222" t="str">
        <f t="shared" ca="1" si="505"/>
        <v>250x190x170 - 250*190*170 мм</v>
      </c>
    </row>
    <row r="903" spans="1:30" x14ac:dyDescent="0.4">
      <c r="A903" s="230"/>
      <c r="B903" s="8">
        <v>182</v>
      </c>
      <c r="C903" s="14">
        <f t="shared" ca="1" si="496"/>
        <v>0.57999999999999996</v>
      </c>
      <c r="D903" s="20">
        <f t="shared" ca="1" si="508"/>
        <v>0.69599999999999995</v>
      </c>
      <c r="E903" s="225"/>
      <c r="F903" s="231"/>
      <c r="G903" s="172" t="str">
        <f t="shared" ca="1" si="528"/>
        <v/>
      </c>
      <c r="H903" s="93" t="str">
        <f t="shared" ca="1" si="529"/>
        <v/>
      </c>
      <c r="I903" s="21">
        <v>100</v>
      </c>
      <c r="J903" s="68">
        <f t="shared" si="530"/>
        <v>1.2416666666666667</v>
      </c>
      <c r="K903" s="70">
        <v>1.49</v>
      </c>
      <c r="L903" s="72">
        <f t="shared" ca="1" si="526"/>
        <v>0.52933333333333343</v>
      </c>
      <c r="M903" s="73">
        <f t="shared" ca="1" si="527"/>
        <v>52.933333333333344</v>
      </c>
      <c r="N903" s="12" t="s">
        <v>41</v>
      </c>
      <c r="O903" s="47" t="s">
        <v>45</v>
      </c>
      <c r="P903" s="13">
        <f t="shared" si="515"/>
        <v>1.49</v>
      </c>
      <c r="Q903" s="1" t="str">
        <f t="shared" si="516"/>
        <v>100-290 шт - 1,49 руб / шт с НДС</v>
      </c>
      <c r="R903" s="235"/>
      <c r="S903" s="239"/>
      <c r="T903" s="226"/>
      <c r="U903" s="228"/>
      <c r="V903" s="222"/>
      <c r="W903" s="229"/>
      <c r="X903" s="227"/>
      <c r="Y903" s="229"/>
      <c r="Z903" s="236"/>
      <c r="AA903" s="237"/>
      <c r="AB903" s="238"/>
      <c r="AC903" s="223"/>
      <c r="AD903" s="222"/>
    </row>
    <row r="904" spans="1:30" x14ac:dyDescent="0.4">
      <c r="A904" s="230"/>
      <c r="B904" s="8">
        <v>182</v>
      </c>
      <c r="C904" s="14">
        <f t="shared" ca="1" si="496"/>
        <v>0.57999999999999996</v>
      </c>
      <c r="D904" s="20">
        <f t="shared" ca="1" si="508"/>
        <v>0.69599999999999995</v>
      </c>
      <c r="E904" s="225"/>
      <c r="F904" s="231"/>
      <c r="G904" s="172" t="str">
        <f t="shared" ca="1" si="528"/>
        <v/>
      </c>
      <c r="H904" s="93" t="str">
        <f t="shared" ca="1" si="529"/>
        <v/>
      </c>
      <c r="I904" s="21">
        <v>300</v>
      </c>
      <c r="J904" s="68">
        <f t="shared" si="530"/>
        <v>0.98333333333333328</v>
      </c>
      <c r="K904" s="70">
        <v>1.18</v>
      </c>
      <c r="L904" s="72">
        <f t="shared" ca="1" si="526"/>
        <v>0.32266666666666666</v>
      </c>
      <c r="M904" s="73">
        <f t="shared" ca="1" si="527"/>
        <v>96.8</v>
      </c>
      <c r="N904" s="12" t="s">
        <v>42</v>
      </c>
      <c r="O904" s="47" t="s">
        <v>45</v>
      </c>
      <c r="P904" s="13">
        <f t="shared" si="515"/>
        <v>1.18</v>
      </c>
      <c r="Q904" s="1" t="str">
        <f t="shared" si="516"/>
        <v>300-490 шт - 1,18 руб / шт с НДС</v>
      </c>
      <c r="R904" s="235"/>
      <c r="S904" s="239"/>
      <c r="T904" s="226"/>
      <c r="U904" s="228"/>
      <c r="V904" s="222"/>
      <c r="W904" s="229"/>
      <c r="X904" s="227"/>
      <c r="Y904" s="229"/>
      <c r="Z904" s="236"/>
      <c r="AA904" s="237"/>
      <c r="AB904" s="238"/>
      <c r="AC904" s="223"/>
      <c r="AD904" s="222"/>
    </row>
    <row r="905" spans="1:30" x14ac:dyDescent="0.4">
      <c r="A905" s="230"/>
      <c r="B905" s="8">
        <v>182</v>
      </c>
      <c r="C905" s="14">
        <f t="shared" ref="C905:C968" ca="1" si="533">INDIRECT("'Закуп'!A" &amp; B905)</f>
        <v>0.57999999999999996</v>
      </c>
      <c r="D905" s="20">
        <f t="shared" ca="1" si="508"/>
        <v>0.69599999999999995</v>
      </c>
      <c r="E905" s="225"/>
      <c r="F905" s="231"/>
      <c r="G905" s="172" t="str">
        <f t="shared" ca="1" si="528"/>
        <v/>
      </c>
      <c r="H905" s="93" t="str">
        <f t="shared" ca="1" si="529"/>
        <v/>
      </c>
      <c r="I905" s="21">
        <v>500</v>
      </c>
      <c r="J905" s="68">
        <f t="shared" si="530"/>
        <v>0.91666666666666674</v>
      </c>
      <c r="K905" s="70">
        <v>1.1000000000000001</v>
      </c>
      <c r="L905" s="72">
        <f t="shared" ca="1" si="526"/>
        <v>0.26933333333333342</v>
      </c>
      <c r="M905" s="73">
        <f t="shared" ca="1" si="527"/>
        <v>134.66666666666671</v>
      </c>
      <c r="N905" s="12" t="s">
        <v>43</v>
      </c>
      <c r="O905" s="47" t="s">
        <v>45</v>
      </c>
      <c r="P905" s="13">
        <f t="shared" si="515"/>
        <v>1.1000000000000001</v>
      </c>
      <c r="Q905" s="1" t="str">
        <f t="shared" si="516"/>
        <v>500-990 шт - 1,1 руб / шт с НДС</v>
      </c>
      <c r="R905" s="235"/>
      <c r="S905" s="239"/>
      <c r="T905" s="226"/>
      <c r="U905" s="228"/>
      <c r="V905" s="222"/>
      <c r="W905" s="229"/>
      <c r="X905" s="227"/>
      <c r="Y905" s="229"/>
      <c r="Z905" s="236"/>
      <c r="AA905" s="237"/>
      <c r="AB905" s="238"/>
      <c r="AC905" s="223"/>
      <c r="AD905" s="222"/>
    </row>
    <row r="906" spans="1:30" x14ac:dyDescent="0.4">
      <c r="A906" s="230"/>
      <c r="B906" s="8">
        <v>182</v>
      </c>
      <c r="C906" s="14">
        <f t="shared" ca="1" si="533"/>
        <v>0.57999999999999996</v>
      </c>
      <c r="D906" s="20">
        <f t="shared" ca="1" si="508"/>
        <v>0.69599999999999995</v>
      </c>
      <c r="E906" s="225"/>
      <c r="F906" s="231"/>
      <c r="G906" s="172" t="str">
        <f t="shared" ca="1" si="528"/>
        <v/>
      </c>
      <c r="H906" s="93" t="str">
        <f t="shared" ca="1" si="529"/>
        <v/>
      </c>
      <c r="I906" s="21">
        <v>1000</v>
      </c>
      <c r="J906" s="68">
        <f t="shared" si="530"/>
        <v>0.8666666666666667</v>
      </c>
      <c r="K906" s="70">
        <v>1.04</v>
      </c>
      <c r="L906" s="72">
        <f t="shared" ca="1" si="526"/>
        <v>0.22933333333333339</v>
      </c>
      <c r="M906" s="73">
        <f t="shared" ca="1" si="527"/>
        <v>229.3333333333334</v>
      </c>
      <c r="N906" s="12" t="s">
        <v>44</v>
      </c>
      <c r="O906" s="47" t="s">
        <v>45</v>
      </c>
      <c r="P906" s="13">
        <f t="shared" si="515"/>
        <v>1.04</v>
      </c>
      <c r="Q906" s="1" t="str">
        <f t="shared" si="516"/>
        <v>1000 + шт - 1,04 руб / шт с НДС</v>
      </c>
      <c r="R906" s="235"/>
      <c r="S906" s="239"/>
      <c r="T906" s="226"/>
      <c r="U906" s="228"/>
      <c r="V906" s="222"/>
      <c r="W906" s="229"/>
      <c r="X906" s="227"/>
      <c r="Y906" s="229"/>
      <c r="Z906" s="236"/>
      <c r="AA906" s="237"/>
      <c r="AB906" s="238"/>
      <c r="AC906" s="223"/>
      <c r="AD906" s="222"/>
    </row>
    <row r="907" spans="1:30" x14ac:dyDescent="0.4">
      <c r="A907" s="230">
        <v>183</v>
      </c>
      <c r="B907" s="8">
        <v>183</v>
      </c>
      <c r="C907" s="14">
        <f t="shared" ca="1" si="533"/>
        <v>0.09</v>
      </c>
      <c r="D907" s="20">
        <f t="shared" ca="1" si="508"/>
        <v>0.108</v>
      </c>
      <c r="E907" s="224" t="str">
        <f ca="1">INDIRECT("'Закуп'!D" &amp; A907)</f>
        <v>У</v>
      </c>
      <c r="F907" s="231" t="str">
        <f t="shared" ref="F907" ca="1" si="534">INDIRECT("'Закуп'!E" &amp; B907)</f>
        <v>72х72х90</v>
      </c>
      <c r="G907" s="172" t="str">
        <f t="shared" ca="1" si="528"/>
        <v/>
      </c>
      <c r="H907" s="93" t="str">
        <f t="shared" ca="1" si="529"/>
        <v/>
      </c>
      <c r="I907" s="21">
        <v>50</v>
      </c>
      <c r="J907" s="68">
        <f t="shared" si="530"/>
        <v>0.88333333333333341</v>
      </c>
      <c r="K907" s="70">
        <v>1.06</v>
      </c>
      <c r="L907" s="72">
        <f t="shared" ca="1" si="526"/>
        <v>0.63466666666666671</v>
      </c>
      <c r="M907" s="73">
        <f t="shared" ca="1" si="527"/>
        <v>31.733333333333334</v>
      </c>
      <c r="N907" s="12" t="s">
        <v>40</v>
      </c>
      <c r="O907" s="47" t="s">
        <v>45</v>
      </c>
      <c r="P907" s="13">
        <f t="shared" si="515"/>
        <v>1.06</v>
      </c>
      <c r="Q907" s="1" t="str">
        <f t="shared" si="516"/>
        <v>50-90 шт - 1,06 руб / шт с НДС</v>
      </c>
      <c r="R907" s="235" t="str">
        <f ca="1">INDIRECT("'Закуп'!k" &amp; A907)</f>
        <v>K184</v>
      </c>
      <c r="S907" s="239">
        <f ca="1">INDIRECT("'Закуп'!o" &amp; A907)</f>
        <v>0.47</v>
      </c>
      <c r="T907" s="226" t="str">
        <f ca="1">INDIRECT("'Закуп'!p" &amp; A907)</f>
        <v>0,1-0,9 литров</v>
      </c>
      <c r="U907" s="228" t="str">
        <f ca="1">INDIRECT("'Закуп'!v" &amp; A907)</f>
        <v/>
      </c>
      <c r="V907" s="222" t="str">
        <f ca="1">INDIRECT("'Закуп'!w" &amp; A907)</f>
        <v/>
      </c>
      <c r="W907" s="229" t="str">
        <f ca="1">INDIRECT("'Закуп'!H" &amp; A907)</f>
        <v>х</v>
      </c>
      <c r="X907" s="227" t="str">
        <f t="shared" ref="X907" ca="1" si="535">INDIRECT("'Закуп'!g" &amp; A907)</f>
        <v>Ч</v>
      </c>
      <c r="Y907" s="229" t="str">
        <f ca="1">INDIRECT("'Закуп'!i" &amp; A907)</f>
        <v>В</v>
      </c>
      <c r="Z907" s="236" t="str">
        <f ca="1">INDIRECT("'Закуп'!x" &amp; A907)</f>
        <v>10-99 мм</v>
      </c>
      <c r="AA907" s="237" t="str">
        <f ca="1">INDIRECT("'Закуп'!y" &amp; A907)</f>
        <v>10-99 мм</v>
      </c>
      <c r="AB907" s="238" t="str">
        <f ca="1">INDIRECT("'Закуп'!z" &amp; A907)</f>
        <v>10-99 мм</v>
      </c>
      <c r="AC907" s="223" t="str">
        <f t="shared" ca="1" si="519"/>
        <v>72x72x90</v>
      </c>
      <c r="AD907" s="222" t="str">
        <f t="shared" ca="1" si="505"/>
        <v>72x72x90 - 72*72*90 мм</v>
      </c>
    </row>
    <row r="908" spans="1:30" x14ac:dyDescent="0.4">
      <c r="A908" s="230"/>
      <c r="B908" s="8">
        <v>183</v>
      </c>
      <c r="C908" s="14">
        <f t="shared" ca="1" si="533"/>
        <v>0.09</v>
      </c>
      <c r="D908" s="20">
        <f t="shared" ca="1" si="508"/>
        <v>0.108</v>
      </c>
      <c r="E908" s="225"/>
      <c r="F908" s="231"/>
      <c r="G908" s="172" t="str">
        <f t="shared" ca="1" si="528"/>
        <v/>
      </c>
      <c r="H908" s="93" t="str">
        <f t="shared" ca="1" si="529"/>
        <v/>
      </c>
      <c r="I908" s="21">
        <v>100</v>
      </c>
      <c r="J908" s="68">
        <f t="shared" si="530"/>
        <v>0.78333333333333333</v>
      </c>
      <c r="K908" s="70">
        <v>0.94</v>
      </c>
      <c r="L908" s="72">
        <f t="shared" ca="1" si="526"/>
        <v>0.55466666666666664</v>
      </c>
      <c r="M908" s="73">
        <f t="shared" ca="1" si="527"/>
        <v>55.466666666666661</v>
      </c>
      <c r="N908" s="12" t="s">
        <v>41</v>
      </c>
      <c r="O908" s="47" t="s">
        <v>45</v>
      </c>
      <c r="P908" s="13">
        <f t="shared" si="515"/>
        <v>0.94</v>
      </c>
      <c r="Q908" s="1" t="str">
        <f t="shared" si="516"/>
        <v>100-290 шт - 0,94 руб / шт с НДС</v>
      </c>
      <c r="R908" s="235"/>
      <c r="S908" s="239"/>
      <c r="T908" s="226"/>
      <c r="U908" s="228"/>
      <c r="V908" s="222"/>
      <c r="W908" s="229"/>
      <c r="X908" s="227"/>
      <c r="Y908" s="229"/>
      <c r="Z908" s="236"/>
      <c r="AA908" s="237"/>
      <c r="AB908" s="238"/>
      <c r="AC908" s="223"/>
      <c r="AD908" s="222"/>
    </row>
    <row r="909" spans="1:30" x14ac:dyDescent="0.4">
      <c r="A909" s="230"/>
      <c r="B909" s="8">
        <v>183</v>
      </c>
      <c r="C909" s="14">
        <f t="shared" ca="1" si="533"/>
        <v>0.09</v>
      </c>
      <c r="D909" s="20">
        <f t="shared" ca="1" si="508"/>
        <v>0.108</v>
      </c>
      <c r="E909" s="225"/>
      <c r="F909" s="231"/>
      <c r="G909" s="172" t="str">
        <f t="shared" ca="1" si="528"/>
        <v/>
      </c>
      <c r="H909" s="93" t="str">
        <f t="shared" ca="1" si="529"/>
        <v/>
      </c>
      <c r="I909" s="21">
        <v>300</v>
      </c>
      <c r="J909" s="68">
        <f t="shared" si="530"/>
        <v>0.68333333333333335</v>
      </c>
      <c r="K909" s="70">
        <v>0.82</v>
      </c>
      <c r="L909" s="72">
        <f t="shared" ca="1" si="526"/>
        <v>0.47466666666666668</v>
      </c>
      <c r="M909" s="73">
        <f t="shared" ca="1" si="527"/>
        <v>142.4</v>
      </c>
      <c r="N909" s="12" t="s">
        <v>42</v>
      </c>
      <c r="O909" s="47" t="s">
        <v>45</v>
      </c>
      <c r="P909" s="13">
        <f t="shared" si="515"/>
        <v>0.82</v>
      </c>
      <c r="Q909" s="1" t="str">
        <f t="shared" si="516"/>
        <v>300-490 шт - 0,82 руб / шт с НДС</v>
      </c>
      <c r="R909" s="235"/>
      <c r="S909" s="239"/>
      <c r="T909" s="226"/>
      <c r="U909" s="228"/>
      <c r="V909" s="222"/>
      <c r="W909" s="229"/>
      <c r="X909" s="227"/>
      <c r="Y909" s="229"/>
      <c r="Z909" s="236"/>
      <c r="AA909" s="237"/>
      <c r="AB909" s="238"/>
      <c r="AC909" s="223"/>
      <c r="AD909" s="222"/>
    </row>
    <row r="910" spans="1:30" x14ac:dyDescent="0.4">
      <c r="A910" s="230"/>
      <c r="B910" s="8">
        <v>183</v>
      </c>
      <c r="C910" s="14">
        <f t="shared" ca="1" si="533"/>
        <v>0.09</v>
      </c>
      <c r="D910" s="20">
        <f t="shared" ca="1" si="508"/>
        <v>0.108</v>
      </c>
      <c r="E910" s="225"/>
      <c r="F910" s="231"/>
      <c r="G910" s="172" t="str">
        <f t="shared" ca="1" si="528"/>
        <v/>
      </c>
      <c r="H910" s="93" t="str">
        <f t="shared" ca="1" si="529"/>
        <v/>
      </c>
      <c r="I910" s="21">
        <v>500</v>
      </c>
      <c r="J910" s="68">
        <f t="shared" si="530"/>
        <v>0.59166666666666667</v>
      </c>
      <c r="K910" s="70">
        <v>0.71</v>
      </c>
      <c r="L910" s="72">
        <f t="shared" ca="1" si="526"/>
        <v>0.40133333333333338</v>
      </c>
      <c r="M910" s="73">
        <f t="shared" ca="1" si="527"/>
        <v>200.66666666666669</v>
      </c>
      <c r="N910" s="12" t="s">
        <v>43</v>
      </c>
      <c r="O910" s="47" t="s">
        <v>45</v>
      </c>
      <c r="P910" s="13">
        <f t="shared" si="515"/>
        <v>0.71</v>
      </c>
      <c r="Q910" s="1" t="str">
        <f t="shared" si="516"/>
        <v>500-990 шт - 0,71 руб / шт с НДС</v>
      </c>
      <c r="R910" s="235"/>
      <c r="S910" s="239"/>
      <c r="T910" s="226"/>
      <c r="U910" s="228"/>
      <c r="V910" s="222"/>
      <c r="W910" s="229"/>
      <c r="X910" s="227"/>
      <c r="Y910" s="229"/>
      <c r="Z910" s="236"/>
      <c r="AA910" s="237"/>
      <c r="AB910" s="238"/>
      <c r="AC910" s="223"/>
      <c r="AD910" s="222"/>
    </row>
    <row r="911" spans="1:30" x14ac:dyDescent="0.4">
      <c r="A911" s="230"/>
      <c r="B911" s="8">
        <v>183</v>
      </c>
      <c r="C911" s="14">
        <f t="shared" ca="1" si="533"/>
        <v>0.09</v>
      </c>
      <c r="D911" s="20">
        <f t="shared" ca="1" si="508"/>
        <v>0.108</v>
      </c>
      <c r="E911" s="225"/>
      <c r="F911" s="231"/>
      <c r="G911" s="172" t="str">
        <f t="shared" ca="1" si="528"/>
        <v/>
      </c>
      <c r="H911" s="93" t="str">
        <f t="shared" ca="1" si="529"/>
        <v/>
      </c>
      <c r="I911" s="21">
        <v>1000</v>
      </c>
      <c r="J911" s="68">
        <f t="shared" si="530"/>
        <v>0.49166666666666664</v>
      </c>
      <c r="K911" s="70">
        <v>0.59</v>
      </c>
      <c r="L911" s="72">
        <f t="shared" ca="1" si="526"/>
        <v>0.3213333333333333</v>
      </c>
      <c r="M911" s="73">
        <f t="shared" ca="1" si="527"/>
        <v>321.33333333333331</v>
      </c>
      <c r="N911" s="12" t="s">
        <v>44</v>
      </c>
      <c r="O911" s="47" t="s">
        <v>45</v>
      </c>
      <c r="P911" s="13">
        <f t="shared" si="515"/>
        <v>0.59</v>
      </c>
      <c r="Q911" s="1" t="str">
        <f t="shared" si="516"/>
        <v>1000 + шт - 0,59 руб / шт с НДС</v>
      </c>
      <c r="R911" s="235"/>
      <c r="S911" s="239"/>
      <c r="T911" s="226"/>
      <c r="U911" s="228"/>
      <c r="V911" s="222"/>
      <c r="W911" s="229"/>
      <c r="X911" s="227"/>
      <c r="Y911" s="229"/>
      <c r="Z911" s="236"/>
      <c r="AA911" s="237"/>
      <c r="AB911" s="238"/>
      <c r="AC911" s="223"/>
      <c r="AD911" s="222"/>
    </row>
    <row r="912" spans="1:30" x14ac:dyDescent="0.4">
      <c r="A912" s="230">
        <v>184</v>
      </c>
      <c r="B912" s="8">
        <v>184</v>
      </c>
      <c r="C912" s="14">
        <f t="shared" ca="1" si="533"/>
        <v>1.08</v>
      </c>
      <c r="D912" s="20">
        <f t="shared" ca="1" si="508"/>
        <v>1.296</v>
      </c>
      <c r="E912" s="224" t="str">
        <f ca="1">INDIRECT("'Закуп'!D" &amp; A912)</f>
        <v>У</v>
      </c>
      <c r="F912" s="231" t="str">
        <f t="shared" ref="F912" ca="1" si="536">INDIRECT("'Закуп'!E" &amp; B912)</f>
        <v>300х300х200</v>
      </c>
      <c r="G912" s="172" t="str">
        <f t="shared" ca="1" si="528"/>
        <v/>
      </c>
      <c r="H912" s="93" t="str">
        <f t="shared" ca="1" si="529"/>
        <v/>
      </c>
      <c r="I912" s="21">
        <v>50</v>
      </c>
      <c r="J912" s="68">
        <f t="shared" si="530"/>
        <v>2.5</v>
      </c>
      <c r="K912" s="70">
        <v>3</v>
      </c>
      <c r="L912" s="72">
        <f t="shared" ca="1" si="526"/>
        <v>1.1359999999999999</v>
      </c>
      <c r="M912" s="73">
        <f t="shared" ca="1" si="527"/>
        <v>56.8</v>
      </c>
      <c r="N912" s="12" t="s">
        <v>40</v>
      </c>
      <c r="O912" s="47" t="s">
        <v>45</v>
      </c>
      <c r="P912" s="13">
        <f t="shared" si="515"/>
        <v>3</v>
      </c>
      <c r="Q912" s="1" t="str">
        <f t="shared" si="516"/>
        <v>50-90 шт - 3 руб / шт с НДС</v>
      </c>
      <c r="R912" s="235" t="str">
        <f ca="1">INDIRECT("'Закуп'!k" &amp; A912)</f>
        <v>K185</v>
      </c>
      <c r="S912" s="239">
        <f ca="1">INDIRECT("'Закуп'!o" &amp; A912)</f>
        <v>18</v>
      </c>
      <c r="T912" s="226" t="str">
        <f ca="1">INDIRECT("'Закуп'!p" &amp; A912)</f>
        <v>15-19,9 литров</v>
      </c>
      <c r="U912" s="228" t="str">
        <f ca="1">INDIRECT("'Закуп'!v" &amp; A912)</f>
        <v/>
      </c>
      <c r="V912" s="222" t="str">
        <f ca="1">INDIRECT("'Закуп'!w" &amp; A912)</f>
        <v/>
      </c>
      <c r="W912" s="229" t="str">
        <f ca="1">INDIRECT("'Закуп'!H" &amp; A912)</f>
        <v>х</v>
      </c>
      <c r="X912" s="227" t="str">
        <f t="shared" ref="X912" ca="1" si="537">INDIRECT("'Закуп'!g" &amp; A912)</f>
        <v>Ч</v>
      </c>
      <c r="Y912" s="229" t="str">
        <f ca="1">INDIRECT("'Закуп'!i" &amp; A912)</f>
        <v>В</v>
      </c>
      <c r="Z912" s="236" t="str">
        <f ca="1">INDIRECT("'Закуп'!x" &amp; A912)</f>
        <v>300-399 мм</v>
      </c>
      <c r="AA912" s="237" t="str">
        <f ca="1">INDIRECT("'Закуп'!y" &amp; A912)</f>
        <v>300-399 мм</v>
      </c>
      <c r="AB912" s="238" t="str">
        <f ca="1">INDIRECT("'Закуп'!z" &amp; A912)</f>
        <v>200-299 мм</v>
      </c>
      <c r="AC912" s="223" t="str">
        <f t="shared" ca="1" si="519"/>
        <v>300x300x200</v>
      </c>
      <c r="AD912" s="222" t="str">
        <f t="shared" ca="1" si="505"/>
        <v>300x300x200 - 300*300*200 мм</v>
      </c>
    </row>
    <row r="913" spans="1:30" x14ac:dyDescent="0.4">
      <c r="A913" s="230"/>
      <c r="B913" s="8">
        <v>184</v>
      </c>
      <c r="C913" s="14">
        <f t="shared" ca="1" si="533"/>
        <v>1.08</v>
      </c>
      <c r="D913" s="20">
        <f t="shared" ca="1" si="508"/>
        <v>1.296</v>
      </c>
      <c r="E913" s="225"/>
      <c r="F913" s="231"/>
      <c r="G913" s="172" t="str">
        <f t="shared" ca="1" si="528"/>
        <v/>
      </c>
      <c r="H913" s="93" t="str">
        <f t="shared" ca="1" si="529"/>
        <v/>
      </c>
      <c r="I913" s="21">
        <v>100</v>
      </c>
      <c r="J913" s="68">
        <f t="shared" si="530"/>
        <v>2.3166666666666664</v>
      </c>
      <c r="K913" s="70">
        <v>2.78</v>
      </c>
      <c r="L913" s="72">
        <f t="shared" ca="1" si="526"/>
        <v>0.98933333333333306</v>
      </c>
      <c r="M913" s="73">
        <f t="shared" ca="1" si="527"/>
        <v>98.933333333333309</v>
      </c>
      <c r="N913" s="12" t="s">
        <v>41</v>
      </c>
      <c r="O913" s="47" t="s">
        <v>45</v>
      </c>
      <c r="P913" s="13">
        <f t="shared" si="515"/>
        <v>2.78</v>
      </c>
      <c r="Q913" s="1" t="str">
        <f t="shared" si="516"/>
        <v>100-290 шт - 2,78 руб / шт с НДС</v>
      </c>
      <c r="R913" s="235"/>
      <c r="S913" s="239"/>
      <c r="T913" s="226"/>
      <c r="U913" s="228"/>
      <c r="V913" s="222"/>
      <c r="W913" s="229"/>
      <c r="X913" s="227"/>
      <c r="Y913" s="229"/>
      <c r="Z913" s="236"/>
      <c r="AA913" s="237"/>
      <c r="AB913" s="238"/>
      <c r="AC913" s="223"/>
      <c r="AD913" s="222"/>
    </row>
    <row r="914" spans="1:30" x14ac:dyDescent="0.4">
      <c r="A914" s="230"/>
      <c r="B914" s="8">
        <v>184</v>
      </c>
      <c r="C914" s="14">
        <f t="shared" ca="1" si="533"/>
        <v>1.08</v>
      </c>
      <c r="D914" s="20">
        <f t="shared" ca="1" si="508"/>
        <v>1.296</v>
      </c>
      <c r="E914" s="225"/>
      <c r="F914" s="231"/>
      <c r="G914" s="172" t="str">
        <f t="shared" ca="1" si="528"/>
        <v/>
      </c>
      <c r="H914" s="93" t="str">
        <f t="shared" ca="1" si="529"/>
        <v/>
      </c>
      <c r="I914" s="21">
        <v>300</v>
      </c>
      <c r="J914" s="68">
        <f t="shared" si="530"/>
        <v>2.1416666666666666</v>
      </c>
      <c r="K914" s="70">
        <v>2.57</v>
      </c>
      <c r="L914" s="72">
        <f t="shared" ca="1" si="526"/>
        <v>0.84933333333333327</v>
      </c>
      <c r="M914" s="73">
        <f t="shared" ca="1" si="527"/>
        <v>254.79999999999998</v>
      </c>
      <c r="N914" s="12" t="s">
        <v>42</v>
      </c>
      <c r="O914" s="47" t="s">
        <v>45</v>
      </c>
      <c r="P914" s="13">
        <f t="shared" si="515"/>
        <v>2.57</v>
      </c>
      <c r="Q914" s="1" t="str">
        <f t="shared" si="516"/>
        <v>300-490 шт - 2,57 руб / шт с НДС</v>
      </c>
      <c r="R914" s="235"/>
      <c r="S914" s="239"/>
      <c r="T914" s="226"/>
      <c r="U914" s="228"/>
      <c r="V914" s="222"/>
      <c r="W914" s="229"/>
      <c r="X914" s="227"/>
      <c r="Y914" s="229"/>
      <c r="Z914" s="236"/>
      <c r="AA914" s="237"/>
      <c r="AB914" s="238"/>
      <c r="AC914" s="223"/>
      <c r="AD914" s="222"/>
    </row>
    <row r="915" spans="1:30" x14ac:dyDescent="0.4">
      <c r="A915" s="230"/>
      <c r="B915" s="8">
        <v>184</v>
      </c>
      <c r="C915" s="14">
        <f t="shared" ca="1" si="533"/>
        <v>1.08</v>
      </c>
      <c r="D915" s="20">
        <f t="shared" ca="1" si="508"/>
        <v>1.296</v>
      </c>
      <c r="E915" s="225"/>
      <c r="F915" s="231"/>
      <c r="G915" s="172" t="str">
        <f t="shared" ca="1" si="528"/>
        <v/>
      </c>
      <c r="H915" s="93" t="str">
        <f t="shared" ca="1" si="529"/>
        <v/>
      </c>
      <c r="I915" s="21">
        <v>500</v>
      </c>
      <c r="J915" s="68">
        <f t="shared" si="530"/>
        <v>1.7833333333333334</v>
      </c>
      <c r="K915" s="70">
        <v>2.14</v>
      </c>
      <c r="L915" s="72">
        <f t="shared" ca="1" si="526"/>
        <v>0.56266666666666665</v>
      </c>
      <c r="M915" s="73">
        <f t="shared" ca="1" si="527"/>
        <v>281.33333333333331</v>
      </c>
      <c r="N915" s="12" t="s">
        <v>43</v>
      </c>
      <c r="O915" s="47" t="s">
        <v>45</v>
      </c>
      <c r="P915" s="13">
        <f t="shared" si="515"/>
        <v>2.14</v>
      </c>
      <c r="Q915" s="1" t="str">
        <f t="shared" si="516"/>
        <v>500-990 шт - 2,14 руб / шт с НДС</v>
      </c>
      <c r="R915" s="235"/>
      <c r="S915" s="239"/>
      <c r="T915" s="226"/>
      <c r="U915" s="228"/>
      <c r="V915" s="222"/>
      <c r="W915" s="229"/>
      <c r="X915" s="227"/>
      <c r="Y915" s="229"/>
      <c r="Z915" s="236"/>
      <c r="AA915" s="237"/>
      <c r="AB915" s="238"/>
      <c r="AC915" s="223"/>
      <c r="AD915" s="222"/>
    </row>
    <row r="916" spans="1:30" x14ac:dyDescent="0.4">
      <c r="A916" s="230"/>
      <c r="B916" s="8">
        <v>184</v>
      </c>
      <c r="C916" s="14">
        <f t="shared" ca="1" si="533"/>
        <v>1.08</v>
      </c>
      <c r="D916" s="20">
        <f t="shared" ca="1" si="508"/>
        <v>1.296</v>
      </c>
      <c r="E916" s="225"/>
      <c r="F916" s="231"/>
      <c r="G916" s="172" t="str">
        <f t="shared" ca="1" si="528"/>
        <v/>
      </c>
      <c r="H916" s="93" t="str">
        <f t="shared" ca="1" si="529"/>
        <v/>
      </c>
      <c r="I916" s="21">
        <v>1000</v>
      </c>
      <c r="J916" s="68">
        <f t="shared" si="530"/>
        <v>1.6083333333333334</v>
      </c>
      <c r="K916" s="70">
        <v>1.93</v>
      </c>
      <c r="L916" s="72">
        <f t="shared" ca="1" si="526"/>
        <v>0.42266666666666663</v>
      </c>
      <c r="M916" s="73">
        <f t="shared" ca="1" si="527"/>
        <v>422.66666666666663</v>
      </c>
      <c r="N916" s="12" t="s">
        <v>44</v>
      </c>
      <c r="O916" s="47" t="s">
        <v>45</v>
      </c>
      <c r="P916" s="13">
        <f t="shared" si="515"/>
        <v>1.93</v>
      </c>
      <c r="Q916" s="1" t="str">
        <f t="shared" si="516"/>
        <v>1000 + шт - 1,93 руб / шт с НДС</v>
      </c>
      <c r="R916" s="235"/>
      <c r="S916" s="239"/>
      <c r="T916" s="226"/>
      <c r="U916" s="228"/>
      <c r="V916" s="222"/>
      <c r="W916" s="229"/>
      <c r="X916" s="227"/>
      <c r="Y916" s="229"/>
      <c r="Z916" s="236"/>
      <c r="AA916" s="237"/>
      <c r="AB916" s="238"/>
      <c r="AC916" s="223"/>
      <c r="AD916" s="222"/>
    </row>
    <row r="917" spans="1:30" x14ac:dyDescent="0.4">
      <c r="A917" s="230">
        <v>185</v>
      </c>
      <c r="B917" s="8">
        <v>185</v>
      </c>
      <c r="C917" s="14">
        <f t="shared" ca="1" si="533"/>
        <v>0.73</v>
      </c>
      <c r="D917" s="20">
        <f t="shared" ca="1" si="508"/>
        <v>0.876</v>
      </c>
      <c r="E917" s="224" t="str">
        <f ca="1">INDIRECT("'Закуп'!D" &amp; A917)</f>
        <v>У</v>
      </c>
      <c r="F917" s="231" t="str">
        <f t="shared" ref="F917" ca="1" si="538">INDIRECT("'Закуп'!E" &amp; B917)</f>
        <v>300х200х200</v>
      </c>
      <c r="G917" s="172" t="str">
        <f t="shared" ca="1" si="528"/>
        <v/>
      </c>
      <c r="H917" s="93" t="str">
        <f t="shared" ca="1" si="529"/>
        <v/>
      </c>
      <c r="I917" s="21">
        <v>50</v>
      </c>
      <c r="J917" s="68">
        <f t="shared" si="530"/>
        <v>1.7833333333333334</v>
      </c>
      <c r="K917" s="70">
        <v>2.14</v>
      </c>
      <c r="L917" s="72">
        <f t="shared" ca="1" si="526"/>
        <v>0.84266666666666679</v>
      </c>
      <c r="M917" s="73">
        <f t="shared" ca="1" si="527"/>
        <v>42.13333333333334</v>
      </c>
      <c r="N917" s="12" t="s">
        <v>40</v>
      </c>
      <c r="O917" s="47" t="s">
        <v>45</v>
      </c>
      <c r="P917" s="13">
        <f t="shared" si="515"/>
        <v>2.14</v>
      </c>
      <c r="Q917" s="1" t="str">
        <f t="shared" si="516"/>
        <v>50-90 шт - 2,14 руб / шт с НДС</v>
      </c>
      <c r="R917" s="235" t="str">
        <f ca="1">INDIRECT("'Закуп'!k" &amp; A917)</f>
        <v>K186</v>
      </c>
      <c r="S917" s="239">
        <f ca="1">INDIRECT("'Закуп'!o" &amp; A917)</f>
        <v>12</v>
      </c>
      <c r="T917" s="226" t="str">
        <f ca="1">INDIRECT("'Закуп'!p" &amp; A917)</f>
        <v>10-14,9 литров</v>
      </c>
      <c r="U917" s="228" t="str">
        <f ca="1">INDIRECT("'Закуп'!v" &amp; A917)</f>
        <v/>
      </c>
      <c r="V917" s="222" t="str">
        <f ca="1">INDIRECT("'Закуп'!w" &amp; A917)</f>
        <v/>
      </c>
      <c r="W917" s="229" t="str">
        <f ca="1">INDIRECT("'Закуп'!H" &amp; A917)</f>
        <v>х</v>
      </c>
      <c r="X917" s="227" t="str">
        <f t="shared" ref="X917" ca="1" si="539">INDIRECT("'Закуп'!g" &amp; A917)</f>
        <v>Ч</v>
      </c>
      <c r="Y917" s="229" t="str">
        <f ca="1">INDIRECT("'Закуп'!i" &amp; A917)</f>
        <v>В</v>
      </c>
      <c r="Z917" s="236" t="str">
        <f ca="1">INDIRECT("'Закуп'!x" &amp; A917)</f>
        <v>300-399 мм</v>
      </c>
      <c r="AA917" s="237" t="str">
        <f ca="1">INDIRECT("'Закуп'!y" &amp; A917)</f>
        <v>200-299 мм</v>
      </c>
      <c r="AB917" s="238" t="str">
        <f ca="1">INDIRECT("'Закуп'!z" &amp; A917)</f>
        <v>200-299 мм</v>
      </c>
      <c r="AC917" s="223" t="str">
        <f t="shared" ca="1" si="519"/>
        <v>300x200x200</v>
      </c>
      <c r="AD917" s="222" t="str">
        <f t="shared" ca="1" si="505"/>
        <v>300x200x200 - 300*200*200 мм</v>
      </c>
    </row>
    <row r="918" spans="1:30" x14ac:dyDescent="0.4">
      <c r="A918" s="230"/>
      <c r="B918" s="8">
        <v>185</v>
      </c>
      <c r="C918" s="14">
        <f t="shared" ca="1" si="533"/>
        <v>0.73</v>
      </c>
      <c r="D918" s="20">
        <f t="shared" ca="1" si="508"/>
        <v>0.876</v>
      </c>
      <c r="E918" s="225"/>
      <c r="F918" s="231"/>
      <c r="G918" s="172" t="str">
        <f t="shared" ca="1" si="528"/>
        <v/>
      </c>
      <c r="H918" s="93" t="str">
        <f t="shared" ca="1" si="529"/>
        <v/>
      </c>
      <c r="I918" s="21">
        <v>100</v>
      </c>
      <c r="J918" s="68">
        <f t="shared" si="530"/>
        <v>1.6083333333333334</v>
      </c>
      <c r="K918" s="70">
        <v>1.93</v>
      </c>
      <c r="L918" s="72">
        <f t="shared" ca="1" si="526"/>
        <v>0.70266666666666677</v>
      </c>
      <c r="M918" s="73">
        <f t="shared" ca="1" si="527"/>
        <v>70.26666666666668</v>
      </c>
      <c r="N918" s="12" t="s">
        <v>41</v>
      </c>
      <c r="O918" s="47" t="s">
        <v>45</v>
      </c>
      <c r="P918" s="13">
        <f t="shared" si="515"/>
        <v>1.93</v>
      </c>
      <c r="Q918" s="1" t="str">
        <f t="shared" si="516"/>
        <v>100-290 шт - 1,93 руб / шт с НДС</v>
      </c>
      <c r="R918" s="235"/>
      <c r="S918" s="239"/>
      <c r="T918" s="226"/>
      <c r="U918" s="228"/>
      <c r="V918" s="222"/>
      <c r="W918" s="229"/>
      <c r="X918" s="227"/>
      <c r="Y918" s="229"/>
      <c r="Z918" s="236"/>
      <c r="AA918" s="237"/>
      <c r="AB918" s="238"/>
      <c r="AC918" s="223"/>
      <c r="AD918" s="222"/>
    </row>
    <row r="919" spans="1:30" x14ac:dyDescent="0.4">
      <c r="A919" s="230"/>
      <c r="B919" s="8">
        <v>185</v>
      </c>
      <c r="C919" s="14">
        <f t="shared" ca="1" si="533"/>
        <v>0.73</v>
      </c>
      <c r="D919" s="20">
        <f t="shared" ca="1" si="508"/>
        <v>0.876</v>
      </c>
      <c r="E919" s="225"/>
      <c r="F919" s="231"/>
      <c r="G919" s="172" t="str">
        <f t="shared" ca="1" si="528"/>
        <v/>
      </c>
      <c r="H919" s="93" t="str">
        <f t="shared" ca="1" si="529"/>
        <v/>
      </c>
      <c r="I919" s="21">
        <v>300</v>
      </c>
      <c r="J919" s="68">
        <f t="shared" si="530"/>
        <v>1.425</v>
      </c>
      <c r="K919" s="70">
        <v>1.71</v>
      </c>
      <c r="L919" s="72">
        <f t="shared" ca="1" si="526"/>
        <v>0.55600000000000005</v>
      </c>
      <c r="M919" s="73">
        <f t="shared" ca="1" si="527"/>
        <v>166.8</v>
      </c>
      <c r="N919" s="12" t="s">
        <v>42</v>
      </c>
      <c r="O919" s="47" t="s">
        <v>45</v>
      </c>
      <c r="P919" s="13">
        <f t="shared" si="515"/>
        <v>1.71</v>
      </c>
      <c r="Q919" s="1" t="str">
        <f t="shared" si="516"/>
        <v>300-490 шт - 1,71 руб / шт с НДС</v>
      </c>
      <c r="R919" s="235"/>
      <c r="S919" s="239"/>
      <c r="T919" s="226"/>
      <c r="U919" s="228"/>
      <c r="V919" s="222"/>
      <c r="W919" s="229"/>
      <c r="X919" s="227"/>
      <c r="Y919" s="229"/>
      <c r="Z919" s="236"/>
      <c r="AA919" s="237"/>
      <c r="AB919" s="238"/>
      <c r="AC919" s="223"/>
      <c r="AD919" s="222"/>
    </row>
    <row r="920" spans="1:30" x14ac:dyDescent="0.4">
      <c r="A920" s="230"/>
      <c r="B920" s="8">
        <v>185</v>
      </c>
      <c r="C920" s="14">
        <f t="shared" ca="1" si="533"/>
        <v>0.73</v>
      </c>
      <c r="D920" s="20">
        <f t="shared" ca="1" si="508"/>
        <v>0.876</v>
      </c>
      <c r="E920" s="225"/>
      <c r="F920" s="231"/>
      <c r="G920" s="172" t="str">
        <f t="shared" ca="1" si="528"/>
        <v/>
      </c>
      <c r="H920" s="93" t="str">
        <f t="shared" ca="1" si="529"/>
        <v/>
      </c>
      <c r="I920" s="21">
        <v>500</v>
      </c>
      <c r="J920" s="68">
        <f t="shared" si="530"/>
        <v>1.3416666666666668</v>
      </c>
      <c r="K920" s="70">
        <v>1.61</v>
      </c>
      <c r="L920" s="72">
        <f t="shared" ca="1" si="526"/>
        <v>0.48933333333333345</v>
      </c>
      <c r="M920" s="73">
        <f t="shared" ca="1" si="527"/>
        <v>244.66666666666671</v>
      </c>
      <c r="N920" s="12" t="s">
        <v>43</v>
      </c>
      <c r="O920" s="47" t="s">
        <v>45</v>
      </c>
      <c r="P920" s="13">
        <f t="shared" si="515"/>
        <v>1.61</v>
      </c>
      <c r="Q920" s="1" t="str">
        <f t="shared" si="516"/>
        <v>500-990 шт - 1,61 руб / шт с НДС</v>
      </c>
      <c r="R920" s="235"/>
      <c r="S920" s="239"/>
      <c r="T920" s="226"/>
      <c r="U920" s="228"/>
      <c r="V920" s="222"/>
      <c r="W920" s="229"/>
      <c r="X920" s="227"/>
      <c r="Y920" s="229"/>
      <c r="Z920" s="236"/>
      <c r="AA920" s="237"/>
      <c r="AB920" s="238"/>
      <c r="AC920" s="223"/>
      <c r="AD920" s="222"/>
    </row>
    <row r="921" spans="1:30" x14ac:dyDescent="0.4">
      <c r="A921" s="230"/>
      <c r="B921" s="8">
        <v>185</v>
      </c>
      <c r="C921" s="14">
        <f t="shared" ca="1" si="533"/>
        <v>0.73</v>
      </c>
      <c r="D921" s="20">
        <f t="shared" ca="1" si="508"/>
        <v>0.876</v>
      </c>
      <c r="E921" s="225"/>
      <c r="F921" s="231"/>
      <c r="G921" s="172" t="str">
        <f t="shared" ca="1" si="528"/>
        <v/>
      </c>
      <c r="H921" s="93" t="str">
        <f t="shared" ca="1" si="529"/>
        <v/>
      </c>
      <c r="I921" s="21">
        <v>1000</v>
      </c>
      <c r="J921" s="68">
        <f t="shared" si="530"/>
        <v>1.25</v>
      </c>
      <c r="K921" s="70">
        <v>1.5</v>
      </c>
      <c r="L921" s="72">
        <f t="shared" ca="1" si="526"/>
        <v>0.41600000000000004</v>
      </c>
      <c r="M921" s="73">
        <f t="shared" ca="1" si="527"/>
        <v>416.00000000000006</v>
      </c>
      <c r="N921" s="12" t="s">
        <v>44</v>
      </c>
      <c r="O921" s="47" t="s">
        <v>45</v>
      </c>
      <c r="P921" s="13">
        <f t="shared" si="515"/>
        <v>1.5</v>
      </c>
      <c r="Q921" s="1" t="str">
        <f t="shared" si="516"/>
        <v>1000 + шт - 1,5 руб / шт с НДС</v>
      </c>
      <c r="R921" s="235"/>
      <c r="S921" s="239"/>
      <c r="T921" s="226"/>
      <c r="U921" s="228"/>
      <c r="V921" s="222"/>
      <c r="W921" s="229"/>
      <c r="X921" s="227"/>
      <c r="Y921" s="229"/>
      <c r="Z921" s="236"/>
      <c r="AA921" s="237"/>
      <c r="AB921" s="238"/>
      <c r="AC921" s="223"/>
      <c r="AD921" s="222"/>
    </row>
    <row r="922" spans="1:30" x14ac:dyDescent="0.4">
      <c r="A922" s="230">
        <v>186</v>
      </c>
      <c r="B922" s="8">
        <v>186</v>
      </c>
      <c r="C922" s="14">
        <f t="shared" ca="1" si="533"/>
        <v>0.87</v>
      </c>
      <c r="D922" s="20">
        <f t="shared" ca="1" si="508"/>
        <v>1.044</v>
      </c>
      <c r="E922" s="224" t="str">
        <f ca="1">INDIRECT("'Закуп'!D" &amp; A922)</f>
        <v>У</v>
      </c>
      <c r="F922" s="231" t="str">
        <f t="shared" ref="F922" ca="1" si="540">INDIRECT("'Закуп'!E" &amp; B922)</f>
        <v>400х200х200</v>
      </c>
      <c r="G922" s="172" t="str">
        <f t="shared" ca="1" si="528"/>
        <v/>
      </c>
      <c r="H922" s="93" t="str">
        <f t="shared" ca="1" si="529"/>
        <v/>
      </c>
      <c r="I922" s="21">
        <v>50</v>
      </c>
      <c r="J922" s="68">
        <f t="shared" si="530"/>
        <v>2.0500000000000003</v>
      </c>
      <c r="K922" s="70">
        <v>2.46</v>
      </c>
      <c r="L922" s="72">
        <f t="shared" ca="1" si="526"/>
        <v>0.94400000000000017</v>
      </c>
      <c r="M922" s="73">
        <f t="shared" ca="1" si="527"/>
        <v>47.20000000000001</v>
      </c>
      <c r="N922" s="12" t="s">
        <v>40</v>
      </c>
      <c r="O922" s="47" t="s">
        <v>45</v>
      </c>
      <c r="P922" s="13">
        <f t="shared" si="515"/>
        <v>2.46</v>
      </c>
      <c r="Q922" s="1" t="str">
        <f t="shared" si="516"/>
        <v>50-90 шт - 2,46 руб / шт с НДС</v>
      </c>
      <c r="R922" s="235" t="str">
        <f ca="1">INDIRECT("'Закуп'!k" &amp; A922)</f>
        <v>K187</v>
      </c>
      <c r="S922" s="239">
        <f ca="1">INDIRECT("'Закуп'!o" &amp; A922)</f>
        <v>16</v>
      </c>
      <c r="T922" s="226" t="str">
        <f ca="1">INDIRECT("'Закуп'!p" &amp; A922)</f>
        <v>15-19,9 литров</v>
      </c>
      <c r="U922" s="228" t="str">
        <f ca="1">INDIRECT("'Закуп'!v" &amp; A922)</f>
        <v>Длинные</v>
      </c>
      <c r="V922" s="222" t="str">
        <f ca="1">INDIRECT("'Закуп'!w" &amp; A922)</f>
        <v/>
      </c>
      <c r="W922" s="229" t="str">
        <f ca="1">INDIRECT("'Закуп'!H" &amp; A922)</f>
        <v>х</v>
      </c>
      <c r="X922" s="227" t="str">
        <f t="shared" ref="X922" ca="1" si="541">INDIRECT("'Закуп'!g" &amp; A922)</f>
        <v>Ч</v>
      </c>
      <c r="Y922" s="229" t="str">
        <f ca="1">INDIRECT("'Закуп'!i" &amp; A922)</f>
        <v>В</v>
      </c>
      <c r="Z922" s="236" t="str">
        <f ca="1">INDIRECT("'Закуп'!x" &amp; A922)</f>
        <v>400-499 мм</v>
      </c>
      <c r="AA922" s="237" t="str">
        <f ca="1">INDIRECT("'Закуп'!y" &amp; A922)</f>
        <v>200-299 мм</v>
      </c>
      <c r="AB922" s="238" t="str">
        <f ca="1">INDIRECT("'Закуп'!z" &amp; A922)</f>
        <v>200-299 мм</v>
      </c>
      <c r="AC922" s="223" t="str">
        <f t="shared" ca="1" si="519"/>
        <v>400x200x200</v>
      </c>
      <c r="AD922" s="222" t="str">
        <f t="shared" ref="AD922:AD982" ca="1" si="542">SUBSTITUTE(INDEX(F:F, ROUNDUP((ROW(A921))/5,0)*5 - 3), "х", "x") &amp; " - " &amp; SUBSTITUTE(SUBSTITUTE(INDEX(F:F, ROUNDUP((ROW(A921))/5,0)*5 - 3), "х", "*"), "x", "*") &amp; " мм"</f>
        <v>400x200x200 - 400*200*200 мм</v>
      </c>
    </row>
    <row r="923" spans="1:30" x14ac:dyDescent="0.4">
      <c r="A923" s="230"/>
      <c r="B923" s="8">
        <v>186</v>
      </c>
      <c r="C923" s="14">
        <f t="shared" ca="1" si="533"/>
        <v>0.87</v>
      </c>
      <c r="D923" s="20">
        <f t="shared" ca="1" si="508"/>
        <v>1.044</v>
      </c>
      <c r="E923" s="225"/>
      <c r="F923" s="231"/>
      <c r="G923" s="172" t="str">
        <f t="shared" ca="1" si="528"/>
        <v/>
      </c>
      <c r="H923" s="93" t="str">
        <f t="shared" ca="1" si="529"/>
        <v/>
      </c>
      <c r="I923" s="21">
        <v>100</v>
      </c>
      <c r="J923" s="68">
        <f t="shared" si="530"/>
        <v>1.7833333333333334</v>
      </c>
      <c r="K923" s="70">
        <v>2.14</v>
      </c>
      <c r="L923" s="72">
        <f t="shared" ca="1" si="526"/>
        <v>0.7306666666666668</v>
      </c>
      <c r="M923" s="73">
        <f t="shared" ca="1" si="527"/>
        <v>73.066666666666677</v>
      </c>
      <c r="N923" s="12" t="s">
        <v>41</v>
      </c>
      <c r="O923" s="47" t="s">
        <v>45</v>
      </c>
      <c r="P923" s="13">
        <f t="shared" si="515"/>
        <v>2.14</v>
      </c>
      <c r="Q923" s="1" t="str">
        <f t="shared" si="516"/>
        <v>100-290 шт - 2,14 руб / шт с НДС</v>
      </c>
      <c r="R923" s="235"/>
      <c r="S923" s="239"/>
      <c r="T923" s="226"/>
      <c r="U923" s="228"/>
      <c r="V923" s="222"/>
      <c r="W923" s="229"/>
      <c r="X923" s="227"/>
      <c r="Y923" s="229"/>
      <c r="Z923" s="236"/>
      <c r="AA923" s="237"/>
      <c r="AB923" s="238"/>
      <c r="AC923" s="223"/>
      <c r="AD923" s="222"/>
    </row>
    <row r="924" spans="1:30" x14ac:dyDescent="0.4">
      <c r="A924" s="230"/>
      <c r="B924" s="8">
        <v>186</v>
      </c>
      <c r="C924" s="14">
        <f t="shared" ca="1" si="533"/>
        <v>0.87</v>
      </c>
      <c r="D924" s="20">
        <f t="shared" ca="1" si="508"/>
        <v>1.044</v>
      </c>
      <c r="E924" s="225"/>
      <c r="F924" s="231"/>
      <c r="G924" s="172" t="str">
        <f t="shared" ca="1" si="528"/>
        <v/>
      </c>
      <c r="H924" s="93" t="str">
        <f t="shared" ca="1" si="529"/>
        <v/>
      </c>
      <c r="I924" s="21">
        <v>300</v>
      </c>
      <c r="J924" s="68">
        <f t="shared" si="530"/>
        <v>1.6083333333333334</v>
      </c>
      <c r="K924" s="70">
        <v>1.93</v>
      </c>
      <c r="L924" s="72">
        <f t="shared" ca="1" si="526"/>
        <v>0.59066666666666667</v>
      </c>
      <c r="M924" s="73">
        <f t="shared" ca="1" si="527"/>
        <v>177.2</v>
      </c>
      <c r="N924" s="12" t="s">
        <v>42</v>
      </c>
      <c r="O924" s="47" t="s">
        <v>45</v>
      </c>
      <c r="P924" s="13">
        <f t="shared" si="515"/>
        <v>1.93</v>
      </c>
      <c r="Q924" s="1" t="str">
        <f t="shared" si="516"/>
        <v>300-490 шт - 1,93 руб / шт с НДС</v>
      </c>
      <c r="R924" s="235"/>
      <c r="S924" s="239"/>
      <c r="T924" s="226"/>
      <c r="U924" s="228"/>
      <c r="V924" s="222"/>
      <c r="W924" s="229"/>
      <c r="X924" s="227"/>
      <c r="Y924" s="229"/>
      <c r="Z924" s="236"/>
      <c r="AA924" s="237"/>
      <c r="AB924" s="238"/>
      <c r="AC924" s="223"/>
      <c r="AD924" s="222"/>
    </row>
    <row r="925" spans="1:30" x14ac:dyDescent="0.4">
      <c r="A925" s="230"/>
      <c r="B925" s="8">
        <v>186</v>
      </c>
      <c r="C925" s="14">
        <f t="shared" ca="1" si="533"/>
        <v>0.87</v>
      </c>
      <c r="D925" s="20">
        <f t="shared" ca="1" si="508"/>
        <v>1.044</v>
      </c>
      <c r="E925" s="225"/>
      <c r="F925" s="231"/>
      <c r="G925" s="172" t="str">
        <f t="shared" ca="1" si="528"/>
        <v/>
      </c>
      <c r="H925" s="93" t="str">
        <f t="shared" ca="1" si="529"/>
        <v/>
      </c>
      <c r="I925" s="21">
        <v>500</v>
      </c>
      <c r="J925" s="68">
        <f t="shared" si="530"/>
        <v>1.425</v>
      </c>
      <c r="K925" s="70">
        <v>1.71</v>
      </c>
      <c r="L925" s="72">
        <f t="shared" ca="1" si="526"/>
        <v>0.44400000000000006</v>
      </c>
      <c r="M925" s="73">
        <f t="shared" ca="1" si="527"/>
        <v>222.00000000000003</v>
      </c>
      <c r="N925" s="12" t="s">
        <v>43</v>
      </c>
      <c r="O925" s="47" t="s">
        <v>45</v>
      </c>
      <c r="P925" s="13">
        <f t="shared" si="515"/>
        <v>1.71</v>
      </c>
      <c r="Q925" s="1" t="str">
        <f t="shared" si="516"/>
        <v>500-990 шт - 1,71 руб / шт с НДС</v>
      </c>
      <c r="R925" s="235"/>
      <c r="S925" s="239"/>
      <c r="T925" s="226"/>
      <c r="U925" s="228"/>
      <c r="V925" s="222"/>
      <c r="W925" s="229"/>
      <c r="X925" s="227"/>
      <c r="Y925" s="229"/>
      <c r="Z925" s="236"/>
      <c r="AA925" s="237"/>
      <c r="AB925" s="238"/>
      <c r="AC925" s="223"/>
      <c r="AD925" s="222"/>
    </row>
    <row r="926" spans="1:30" x14ac:dyDescent="0.4">
      <c r="A926" s="230"/>
      <c r="B926" s="8">
        <v>186</v>
      </c>
      <c r="C926" s="14">
        <f t="shared" ca="1" si="533"/>
        <v>0.87</v>
      </c>
      <c r="D926" s="20">
        <f t="shared" ca="1" si="508"/>
        <v>1.044</v>
      </c>
      <c r="E926" s="225"/>
      <c r="F926" s="231"/>
      <c r="G926" s="172" t="str">
        <f t="shared" ca="1" si="528"/>
        <v/>
      </c>
      <c r="H926" s="93" t="str">
        <f t="shared" ca="1" si="529"/>
        <v/>
      </c>
      <c r="I926" s="21">
        <v>1000</v>
      </c>
      <c r="J926" s="68">
        <f t="shared" si="530"/>
        <v>1.3416666666666668</v>
      </c>
      <c r="K926" s="70">
        <v>1.61</v>
      </c>
      <c r="L926" s="72">
        <f t="shared" ca="1" si="526"/>
        <v>0.37733333333333341</v>
      </c>
      <c r="M926" s="73">
        <f t="shared" ca="1" si="527"/>
        <v>377.33333333333343</v>
      </c>
      <c r="N926" s="12" t="s">
        <v>44</v>
      </c>
      <c r="O926" s="47" t="s">
        <v>45</v>
      </c>
      <c r="P926" s="13">
        <f t="shared" si="515"/>
        <v>1.61</v>
      </c>
      <c r="Q926" s="1" t="str">
        <f t="shared" si="516"/>
        <v>1000 + шт - 1,61 руб / шт с НДС</v>
      </c>
      <c r="R926" s="235"/>
      <c r="S926" s="239"/>
      <c r="T926" s="226"/>
      <c r="U926" s="228"/>
      <c r="V926" s="222"/>
      <c r="W926" s="229"/>
      <c r="X926" s="227"/>
      <c r="Y926" s="229"/>
      <c r="Z926" s="236"/>
      <c r="AA926" s="237"/>
      <c r="AB926" s="238"/>
      <c r="AC926" s="223"/>
      <c r="AD926" s="222"/>
    </row>
    <row r="927" spans="1:30" x14ac:dyDescent="0.4">
      <c r="A927" s="230">
        <v>187</v>
      </c>
      <c r="B927" s="8">
        <v>187</v>
      </c>
      <c r="C927" s="14">
        <f t="shared" ca="1" si="533"/>
        <v>0.59</v>
      </c>
      <c r="D927" s="20">
        <f t="shared" ca="1" si="508"/>
        <v>0.70799999999999996</v>
      </c>
      <c r="E927" s="224" t="str">
        <f ca="1">INDIRECT("'Закуп'!D" &amp; A927)</f>
        <v>У</v>
      </c>
      <c r="F927" s="231" t="str">
        <f t="shared" ref="F927" ca="1" si="543">INDIRECT("'Закуп'!E" &amp; B927)</f>
        <v>200х200х200</v>
      </c>
      <c r="G927" s="172" t="str">
        <f t="shared" ca="1" si="528"/>
        <v/>
      </c>
      <c r="H927" s="93" t="str">
        <f t="shared" ca="1" si="529"/>
        <v/>
      </c>
      <c r="I927" s="21">
        <v>50</v>
      </c>
      <c r="J927" s="68">
        <f t="shared" si="530"/>
        <v>1.7833333333333334</v>
      </c>
      <c r="K927" s="70">
        <v>2.14</v>
      </c>
      <c r="L927" s="72">
        <f t="shared" ca="1" si="526"/>
        <v>0.95466666666666666</v>
      </c>
      <c r="M927" s="73">
        <f t="shared" ca="1" si="527"/>
        <v>47.733333333333334</v>
      </c>
      <c r="N927" s="12" t="s">
        <v>40</v>
      </c>
      <c r="O927" s="47" t="s">
        <v>45</v>
      </c>
      <c r="P927" s="13">
        <f t="shared" si="515"/>
        <v>2.14</v>
      </c>
      <c r="Q927" s="1" t="str">
        <f t="shared" si="516"/>
        <v>50-90 шт - 2,14 руб / шт с НДС</v>
      </c>
      <c r="R927" s="235" t="str">
        <f ca="1">INDIRECT("'Закуп'!k" &amp; A927)</f>
        <v>K188</v>
      </c>
      <c r="S927" s="239">
        <f ca="1">INDIRECT("'Закуп'!o" &amp; A927)</f>
        <v>8</v>
      </c>
      <c r="T927" s="226" t="str">
        <f ca="1">INDIRECT("'Закуп'!p" &amp; A927)</f>
        <v>8-9,9 литров</v>
      </c>
      <c r="U927" s="228" t="str">
        <f ca="1">INDIRECT("'Закуп'!v" &amp; A927)</f>
        <v/>
      </c>
      <c r="V927" s="222" t="str">
        <f ca="1">INDIRECT("'Закуп'!w" &amp; A927)</f>
        <v/>
      </c>
      <c r="W927" s="229" t="str">
        <f ca="1">INDIRECT("'Закуп'!H" &amp; A927)</f>
        <v>х</v>
      </c>
      <c r="X927" s="227" t="str">
        <f t="shared" ref="X927" ca="1" si="544">INDIRECT("'Закуп'!g" &amp; A927)</f>
        <v>Ч</v>
      </c>
      <c r="Y927" s="229" t="str">
        <f ca="1">INDIRECT("'Закуп'!i" &amp; A927)</f>
        <v>В</v>
      </c>
      <c r="Z927" s="236" t="str">
        <f ca="1">INDIRECT("'Закуп'!x" &amp; A927)</f>
        <v>200-299 мм</v>
      </c>
      <c r="AA927" s="237" t="str">
        <f ca="1">INDIRECT("'Закуп'!y" &amp; A927)</f>
        <v>200-299 мм</v>
      </c>
      <c r="AB927" s="238" t="str">
        <f ca="1">INDIRECT("'Закуп'!z" &amp; A927)</f>
        <v>200-299 мм</v>
      </c>
      <c r="AC927" s="223" t="str">
        <f t="shared" ca="1" si="519"/>
        <v>200x200x200</v>
      </c>
      <c r="AD927" s="222" t="str">
        <f t="shared" ca="1" si="542"/>
        <v>200x200x200 - 200*200*200 мм</v>
      </c>
    </row>
    <row r="928" spans="1:30" x14ac:dyDescent="0.4">
      <c r="A928" s="230"/>
      <c r="B928" s="8">
        <v>187</v>
      </c>
      <c r="C928" s="14">
        <f t="shared" ca="1" si="533"/>
        <v>0.59</v>
      </c>
      <c r="D928" s="20">
        <f t="shared" ca="1" si="508"/>
        <v>0.70799999999999996</v>
      </c>
      <c r="E928" s="225"/>
      <c r="F928" s="231"/>
      <c r="G928" s="172" t="str">
        <f t="shared" ca="1" si="528"/>
        <v/>
      </c>
      <c r="H928" s="93" t="str">
        <f t="shared" ca="1" si="529"/>
        <v/>
      </c>
      <c r="I928" s="21">
        <v>100</v>
      </c>
      <c r="J928" s="68">
        <f t="shared" si="530"/>
        <v>1.5583333333333336</v>
      </c>
      <c r="K928" s="70">
        <v>1.87</v>
      </c>
      <c r="L928" s="72">
        <f t="shared" ca="1" si="526"/>
        <v>0.77466666666666684</v>
      </c>
      <c r="M928" s="73">
        <f t="shared" ca="1" si="527"/>
        <v>77.466666666666683</v>
      </c>
      <c r="N928" s="12" t="s">
        <v>41</v>
      </c>
      <c r="O928" s="47" t="s">
        <v>45</v>
      </c>
      <c r="P928" s="13">
        <f t="shared" si="515"/>
        <v>1.87</v>
      </c>
      <c r="Q928" s="1" t="str">
        <f t="shared" si="516"/>
        <v>100-290 шт - 1,87 руб / шт с НДС</v>
      </c>
      <c r="R928" s="235"/>
      <c r="S928" s="239"/>
      <c r="T928" s="226"/>
      <c r="U928" s="228"/>
      <c r="V928" s="222"/>
      <c r="W928" s="229"/>
      <c r="X928" s="227"/>
      <c r="Y928" s="229"/>
      <c r="Z928" s="236"/>
      <c r="AA928" s="237"/>
      <c r="AB928" s="238"/>
      <c r="AC928" s="223"/>
      <c r="AD928" s="222"/>
    </row>
    <row r="929" spans="1:30" x14ac:dyDescent="0.4">
      <c r="A929" s="230"/>
      <c r="B929" s="8">
        <v>187</v>
      </c>
      <c r="C929" s="14">
        <f t="shared" ca="1" si="533"/>
        <v>0.59</v>
      </c>
      <c r="D929" s="20">
        <f t="shared" ref="D929:D992" ca="1" si="545">C929*1.2</f>
        <v>0.70799999999999996</v>
      </c>
      <c r="E929" s="225"/>
      <c r="F929" s="231"/>
      <c r="G929" s="172" t="str">
        <f t="shared" ca="1" si="528"/>
        <v/>
      </c>
      <c r="H929" s="93" t="str">
        <f t="shared" ca="1" si="529"/>
        <v/>
      </c>
      <c r="I929" s="21">
        <v>300</v>
      </c>
      <c r="J929" s="68">
        <f t="shared" si="530"/>
        <v>1.3416666666666668</v>
      </c>
      <c r="K929" s="70">
        <v>1.61</v>
      </c>
      <c r="L929" s="72">
        <f t="shared" ca="1" si="526"/>
        <v>0.6013333333333335</v>
      </c>
      <c r="M929" s="73">
        <f t="shared" ca="1" si="527"/>
        <v>180.40000000000006</v>
      </c>
      <c r="N929" s="12" t="s">
        <v>42</v>
      </c>
      <c r="O929" s="47" t="s">
        <v>45</v>
      </c>
      <c r="P929" s="13">
        <f t="shared" si="515"/>
        <v>1.61</v>
      </c>
      <c r="Q929" s="1" t="str">
        <f t="shared" si="516"/>
        <v>300-490 шт - 1,61 руб / шт с НДС</v>
      </c>
      <c r="R929" s="235"/>
      <c r="S929" s="239"/>
      <c r="T929" s="226"/>
      <c r="U929" s="228"/>
      <c r="V929" s="222"/>
      <c r="W929" s="229"/>
      <c r="X929" s="227"/>
      <c r="Y929" s="229"/>
      <c r="Z929" s="236"/>
      <c r="AA929" s="237"/>
      <c r="AB929" s="238"/>
      <c r="AC929" s="223"/>
      <c r="AD929" s="222"/>
    </row>
    <row r="930" spans="1:30" x14ac:dyDescent="0.4">
      <c r="A930" s="230"/>
      <c r="B930" s="8">
        <v>187</v>
      </c>
      <c r="C930" s="14">
        <f t="shared" ca="1" si="533"/>
        <v>0.59</v>
      </c>
      <c r="D930" s="20">
        <f t="shared" ca="1" si="545"/>
        <v>0.70799999999999996</v>
      </c>
      <c r="E930" s="225"/>
      <c r="F930" s="231"/>
      <c r="G930" s="172" t="str">
        <f t="shared" ca="1" si="528"/>
        <v/>
      </c>
      <c r="H930" s="93" t="str">
        <f t="shared" ca="1" si="529"/>
        <v/>
      </c>
      <c r="I930" s="21">
        <v>500</v>
      </c>
      <c r="J930" s="68">
        <f t="shared" si="530"/>
        <v>1.1583333333333332</v>
      </c>
      <c r="K930" s="70">
        <v>1.39</v>
      </c>
      <c r="L930" s="72">
        <f t="shared" ca="1" si="526"/>
        <v>0.45466666666666661</v>
      </c>
      <c r="M930" s="73">
        <f t="shared" ca="1" si="527"/>
        <v>227.33333333333331</v>
      </c>
      <c r="N930" s="12" t="s">
        <v>43</v>
      </c>
      <c r="O930" s="47" t="s">
        <v>45</v>
      </c>
      <c r="P930" s="13">
        <f t="shared" si="515"/>
        <v>1.39</v>
      </c>
      <c r="Q930" s="1" t="str">
        <f t="shared" si="516"/>
        <v>500-990 шт - 1,39 руб / шт с НДС</v>
      </c>
      <c r="R930" s="235"/>
      <c r="S930" s="239"/>
      <c r="T930" s="226"/>
      <c r="U930" s="228"/>
      <c r="V930" s="222"/>
      <c r="W930" s="229"/>
      <c r="X930" s="227"/>
      <c r="Y930" s="229"/>
      <c r="Z930" s="236"/>
      <c r="AA930" s="237"/>
      <c r="AB930" s="238"/>
      <c r="AC930" s="223"/>
      <c r="AD930" s="222"/>
    </row>
    <row r="931" spans="1:30" x14ac:dyDescent="0.4">
      <c r="A931" s="230"/>
      <c r="B931" s="8">
        <v>187</v>
      </c>
      <c r="C931" s="14">
        <f t="shared" ca="1" si="533"/>
        <v>0.59</v>
      </c>
      <c r="D931" s="20">
        <f t="shared" ca="1" si="545"/>
        <v>0.70799999999999996</v>
      </c>
      <c r="E931" s="225"/>
      <c r="F931" s="231"/>
      <c r="G931" s="172" t="str">
        <f t="shared" ca="1" si="528"/>
        <v/>
      </c>
      <c r="H931" s="93" t="str">
        <f t="shared" ca="1" si="529"/>
        <v/>
      </c>
      <c r="I931" s="21">
        <v>1000</v>
      </c>
      <c r="J931" s="68">
        <f t="shared" si="530"/>
        <v>1.0666666666666667</v>
      </c>
      <c r="K931" s="70">
        <v>1.28</v>
      </c>
      <c r="L931" s="72">
        <f t="shared" ca="1" si="526"/>
        <v>0.38133333333333336</v>
      </c>
      <c r="M931" s="73">
        <f t="shared" ca="1" si="527"/>
        <v>381.33333333333337</v>
      </c>
      <c r="N931" s="12" t="s">
        <v>44</v>
      </c>
      <c r="O931" s="47" t="s">
        <v>45</v>
      </c>
      <c r="P931" s="13">
        <f t="shared" si="515"/>
        <v>1.28</v>
      </c>
      <c r="Q931" s="1" t="str">
        <f t="shared" si="516"/>
        <v>1000 + шт - 1,28 руб / шт с НДС</v>
      </c>
      <c r="R931" s="235"/>
      <c r="S931" s="239"/>
      <c r="T931" s="226"/>
      <c r="U931" s="228"/>
      <c r="V931" s="222"/>
      <c r="W931" s="229"/>
      <c r="X931" s="227"/>
      <c r="Y931" s="229"/>
      <c r="Z931" s="236"/>
      <c r="AA931" s="237"/>
      <c r="AB931" s="238"/>
      <c r="AC931" s="223"/>
      <c r="AD931" s="222"/>
    </row>
    <row r="932" spans="1:30" x14ac:dyDescent="0.4">
      <c r="A932" s="230">
        <v>188</v>
      </c>
      <c r="B932" s="8">
        <v>188</v>
      </c>
      <c r="C932" s="14">
        <f t="shared" ca="1" si="533"/>
        <v>1.71</v>
      </c>
      <c r="D932" s="20">
        <f t="shared" ca="1" si="545"/>
        <v>2.052</v>
      </c>
      <c r="E932" s="224" t="str">
        <f ca="1">INDIRECT("'Закуп'!D" &amp; A932)</f>
        <v>У</v>
      </c>
      <c r="F932" s="231" t="str">
        <f t="shared" ref="F932" ca="1" si="546">INDIRECT("'Закуп'!E" &amp; B932)</f>
        <v>500х300х300</v>
      </c>
      <c r="G932" s="172" t="str">
        <f t="shared" ca="1" si="528"/>
        <v/>
      </c>
      <c r="H932" s="93" t="str">
        <f t="shared" ca="1" si="529"/>
        <v/>
      </c>
      <c r="I932" s="21">
        <v>50</v>
      </c>
      <c r="J932" s="68">
        <f t="shared" si="530"/>
        <v>3.6583333333333332</v>
      </c>
      <c r="K932" s="70">
        <v>4.3899999999999997</v>
      </c>
      <c r="L932" s="72">
        <f t="shared" ca="1" si="526"/>
        <v>1.5586666666666666</v>
      </c>
      <c r="M932" s="73">
        <f t="shared" ca="1" si="527"/>
        <v>77.933333333333337</v>
      </c>
      <c r="N932" s="12" t="s">
        <v>40</v>
      </c>
      <c r="O932" s="47" t="s">
        <v>45</v>
      </c>
      <c r="P932" s="13">
        <f t="shared" si="515"/>
        <v>4.3899999999999997</v>
      </c>
      <c r="Q932" s="1" t="str">
        <f t="shared" si="516"/>
        <v>50-90 шт - 4,39 руб / шт с НДС</v>
      </c>
      <c r="R932" s="235" t="str">
        <f ca="1">INDIRECT("'Закуп'!k" &amp; A932)</f>
        <v>K189</v>
      </c>
      <c r="S932" s="239">
        <f ca="1">INDIRECT("'Закуп'!o" &amp; A932)</f>
        <v>45</v>
      </c>
      <c r="T932" s="226" t="str">
        <f ca="1">INDIRECT("'Закуп'!p" &amp; A932)</f>
        <v>30-49 литров</v>
      </c>
      <c r="U932" s="228" t="str">
        <f ca="1">INDIRECT("'Закуп'!v" &amp; A932)</f>
        <v/>
      </c>
      <c r="V932" s="222" t="str">
        <f ca="1">INDIRECT("'Закуп'!w" &amp; A932)</f>
        <v/>
      </c>
      <c r="W932" s="229" t="str">
        <f ca="1">INDIRECT("'Закуп'!H" &amp; A932)</f>
        <v>х</v>
      </c>
      <c r="X932" s="227" t="str">
        <f t="shared" ref="X932" ca="1" si="547">INDIRECT("'Закуп'!g" &amp; A932)</f>
        <v>Ч</v>
      </c>
      <c r="Y932" s="229" t="str">
        <f ca="1">INDIRECT("'Закуп'!i" &amp; A932)</f>
        <v>В</v>
      </c>
      <c r="Z932" s="236" t="str">
        <f ca="1">INDIRECT("'Закуп'!x" &amp; A932)</f>
        <v>500-599 мм</v>
      </c>
      <c r="AA932" s="237" t="str">
        <f ca="1">INDIRECT("'Закуп'!y" &amp; A932)</f>
        <v>300-399 мм</v>
      </c>
      <c r="AB932" s="238" t="str">
        <f ca="1">INDIRECT("'Закуп'!z" &amp; A932)</f>
        <v>300-399 мм</v>
      </c>
      <c r="AC932" s="223" t="str">
        <f t="shared" ca="1" si="519"/>
        <v>500x300x300</v>
      </c>
      <c r="AD932" s="222" t="str">
        <f t="shared" ca="1" si="542"/>
        <v>500x300x300 - 500*300*300 мм</v>
      </c>
    </row>
    <row r="933" spans="1:30" x14ac:dyDescent="0.4">
      <c r="A933" s="230"/>
      <c r="B933" s="8">
        <v>188</v>
      </c>
      <c r="C933" s="14">
        <f t="shared" ca="1" si="533"/>
        <v>1.71</v>
      </c>
      <c r="D933" s="20">
        <f t="shared" ca="1" si="545"/>
        <v>2.052</v>
      </c>
      <c r="E933" s="225"/>
      <c r="F933" s="231"/>
      <c r="G933" s="172" t="str">
        <f t="shared" ca="1" si="528"/>
        <v/>
      </c>
      <c r="H933" s="93" t="str">
        <f t="shared" ca="1" si="529"/>
        <v/>
      </c>
      <c r="I933" s="21">
        <v>100</v>
      </c>
      <c r="J933" s="68">
        <f t="shared" si="530"/>
        <v>2.8916666666666671</v>
      </c>
      <c r="K933" s="70">
        <v>3.47</v>
      </c>
      <c r="L933" s="72">
        <f t="shared" ca="1" si="526"/>
        <v>0.94533333333333369</v>
      </c>
      <c r="M933" s="73">
        <f t="shared" ca="1" si="527"/>
        <v>94.533333333333374</v>
      </c>
      <c r="N933" s="12" t="s">
        <v>41</v>
      </c>
      <c r="O933" s="47" t="s">
        <v>45</v>
      </c>
      <c r="P933" s="13">
        <f t="shared" si="515"/>
        <v>3.47</v>
      </c>
      <c r="Q933" s="1" t="str">
        <f t="shared" si="516"/>
        <v>100-290 шт - 3,47 руб / шт с НДС</v>
      </c>
      <c r="R933" s="235"/>
      <c r="S933" s="239"/>
      <c r="T933" s="226"/>
      <c r="U933" s="228"/>
      <c r="V933" s="222"/>
      <c r="W933" s="229"/>
      <c r="X933" s="227"/>
      <c r="Y933" s="229"/>
      <c r="Z933" s="236"/>
      <c r="AA933" s="237"/>
      <c r="AB933" s="238"/>
      <c r="AC933" s="223"/>
      <c r="AD933" s="222"/>
    </row>
    <row r="934" spans="1:30" x14ac:dyDescent="0.4">
      <c r="A934" s="230"/>
      <c r="B934" s="8">
        <v>188</v>
      </c>
      <c r="C934" s="14">
        <f t="shared" ca="1" si="533"/>
        <v>1.71</v>
      </c>
      <c r="D934" s="20">
        <f t="shared" ca="1" si="545"/>
        <v>2.052</v>
      </c>
      <c r="E934" s="225"/>
      <c r="F934" s="231"/>
      <c r="G934" s="172" t="str">
        <f t="shared" ca="1" si="528"/>
        <v/>
      </c>
      <c r="H934" s="93" t="str">
        <f t="shared" ca="1" si="529"/>
        <v/>
      </c>
      <c r="I934" s="21">
        <v>300</v>
      </c>
      <c r="J934" s="68">
        <f t="shared" si="530"/>
        <v>2.3833333333333333</v>
      </c>
      <c r="K934" s="70">
        <v>2.86</v>
      </c>
      <c r="L934" s="72">
        <f t="shared" ca="1" si="526"/>
        <v>0.53866666666666663</v>
      </c>
      <c r="M934" s="73">
        <f t="shared" ca="1" si="527"/>
        <v>161.6</v>
      </c>
      <c r="N934" s="12" t="s">
        <v>42</v>
      </c>
      <c r="O934" s="47" t="s">
        <v>45</v>
      </c>
      <c r="P934" s="13">
        <f t="shared" si="515"/>
        <v>2.86</v>
      </c>
      <c r="Q934" s="1" t="str">
        <f t="shared" si="516"/>
        <v>300-490 шт - 2,86 руб / шт с НДС</v>
      </c>
      <c r="R934" s="235"/>
      <c r="S934" s="239"/>
      <c r="T934" s="226"/>
      <c r="U934" s="228"/>
      <c r="V934" s="222"/>
      <c r="W934" s="229"/>
      <c r="X934" s="227"/>
      <c r="Y934" s="229"/>
      <c r="Z934" s="236"/>
      <c r="AA934" s="237"/>
      <c r="AB934" s="238"/>
      <c r="AC934" s="223"/>
      <c r="AD934" s="222"/>
    </row>
    <row r="935" spans="1:30" x14ac:dyDescent="0.4">
      <c r="A935" s="230"/>
      <c r="B935" s="8">
        <v>188</v>
      </c>
      <c r="C935" s="14">
        <f t="shared" ca="1" si="533"/>
        <v>1.71</v>
      </c>
      <c r="D935" s="20">
        <f t="shared" ca="1" si="545"/>
        <v>2.052</v>
      </c>
      <c r="E935" s="225"/>
      <c r="F935" s="231"/>
      <c r="G935" s="172" t="str">
        <f t="shared" ca="1" si="528"/>
        <v/>
      </c>
      <c r="H935" s="93" t="str">
        <f t="shared" ca="1" si="529"/>
        <v/>
      </c>
      <c r="I935" s="21">
        <v>500</v>
      </c>
      <c r="J935" s="68">
        <f t="shared" si="530"/>
        <v>2.3083333333333336</v>
      </c>
      <c r="K935" s="70">
        <v>2.77</v>
      </c>
      <c r="L935" s="72">
        <f t="shared" ca="1" si="526"/>
        <v>0.47866666666666691</v>
      </c>
      <c r="M935" s="73">
        <f t="shared" ca="1" si="527"/>
        <v>239.33333333333346</v>
      </c>
      <c r="N935" s="12" t="s">
        <v>43</v>
      </c>
      <c r="O935" s="47" t="s">
        <v>45</v>
      </c>
      <c r="P935" s="13">
        <f t="shared" si="515"/>
        <v>2.77</v>
      </c>
      <c r="Q935" s="1" t="str">
        <f t="shared" si="516"/>
        <v>500-990 шт - 2,77 руб / шт с НДС</v>
      </c>
      <c r="R935" s="235"/>
      <c r="S935" s="239"/>
      <c r="T935" s="226"/>
      <c r="U935" s="228"/>
      <c r="V935" s="222"/>
      <c r="W935" s="229"/>
      <c r="X935" s="227"/>
      <c r="Y935" s="229"/>
      <c r="Z935" s="236"/>
      <c r="AA935" s="237"/>
      <c r="AB935" s="238"/>
      <c r="AC935" s="223"/>
      <c r="AD935" s="222"/>
    </row>
    <row r="936" spans="1:30" x14ac:dyDescent="0.4">
      <c r="A936" s="230"/>
      <c r="B936" s="8">
        <v>188</v>
      </c>
      <c r="C936" s="14">
        <f t="shared" ca="1" si="533"/>
        <v>1.71</v>
      </c>
      <c r="D936" s="20">
        <f t="shared" ca="1" si="545"/>
        <v>2.052</v>
      </c>
      <c r="E936" s="225"/>
      <c r="F936" s="231"/>
      <c r="G936" s="172" t="str">
        <f t="shared" ca="1" si="528"/>
        <v/>
      </c>
      <c r="H936" s="93" t="str">
        <f t="shared" ca="1" si="529"/>
        <v/>
      </c>
      <c r="I936" s="21">
        <v>1000</v>
      </c>
      <c r="J936" s="68">
        <f t="shared" si="530"/>
        <v>2.2333333333333334</v>
      </c>
      <c r="K936" s="70">
        <v>2.68</v>
      </c>
      <c r="L936" s="72">
        <f t="shared" ca="1" si="526"/>
        <v>0.41866666666666674</v>
      </c>
      <c r="M936" s="73">
        <f t="shared" ca="1" si="527"/>
        <v>418.66666666666674</v>
      </c>
      <c r="N936" s="12" t="s">
        <v>44</v>
      </c>
      <c r="O936" s="47" t="s">
        <v>45</v>
      </c>
      <c r="P936" s="13">
        <f t="shared" si="515"/>
        <v>2.68</v>
      </c>
      <c r="Q936" s="1" t="str">
        <f t="shared" si="516"/>
        <v>1000 + шт - 2,68 руб / шт с НДС</v>
      </c>
      <c r="R936" s="235"/>
      <c r="S936" s="239"/>
      <c r="T936" s="226"/>
      <c r="U936" s="228"/>
      <c r="V936" s="222"/>
      <c r="W936" s="229"/>
      <c r="X936" s="227"/>
      <c r="Y936" s="229"/>
      <c r="Z936" s="236"/>
      <c r="AA936" s="237"/>
      <c r="AB936" s="238"/>
      <c r="AC936" s="223"/>
      <c r="AD936" s="222"/>
    </row>
    <row r="937" spans="1:30" x14ac:dyDescent="0.4">
      <c r="A937" s="230">
        <v>189</v>
      </c>
      <c r="B937" s="8">
        <v>189</v>
      </c>
      <c r="C937" s="14">
        <f t="shared" ca="1" si="533"/>
        <v>1.26</v>
      </c>
      <c r="D937" s="20">
        <f t="shared" ca="1" si="545"/>
        <v>1.512</v>
      </c>
      <c r="E937" s="224" t="str">
        <f ca="1">INDIRECT("'Закуп'!D" &amp; A937)</f>
        <v>У</v>
      </c>
      <c r="F937" s="231" t="str">
        <f t="shared" ref="F937" ca="1" si="548">INDIRECT("'Закуп'!E" &amp; B937)</f>
        <v>400х300х200</v>
      </c>
      <c r="G937" s="172" t="str">
        <f t="shared" ca="1" si="528"/>
        <v/>
      </c>
      <c r="H937" s="93" t="str">
        <f t="shared" ca="1" si="529"/>
        <v/>
      </c>
      <c r="I937" s="21">
        <v>50</v>
      </c>
      <c r="J937" s="68">
        <f t="shared" si="530"/>
        <v>2.6916666666666669</v>
      </c>
      <c r="K937" s="70">
        <v>3.23</v>
      </c>
      <c r="L937" s="72">
        <f t="shared" ca="1" si="526"/>
        <v>1.1453333333333335</v>
      </c>
      <c r="M937" s="73">
        <f t="shared" ca="1" si="527"/>
        <v>57.26666666666668</v>
      </c>
      <c r="N937" s="12" t="s">
        <v>40</v>
      </c>
      <c r="O937" s="47" t="s">
        <v>45</v>
      </c>
      <c r="P937" s="13">
        <f t="shared" si="515"/>
        <v>3.23</v>
      </c>
      <c r="Q937" s="1" t="str">
        <f t="shared" si="516"/>
        <v>50-90 шт - 3,23 руб / шт с НДС</v>
      </c>
      <c r="R937" s="235" t="str">
        <f ca="1">INDIRECT("'Закуп'!k" &amp; A937)</f>
        <v>K190</v>
      </c>
      <c r="S937" s="239">
        <f ca="1">INDIRECT("'Закуп'!o" &amp; A937)</f>
        <v>24</v>
      </c>
      <c r="T937" s="226" t="str">
        <f ca="1">INDIRECT("'Закуп'!p" &amp; A937)</f>
        <v>20-29 литров</v>
      </c>
      <c r="U937" s="228" t="str">
        <f ca="1">INDIRECT("'Закуп'!v" &amp; A937)</f>
        <v/>
      </c>
      <c r="V937" s="222" t="str">
        <f ca="1">INDIRECT("'Закуп'!w" &amp; A937)</f>
        <v/>
      </c>
      <c r="W937" s="229" t="str">
        <f ca="1">INDIRECT("'Закуп'!H" &amp; A937)</f>
        <v>х</v>
      </c>
      <c r="X937" s="227" t="str">
        <f t="shared" ref="X937" ca="1" si="549">INDIRECT("'Закуп'!g" &amp; A937)</f>
        <v>Ч</v>
      </c>
      <c r="Y937" s="229" t="str">
        <f ca="1">INDIRECT("'Закуп'!i" &amp; A937)</f>
        <v>В</v>
      </c>
      <c r="Z937" s="236" t="str">
        <f ca="1">INDIRECT("'Закуп'!x" &amp; A937)</f>
        <v>400-499 мм</v>
      </c>
      <c r="AA937" s="237" t="str">
        <f ca="1">INDIRECT("'Закуп'!y" &amp; A937)</f>
        <v>300-399 мм</v>
      </c>
      <c r="AB937" s="238" t="str">
        <f ca="1">INDIRECT("'Закуп'!z" &amp; A937)</f>
        <v>200-299 мм</v>
      </c>
      <c r="AC937" s="223" t="str">
        <f t="shared" ca="1" si="519"/>
        <v>400x300x200</v>
      </c>
      <c r="AD937" s="222" t="str">
        <f t="shared" ca="1" si="542"/>
        <v>400x300x200 - 400*300*200 мм</v>
      </c>
    </row>
    <row r="938" spans="1:30" x14ac:dyDescent="0.4">
      <c r="A938" s="230"/>
      <c r="B938" s="8">
        <v>189</v>
      </c>
      <c r="C938" s="14">
        <f t="shared" ca="1" si="533"/>
        <v>1.26</v>
      </c>
      <c r="D938" s="20">
        <f t="shared" ca="1" si="545"/>
        <v>1.512</v>
      </c>
      <c r="E938" s="225"/>
      <c r="F938" s="231"/>
      <c r="G938" s="172" t="str">
        <f t="shared" ca="1" si="528"/>
        <v/>
      </c>
      <c r="H938" s="93" t="str">
        <f t="shared" ca="1" si="529"/>
        <v/>
      </c>
      <c r="I938" s="21">
        <v>100</v>
      </c>
      <c r="J938" s="68">
        <f t="shared" si="530"/>
        <v>2.1583333333333332</v>
      </c>
      <c r="K938" s="70">
        <v>2.59</v>
      </c>
      <c r="L938" s="72">
        <f t="shared" ca="1" si="526"/>
        <v>0.71866666666666656</v>
      </c>
      <c r="M938" s="73">
        <f t="shared" ca="1" si="527"/>
        <v>71.86666666666666</v>
      </c>
      <c r="N938" s="12" t="s">
        <v>41</v>
      </c>
      <c r="O938" s="47" t="s">
        <v>45</v>
      </c>
      <c r="P938" s="13">
        <f t="shared" si="515"/>
        <v>2.59</v>
      </c>
      <c r="Q938" s="1" t="str">
        <f t="shared" si="516"/>
        <v>100-290 шт - 2,59 руб / шт с НДС</v>
      </c>
      <c r="R938" s="235"/>
      <c r="S938" s="239"/>
      <c r="T938" s="226"/>
      <c r="U938" s="228"/>
      <c r="V938" s="222"/>
      <c r="W938" s="229"/>
      <c r="X938" s="227"/>
      <c r="Y938" s="229"/>
      <c r="Z938" s="236"/>
      <c r="AA938" s="237"/>
      <c r="AB938" s="238"/>
      <c r="AC938" s="223"/>
      <c r="AD938" s="222"/>
    </row>
    <row r="939" spans="1:30" x14ac:dyDescent="0.4">
      <c r="A939" s="230"/>
      <c r="B939" s="8">
        <v>189</v>
      </c>
      <c r="C939" s="14">
        <f t="shared" ca="1" si="533"/>
        <v>1.26</v>
      </c>
      <c r="D939" s="20">
        <f t="shared" ca="1" si="545"/>
        <v>1.512</v>
      </c>
      <c r="E939" s="225"/>
      <c r="F939" s="231"/>
      <c r="G939" s="172" t="str">
        <f t="shared" ca="1" si="528"/>
        <v/>
      </c>
      <c r="H939" s="93" t="str">
        <f t="shared" ca="1" si="529"/>
        <v/>
      </c>
      <c r="I939" s="21">
        <v>300</v>
      </c>
      <c r="J939" s="68">
        <f t="shared" si="530"/>
        <v>1.9416666666666669</v>
      </c>
      <c r="K939" s="70">
        <v>2.33</v>
      </c>
      <c r="L939" s="72">
        <f t="shared" ca="1" si="526"/>
        <v>0.54533333333333345</v>
      </c>
      <c r="M939" s="73">
        <f t="shared" ca="1" si="527"/>
        <v>163.60000000000002</v>
      </c>
      <c r="N939" s="12" t="s">
        <v>42</v>
      </c>
      <c r="O939" s="47" t="s">
        <v>45</v>
      </c>
      <c r="P939" s="13">
        <f t="shared" si="515"/>
        <v>2.33</v>
      </c>
      <c r="Q939" s="1" t="str">
        <f t="shared" si="516"/>
        <v>300-490 шт - 2,33 руб / шт с НДС</v>
      </c>
      <c r="R939" s="235"/>
      <c r="S939" s="239"/>
      <c r="T939" s="226"/>
      <c r="U939" s="228"/>
      <c r="V939" s="222"/>
      <c r="W939" s="229"/>
      <c r="X939" s="227"/>
      <c r="Y939" s="229"/>
      <c r="Z939" s="236"/>
      <c r="AA939" s="237"/>
      <c r="AB939" s="238"/>
      <c r="AC939" s="223"/>
      <c r="AD939" s="222"/>
    </row>
    <row r="940" spans="1:30" x14ac:dyDescent="0.4">
      <c r="A940" s="230"/>
      <c r="B940" s="8">
        <v>189</v>
      </c>
      <c r="C940" s="14">
        <f t="shared" ca="1" si="533"/>
        <v>1.26</v>
      </c>
      <c r="D940" s="20">
        <f t="shared" ca="1" si="545"/>
        <v>1.512</v>
      </c>
      <c r="E940" s="225"/>
      <c r="F940" s="231"/>
      <c r="G940" s="172" t="str">
        <f t="shared" ca="1" si="528"/>
        <v/>
      </c>
      <c r="H940" s="93" t="str">
        <f t="shared" ca="1" si="529"/>
        <v/>
      </c>
      <c r="I940" s="21">
        <v>500</v>
      </c>
      <c r="J940" s="68">
        <f t="shared" si="530"/>
        <v>1.7583333333333333</v>
      </c>
      <c r="K940" s="70">
        <v>2.11</v>
      </c>
      <c r="L940" s="72">
        <f t="shared" ca="1" si="526"/>
        <v>0.39866666666666661</v>
      </c>
      <c r="M940" s="73">
        <f t="shared" ca="1" si="527"/>
        <v>199.33333333333331</v>
      </c>
      <c r="N940" s="12" t="s">
        <v>43</v>
      </c>
      <c r="O940" s="47" t="s">
        <v>45</v>
      </c>
      <c r="P940" s="13">
        <f t="shared" si="515"/>
        <v>2.11</v>
      </c>
      <c r="Q940" s="1" t="str">
        <f t="shared" si="516"/>
        <v>500-990 шт - 2,11 руб / шт с НДС</v>
      </c>
      <c r="R940" s="235"/>
      <c r="S940" s="239"/>
      <c r="T940" s="226"/>
      <c r="U940" s="228"/>
      <c r="V940" s="222"/>
      <c r="W940" s="229"/>
      <c r="X940" s="227"/>
      <c r="Y940" s="229"/>
      <c r="Z940" s="236"/>
      <c r="AA940" s="237"/>
      <c r="AB940" s="238"/>
      <c r="AC940" s="223"/>
      <c r="AD940" s="222"/>
    </row>
    <row r="941" spans="1:30" x14ac:dyDescent="0.4">
      <c r="A941" s="230"/>
      <c r="B941" s="8">
        <v>189</v>
      </c>
      <c r="C941" s="14">
        <f t="shared" ca="1" si="533"/>
        <v>1.26</v>
      </c>
      <c r="D941" s="20">
        <f t="shared" ca="1" si="545"/>
        <v>1.512</v>
      </c>
      <c r="E941" s="225"/>
      <c r="F941" s="231"/>
      <c r="G941" s="172" t="str">
        <f t="shared" ca="1" si="528"/>
        <v/>
      </c>
      <c r="H941" s="93" t="str">
        <f t="shared" ca="1" si="529"/>
        <v/>
      </c>
      <c r="I941" s="21">
        <v>1000</v>
      </c>
      <c r="J941" s="68">
        <f t="shared" si="530"/>
        <v>1.6666666666666667</v>
      </c>
      <c r="K941" s="70">
        <v>2</v>
      </c>
      <c r="L941" s="72">
        <f t="shared" ca="1" si="526"/>
        <v>0.32533333333333336</v>
      </c>
      <c r="M941" s="73">
        <f t="shared" ca="1" si="527"/>
        <v>325.33333333333337</v>
      </c>
      <c r="N941" s="12" t="s">
        <v>44</v>
      </c>
      <c r="O941" s="47" t="s">
        <v>45</v>
      </c>
      <c r="P941" s="13">
        <f t="shared" si="515"/>
        <v>2</v>
      </c>
      <c r="Q941" s="1" t="str">
        <f t="shared" si="516"/>
        <v>1000 + шт - 2 руб / шт с НДС</v>
      </c>
      <c r="R941" s="235"/>
      <c r="S941" s="239"/>
      <c r="T941" s="226"/>
      <c r="U941" s="228"/>
      <c r="V941" s="222"/>
      <c r="W941" s="229"/>
      <c r="X941" s="227"/>
      <c r="Y941" s="229"/>
      <c r="Z941" s="236"/>
      <c r="AA941" s="237"/>
      <c r="AB941" s="238"/>
      <c r="AC941" s="223"/>
      <c r="AD941" s="222"/>
    </row>
    <row r="942" spans="1:30" x14ac:dyDescent="0.4">
      <c r="A942" s="230">
        <v>190</v>
      </c>
      <c r="B942" s="8">
        <v>190</v>
      </c>
      <c r="C942" s="14">
        <f t="shared" ca="1" si="533"/>
        <v>0.31</v>
      </c>
      <c r="D942" s="20">
        <f t="shared" ca="1" si="545"/>
        <v>0.372</v>
      </c>
      <c r="E942" s="224" t="str">
        <f ca="1">INDIRECT("'Закуп'!D" &amp; A942)</f>
        <v>У</v>
      </c>
      <c r="F942" s="231" t="str">
        <f t="shared" ref="F942" ca="1" si="550">INDIRECT("'Закуп'!E" &amp; B942)</f>
        <v>125х125х200</v>
      </c>
      <c r="G942" s="172" t="str">
        <f t="shared" ca="1" si="528"/>
        <v/>
      </c>
      <c r="H942" s="93" t="str">
        <f t="shared" ca="1" si="529"/>
        <v/>
      </c>
      <c r="I942" s="21">
        <v>50</v>
      </c>
      <c r="J942" s="68">
        <f t="shared" si="530"/>
        <v>0.79166666666666663</v>
      </c>
      <c r="K942" s="70">
        <v>0.95</v>
      </c>
      <c r="L942" s="72">
        <f t="shared" ca="1" si="526"/>
        <v>0.38533333333333331</v>
      </c>
      <c r="M942" s="73">
        <f t="shared" ca="1" si="527"/>
        <v>19.266666666666666</v>
      </c>
      <c r="N942" s="12" t="s">
        <v>40</v>
      </c>
      <c r="O942" s="47" t="s">
        <v>45</v>
      </c>
      <c r="P942" s="13">
        <f t="shared" si="515"/>
        <v>0.95</v>
      </c>
      <c r="Q942" s="1" t="str">
        <f t="shared" si="516"/>
        <v>50-90 шт - 0,95 руб / шт с НДС</v>
      </c>
      <c r="R942" s="235" t="str">
        <f ca="1">INDIRECT("'Закуп'!k" &amp; A942)</f>
        <v>K191</v>
      </c>
      <c r="S942" s="239">
        <f ca="1">INDIRECT("'Закуп'!o" &amp; A942)</f>
        <v>3.13</v>
      </c>
      <c r="T942" s="226" t="str">
        <f ca="1">INDIRECT("'Закуп'!p" &amp; A942)</f>
        <v>3-3,9 литра</v>
      </c>
      <c r="U942" s="228" t="str">
        <f ca="1">INDIRECT("'Закуп'!v" &amp; A942)</f>
        <v/>
      </c>
      <c r="V942" s="222" t="str">
        <f ca="1">INDIRECT("'Закуп'!w" &amp; A942)</f>
        <v/>
      </c>
      <c r="W942" s="229" t="str">
        <f ca="1">INDIRECT("'Закуп'!H" &amp; A942)</f>
        <v>х</v>
      </c>
      <c r="X942" s="227" t="str">
        <f t="shared" ref="X942" ca="1" si="551">INDIRECT("'Закуп'!g" &amp; A942)</f>
        <v>Ч</v>
      </c>
      <c r="Y942" s="229" t="str">
        <f ca="1">INDIRECT("'Закуп'!i" &amp; A942)</f>
        <v>В</v>
      </c>
      <c r="Z942" s="236" t="str">
        <f ca="1">INDIRECT("'Закуп'!x" &amp; A942)</f>
        <v>200-299 мм</v>
      </c>
      <c r="AA942" s="237" t="str">
        <f ca="1">INDIRECT("'Закуп'!y" &amp; A942)</f>
        <v>100-199 мм</v>
      </c>
      <c r="AB942" s="238" t="str">
        <f ca="1">INDIRECT("'Закуп'!z" &amp; A942)</f>
        <v>100-199 мм</v>
      </c>
      <c r="AC942" s="223" t="str">
        <f t="shared" ca="1" si="519"/>
        <v>125x125x200</v>
      </c>
      <c r="AD942" s="222" t="str">
        <f t="shared" ca="1" si="542"/>
        <v>125x125x200 - 125*125*200 мм</v>
      </c>
    </row>
    <row r="943" spans="1:30" x14ac:dyDescent="0.4">
      <c r="A943" s="230"/>
      <c r="B943" s="8">
        <v>190</v>
      </c>
      <c r="C943" s="14">
        <f t="shared" ca="1" si="533"/>
        <v>0.31</v>
      </c>
      <c r="D943" s="20">
        <f t="shared" ca="1" si="545"/>
        <v>0.372</v>
      </c>
      <c r="E943" s="225"/>
      <c r="F943" s="231"/>
      <c r="G943" s="172" t="str">
        <f t="shared" ca="1" si="528"/>
        <v/>
      </c>
      <c r="H943" s="93" t="str">
        <f t="shared" ca="1" si="529"/>
        <v/>
      </c>
      <c r="I943" s="21">
        <v>100</v>
      </c>
      <c r="J943" s="68">
        <f t="shared" si="530"/>
        <v>0.65833333333333344</v>
      </c>
      <c r="K943" s="70">
        <v>0.79</v>
      </c>
      <c r="L943" s="72">
        <f t="shared" ca="1" si="526"/>
        <v>0.27866666666666673</v>
      </c>
      <c r="M943" s="73">
        <f t="shared" ca="1" si="527"/>
        <v>27.866666666666674</v>
      </c>
      <c r="N943" s="12" t="s">
        <v>41</v>
      </c>
      <c r="O943" s="47" t="s">
        <v>45</v>
      </c>
      <c r="P943" s="13">
        <f t="shared" ref="P943:P1006" si="552">ROUND(K943,2)</f>
        <v>0.79</v>
      </c>
      <c r="Q943" s="1" t="str">
        <f t="shared" si="516"/>
        <v>100-290 шт - 0,79 руб / шт с НДС</v>
      </c>
      <c r="R943" s="235"/>
      <c r="S943" s="239"/>
      <c r="T943" s="226"/>
      <c r="U943" s="228"/>
      <c r="V943" s="222"/>
      <c r="W943" s="229"/>
      <c r="X943" s="227"/>
      <c r="Y943" s="229"/>
      <c r="Z943" s="236"/>
      <c r="AA943" s="237"/>
      <c r="AB943" s="238"/>
      <c r="AC943" s="223"/>
      <c r="AD943" s="222"/>
    </row>
    <row r="944" spans="1:30" x14ac:dyDescent="0.4">
      <c r="A944" s="230"/>
      <c r="B944" s="8">
        <v>190</v>
      </c>
      <c r="C944" s="14">
        <f t="shared" ca="1" si="533"/>
        <v>0.31</v>
      </c>
      <c r="D944" s="20">
        <f t="shared" ca="1" si="545"/>
        <v>0.372</v>
      </c>
      <c r="E944" s="225"/>
      <c r="F944" s="231"/>
      <c r="G944" s="172" t="str">
        <f t="shared" ca="1" si="528"/>
        <v/>
      </c>
      <c r="H944" s="93" t="str">
        <f t="shared" ca="1" si="529"/>
        <v/>
      </c>
      <c r="I944" s="21">
        <v>300</v>
      </c>
      <c r="J944" s="68">
        <f t="shared" si="530"/>
        <v>0.60833333333333339</v>
      </c>
      <c r="K944" s="70">
        <v>0.73</v>
      </c>
      <c r="L944" s="72">
        <f t="shared" ca="1" si="526"/>
        <v>0.23866666666666672</v>
      </c>
      <c r="M944" s="73">
        <f t="shared" ca="1" si="527"/>
        <v>71.600000000000023</v>
      </c>
      <c r="N944" s="12" t="s">
        <v>42</v>
      </c>
      <c r="O944" s="47" t="s">
        <v>45</v>
      </c>
      <c r="P944" s="13">
        <f t="shared" si="552"/>
        <v>0.73</v>
      </c>
      <c r="Q944" s="1" t="str">
        <f t="shared" ref="Q944:Q1007" si="553">CONCATENATE(N944,P944,O944,)</f>
        <v>300-490 шт - 0,73 руб / шт с НДС</v>
      </c>
      <c r="R944" s="235"/>
      <c r="S944" s="239"/>
      <c r="T944" s="226"/>
      <c r="U944" s="228"/>
      <c r="V944" s="222"/>
      <c r="W944" s="229"/>
      <c r="X944" s="227"/>
      <c r="Y944" s="229"/>
      <c r="Z944" s="236"/>
      <c r="AA944" s="237"/>
      <c r="AB944" s="238"/>
      <c r="AC944" s="223"/>
      <c r="AD944" s="222"/>
    </row>
    <row r="945" spans="1:30" x14ac:dyDescent="0.4">
      <c r="A945" s="230"/>
      <c r="B945" s="8">
        <v>190</v>
      </c>
      <c r="C945" s="14">
        <f t="shared" ca="1" si="533"/>
        <v>0.31</v>
      </c>
      <c r="D945" s="20">
        <f t="shared" ca="1" si="545"/>
        <v>0.372</v>
      </c>
      <c r="E945" s="225"/>
      <c r="F945" s="231"/>
      <c r="G945" s="172" t="str">
        <f t="shared" ca="1" si="528"/>
        <v/>
      </c>
      <c r="H945" s="93" t="str">
        <f t="shared" ca="1" si="529"/>
        <v/>
      </c>
      <c r="I945" s="21">
        <v>500</v>
      </c>
      <c r="J945" s="68">
        <f t="shared" si="530"/>
        <v>0.55000000000000004</v>
      </c>
      <c r="K945" s="70">
        <v>0.66</v>
      </c>
      <c r="L945" s="72">
        <f t="shared" ca="1" si="526"/>
        <v>0.19200000000000003</v>
      </c>
      <c r="M945" s="73">
        <f t="shared" ca="1" si="527"/>
        <v>96.000000000000014</v>
      </c>
      <c r="N945" s="12" t="s">
        <v>43</v>
      </c>
      <c r="O945" s="47" t="s">
        <v>45</v>
      </c>
      <c r="P945" s="13">
        <f t="shared" si="552"/>
        <v>0.66</v>
      </c>
      <c r="Q945" s="1" t="str">
        <f t="shared" si="553"/>
        <v>500-990 шт - 0,66 руб / шт с НДС</v>
      </c>
      <c r="R945" s="235"/>
      <c r="S945" s="239"/>
      <c r="T945" s="226"/>
      <c r="U945" s="228"/>
      <c r="V945" s="222"/>
      <c r="W945" s="229"/>
      <c r="X945" s="227"/>
      <c r="Y945" s="229"/>
      <c r="Z945" s="236"/>
      <c r="AA945" s="237"/>
      <c r="AB945" s="238"/>
      <c r="AC945" s="223"/>
      <c r="AD945" s="222"/>
    </row>
    <row r="946" spans="1:30" x14ac:dyDescent="0.4">
      <c r="A946" s="230"/>
      <c r="B946" s="8">
        <v>190</v>
      </c>
      <c r="C946" s="14">
        <f t="shared" ca="1" si="533"/>
        <v>0.31</v>
      </c>
      <c r="D946" s="20">
        <f t="shared" ca="1" si="545"/>
        <v>0.372</v>
      </c>
      <c r="E946" s="225"/>
      <c r="F946" s="231"/>
      <c r="G946" s="172" t="str">
        <f t="shared" ca="1" si="528"/>
        <v/>
      </c>
      <c r="H946" s="93" t="str">
        <f t="shared" ca="1" si="529"/>
        <v/>
      </c>
      <c r="I946" s="21">
        <v>1000</v>
      </c>
      <c r="J946" s="68">
        <f t="shared" si="530"/>
        <v>0.51666666666666672</v>
      </c>
      <c r="K946" s="70">
        <v>0.62</v>
      </c>
      <c r="L946" s="72">
        <f t="shared" ca="1" si="526"/>
        <v>0.16533333333333339</v>
      </c>
      <c r="M946" s="73">
        <f t="shared" ca="1" si="527"/>
        <v>165.3333333333334</v>
      </c>
      <c r="N946" s="12" t="s">
        <v>44</v>
      </c>
      <c r="O946" s="47" t="s">
        <v>45</v>
      </c>
      <c r="P946" s="13">
        <f t="shared" si="552"/>
        <v>0.62</v>
      </c>
      <c r="Q946" s="1" t="str">
        <f t="shared" si="553"/>
        <v>1000 + шт - 0,62 руб / шт с НДС</v>
      </c>
      <c r="R946" s="235"/>
      <c r="S946" s="239"/>
      <c r="T946" s="226"/>
      <c r="U946" s="228"/>
      <c r="V946" s="222"/>
      <c r="W946" s="229"/>
      <c r="X946" s="227"/>
      <c r="Y946" s="229"/>
      <c r="Z946" s="236"/>
      <c r="AA946" s="237"/>
      <c r="AB946" s="238"/>
      <c r="AC946" s="223"/>
      <c r="AD946" s="222"/>
    </row>
    <row r="947" spans="1:30" x14ac:dyDescent="0.4">
      <c r="A947" s="230">
        <v>191</v>
      </c>
      <c r="B947" s="8">
        <v>191</v>
      </c>
      <c r="C947" s="14">
        <f t="shared" ca="1" si="533"/>
        <v>0.39</v>
      </c>
      <c r="D947" s="20">
        <f t="shared" ca="1" si="545"/>
        <v>0.46799999999999997</v>
      </c>
      <c r="E947" s="224" t="str">
        <f ca="1">INDIRECT("'Закуп'!D" &amp; A947)</f>
        <v>У</v>
      </c>
      <c r="F947" s="231" t="str">
        <f t="shared" ref="F947" ca="1" si="554">INDIRECT("'Закуп'!E" &amp; B947)</f>
        <v>150х150х200</v>
      </c>
      <c r="G947" s="172" t="str">
        <f t="shared" ca="1" si="528"/>
        <v/>
      </c>
      <c r="H947" s="93" t="str">
        <f t="shared" ca="1" si="529"/>
        <v/>
      </c>
      <c r="I947" s="21">
        <v>50</v>
      </c>
      <c r="J947" s="68">
        <f t="shared" si="530"/>
        <v>0.9916666666666667</v>
      </c>
      <c r="K947" s="70">
        <v>1.19</v>
      </c>
      <c r="L947" s="72">
        <f t="shared" ca="1" si="526"/>
        <v>0.48133333333333334</v>
      </c>
      <c r="M947" s="73">
        <f t="shared" ca="1" si="527"/>
        <v>24.066666666666666</v>
      </c>
      <c r="N947" s="12" t="s">
        <v>40</v>
      </c>
      <c r="O947" s="47" t="s">
        <v>45</v>
      </c>
      <c r="P947" s="13">
        <f t="shared" si="552"/>
        <v>1.19</v>
      </c>
      <c r="Q947" s="1" t="str">
        <f t="shared" si="553"/>
        <v>50-90 шт - 1,19 руб / шт с НДС</v>
      </c>
      <c r="R947" s="235" t="str">
        <f ca="1">INDIRECT("'Закуп'!k" &amp; A947)</f>
        <v>K192</v>
      </c>
      <c r="S947" s="239">
        <f ca="1">INDIRECT("'Закуп'!o" &amp; A947)</f>
        <v>4.5</v>
      </c>
      <c r="T947" s="226" t="str">
        <f ca="1">INDIRECT("'Закуп'!p" &amp; A947)</f>
        <v>4-5,9 литра</v>
      </c>
      <c r="U947" s="228" t="str">
        <f ca="1">INDIRECT("'Закуп'!v" &amp; A947)</f>
        <v/>
      </c>
      <c r="V947" s="222" t="str">
        <f ca="1">INDIRECT("'Закуп'!w" &amp; A947)</f>
        <v/>
      </c>
      <c r="W947" s="229" t="str">
        <f ca="1">INDIRECT("'Закуп'!H" &amp; A947)</f>
        <v>х</v>
      </c>
      <c r="X947" s="227" t="str">
        <f t="shared" ref="X947" ca="1" si="555">INDIRECT("'Закуп'!g" &amp; A947)</f>
        <v>Ч</v>
      </c>
      <c r="Y947" s="229" t="str">
        <f ca="1">INDIRECT("'Закуп'!i" &amp; A947)</f>
        <v>В</v>
      </c>
      <c r="Z947" s="236" t="str">
        <f ca="1">INDIRECT("'Закуп'!x" &amp; A947)</f>
        <v>200-299 мм</v>
      </c>
      <c r="AA947" s="237" t="str">
        <f ca="1">INDIRECT("'Закуп'!y" &amp; A947)</f>
        <v>100-199 мм</v>
      </c>
      <c r="AB947" s="238" t="str">
        <f ca="1">INDIRECT("'Закуп'!z" &amp; A947)</f>
        <v>100-199 мм</v>
      </c>
      <c r="AC947" s="223" t="str">
        <f t="shared" ref="AC947:AC1007" ca="1" si="556">SUBSTITUTE(INDEX(F:F, ROUNDUP((ROW(A946))/5,0)*5 - 3), "х", "x")</f>
        <v>150x150x200</v>
      </c>
      <c r="AD947" s="222" t="str">
        <f t="shared" ca="1" si="542"/>
        <v>150x150x200 - 150*150*200 мм</v>
      </c>
    </row>
    <row r="948" spans="1:30" x14ac:dyDescent="0.4">
      <c r="A948" s="230"/>
      <c r="B948" s="8">
        <v>191</v>
      </c>
      <c r="C948" s="14">
        <f t="shared" ca="1" si="533"/>
        <v>0.39</v>
      </c>
      <c r="D948" s="20">
        <f t="shared" ca="1" si="545"/>
        <v>0.46799999999999997</v>
      </c>
      <c r="E948" s="225"/>
      <c r="F948" s="231"/>
      <c r="G948" s="172" t="str">
        <f t="shared" ca="1" si="528"/>
        <v/>
      </c>
      <c r="H948" s="93" t="str">
        <f t="shared" ca="1" si="529"/>
        <v/>
      </c>
      <c r="I948" s="21">
        <v>100</v>
      </c>
      <c r="J948" s="68">
        <f t="shared" si="530"/>
        <v>0.84166666666666667</v>
      </c>
      <c r="K948" s="70">
        <v>1.01</v>
      </c>
      <c r="L948" s="72">
        <f t="shared" ca="1" si="526"/>
        <v>0.36133333333333334</v>
      </c>
      <c r="M948" s="73">
        <f t="shared" ca="1" si="527"/>
        <v>36.133333333333333</v>
      </c>
      <c r="N948" s="12" t="s">
        <v>41</v>
      </c>
      <c r="O948" s="47" t="s">
        <v>45</v>
      </c>
      <c r="P948" s="13">
        <f t="shared" si="552"/>
        <v>1.01</v>
      </c>
      <c r="Q948" s="1" t="str">
        <f t="shared" si="553"/>
        <v>100-290 шт - 1,01 руб / шт с НДС</v>
      </c>
      <c r="R948" s="235"/>
      <c r="S948" s="239"/>
      <c r="T948" s="226"/>
      <c r="U948" s="228"/>
      <c r="V948" s="222"/>
      <c r="W948" s="229"/>
      <c r="X948" s="227"/>
      <c r="Y948" s="229"/>
      <c r="Z948" s="236"/>
      <c r="AA948" s="237"/>
      <c r="AB948" s="238"/>
      <c r="AC948" s="223"/>
      <c r="AD948" s="222"/>
    </row>
    <row r="949" spans="1:30" x14ac:dyDescent="0.4">
      <c r="A949" s="230"/>
      <c r="B949" s="8">
        <v>191</v>
      </c>
      <c r="C949" s="14">
        <f t="shared" ca="1" si="533"/>
        <v>0.39</v>
      </c>
      <c r="D949" s="20">
        <f t="shared" ca="1" si="545"/>
        <v>0.46799999999999997</v>
      </c>
      <c r="E949" s="225"/>
      <c r="F949" s="231"/>
      <c r="G949" s="172" t="str">
        <f t="shared" ca="1" si="528"/>
        <v/>
      </c>
      <c r="H949" s="93" t="str">
        <f t="shared" ca="1" si="529"/>
        <v/>
      </c>
      <c r="I949" s="21">
        <v>300</v>
      </c>
      <c r="J949" s="68">
        <f t="shared" si="530"/>
        <v>0.76666666666666672</v>
      </c>
      <c r="K949" s="70">
        <v>0.92</v>
      </c>
      <c r="L949" s="72">
        <f t="shared" ca="1" si="526"/>
        <v>0.30133333333333334</v>
      </c>
      <c r="M949" s="73">
        <f t="shared" ca="1" si="527"/>
        <v>90.4</v>
      </c>
      <c r="N949" s="12" t="s">
        <v>42</v>
      </c>
      <c r="O949" s="47" t="s">
        <v>45</v>
      </c>
      <c r="P949" s="13">
        <f t="shared" si="552"/>
        <v>0.92</v>
      </c>
      <c r="Q949" s="1" t="str">
        <f t="shared" si="553"/>
        <v>300-490 шт - 0,92 руб / шт с НДС</v>
      </c>
      <c r="R949" s="235"/>
      <c r="S949" s="239"/>
      <c r="T949" s="226"/>
      <c r="U949" s="228"/>
      <c r="V949" s="222"/>
      <c r="W949" s="229"/>
      <c r="X949" s="227"/>
      <c r="Y949" s="229"/>
      <c r="Z949" s="236"/>
      <c r="AA949" s="237"/>
      <c r="AB949" s="238"/>
      <c r="AC949" s="223"/>
      <c r="AD949" s="222"/>
    </row>
    <row r="950" spans="1:30" x14ac:dyDescent="0.4">
      <c r="A950" s="230"/>
      <c r="B950" s="8">
        <v>191</v>
      </c>
      <c r="C950" s="14">
        <f t="shared" ca="1" si="533"/>
        <v>0.39</v>
      </c>
      <c r="D950" s="20">
        <f t="shared" ca="1" si="545"/>
        <v>0.46799999999999997</v>
      </c>
      <c r="E950" s="225"/>
      <c r="F950" s="231"/>
      <c r="G950" s="172" t="str">
        <f t="shared" ca="1" si="528"/>
        <v/>
      </c>
      <c r="H950" s="93" t="str">
        <f t="shared" ca="1" si="529"/>
        <v/>
      </c>
      <c r="I950" s="21">
        <v>500</v>
      </c>
      <c r="J950" s="68">
        <f t="shared" si="530"/>
        <v>0.69166666666666665</v>
      </c>
      <c r="K950" s="70">
        <v>0.83</v>
      </c>
      <c r="L950" s="72">
        <f t="shared" ca="1" si="526"/>
        <v>0.24133333333333332</v>
      </c>
      <c r="M950" s="73">
        <f t="shared" ca="1" si="527"/>
        <v>120.66666666666666</v>
      </c>
      <c r="N950" s="12" t="s">
        <v>43</v>
      </c>
      <c r="O950" s="47" t="s">
        <v>45</v>
      </c>
      <c r="P950" s="13">
        <f t="shared" si="552"/>
        <v>0.83</v>
      </c>
      <c r="Q950" s="1" t="str">
        <f t="shared" si="553"/>
        <v>500-990 шт - 0,83 руб / шт с НДС</v>
      </c>
      <c r="R950" s="235"/>
      <c r="S950" s="239"/>
      <c r="T950" s="226"/>
      <c r="U950" s="228"/>
      <c r="V950" s="222"/>
      <c r="W950" s="229"/>
      <c r="X950" s="227"/>
      <c r="Y950" s="229"/>
      <c r="Z950" s="236"/>
      <c r="AA950" s="237"/>
      <c r="AB950" s="238"/>
      <c r="AC950" s="223"/>
      <c r="AD950" s="222"/>
    </row>
    <row r="951" spans="1:30" x14ac:dyDescent="0.4">
      <c r="A951" s="230"/>
      <c r="B951" s="8">
        <v>191</v>
      </c>
      <c r="C951" s="14">
        <f t="shared" ca="1" si="533"/>
        <v>0.39</v>
      </c>
      <c r="D951" s="20">
        <f t="shared" ca="1" si="545"/>
        <v>0.46799999999999997</v>
      </c>
      <c r="E951" s="225"/>
      <c r="F951" s="231"/>
      <c r="G951" s="172" t="str">
        <f t="shared" ca="1" si="528"/>
        <v/>
      </c>
      <c r="H951" s="93" t="str">
        <f t="shared" ca="1" si="529"/>
        <v/>
      </c>
      <c r="I951" s="21">
        <v>1000</v>
      </c>
      <c r="J951" s="68">
        <f t="shared" si="530"/>
        <v>0.65</v>
      </c>
      <c r="K951" s="70">
        <v>0.78</v>
      </c>
      <c r="L951" s="72">
        <f t="shared" ca="1" si="526"/>
        <v>0.20800000000000002</v>
      </c>
      <c r="M951" s="73">
        <f t="shared" ca="1" si="527"/>
        <v>208.00000000000003</v>
      </c>
      <c r="N951" s="12" t="s">
        <v>44</v>
      </c>
      <c r="O951" s="47" t="s">
        <v>45</v>
      </c>
      <c r="P951" s="13">
        <f t="shared" si="552"/>
        <v>0.78</v>
      </c>
      <c r="Q951" s="1" t="str">
        <f t="shared" si="553"/>
        <v>1000 + шт - 0,78 руб / шт с НДС</v>
      </c>
      <c r="R951" s="235"/>
      <c r="S951" s="239"/>
      <c r="T951" s="226"/>
      <c r="U951" s="228"/>
      <c r="V951" s="222"/>
      <c r="W951" s="229"/>
      <c r="X951" s="227"/>
      <c r="Y951" s="229"/>
      <c r="Z951" s="236"/>
      <c r="AA951" s="237"/>
      <c r="AB951" s="238"/>
      <c r="AC951" s="223"/>
      <c r="AD951" s="222"/>
    </row>
    <row r="952" spans="1:30" x14ac:dyDescent="0.4">
      <c r="A952" s="230">
        <v>192</v>
      </c>
      <c r="B952" s="8">
        <v>192</v>
      </c>
      <c r="C952" s="14">
        <f t="shared" ca="1" si="533"/>
        <v>0.21</v>
      </c>
      <c r="D952" s="20">
        <f t="shared" ca="1" si="545"/>
        <v>0.252</v>
      </c>
      <c r="E952" s="224" t="str">
        <f ca="1">INDIRECT("'Закуп'!D" &amp; A952)</f>
        <v>У</v>
      </c>
      <c r="F952" s="231" t="str">
        <f t="shared" ref="F952" ca="1" si="557">INDIRECT("'Закуп'!E" &amp; B952)</f>
        <v>190х110х70</v>
      </c>
      <c r="G952" s="172" t="str">
        <f t="shared" ca="1" si="528"/>
        <v/>
      </c>
      <c r="H952" s="93" t="str">
        <f t="shared" ca="1" si="529"/>
        <v/>
      </c>
      <c r="I952" s="21">
        <v>50</v>
      </c>
      <c r="J952" s="68">
        <f t="shared" si="530"/>
        <v>0.89166666666666672</v>
      </c>
      <c r="K952" s="70">
        <v>1.07</v>
      </c>
      <c r="L952" s="72">
        <f t="shared" ca="1" si="526"/>
        <v>0.54533333333333345</v>
      </c>
      <c r="M952" s="73">
        <f t="shared" ca="1" si="527"/>
        <v>27.266666666666673</v>
      </c>
      <c r="N952" s="12" t="s">
        <v>40</v>
      </c>
      <c r="O952" s="47" t="s">
        <v>45</v>
      </c>
      <c r="P952" s="13">
        <f t="shared" si="552"/>
        <v>1.07</v>
      </c>
      <c r="Q952" s="1" t="str">
        <f t="shared" si="553"/>
        <v>50-90 шт - 1,07 руб / шт с НДС</v>
      </c>
      <c r="R952" s="235" t="str">
        <f ca="1">INDIRECT("'Закуп'!k" &amp; A952)</f>
        <v>K193</v>
      </c>
      <c r="S952" s="239">
        <f ca="1">INDIRECT("'Закуп'!o" &amp; A952)</f>
        <v>1.46</v>
      </c>
      <c r="T952" s="226" t="str">
        <f ca="1">INDIRECT("'Закуп'!p" &amp; A952)</f>
        <v>1-1,9 литра</v>
      </c>
      <c r="U952" s="228" t="str">
        <f ca="1">INDIRECT("'Закуп'!v" &amp; A952)</f>
        <v/>
      </c>
      <c r="V952" s="222" t="str">
        <f ca="1">INDIRECT("'Закуп'!w" &amp; A952)</f>
        <v/>
      </c>
      <c r="W952" s="229" t="str">
        <f ca="1">INDIRECT("'Закуп'!H" &amp; A952)</f>
        <v>х</v>
      </c>
      <c r="X952" s="227" t="str">
        <f t="shared" ref="X952" ca="1" si="558">INDIRECT("'Закуп'!g" &amp; A952)</f>
        <v>Ч</v>
      </c>
      <c r="Y952" s="229" t="str">
        <f ca="1">INDIRECT("'Закуп'!i" &amp; A952)</f>
        <v>В</v>
      </c>
      <c r="Z952" s="236" t="str">
        <f ca="1">INDIRECT("'Закуп'!x" &amp; A952)</f>
        <v>100-199 мм</v>
      </c>
      <c r="AA952" s="237" t="str">
        <f ca="1">INDIRECT("'Закуп'!y" &amp; A952)</f>
        <v>100-199 мм</v>
      </c>
      <c r="AB952" s="238" t="str">
        <f ca="1">INDIRECT("'Закуп'!z" &amp; A952)</f>
        <v>10-99 мм</v>
      </c>
      <c r="AC952" s="223" t="str">
        <f t="shared" ca="1" si="556"/>
        <v>190x110x70</v>
      </c>
      <c r="AD952" s="222" t="str">
        <f t="shared" ca="1" si="542"/>
        <v>190x110x70 - 190*110*70 мм</v>
      </c>
    </row>
    <row r="953" spans="1:30" x14ac:dyDescent="0.4">
      <c r="A953" s="230"/>
      <c r="B953" s="8">
        <v>192</v>
      </c>
      <c r="C953" s="14">
        <f t="shared" ca="1" si="533"/>
        <v>0.21</v>
      </c>
      <c r="D953" s="20">
        <f t="shared" ca="1" si="545"/>
        <v>0.252</v>
      </c>
      <c r="E953" s="225"/>
      <c r="F953" s="231"/>
      <c r="G953" s="172" t="str">
        <f t="shared" ca="1" si="528"/>
        <v/>
      </c>
      <c r="H953" s="93" t="str">
        <f t="shared" ca="1" si="529"/>
        <v/>
      </c>
      <c r="I953" s="21">
        <v>100</v>
      </c>
      <c r="J953" s="68">
        <f t="shared" si="530"/>
        <v>0.8</v>
      </c>
      <c r="K953" s="70">
        <v>0.96</v>
      </c>
      <c r="L953" s="72">
        <f t="shared" ca="1" si="526"/>
        <v>0.47200000000000009</v>
      </c>
      <c r="M953" s="73">
        <f t="shared" ca="1" si="527"/>
        <v>47.20000000000001</v>
      </c>
      <c r="N953" s="12" t="s">
        <v>41</v>
      </c>
      <c r="O953" s="47" t="s">
        <v>45</v>
      </c>
      <c r="P953" s="13">
        <f t="shared" si="552"/>
        <v>0.96</v>
      </c>
      <c r="Q953" s="1" t="str">
        <f t="shared" si="553"/>
        <v>100-290 шт - 0,96 руб / шт с НДС</v>
      </c>
      <c r="R953" s="235"/>
      <c r="S953" s="239"/>
      <c r="T953" s="226"/>
      <c r="U953" s="228"/>
      <c r="V953" s="222"/>
      <c r="W953" s="229"/>
      <c r="X953" s="227"/>
      <c r="Y953" s="229"/>
      <c r="Z953" s="236"/>
      <c r="AA953" s="237"/>
      <c r="AB953" s="238"/>
      <c r="AC953" s="223"/>
      <c r="AD953" s="222"/>
    </row>
    <row r="954" spans="1:30" x14ac:dyDescent="0.4">
      <c r="A954" s="230"/>
      <c r="B954" s="8">
        <v>192</v>
      </c>
      <c r="C954" s="14">
        <f t="shared" ca="1" si="533"/>
        <v>0.21</v>
      </c>
      <c r="D954" s="20">
        <f t="shared" ca="1" si="545"/>
        <v>0.252</v>
      </c>
      <c r="E954" s="225"/>
      <c r="F954" s="231"/>
      <c r="G954" s="172" t="str">
        <f t="shared" ca="1" si="528"/>
        <v/>
      </c>
      <c r="H954" s="93" t="str">
        <f t="shared" ca="1" si="529"/>
        <v/>
      </c>
      <c r="I954" s="21">
        <v>300</v>
      </c>
      <c r="J954" s="68">
        <f t="shared" si="530"/>
        <v>0.71666666666666667</v>
      </c>
      <c r="K954" s="70">
        <v>0.86</v>
      </c>
      <c r="L954" s="72">
        <f t="shared" ca="1" si="526"/>
        <v>0.40533333333333338</v>
      </c>
      <c r="M954" s="73">
        <f t="shared" ca="1" si="527"/>
        <v>121.60000000000001</v>
      </c>
      <c r="N954" s="12" t="s">
        <v>42</v>
      </c>
      <c r="O954" s="47" t="s">
        <v>45</v>
      </c>
      <c r="P954" s="13">
        <f t="shared" si="552"/>
        <v>0.86</v>
      </c>
      <c r="Q954" s="1" t="str">
        <f t="shared" si="553"/>
        <v>300-490 шт - 0,86 руб / шт с НДС</v>
      </c>
      <c r="R954" s="235"/>
      <c r="S954" s="239"/>
      <c r="T954" s="226"/>
      <c r="U954" s="228"/>
      <c r="V954" s="222"/>
      <c r="W954" s="229"/>
      <c r="X954" s="227"/>
      <c r="Y954" s="229"/>
      <c r="Z954" s="236"/>
      <c r="AA954" s="237"/>
      <c r="AB954" s="238"/>
      <c r="AC954" s="223"/>
      <c r="AD954" s="222"/>
    </row>
    <row r="955" spans="1:30" x14ac:dyDescent="0.4">
      <c r="A955" s="230"/>
      <c r="B955" s="8">
        <v>192</v>
      </c>
      <c r="C955" s="14">
        <f t="shared" ca="1" si="533"/>
        <v>0.21</v>
      </c>
      <c r="D955" s="20">
        <f t="shared" ca="1" si="545"/>
        <v>0.252</v>
      </c>
      <c r="E955" s="225"/>
      <c r="F955" s="231"/>
      <c r="G955" s="172" t="str">
        <f t="shared" ca="1" si="528"/>
        <v/>
      </c>
      <c r="H955" s="93" t="str">
        <f t="shared" ca="1" si="529"/>
        <v/>
      </c>
      <c r="I955" s="21">
        <v>500</v>
      </c>
      <c r="J955" s="68">
        <f t="shared" si="530"/>
        <v>0.625</v>
      </c>
      <c r="K955" s="70">
        <v>0.75</v>
      </c>
      <c r="L955" s="72">
        <f t="shared" ca="1" si="526"/>
        <v>0.33200000000000002</v>
      </c>
      <c r="M955" s="73">
        <f t="shared" ca="1" si="527"/>
        <v>166</v>
      </c>
      <c r="N955" s="12" t="s">
        <v>43</v>
      </c>
      <c r="O955" s="47" t="s">
        <v>45</v>
      </c>
      <c r="P955" s="13">
        <f t="shared" si="552"/>
        <v>0.75</v>
      </c>
      <c r="Q955" s="1" t="str">
        <f t="shared" si="553"/>
        <v>500-990 шт - 0,75 руб / шт с НДС</v>
      </c>
      <c r="R955" s="235"/>
      <c r="S955" s="239"/>
      <c r="T955" s="226"/>
      <c r="U955" s="228"/>
      <c r="V955" s="222"/>
      <c r="W955" s="229"/>
      <c r="X955" s="227"/>
      <c r="Y955" s="229"/>
      <c r="Z955" s="236"/>
      <c r="AA955" s="237"/>
      <c r="AB955" s="238"/>
      <c r="AC955" s="223"/>
      <c r="AD955" s="222"/>
    </row>
    <row r="956" spans="1:30" x14ac:dyDescent="0.4">
      <c r="A956" s="230"/>
      <c r="B956" s="8">
        <v>192</v>
      </c>
      <c r="C956" s="14">
        <f t="shared" ca="1" si="533"/>
        <v>0.21</v>
      </c>
      <c r="D956" s="20">
        <f t="shared" ca="1" si="545"/>
        <v>0.252</v>
      </c>
      <c r="E956" s="225"/>
      <c r="F956" s="231"/>
      <c r="G956" s="172" t="str">
        <f t="shared" ca="1" si="528"/>
        <v/>
      </c>
      <c r="H956" s="93" t="str">
        <f t="shared" ca="1" si="529"/>
        <v/>
      </c>
      <c r="I956" s="21">
        <v>1000</v>
      </c>
      <c r="J956" s="68">
        <f t="shared" si="530"/>
        <v>0.53333333333333333</v>
      </c>
      <c r="K956" s="70">
        <v>0.64</v>
      </c>
      <c r="L956" s="72">
        <f t="shared" ca="1" si="526"/>
        <v>0.25866666666666671</v>
      </c>
      <c r="M956" s="73">
        <f t="shared" ca="1" si="527"/>
        <v>258.66666666666669</v>
      </c>
      <c r="N956" s="12" t="s">
        <v>44</v>
      </c>
      <c r="O956" s="47" t="s">
        <v>45</v>
      </c>
      <c r="P956" s="13">
        <f t="shared" si="552"/>
        <v>0.64</v>
      </c>
      <c r="Q956" s="1" t="str">
        <f t="shared" si="553"/>
        <v>1000 + шт - 0,64 руб / шт с НДС</v>
      </c>
      <c r="R956" s="235"/>
      <c r="S956" s="239"/>
      <c r="T956" s="226"/>
      <c r="U956" s="228"/>
      <c r="V956" s="222"/>
      <c r="W956" s="229"/>
      <c r="X956" s="227"/>
      <c r="Y956" s="229"/>
      <c r="Z956" s="236"/>
      <c r="AA956" s="237"/>
      <c r="AB956" s="238"/>
      <c r="AC956" s="223"/>
      <c r="AD956" s="222"/>
    </row>
    <row r="957" spans="1:30" x14ac:dyDescent="0.4">
      <c r="A957" s="230">
        <v>193</v>
      </c>
      <c r="B957" s="8">
        <v>193</v>
      </c>
      <c r="C957" s="14">
        <f t="shared" ca="1" si="533"/>
        <v>0.26</v>
      </c>
      <c r="D957" s="20">
        <f t="shared" ca="1" si="545"/>
        <v>0.312</v>
      </c>
      <c r="E957" s="224" t="str">
        <f ca="1">INDIRECT("'Закуп'!D" &amp; A957)</f>
        <v>У</v>
      </c>
      <c r="F957" s="231" t="str">
        <f t="shared" ref="F957" ca="1" si="559">INDIRECT("'Закуп'!E" &amp; B957)</f>
        <v>110х50х130</v>
      </c>
      <c r="G957" s="172" t="str">
        <f t="shared" ca="1" si="528"/>
        <v>Sale</v>
      </c>
      <c r="H957" s="93" t="str">
        <f t="shared" ca="1" si="529"/>
        <v>110х130х50</v>
      </c>
      <c r="I957" s="21">
        <v>50</v>
      </c>
      <c r="J957" s="68">
        <f t="shared" si="530"/>
        <v>0.35833333333333334</v>
      </c>
      <c r="K957" s="70">
        <v>0.43</v>
      </c>
      <c r="L957" s="72">
        <f t="shared" ca="1" si="526"/>
        <v>7.8666666666666663E-2</v>
      </c>
      <c r="M957" s="73">
        <f t="shared" ca="1" si="527"/>
        <v>3.9333333333333331</v>
      </c>
      <c r="N957" s="12" t="s">
        <v>40</v>
      </c>
      <c r="O957" s="47" t="s">
        <v>45</v>
      </c>
      <c r="P957" s="13">
        <f t="shared" si="552"/>
        <v>0.43</v>
      </c>
      <c r="Q957" s="1" t="str">
        <f t="shared" si="553"/>
        <v>50-90 шт - 0,43 руб / шт с НДС</v>
      </c>
      <c r="R957" s="235" t="str">
        <f ca="1">INDIRECT("'Закуп'!k" &amp; A957)</f>
        <v>K194</v>
      </c>
      <c r="S957" s="239">
        <f ca="1">INDIRECT("'Закуп'!o" &amp; A957)</f>
        <v>0.72</v>
      </c>
      <c r="T957" s="226" t="str">
        <f ca="1">INDIRECT("'Закуп'!p" &amp; A957)</f>
        <v>0,1-0,9 литров</v>
      </c>
      <c r="U957" s="228" t="str">
        <f ca="1">INDIRECT("'Закуп'!v" &amp; A957)</f>
        <v/>
      </c>
      <c r="V957" s="222" t="str">
        <f ca="1">INDIRECT("'Закуп'!w" &amp; A957)</f>
        <v>Плоские</v>
      </c>
      <c r="W957" s="229" t="str">
        <f ca="1">INDIRECT("'Закуп'!H" &amp; A957)</f>
        <v>х</v>
      </c>
      <c r="X957" s="227" t="str">
        <f t="shared" ref="X957" ca="1" si="560">INDIRECT("'Закуп'!g" &amp; A957)</f>
        <v>С</v>
      </c>
      <c r="Y957" s="229" t="str">
        <f ca="1">INDIRECT("'Закуп'!i" &amp; A957)</f>
        <v>В</v>
      </c>
      <c r="Z957" s="236" t="str">
        <f ca="1">INDIRECT("'Закуп'!x" &amp; A957)</f>
        <v>100-199 мм</v>
      </c>
      <c r="AA957" s="237" t="str">
        <f ca="1">INDIRECT("'Закуп'!y" &amp; A957)</f>
        <v>100-199 мм</v>
      </c>
      <c r="AB957" s="238" t="str">
        <f ca="1">INDIRECT("'Закуп'!z" &amp; A957)</f>
        <v>10-99 мм</v>
      </c>
      <c r="AC957" s="223" t="str">
        <f t="shared" ca="1" si="556"/>
        <v>110x50x130</v>
      </c>
      <c r="AD957" s="222" t="str">
        <f t="shared" ca="1" si="542"/>
        <v>110x50x130 - 110*50*130 мм</v>
      </c>
    </row>
    <row r="958" spans="1:30" x14ac:dyDescent="0.4">
      <c r="A958" s="230"/>
      <c r="B958" s="8">
        <v>193</v>
      </c>
      <c r="C958" s="14">
        <f t="shared" ca="1" si="533"/>
        <v>0.26</v>
      </c>
      <c r="D958" s="20">
        <f t="shared" ca="1" si="545"/>
        <v>0.312</v>
      </c>
      <c r="E958" s="225"/>
      <c r="F958" s="231"/>
      <c r="G958" s="172" t="str">
        <f t="shared" ca="1" si="528"/>
        <v>Sale</v>
      </c>
      <c r="H958" s="93" t="str">
        <f t="shared" ca="1" si="529"/>
        <v>110х130х50</v>
      </c>
      <c r="I958" s="21">
        <v>100</v>
      </c>
      <c r="J958" s="68">
        <f t="shared" si="530"/>
        <v>0.35833333333333334</v>
      </c>
      <c r="K958" s="70">
        <v>0.43</v>
      </c>
      <c r="L958" s="72">
        <f t="shared" ca="1" si="526"/>
        <v>7.8666666666666663E-2</v>
      </c>
      <c r="M958" s="73">
        <f t="shared" ca="1" si="527"/>
        <v>7.8666666666666663</v>
      </c>
      <c r="N958" s="12" t="s">
        <v>41</v>
      </c>
      <c r="O958" s="47" t="s">
        <v>45</v>
      </c>
      <c r="P958" s="13">
        <f t="shared" si="552"/>
        <v>0.43</v>
      </c>
      <c r="Q958" s="1" t="str">
        <f t="shared" si="553"/>
        <v>100-290 шт - 0,43 руб / шт с НДС</v>
      </c>
      <c r="R958" s="235"/>
      <c r="S958" s="239"/>
      <c r="T958" s="226"/>
      <c r="U958" s="228"/>
      <c r="V958" s="222"/>
      <c r="W958" s="229"/>
      <c r="X958" s="227"/>
      <c r="Y958" s="229"/>
      <c r="Z958" s="236"/>
      <c r="AA958" s="237"/>
      <c r="AB958" s="238"/>
      <c r="AC958" s="223"/>
      <c r="AD958" s="222"/>
    </row>
    <row r="959" spans="1:30" x14ac:dyDescent="0.4">
      <c r="A959" s="230"/>
      <c r="B959" s="8">
        <v>193</v>
      </c>
      <c r="C959" s="14">
        <f t="shared" ca="1" si="533"/>
        <v>0.26</v>
      </c>
      <c r="D959" s="20">
        <f t="shared" ca="1" si="545"/>
        <v>0.312</v>
      </c>
      <c r="E959" s="225"/>
      <c r="F959" s="231"/>
      <c r="G959" s="172" t="str">
        <f t="shared" ca="1" si="528"/>
        <v>Sale</v>
      </c>
      <c r="H959" s="93" t="str">
        <f t="shared" ca="1" si="529"/>
        <v>110х130х50</v>
      </c>
      <c r="I959" s="21">
        <v>300</v>
      </c>
      <c r="J959" s="68">
        <f t="shared" si="530"/>
        <v>0.35833333333333334</v>
      </c>
      <c r="K959" s="70">
        <v>0.43</v>
      </c>
      <c r="L959" s="72">
        <f t="shared" ca="1" si="526"/>
        <v>7.8666666666666663E-2</v>
      </c>
      <c r="M959" s="73">
        <f t="shared" ca="1" si="527"/>
        <v>23.599999999999998</v>
      </c>
      <c r="N959" s="12" t="s">
        <v>42</v>
      </c>
      <c r="O959" s="47" t="s">
        <v>45</v>
      </c>
      <c r="P959" s="13">
        <f t="shared" si="552"/>
        <v>0.43</v>
      </c>
      <c r="Q959" s="1" t="str">
        <f t="shared" si="553"/>
        <v>300-490 шт - 0,43 руб / шт с НДС</v>
      </c>
      <c r="R959" s="235"/>
      <c r="S959" s="239"/>
      <c r="T959" s="226"/>
      <c r="U959" s="228"/>
      <c r="V959" s="222"/>
      <c r="W959" s="229"/>
      <c r="X959" s="227"/>
      <c r="Y959" s="229"/>
      <c r="Z959" s="236"/>
      <c r="AA959" s="237"/>
      <c r="AB959" s="238"/>
      <c r="AC959" s="223"/>
      <c r="AD959" s="222"/>
    </row>
    <row r="960" spans="1:30" x14ac:dyDescent="0.4">
      <c r="A960" s="230"/>
      <c r="B960" s="8">
        <v>193</v>
      </c>
      <c r="C960" s="14">
        <f t="shared" ca="1" si="533"/>
        <v>0.26</v>
      </c>
      <c r="D960" s="20">
        <f t="shared" ca="1" si="545"/>
        <v>0.312</v>
      </c>
      <c r="E960" s="225"/>
      <c r="F960" s="231"/>
      <c r="G960" s="172" t="str">
        <f t="shared" ca="1" si="528"/>
        <v>Sale</v>
      </c>
      <c r="H960" s="93" t="str">
        <f t="shared" ca="1" si="529"/>
        <v>110х130х50</v>
      </c>
      <c r="I960" s="21">
        <v>500</v>
      </c>
      <c r="J960" s="68">
        <f t="shared" si="530"/>
        <v>0.35833333333333334</v>
      </c>
      <c r="K960" s="70">
        <v>0.43</v>
      </c>
      <c r="L960" s="72">
        <f t="shared" ca="1" si="526"/>
        <v>7.8666666666666663E-2</v>
      </c>
      <c r="M960" s="73">
        <f t="shared" ca="1" si="527"/>
        <v>39.333333333333329</v>
      </c>
      <c r="N960" s="12" t="s">
        <v>43</v>
      </c>
      <c r="O960" s="47" t="s">
        <v>45</v>
      </c>
      <c r="P960" s="13">
        <f t="shared" si="552"/>
        <v>0.43</v>
      </c>
      <c r="Q960" s="1" t="str">
        <f t="shared" si="553"/>
        <v>500-990 шт - 0,43 руб / шт с НДС</v>
      </c>
      <c r="R960" s="235"/>
      <c r="S960" s="239"/>
      <c r="T960" s="226"/>
      <c r="U960" s="228"/>
      <c r="V960" s="222"/>
      <c r="W960" s="229"/>
      <c r="X960" s="227"/>
      <c r="Y960" s="229"/>
      <c r="Z960" s="236"/>
      <c r="AA960" s="237"/>
      <c r="AB960" s="238"/>
      <c r="AC960" s="223"/>
      <c r="AD960" s="222"/>
    </row>
    <row r="961" spans="1:30" x14ac:dyDescent="0.4">
      <c r="A961" s="230"/>
      <c r="B961" s="8">
        <v>193</v>
      </c>
      <c r="C961" s="14">
        <f t="shared" ca="1" si="533"/>
        <v>0.26</v>
      </c>
      <c r="D961" s="20">
        <f t="shared" ca="1" si="545"/>
        <v>0.312</v>
      </c>
      <c r="E961" s="225"/>
      <c r="F961" s="231"/>
      <c r="G961" s="172" t="str">
        <f t="shared" ca="1" si="528"/>
        <v>Sale</v>
      </c>
      <c r="H961" s="93" t="str">
        <f t="shared" ca="1" si="529"/>
        <v>110х130х50</v>
      </c>
      <c r="I961" s="21">
        <v>1000</v>
      </c>
      <c r="J961" s="68">
        <f t="shared" si="530"/>
        <v>0.35833333333333334</v>
      </c>
      <c r="K961" s="70">
        <v>0.43</v>
      </c>
      <c r="L961" s="72">
        <f t="shared" ca="1" si="526"/>
        <v>7.8666666666666663E-2</v>
      </c>
      <c r="M961" s="73">
        <f t="shared" ca="1" si="527"/>
        <v>78.666666666666657</v>
      </c>
      <c r="N961" s="12" t="s">
        <v>44</v>
      </c>
      <c r="O961" s="47" t="s">
        <v>45</v>
      </c>
      <c r="P961" s="13">
        <f t="shared" si="552"/>
        <v>0.43</v>
      </c>
      <c r="Q961" s="1" t="str">
        <f t="shared" si="553"/>
        <v>1000 + шт - 0,43 руб / шт с НДС</v>
      </c>
      <c r="R961" s="235"/>
      <c r="S961" s="239"/>
      <c r="T961" s="226"/>
      <c r="U961" s="228"/>
      <c r="V961" s="222"/>
      <c r="W961" s="229"/>
      <c r="X961" s="227"/>
      <c r="Y961" s="229"/>
      <c r="Z961" s="236"/>
      <c r="AA961" s="237"/>
      <c r="AB961" s="238"/>
      <c r="AC961" s="223"/>
      <c r="AD961" s="222"/>
    </row>
    <row r="962" spans="1:30" x14ac:dyDescent="0.4">
      <c r="A962" s="230">
        <v>194</v>
      </c>
      <c r="B962" s="8">
        <v>194</v>
      </c>
      <c r="C962" s="14">
        <f t="shared" ca="1" si="533"/>
        <v>0.34</v>
      </c>
      <c r="D962" s="20">
        <f t="shared" ca="1" si="545"/>
        <v>0.40800000000000003</v>
      </c>
      <c r="E962" s="224" t="str">
        <f ca="1">INDIRECT("'Закуп'!D" &amp; A962)</f>
        <v>У</v>
      </c>
      <c r="F962" s="231" t="str">
        <f t="shared" ref="F962" ca="1" si="561">INDIRECT("'Закуп'!E" &amp; B962)</f>
        <v>150х150х150</v>
      </c>
      <c r="G962" s="172" t="str">
        <f t="shared" ca="1" si="528"/>
        <v/>
      </c>
      <c r="H962" s="93" t="str">
        <f t="shared" ca="1" si="529"/>
        <v/>
      </c>
      <c r="I962" s="21">
        <v>50</v>
      </c>
      <c r="J962" s="68">
        <f t="shared" si="530"/>
        <v>1.1583333333333332</v>
      </c>
      <c r="K962" s="70">
        <v>1.39</v>
      </c>
      <c r="L962" s="72">
        <f t="shared" ref="L962:L1025" ca="1" si="562">J962-C962-(J962-C962)*0.2</f>
        <v>0.65466666666666651</v>
      </c>
      <c r="M962" s="73">
        <f t="shared" ref="M962:M1025" ca="1" si="563">L962*I962</f>
        <v>32.733333333333327</v>
      </c>
      <c r="N962" s="12" t="s">
        <v>40</v>
      </c>
      <c r="O962" s="47" t="s">
        <v>45</v>
      </c>
      <c r="P962" s="13">
        <f t="shared" si="552"/>
        <v>1.39</v>
      </c>
      <c r="Q962" s="1" t="str">
        <f t="shared" si="553"/>
        <v>50-90 шт - 1,39 руб / шт с НДС</v>
      </c>
      <c r="R962" s="235" t="str">
        <f ca="1">INDIRECT("'Закуп'!k" &amp; A962)</f>
        <v>K195</v>
      </c>
      <c r="S962" s="239">
        <f ca="1">INDIRECT("'Закуп'!o" &amp; A962)</f>
        <v>3.38</v>
      </c>
      <c r="T962" s="226" t="str">
        <f ca="1">INDIRECT("'Закуп'!p" &amp; A962)</f>
        <v>3-3,9 литра</v>
      </c>
      <c r="U962" s="228" t="str">
        <f ca="1">INDIRECT("'Закуп'!v" &amp; A962)</f>
        <v/>
      </c>
      <c r="V962" s="222" t="str">
        <f ca="1">INDIRECT("'Закуп'!w" &amp; A962)</f>
        <v/>
      </c>
      <c r="W962" s="229" t="str">
        <f ca="1">INDIRECT("'Закуп'!H" &amp; A962)</f>
        <v>х</v>
      </c>
      <c r="X962" s="227" t="str">
        <f t="shared" ref="X962" ca="1" si="564">INDIRECT("'Закуп'!g" &amp; A962)</f>
        <v>Ч</v>
      </c>
      <c r="Y962" s="229" t="str">
        <f ca="1">INDIRECT("'Закуп'!i" &amp; A962)</f>
        <v>В</v>
      </c>
      <c r="Z962" s="236" t="str">
        <f ca="1">INDIRECT("'Закуп'!x" &amp; A962)</f>
        <v>100-199 мм</v>
      </c>
      <c r="AA962" s="237" t="str">
        <f ca="1">INDIRECT("'Закуп'!y" &amp; A962)</f>
        <v>100-199 мм</v>
      </c>
      <c r="AB962" s="238" t="str">
        <f ca="1">INDIRECT("'Закуп'!z" &amp; A962)</f>
        <v>100-199 мм</v>
      </c>
      <c r="AC962" s="223" t="str">
        <f t="shared" ca="1" si="556"/>
        <v>150x150x150</v>
      </c>
      <c r="AD962" s="222" t="str">
        <f t="shared" ca="1" si="542"/>
        <v>150x150x150 - 150*150*150 мм</v>
      </c>
    </row>
    <row r="963" spans="1:30" x14ac:dyDescent="0.4">
      <c r="A963" s="230"/>
      <c r="B963" s="8">
        <v>194</v>
      </c>
      <c r="C963" s="14">
        <f t="shared" ca="1" si="533"/>
        <v>0.34</v>
      </c>
      <c r="D963" s="20">
        <f t="shared" ca="1" si="545"/>
        <v>0.40800000000000003</v>
      </c>
      <c r="E963" s="225"/>
      <c r="F963" s="231"/>
      <c r="G963" s="172" t="str">
        <f t="shared" ref="G963:G1026" ca="1" si="565">IF(INDIRECT("'Закуп'!L" &amp; B963)="Sale","Sale","")</f>
        <v/>
      </c>
      <c r="H963" s="93" t="str">
        <f t="shared" ref="H963:H1026" ca="1" si="566">IF(INDIRECT("'Закуп'!F" &amp; B963)=0,"",INDIRECT("'Закуп'!F" &amp; B963))</f>
        <v/>
      </c>
      <c r="I963" s="21">
        <v>100</v>
      </c>
      <c r="J963" s="68">
        <f t="shared" ref="J963:J1026" si="567">K963/1.2</f>
        <v>1.0666666666666667</v>
      </c>
      <c r="K963" s="70">
        <v>1.28</v>
      </c>
      <c r="L963" s="72">
        <f t="shared" ca="1" si="562"/>
        <v>0.58133333333333326</v>
      </c>
      <c r="M963" s="73">
        <f t="shared" ca="1" si="563"/>
        <v>58.133333333333326</v>
      </c>
      <c r="N963" s="12" t="s">
        <v>41</v>
      </c>
      <c r="O963" s="47" t="s">
        <v>45</v>
      </c>
      <c r="P963" s="13">
        <f t="shared" si="552"/>
        <v>1.28</v>
      </c>
      <c r="Q963" s="1" t="str">
        <f t="shared" si="553"/>
        <v>100-290 шт - 1,28 руб / шт с НДС</v>
      </c>
      <c r="R963" s="235"/>
      <c r="S963" s="239"/>
      <c r="T963" s="226"/>
      <c r="U963" s="228"/>
      <c r="V963" s="222"/>
      <c r="W963" s="229"/>
      <c r="X963" s="227"/>
      <c r="Y963" s="229"/>
      <c r="Z963" s="236"/>
      <c r="AA963" s="237"/>
      <c r="AB963" s="238"/>
      <c r="AC963" s="223"/>
      <c r="AD963" s="222"/>
    </row>
    <row r="964" spans="1:30" x14ac:dyDescent="0.4">
      <c r="A964" s="230"/>
      <c r="B964" s="8">
        <v>194</v>
      </c>
      <c r="C964" s="14">
        <f t="shared" ca="1" si="533"/>
        <v>0.34</v>
      </c>
      <c r="D964" s="20">
        <f t="shared" ca="1" si="545"/>
        <v>0.40800000000000003</v>
      </c>
      <c r="E964" s="225"/>
      <c r="F964" s="231"/>
      <c r="G964" s="172" t="str">
        <f t="shared" ca="1" si="565"/>
        <v/>
      </c>
      <c r="H964" s="93" t="str">
        <f t="shared" ca="1" si="566"/>
        <v/>
      </c>
      <c r="I964" s="21">
        <v>300</v>
      </c>
      <c r="J964" s="68">
        <f t="shared" si="567"/>
        <v>0.98333333333333328</v>
      </c>
      <c r="K964" s="70">
        <v>1.18</v>
      </c>
      <c r="L964" s="72">
        <f t="shared" ca="1" si="562"/>
        <v>0.51466666666666661</v>
      </c>
      <c r="M964" s="73">
        <f t="shared" ca="1" si="563"/>
        <v>154.39999999999998</v>
      </c>
      <c r="N964" s="12" t="s">
        <v>42</v>
      </c>
      <c r="O964" s="47" t="s">
        <v>45</v>
      </c>
      <c r="P964" s="13">
        <f t="shared" si="552"/>
        <v>1.18</v>
      </c>
      <c r="Q964" s="1" t="str">
        <f t="shared" si="553"/>
        <v>300-490 шт - 1,18 руб / шт с НДС</v>
      </c>
      <c r="R964" s="235"/>
      <c r="S964" s="239"/>
      <c r="T964" s="226"/>
      <c r="U964" s="228"/>
      <c r="V964" s="222"/>
      <c r="W964" s="229"/>
      <c r="X964" s="227"/>
      <c r="Y964" s="229"/>
      <c r="Z964" s="236"/>
      <c r="AA964" s="237"/>
      <c r="AB964" s="238"/>
      <c r="AC964" s="223"/>
      <c r="AD964" s="222"/>
    </row>
    <row r="965" spans="1:30" x14ac:dyDescent="0.4">
      <c r="A965" s="230"/>
      <c r="B965" s="8">
        <v>194</v>
      </c>
      <c r="C965" s="14">
        <f t="shared" ca="1" si="533"/>
        <v>0.34</v>
      </c>
      <c r="D965" s="20">
        <f t="shared" ca="1" si="545"/>
        <v>0.40800000000000003</v>
      </c>
      <c r="E965" s="225"/>
      <c r="F965" s="231"/>
      <c r="G965" s="172" t="str">
        <f t="shared" ca="1" si="565"/>
        <v/>
      </c>
      <c r="H965" s="93" t="str">
        <f t="shared" ca="1" si="566"/>
        <v/>
      </c>
      <c r="I965" s="21">
        <v>500</v>
      </c>
      <c r="J965" s="68">
        <f t="shared" si="567"/>
        <v>0.89166666666666672</v>
      </c>
      <c r="K965" s="70">
        <v>1.07</v>
      </c>
      <c r="L965" s="72">
        <f t="shared" ca="1" si="562"/>
        <v>0.44133333333333341</v>
      </c>
      <c r="M965" s="73">
        <f t="shared" ca="1" si="563"/>
        <v>220.66666666666671</v>
      </c>
      <c r="N965" s="12" t="s">
        <v>43</v>
      </c>
      <c r="O965" s="47" t="s">
        <v>45</v>
      </c>
      <c r="P965" s="13">
        <f t="shared" si="552"/>
        <v>1.07</v>
      </c>
      <c r="Q965" s="1" t="str">
        <f t="shared" si="553"/>
        <v>500-990 шт - 1,07 руб / шт с НДС</v>
      </c>
      <c r="R965" s="235"/>
      <c r="S965" s="239"/>
      <c r="T965" s="226"/>
      <c r="U965" s="228"/>
      <c r="V965" s="222"/>
      <c r="W965" s="229"/>
      <c r="X965" s="227"/>
      <c r="Y965" s="229"/>
      <c r="Z965" s="236"/>
      <c r="AA965" s="237"/>
      <c r="AB965" s="238"/>
      <c r="AC965" s="223"/>
      <c r="AD965" s="222"/>
    </row>
    <row r="966" spans="1:30" x14ac:dyDescent="0.4">
      <c r="A966" s="230"/>
      <c r="B966" s="8">
        <v>194</v>
      </c>
      <c r="C966" s="14">
        <f t="shared" ca="1" si="533"/>
        <v>0.34</v>
      </c>
      <c r="D966" s="20">
        <f t="shared" ca="1" si="545"/>
        <v>0.40800000000000003</v>
      </c>
      <c r="E966" s="225"/>
      <c r="F966" s="231"/>
      <c r="G966" s="172" t="str">
        <f t="shared" ca="1" si="565"/>
        <v/>
      </c>
      <c r="H966" s="93" t="str">
        <f t="shared" ca="1" si="566"/>
        <v/>
      </c>
      <c r="I966" s="21">
        <v>1000</v>
      </c>
      <c r="J966" s="68">
        <f t="shared" si="567"/>
        <v>0.8</v>
      </c>
      <c r="K966" s="70">
        <v>0.96</v>
      </c>
      <c r="L966" s="72">
        <f t="shared" ca="1" si="562"/>
        <v>0.36799999999999999</v>
      </c>
      <c r="M966" s="73">
        <f t="shared" ca="1" si="563"/>
        <v>368</v>
      </c>
      <c r="N966" s="12" t="s">
        <v>44</v>
      </c>
      <c r="O966" s="47" t="s">
        <v>45</v>
      </c>
      <c r="P966" s="13">
        <f t="shared" si="552"/>
        <v>0.96</v>
      </c>
      <c r="Q966" s="1" t="str">
        <f t="shared" si="553"/>
        <v>1000 + шт - 0,96 руб / шт с НДС</v>
      </c>
      <c r="R966" s="235"/>
      <c r="S966" s="239"/>
      <c r="T966" s="226"/>
      <c r="U966" s="228"/>
      <c r="V966" s="222"/>
      <c r="W966" s="229"/>
      <c r="X966" s="227"/>
      <c r="Y966" s="229"/>
      <c r="Z966" s="236"/>
      <c r="AA966" s="237"/>
      <c r="AB966" s="238"/>
      <c r="AC966" s="223"/>
      <c r="AD966" s="222"/>
    </row>
    <row r="967" spans="1:30" x14ac:dyDescent="0.4">
      <c r="A967" s="230">
        <v>195</v>
      </c>
      <c r="B967" s="8">
        <v>195</v>
      </c>
      <c r="C967" s="14">
        <f t="shared" ca="1" si="533"/>
        <v>0.77</v>
      </c>
      <c r="D967" s="20">
        <f t="shared" ca="1" si="545"/>
        <v>0.92399999999999993</v>
      </c>
      <c r="E967" s="224" t="str">
        <f ca="1">INDIRECT("'Закуп'!D" &amp; A967)</f>
        <v>У</v>
      </c>
      <c r="F967" s="231" t="str">
        <f t="shared" ref="F967" ca="1" si="568">INDIRECT("'Закуп'!E" &amp; B967)</f>
        <v>1135х100х50</v>
      </c>
      <c r="G967" s="172" t="str">
        <f t="shared" ca="1" si="565"/>
        <v/>
      </c>
      <c r="H967" s="93" t="str">
        <f t="shared" ca="1" si="566"/>
        <v/>
      </c>
      <c r="I967" s="21">
        <v>50</v>
      </c>
      <c r="J967" s="68">
        <f t="shared" si="567"/>
        <v>1.8916666666666668</v>
      </c>
      <c r="K967" s="70">
        <v>2.27</v>
      </c>
      <c r="L967" s="72">
        <f t="shared" ca="1" si="562"/>
        <v>0.89733333333333343</v>
      </c>
      <c r="M967" s="73">
        <f t="shared" ca="1" si="563"/>
        <v>44.866666666666674</v>
      </c>
      <c r="N967" s="12" t="s">
        <v>40</v>
      </c>
      <c r="O967" s="47" t="s">
        <v>45</v>
      </c>
      <c r="P967" s="13">
        <f t="shared" si="552"/>
        <v>2.27</v>
      </c>
      <c r="Q967" s="1" t="str">
        <f t="shared" si="553"/>
        <v>50-90 шт - 2,27 руб / шт с НДС</v>
      </c>
      <c r="R967" s="235" t="str">
        <f ca="1">INDIRECT("'Закуп'!k" &amp; A967)</f>
        <v>K196</v>
      </c>
      <c r="S967" s="239">
        <f ca="1">INDIRECT("'Закуп'!o" &amp; A967)</f>
        <v>5.68</v>
      </c>
      <c r="T967" s="226" t="str">
        <f ca="1">INDIRECT("'Закуп'!p" &amp; A967)</f>
        <v>4-5,9 литра</v>
      </c>
      <c r="U967" s="228" t="str">
        <f ca="1">INDIRECT("'Закуп'!v" &amp; A967)</f>
        <v>Длинные</v>
      </c>
      <c r="V967" s="222" t="str">
        <f ca="1">INDIRECT("'Закуп'!w" &amp; A967)</f>
        <v>Плоские</v>
      </c>
      <c r="W967" s="229" t="str">
        <f ca="1">INDIRECT("'Закуп'!H" &amp; A967)</f>
        <v>х</v>
      </c>
      <c r="X967" s="227" t="str">
        <f t="shared" ref="X967" ca="1" si="569">INDIRECT("'Закуп'!g" &amp; A967)</f>
        <v>Ч</v>
      </c>
      <c r="Y967" s="229" t="str">
        <f ca="1">INDIRECT("'Закуп'!i" &amp; A967)</f>
        <v>В</v>
      </c>
      <c r="Z967" s="236" t="str">
        <f ca="1">INDIRECT("'Закуп'!x" &amp; A967)</f>
        <v>1000+ мм</v>
      </c>
      <c r="AA967" s="237" t="str">
        <f ca="1">INDIRECT("'Закуп'!y" &amp; A967)</f>
        <v>100-199 мм</v>
      </c>
      <c r="AB967" s="238" t="str">
        <f ca="1">INDIRECT("'Закуп'!z" &amp; A967)</f>
        <v>10-99 мм</v>
      </c>
      <c r="AC967" s="223" t="str">
        <f t="shared" ca="1" si="556"/>
        <v>1135x100x50</v>
      </c>
      <c r="AD967" s="222" t="str">
        <f t="shared" ca="1" si="542"/>
        <v>1135x100x50 - 1135*100*50 мм</v>
      </c>
    </row>
    <row r="968" spans="1:30" x14ac:dyDescent="0.4">
      <c r="A968" s="230"/>
      <c r="B968" s="8">
        <v>195</v>
      </c>
      <c r="C968" s="14">
        <f t="shared" ca="1" si="533"/>
        <v>0.77</v>
      </c>
      <c r="D968" s="20">
        <f t="shared" ca="1" si="545"/>
        <v>0.92399999999999993</v>
      </c>
      <c r="E968" s="225"/>
      <c r="F968" s="231"/>
      <c r="G968" s="172" t="str">
        <f t="shared" ca="1" si="565"/>
        <v/>
      </c>
      <c r="H968" s="93" t="str">
        <f t="shared" ca="1" si="566"/>
        <v/>
      </c>
      <c r="I968" s="21">
        <v>100</v>
      </c>
      <c r="J968" s="68">
        <f t="shared" si="567"/>
        <v>1.7583333333333333</v>
      </c>
      <c r="K968" s="70">
        <v>2.11</v>
      </c>
      <c r="L968" s="72">
        <f t="shared" ca="1" si="562"/>
        <v>0.79066666666666663</v>
      </c>
      <c r="M968" s="73">
        <f t="shared" ca="1" si="563"/>
        <v>79.066666666666663</v>
      </c>
      <c r="N968" s="12" t="s">
        <v>41</v>
      </c>
      <c r="O968" s="47" t="s">
        <v>45</v>
      </c>
      <c r="P968" s="13">
        <f t="shared" si="552"/>
        <v>2.11</v>
      </c>
      <c r="Q968" s="1" t="str">
        <f t="shared" si="553"/>
        <v>100-290 шт - 2,11 руб / шт с НДС</v>
      </c>
      <c r="R968" s="235"/>
      <c r="S968" s="239"/>
      <c r="T968" s="226"/>
      <c r="U968" s="228"/>
      <c r="V968" s="222"/>
      <c r="W968" s="229"/>
      <c r="X968" s="227"/>
      <c r="Y968" s="229"/>
      <c r="Z968" s="236"/>
      <c r="AA968" s="237"/>
      <c r="AB968" s="238"/>
      <c r="AC968" s="223"/>
      <c r="AD968" s="222"/>
    </row>
    <row r="969" spans="1:30" x14ac:dyDescent="0.4">
      <c r="A969" s="230"/>
      <c r="B969" s="8">
        <v>195</v>
      </c>
      <c r="C969" s="14">
        <f t="shared" ref="C969:C1032" ca="1" si="570">INDIRECT("'Закуп'!A" &amp; B969)</f>
        <v>0.77</v>
      </c>
      <c r="D969" s="20">
        <f t="shared" ca="1" si="545"/>
        <v>0.92399999999999993</v>
      </c>
      <c r="E969" s="225"/>
      <c r="F969" s="231"/>
      <c r="G969" s="172" t="str">
        <f t="shared" ca="1" si="565"/>
        <v/>
      </c>
      <c r="H969" s="93" t="str">
        <f t="shared" ca="1" si="566"/>
        <v/>
      </c>
      <c r="I969" s="21">
        <v>300</v>
      </c>
      <c r="J969" s="68">
        <f t="shared" si="567"/>
        <v>1.625</v>
      </c>
      <c r="K969" s="70">
        <v>1.95</v>
      </c>
      <c r="L969" s="72">
        <f t="shared" ca="1" si="562"/>
        <v>0.68399999999999994</v>
      </c>
      <c r="M969" s="73">
        <f t="shared" ca="1" si="563"/>
        <v>205.2</v>
      </c>
      <c r="N969" s="12" t="s">
        <v>42</v>
      </c>
      <c r="O969" s="47" t="s">
        <v>45</v>
      </c>
      <c r="P969" s="13">
        <f t="shared" si="552"/>
        <v>1.95</v>
      </c>
      <c r="Q969" s="1" t="str">
        <f t="shared" si="553"/>
        <v>300-490 шт - 1,95 руб / шт с НДС</v>
      </c>
      <c r="R969" s="235"/>
      <c r="S969" s="239"/>
      <c r="T969" s="226"/>
      <c r="U969" s="228"/>
      <c r="V969" s="222"/>
      <c r="W969" s="229"/>
      <c r="X969" s="227"/>
      <c r="Y969" s="229"/>
      <c r="Z969" s="236"/>
      <c r="AA969" s="237"/>
      <c r="AB969" s="238"/>
      <c r="AC969" s="223"/>
      <c r="AD969" s="222"/>
    </row>
    <row r="970" spans="1:30" x14ac:dyDescent="0.4">
      <c r="A970" s="230"/>
      <c r="B970" s="8">
        <v>195</v>
      </c>
      <c r="C970" s="14">
        <f t="shared" ca="1" si="570"/>
        <v>0.77</v>
      </c>
      <c r="D970" s="20">
        <f t="shared" ca="1" si="545"/>
        <v>0.92399999999999993</v>
      </c>
      <c r="E970" s="225"/>
      <c r="F970" s="231"/>
      <c r="G970" s="172" t="str">
        <f t="shared" ca="1" si="565"/>
        <v/>
      </c>
      <c r="H970" s="93" t="str">
        <f t="shared" ca="1" si="566"/>
        <v/>
      </c>
      <c r="I970" s="21">
        <v>500</v>
      </c>
      <c r="J970" s="68">
        <f t="shared" si="567"/>
        <v>1.5333333333333334</v>
      </c>
      <c r="K970" s="70">
        <v>1.84</v>
      </c>
      <c r="L970" s="72">
        <f t="shared" ca="1" si="562"/>
        <v>0.61066666666666669</v>
      </c>
      <c r="M970" s="73">
        <f t="shared" ca="1" si="563"/>
        <v>305.33333333333337</v>
      </c>
      <c r="N970" s="12" t="s">
        <v>43</v>
      </c>
      <c r="O970" s="47" t="s">
        <v>45</v>
      </c>
      <c r="P970" s="13">
        <f t="shared" si="552"/>
        <v>1.84</v>
      </c>
      <c r="Q970" s="1" t="str">
        <f t="shared" si="553"/>
        <v>500-990 шт - 1,84 руб / шт с НДС</v>
      </c>
      <c r="R970" s="235"/>
      <c r="S970" s="239"/>
      <c r="T970" s="226"/>
      <c r="U970" s="228"/>
      <c r="V970" s="222"/>
      <c r="W970" s="229"/>
      <c r="X970" s="227"/>
      <c r="Y970" s="229"/>
      <c r="Z970" s="236"/>
      <c r="AA970" s="237"/>
      <c r="AB970" s="238"/>
      <c r="AC970" s="223"/>
      <c r="AD970" s="222"/>
    </row>
    <row r="971" spans="1:30" x14ac:dyDescent="0.4">
      <c r="A971" s="230"/>
      <c r="B971" s="8">
        <v>195</v>
      </c>
      <c r="C971" s="14">
        <f t="shared" ca="1" si="570"/>
        <v>0.77</v>
      </c>
      <c r="D971" s="20">
        <f t="shared" ca="1" si="545"/>
        <v>0.92399999999999993</v>
      </c>
      <c r="E971" s="225"/>
      <c r="F971" s="231"/>
      <c r="G971" s="172" t="str">
        <f t="shared" ca="1" si="565"/>
        <v/>
      </c>
      <c r="H971" s="93" t="str">
        <f t="shared" ca="1" si="566"/>
        <v/>
      </c>
      <c r="I971" s="21">
        <v>1000</v>
      </c>
      <c r="J971" s="68">
        <f t="shared" si="567"/>
        <v>1.4416666666666667</v>
      </c>
      <c r="K971" s="70">
        <v>1.73</v>
      </c>
      <c r="L971" s="72">
        <f t="shared" ca="1" si="562"/>
        <v>0.53733333333333333</v>
      </c>
      <c r="M971" s="73">
        <f t="shared" ca="1" si="563"/>
        <v>537.33333333333337</v>
      </c>
      <c r="N971" s="12" t="s">
        <v>44</v>
      </c>
      <c r="O971" s="47" t="s">
        <v>45</v>
      </c>
      <c r="P971" s="13">
        <f t="shared" si="552"/>
        <v>1.73</v>
      </c>
      <c r="Q971" s="1" t="str">
        <f t="shared" si="553"/>
        <v>1000 + шт - 1,73 руб / шт с НДС</v>
      </c>
      <c r="R971" s="235"/>
      <c r="S971" s="239"/>
      <c r="T971" s="226"/>
      <c r="U971" s="228"/>
      <c r="V971" s="222"/>
      <c r="W971" s="229"/>
      <c r="X971" s="227"/>
      <c r="Y971" s="229"/>
      <c r="Z971" s="236"/>
      <c r="AA971" s="237"/>
      <c r="AB971" s="238"/>
      <c r="AC971" s="223"/>
      <c r="AD971" s="222"/>
    </row>
    <row r="972" spans="1:30" x14ac:dyDescent="0.4">
      <c r="A972" s="230">
        <v>196</v>
      </c>
      <c r="B972" s="8">
        <v>196</v>
      </c>
      <c r="C972" s="14">
        <f t="shared" ca="1" si="570"/>
        <v>0.23</v>
      </c>
      <c r="D972" s="20">
        <f t="shared" ca="1" si="545"/>
        <v>0.27600000000000002</v>
      </c>
      <c r="E972" s="224" t="str">
        <f ca="1">INDIRECT("'Закуп'!D" &amp; A972)</f>
        <v>У</v>
      </c>
      <c r="F972" s="231" t="str">
        <f t="shared" ref="F972" ca="1" si="571">INDIRECT("'Закуп'!E" &amp; B972)</f>
        <v>125х110х60</v>
      </c>
      <c r="G972" s="172" t="str">
        <f t="shared" ca="1" si="565"/>
        <v/>
      </c>
      <c r="H972" s="93" t="str">
        <f t="shared" ca="1" si="566"/>
        <v/>
      </c>
      <c r="I972" s="21">
        <v>50</v>
      </c>
      <c r="J972" s="68">
        <f t="shared" si="567"/>
        <v>0.8</v>
      </c>
      <c r="K972" s="70">
        <v>0.96</v>
      </c>
      <c r="L972" s="72">
        <f t="shared" ca="1" si="562"/>
        <v>0.45600000000000007</v>
      </c>
      <c r="M972" s="73">
        <f t="shared" ca="1" si="563"/>
        <v>22.800000000000004</v>
      </c>
      <c r="N972" s="12" t="s">
        <v>40</v>
      </c>
      <c r="O972" s="47" t="s">
        <v>45</v>
      </c>
      <c r="P972" s="13">
        <f t="shared" si="552"/>
        <v>0.96</v>
      </c>
      <c r="Q972" s="1" t="str">
        <f t="shared" si="553"/>
        <v>50-90 шт - 0,96 руб / шт с НДС</v>
      </c>
      <c r="R972" s="235" t="str">
        <f ca="1">INDIRECT("'Закуп'!k" &amp; A972)</f>
        <v>K197</v>
      </c>
      <c r="S972" s="239">
        <f ca="1">INDIRECT("'Закуп'!o" &amp; A972)</f>
        <v>0.83</v>
      </c>
      <c r="T972" s="226" t="str">
        <f ca="1">INDIRECT("'Закуп'!p" &amp; A972)</f>
        <v>0,1-0,9 литров</v>
      </c>
      <c r="U972" s="228" t="str">
        <f ca="1">INDIRECT("'Закуп'!v" &amp; A972)</f>
        <v/>
      </c>
      <c r="V972" s="222" t="str">
        <f ca="1">INDIRECT("'Закуп'!w" &amp; A972)</f>
        <v/>
      </c>
      <c r="W972" s="229" t="str">
        <f ca="1">INDIRECT("'Закуп'!H" &amp; A972)</f>
        <v>х</v>
      </c>
      <c r="X972" s="227" t="str">
        <f t="shared" ref="X972" ca="1" si="572">INDIRECT("'Закуп'!g" &amp; A972)</f>
        <v>С</v>
      </c>
      <c r="Y972" s="229" t="str">
        <f ca="1">INDIRECT("'Закуп'!i" &amp; A972)</f>
        <v>В</v>
      </c>
      <c r="Z972" s="236" t="str">
        <f ca="1">INDIRECT("'Закуп'!x" &amp; A972)</f>
        <v>100-199 мм</v>
      </c>
      <c r="AA972" s="237" t="str">
        <f ca="1">INDIRECT("'Закуп'!y" &amp; A972)</f>
        <v>100-199 мм</v>
      </c>
      <c r="AB972" s="238" t="str">
        <f ca="1">INDIRECT("'Закуп'!z" &amp; A972)</f>
        <v>10-99 мм</v>
      </c>
      <c r="AC972" s="223" t="str">
        <f t="shared" ca="1" si="556"/>
        <v>125x110x60</v>
      </c>
      <c r="AD972" s="222" t="str">
        <f t="shared" ca="1" si="542"/>
        <v>125x110x60 - 125*110*60 мм</v>
      </c>
    </row>
    <row r="973" spans="1:30" x14ac:dyDescent="0.4">
      <c r="A973" s="230"/>
      <c r="B973" s="8">
        <v>196</v>
      </c>
      <c r="C973" s="14">
        <f t="shared" ca="1" si="570"/>
        <v>0.23</v>
      </c>
      <c r="D973" s="20">
        <f t="shared" ca="1" si="545"/>
        <v>0.27600000000000002</v>
      </c>
      <c r="E973" s="225"/>
      <c r="F973" s="231"/>
      <c r="G973" s="172" t="str">
        <f t="shared" ca="1" si="565"/>
        <v/>
      </c>
      <c r="H973" s="93" t="str">
        <f t="shared" ca="1" si="566"/>
        <v/>
      </c>
      <c r="I973" s="21">
        <v>100</v>
      </c>
      <c r="J973" s="68">
        <f t="shared" si="567"/>
        <v>0.71666666666666667</v>
      </c>
      <c r="K973" s="70">
        <v>0.86</v>
      </c>
      <c r="L973" s="72">
        <f t="shared" ca="1" si="562"/>
        <v>0.38933333333333336</v>
      </c>
      <c r="M973" s="73">
        <f t="shared" ca="1" si="563"/>
        <v>38.933333333333337</v>
      </c>
      <c r="N973" s="12" t="s">
        <v>41</v>
      </c>
      <c r="O973" s="47" t="s">
        <v>45</v>
      </c>
      <c r="P973" s="13">
        <f t="shared" si="552"/>
        <v>0.86</v>
      </c>
      <c r="Q973" s="1" t="str">
        <f t="shared" si="553"/>
        <v>100-290 шт - 0,86 руб / шт с НДС</v>
      </c>
      <c r="R973" s="235"/>
      <c r="S973" s="239"/>
      <c r="T973" s="226"/>
      <c r="U973" s="228"/>
      <c r="V973" s="222"/>
      <c r="W973" s="229"/>
      <c r="X973" s="227"/>
      <c r="Y973" s="229"/>
      <c r="Z973" s="236"/>
      <c r="AA973" s="237"/>
      <c r="AB973" s="238"/>
      <c r="AC973" s="223"/>
      <c r="AD973" s="222"/>
    </row>
    <row r="974" spans="1:30" x14ac:dyDescent="0.4">
      <c r="A974" s="230"/>
      <c r="B974" s="8">
        <v>196</v>
      </c>
      <c r="C974" s="14">
        <f t="shared" ca="1" si="570"/>
        <v>0.23</v>
      </c>
      <c r="D974" s="20">
        <f t="shared" ca="1" si="545"/>
        <v>0.27600000000000002</v>
      </c>
      <c r="E974" s="225"/>
      <c r="F974" s="231"/>
      <c r="G974" s="172" t="str">
        <f t="shared" ca="1" si="565"/>
        <v/>
      </c>
      <c r="H974" s="93" t="str">
        <f t="shared" ca="1" si="566"/>
        <v/>
      </c>
      <c r="I974" s="21">
        <v>300</v>
      </c>
      <c r="J974" s="68">
        <f t="shared" si="567"/>
        <v>0.625</v>
      </c>
      <c r="K974" s="70">
        <v>0.75</v>
      </c>
      <c r="L974" s="72">
        <f t="shared" ca="1" si="562"/>
        <v>0.316</v>
      </c>
      <c r="M974" s="73">
        <f t="shared" ca="1" si="563"/>
        <v>94.8</v>
      </c>
      <c r="N974" s="12" t="s">
        <v>42</v>
      </c>
      <c r="O974" s="47" t="s">
        <v>45</v>
      </c>
      <c r="P974" s="13">
        <f t="shared" si="552"/>
        <v>0.75</v>
      </c>
      <c r="Q974" s="1" t="str">
        <f t="shared" si="553"/>
        <v>300-490 шт - 0,75 руб / шт с НДС</v>
      </c>
      <c r="R974" s="235"/>
      <c r="S974" s="239"/>
      <c r="T974" s="226"/>
      <c r="U974" s="228"/>
      <c r="V974" s="222"/>
      <c r="W974" s="229"/>
      <c r="X974" s="227"/>
      <c r="Y974" s="229"/>
      <c r="Z974" s="236"/>
      <c r="AA974" s="237"/>
      <c r="AB974" s="238"/>
      <c r="AC974" s="223"/>
      <c r="AD974" s="222"/>
    </row>
    <row r="975" spans="1:30" x14ac:dyDescent="0.4">
      <c r="A975" s="230"/>
      <c r="B975" s="8">
        <v>196</v>
      </c>
      <c r="C975" s="14">
        <f t="shared" ca="1" si="570"/>
        <v>0.23</v>
      </c>
      <c r="D975" s="20">
        <f t="shared" ca="1" si="545"/>
        <v>0.27600000000000002</v>
      </c>
      <c r="E975" s="225"/>
      <c r="F975" s="231"/>
      <c r="G975" s="172" t="str">
        <f t="shared" ca="1" si="565"/>
        <v/>
      </c>
      <c r="H975" s="93" t="str">
        <f t="shared" ca="1" si="566"/>
        <v/>
      </c>
      <c r="I975" s="21">
        <v>500</v>
      </c>
      <c r="J975" s="68">
        <f t="shared" si="567"/>
        <v>0.53333333333333333</v>
      </c>
      <c r="K975" s="70">
        <v>0.64</v>
      </c>
      <c r="L975" s="72">
        <f t="shared" ca="1" si="562"/>
        <v>0.24266666666666667</v>
      </c>
      <c r="M975" s="73">
        <f t="shared" ca="1" si="563"/>
        <v>121.33333333333333</v>
      </c>
      <c r="N975" s="12" t="s">
        <v>43</v>
      </c>
      <c r="O975" s="47" t="s">
        <v>45</v>
      </c>
      <c r="P975" s="13">
        <f t="shared" si="552"/>
        <v>0.64</v>
      </c>
      <c r="Q975" s="1" t="str">
        <f t="shared" si="553"/>
        <v>500-990 шт - 0,64 руб / шт с НДС</v>
      </c>
      <c r="R975" s="235"/>
      <c r="S975" s="239"/>
      <c r="T975" s="226"/>
      <c r="U975" s="228"/>
      <c r="V975" s="222"/>
      <c r="W975" s="229"/>
      <c r="X975" s="227"/>
      <c r="Y975" s="229"/>
      <c r="Z975" s="236"/>
      <c r="AA975" s="237"/>
      <c r="AB975" s="238"/>
      <c r="AC975" s="223"/>
      <c r="AD975" s="222"/>
    </row>
    <row r="976" spans="1:30" x14ac:dyDescent="0.4">
      <c r="A976" s="230"/>
      <c r="B976" s="8">
        <v>196</v>
      </c>
      <c r="C976" s="14">
        <f t="shared" ca="1" si="570"/>
        <v>0.23</v>
      </c>
      <c r="D976" s="20">
        <f t="shared" ca="1" si="545"/>
        <v>0.27600000000000002</v>
      </c>
      <c r="E976" s="225"/>
      <c r="F976" s="231"/>
      <c r="G976" s="172" t="str">
        <f t="shared" ca="1" si="565"/>
        <v/>
      </c>
      <c r="H976" s="93" t="str">
        <f t="shared" ca="1" si="566"/>
        <v/>
      </c>
      <c r="I976" s="21">
        <v>1000</v>
      </c>
      <c r="J976" s="68">
        <f t="shared" si="567"/>
        <v>0.45000000000000007</v>
      </c>
      <c r="K976" s="70">
        <v>0.54</v>
      </c>
      <c r="L976" s="72">
        <f t="shared" ca="1" si="562"/>
        <v>0.17600000000000005</v>
      </c>
      <c r="M976" s="73">
        <f t="shared" ca="1" si="563"/>
        <v>176.00000000000006</v>
      </c>
      <c r="N976" s="12" t="s">
        <v>44</v>
      </c>
      <c r="O976" s="47" t="s">
        <v>45</v>
      </c>
      <c r="P976" s="13">
        <f t="shared" si="552"/>
        <v>0.54</v>
      </c>
      <c r="Q976" s="1" t="str">
        <f t="shared" si="553"/>
        <v>1000 + шт - 0,54 руб / шт с НДС</v>
      </c>
      <c r="R976" s="235"/>
      <c r="S976" s="239"/>
      <c r="T976" s="226"/>
      <c r="U976" s="228"/>
      <c r="V976" s="222"/>
      <c r="W976" s="229"/>
      <c r="X976" s="227"/>
      <c r="Y976" s="229"/>
      <c r="Z976" s="236"/>
      <c r="AA976" s="237"/>
      <c r="AB976" s="238"/>
      <c r="AC976" s="223"/>
      <c r="AD976" s="222"/>
    </row>
    <row r="977" spans="1:30" x14ac:dyDescent="0.4">
      <c r="A977" s="230">
        <v>197</v>
      </c>
      <c r="B977" s="8">
        <v>197</v>
      </c>
      <c r="C977" s="14">
        <f t="shared" ca="1" si="570"/>
        <v>0.19</v>
      </c>
      <c r="D977" s="20">
        <f t="shared" ca="1" si="545"/>
        <v>0.22799999999999998</v>
      </c>
      <c r="E977" s="224" t="str">
        <f ca="1">INDIRECT("'Закуп'!D" &amp; A977)</f>
        <v>У</v>
      </c>
      <c r="F977" s="231" t="str">
        <f t="shared" ref="F977" ca="1" si="573">INDIRECT("'Закуп'!E" &amp; B977)</f>
        <v>120х80х30</v>
      </c>
      <c r="G977" s="172" t="str">
        <f t="shared" ca="1" si="565"/>
        <v/>
      </c>
      <c r="H977" s="93" t="str">
        <f t="shared" ca="1" si="566"/>
        <v/>
      </c>
      <c r="I977" s="21">
        <v>50</v>
      </c>
      <c r="J977" s="68">
        <f t="shared" si="567"/>
        <v>0.8</v>
      </c>
      <c r="K977" s="70">
        <v>0.96</v>
      </c>
      <c r="L977" s="72">
        <f t="shared" ca="1" si="562"/>
        <v>0.4880000000000001</v>
      </c>
      <c r="M977" s="73">
        <f t="shared" ca="1" si="563"/>
        <v>24.400000000000006</v>
      </c>
      <c r="N977" s="12" t="s">
        <v>40</v>
      </c>
      <c r="O977" s="47" t="s">
        <v>45</v>
      </c>
      <c r="P977" s="13">
        <f t="shared" si="552"/>
        <v>0.96</v>
      </c>
      <c r="Q977" s="1" t="str">
        <f t="shared" si="553"/>
        <v>50-90 шт - 0,96 руб / шт с НДС</v>
      </c>
      <c r="R977" s="235" t="str">
        <f ca="1">INDIRECT("'Закуп'!k" &amp; A977)</f>
        <v>K198</v>
      </c>
      <c r="S977" s="239">
        <f ca="1">INDIRECT("'Закуп'!o" &amp; A977)</f>
        <v>0.28999999999999998</v>
      </c>
      <c r="T977" s="226" t="str">
        <f ca="1">INDIRECT("'Закуп'!p" &amp; A977)</f>
        <v>0,1-0,9 литров</v>
      </c>
      <c r="U977" s="228" t="str">
        <f ca="1">INDIRECT("'Закуп'!v" &amp; A977)</f>
        <v/>
      </c>
      <c r="V977" s="222" t="str">
        <f ca="1">INDIRECT("'Закуп'!w" &amp; A977)</f>
        <v>Плоские</v>
      </c>
      <c r="W977" s="229" t="str">
        <f ca="1">INDIRECT("'Закуп'!H" &amp; A977)</f>
        <v>х</v>
      </c>
      <c r="X977" s="227" t="str">
        <f t="shared" ref="X977" ca="1" si="574">INDIRECT("'Закуп'!g" &amp; A977)</f>
        <v>С</v>
      </c>
      <c r="Y977" s="229" t="str">
        <f ca="1">INDIRECT("'Закуп'!i" &amp; A977)</f>
        <v>Е</v>
      </c>
      <c r="Z977" s="236" t="str">
        <f ca="1">INDIRECT("'Закуп'!x" &amp; A977)</f>
        <v>100-199 мм</v>
      </c>
      <c r="AA977" s="237" t="str">
        <f ca="1">INDIRECT("'Закуп'!y" &amp; A977)</f>
        <v>10-99 мм</v>
      </c>
      <c r="AB977" s="238" t="str">
        <f ca="1">INDIRECT("'Закуп'!z" &amp; A977)</f>
        <v>10-99 мм</v>
      </c>
      <c r="AC977" s="223" t="str">
        <f t="shared" ca="1" si="556"/>
        <v>120x80x30</v>
      </c>
      <c r="AD977" s="222" t="str">
        <f t="shared" ca="1" si="542"/>
        <v>120x80x30 - 120*80*30 мм</v>
      </c>
    </row>
    <row r="978" spans="1:30" x14ac:dyDescent="0.4">
      <c r="A978" s="230"/>
      <c r="B978" s="8">
        <v>197</v>
      </c>
      <c r="C978" s="14">
        <f t="shared" ca="1" si="570"/>
        <v>0.19</v>
      </c>
      <c r="D978" s="20">
        <f t="shared" ca="1" si="545"/>
        <v>0.22799999999999998</v>
      </c>
      <c r="E978" s="225"/>
      <c r="F978" s="231"/>
      <c r="G978" s="172" t="str">
        <f t="shared" ca="1" si="565"/>
        <v/>
      </c>
      <c r="H978" s="93" t="str">
        <f t="shared" ca="1" si="566"/>
        <v/>
      </c>
      <c r="I978" s="21">
        <v>100</v>
      </c>
      <c r="J978" s="68">
        <f t="shared" si="567"/>
        <v>0.71666666666666667</v>
      </c>
      <c r="K978" s="70">
        <v>0.86</v>
      </c>
      <c r="L978" s="72">
        <f t="shared" ca="1" si="562"/>
        <v>0.42133333333333328</v>
      </c>
      <c r="M978" s="73">
        <f t="shared" ca="1" si="563"/>
        <v>42.133333333333326</v>
      </c>
      <c r="N978" s="12" t="s">
        <v>41</v>
      </c>
      <c r="O978" s="47" t="s">
        <v>45</v>
      </c>
      <c r="P978" s="13">
        <f t="shared" si="552"/>
        <v>0.86</v>
      </c>
      <c r="Q978" s="1" t="str">
        <f t="shared" si="553"/>
        <v>100-290 шт - 0,86 руб / шт с НДС</v>
      </c>
      <c r="R978" s="235"/>
      <c r="S978" s="239"/>
      <c r="T978" s="226"/>
      <c r="U978" s="228"/>
      <c r="V978" s="222"/>
      <c r="W978" s="229"/>
      <c r="X978" s="227"/>
      <c r="Y978" s="229"/>
      <c r="Z978" s="236"/>
      <c r="AA978" s="237"/>
      <c r="AB978" s="238"/>
      <c r="AC978" s="223"/>
      <c r="AD978" s="222"/>
    </row>
    <row r="979" spans="1:30" x14ac:dyDescent="0.4">
      <c r="A979" s="230"/>
      <c r="B979" s="8">
        <v>197</v>
      </c>
      <c r="C979" s="14">
        <f t="shared" ca="1" si="570"/>
        <v>0.19</v>
      </c>
      <c r="D979" s="20">
        <f t="shared" ca="1" si="545"/>
        <v>0.22799999999999998</v>
      </c>
      <c r="E979" s="225"/>
      <c r="F979" s="231"/>
      <c r="G979" s="172" t="str">
        <f t="shared" ca="1" si="565"/>
        <v/>
      </c>
      <c r="H979" s="93" t="str">
        <f t="shared" ca="1" si="566"/>
        <v/>
      </c>
      <c r="I979" s="21">
        <v>300</v>
      </c>
      <c r="J979" s="68">
        <f t="shared" si="567"/>
        <v>0.625</v>
      </c>
      <c r="K979" s="70">
        <v>0.75</v>
      </c>
      <c r="L979" s="72">
        <f t="shared" ca="1" si="562"/>
        <v>0.34799999999999998</v>
      </c>
      <c r="M979" s="73">
        <f t="shared" ca="1" si="563"/>
        <v>104.39999999999999</v>
      </c>
      <c r="N979" s="12" t="s">
        <v>42</v>
      </c>
      <c r="O979" s="47" t="s">
        <v>45</v>
      </c>
      <c r="P979" s="13">
        <f t="shared" si="552"/>
        <v>0.75</v>
      </c>
      <c r="Q979" s="1" t="str">
        <f t="shared" si="553"/>
        <v>300-490 шт - 0,75 руб / шт с НДС</v>
      </c>
      <c r="R979" s="235"/>
      <c r="S979" s="239"/>
      <c r="T979" s="226"/>
      <c r="U979" s="228"/>
      <c r="V979" s="222"/>
      <c r="W979" s="229"/>
      <c r="X979" s="227"/>
      <c r="Y979" s="229"/>
      <c r="Z979" s="236"/>
      <c r="AA979" s="237"/>
      <c r="AB979" s="238"/>
      <c r="AC979" s="223"/>
      <c r="AD979" s="222"/>
    </row>
    <row r="980" spans="1:30" x14ac:dyDescent="0.4">
      <c r="A980" s="230"/>
      <c r="B980" s="8">
        <v>197</v>
      </c>
      <c r="C980" s="14">
        <f t="shared" ca="1" si="570"/>
        <v>0.19</v>
      </c>
      <c r="D980" s="20">
        <f t="shared" ca="1" si="545"/>
        <v>0.22799999999999998</v>
      </c>
      <c r="E980" s="225"/>
      <c r="F980" s="231"/>
      <c r="G980" s="172" t="str">
        <f t="shared" ca="1" si="565"/>
        <v/>
      </c>
      <c r="H980" s="93" t="str">
        <f t="shared" ca="1" si="566"/>
        <v/>
      </c>
      <c r="I980" s="21">
        <v>500</v>
      </c>
      <c r="J980" s="68">
        <f t="shared" si="567"/>
        <v>0.53333333333333333</v>
      </c>
      <c r="K980" s="70">
        <v>0.64</v>
      </c>
      <c r="L980" s="72">
        <f t="shared" ca="1" si="562"/>
        <v>0.27466666666666667</v>
      </c>
      <c r="M980" s="73">
        <f t="shared" ca="1" si="563"/>
        <v>137.33333333333334</v>
      </c>
      <c r="N980" s="12" t="s">
        <v>43</v>
      </c>
      <c r="O980" s="47" t="s">
        <v>45</v>
      </c>
      <c r="P980" s="13">
        <f t="shared" si="552"/>
        <v>0.64</v>
      </c>
      <c r="Q980" s="1" t="str">
        <f t="shared" si="553"/>
        <v>500-990 шт - 0,64 руб / шт с НДС</v>
      </c>
      <c r="R980" s="235"/>
      <c r="S980" s="239"/>
      <c r="T980" s="226"/>
      <c r="U980" s="228"/>
      <c r="V980" s="222"/>
      <c r="W980" s="229"/>
      <c r="X980" s="227"/>
      <c r="Y980" s="229"/>
      <c r="Z980" s="236"/>
      <c r="AA980" s="237"/>
      <c r="AB980" s="238"/>
      <c r="AC980" s="223"/>
      <c r="AD980" s="222"/>
    </row>
    <row r="981" spans="1:30" x14ac:dyDescent="0.4">
      <c r="A981" s="230"/>
      <c r="B981" s="8">
        <v>197</v>
      </c>
      <c r="C981" s="14">
        <f t="shared" ca="1" si="570"/>
        <v>0.19</v>
      </c>
      <c r="D981" s="20">
        <f t="shared" ca="1" si="545"/>
        <v>0.22799999999999998</v>
      </c>
      <c r="E981" s="225"/>
      <c r="F981" s="231"/>
      <c r="G981" s="172" t="str">
        <f t="shared" ca="1" si="565"/>
        <v/>
      </c>
      <c r="H981" s="93" t="str">
        <f t="shared" ca="1" si="566"/>
        <v/>
      </c>
      <c r="I981" s="21">
        <v>1000</v>
      </c>
      <c r="J981" s="68">
        <f t="shared" si="567"/>
        <v>0.45000000000000007</v>
      </c>
      <c r="K981" s="70">
        <v>0.54</v>
      </c>
      <c r="L981" s="72">
        <f t="shared" ca="1" si="562"/>
        <v>0.20800000000000005</v>
      </c>
      <c r="M981" s="73">
        <f t="shared" ca="1" si="563"/>
        <v>208.00000000000006</v>
      </c>
      <c r="N981" s="12" t="s">
        <v>44</v>
      </c>
      <c r="O981" s="47" t="s">
        <v>45</v>
      </c>
      <c r="P981" s="13">
        <f t="shared" si="552"/>
        <v>0.54</v>
      </c>
      <c r="Q981" s="1" t="str">
        <f t="shared" si="553"/>
        <v>1000 + шт - 0,54 руб / шт с НДС</v>
      </c>
      <c r="R981" s="235"/>
      <c r="S981" s="239"/>
      <c r="T981" s="226"/>
      <c r="U981" s="228"/>
      <c r="V981" s="222"/>
      <c r="W981" s="229"/>
      <c r="X981" s="227"/>
      <c r="Y981" s="229"/>
      <c r="Z981" s="236"/>
      <c r="AA981" s="237"/>
      <c r="AB981" s="238"/>
      <c r="AC981" s="223"/>
      <c r="AD981" s="222"/>
    </row>
    <row r="982" spans="1:30" x14ac:dyDescent="0.4">
      <c r="A982" s="230">
        <v>198</v>
      </c>
      <c r="B982" s="8">
        <v>198</v>
      </c>
      <c r="C982" s="14">
        <f t="shared" ca="1" si="570"/>
        <v>0.09</v>
      </c>
      <c r="D982" s="20">
        <f t="shared" ca="1" si="545"/>
        <v>0.108</v>
      </c>
      <c r="E982" s="224" t="str">
        <f ca="1">INDIRECT("'Закуп'!D" &amp; A982)</f>
        <v>У</v>
      </c>
      <c r="F982" s="231" t="str">
        <f t="shared" ref="F982" ca="1" si="575">INDIRECT("'Закуп'!E" &amp; B982)</f>
        <v>130х70х40</v>
      </c>
      <c r="G982" s="172" t="str">
        <f t="shared" ca="1" si="565"/>
        <v/>
      </c>
      <c r="H982" s="93" t="str">
        <f t="shared" ca="1" si="566"/>
        <v/>
      </c>
      <c r="I982" s="21">
        <v>50</v>
      </c>
      <c r="J982" s="68">
        <f t="shared" si="567"/>
        <v>0.8</v>
      </c>
      <c r="K982" s="70">
        <v>0.96</v>
      </c>
      <c r="L982" s="72">
        <f t="shared" ca="1" si="562"/>
        <v>0.56800000000000006</v>
      </c>
      <c r="M982" s="73">
        <f t="shared" ca="1" si="563"/>
        <v>28.400000000000002</v>
      </c>
      <c r="N982" s="12" t="s">
        <v>40</v>
      </c>
      <c r="O982" s="47" t="s">
        <v>45</v>
      </c>
      <c r="P982" s="13">
        <f t="shared" si="552"/>
        <v>0.96</v>
      </c>
      <c r="Q982" s="1" t="str">
        <f t="shared" si="553"/>
        <v>50-90 шт - 0,96 руб / шт с НДС</v>
      </c>
      <c r="R982" s="235" t="str">
        <f ca="1">INDIRECT("'Закуп'!k" &amp; A982)</f>
        <v>K199</v>
      </c>
      <c r="S982" s="239">
        <f ca="1">INDIRECT("'Закуп'!o" &amp; A982)</f>
        <v>0.36</v>
      </c>
      <c r="T982" s="226" t="str">
        <f ca="1">INDIRECT("'Закуп'!p" &amp; A982)</f>
        <v>0,1-0,9 литров</v>
      </c>
      <c r="U982" s="228" t="str">
        <f ca="1">INDIRECT("'Закуп'!v" &amp; A982)</f>
        <v/>
      </c>
      <c r="V982" s="222" t="str">
        <f ca="1">INDIRECT("'Закуп'!w" &amp; A982)</f>
        <v/>
      </c>
      <c r="W982" s="229" t="str">
        <f ca="1">INDIRECT("'Закуп'!H" &amp; A982)</f>
        <v>х</v>
      </c>
      <c r="X982" s="227" t="str">
        <f t="shared" ref="X982" ca="1" si="576">INDIRECT("'Закуп'!g" &amp; A982)</f>
        <v>Ч</v>
      </c>
      <c r="Y982" s="229" t="str">
        <f ca="1">INDIRECT("'Закуп'!i" &amp; A982)</f>
        <v>В</v>
      </c>
      <c r="Z982" s="236" t="str">
        <f ca="1">INDIRECT("'Закуп'!x" &amp; A982)</f>
        <v>100-199 мм</v>
      </c>
      <c r="AA982" s="237" t="str">
        <f ca="1">INDIRECT("'Закуп'!y" &amp; A982)</f>
        <v>10-99 мм</v>
      </c>
      <c r="AB982" s="238" t="str">
        <f ca="1">INDIRECT("'Закуп'!z" &amp; A982)</f>
        <v>10-99 мм</v>
      </c>
      <c r="AC982" s="223" t="str">
        <f t="shared" ca="1" si="556"/>
        <v>130x70x40</v>
      </c>
      <c r="AD982" s="222" t="str">
        <f t="shared" ca="1" si="542"/>
        <v>130x70x40 - 130*70*40 мм</v>
      </c>
    </row>
    <row r="983" spans="1:30" x14ac:dyDescent="0.4">
      <c r="A983" s="230"/>
      <c r="B983" s="8">
        <v>198</v>
      </c>
      <c r="C983" s="14">
        <f t="shared" ca="1" si="570"/>
        <v>0.09</v>
      </c>
      <c r="D983" s="20">
        <f t="shared" ca="1" si="545"/>
        <v>0.108</v>
      </c>
      <c r="E983" s="225"/>
      <c r="F983" s="231"/>
      <c r="G983" s="172" t="str">
        <f t="shared" ca="1" si="565"/>
        <v/>
      </c>
      <c r="H983" s="93" t="str">
        <f t="shared" ca="1" si="566"/>
        <v/>
      </c>
      <c r="I983" s="21">
        <v>100</v>
      </c>
      <c r="J983" s="68">
        <f t="shared" si="567"/>
        <v>0.71666666666666667</v>
      </c>
      <c r="K983" s="70">
        <v>0.86</v>
      </c>
      <c r="L983" s="72">
        <f t="shared" ca="1" si="562"/>
        <v>0.50133333333333341</v>
      </c>
      <c r="M983" s="73">
        <f t="shared" ca="1" si="563"/>
        <v>50.13333333333334</v>
      </c>
      <c r="N983" s="12" t="s">
        <v>41</v>
      </c>
      <c r="O983" s="47" t="s">
        <v>45</v>
      </c>
      <c r="P983" s="13">
        <f t="shared" si="552"/>
        <v>0.86</v>
      </c>
      <c r="Q983" s="1" t="str">
        <f t="shared" si="553"/>
        <v>100-290 шт - 0,86 руб / шт с НДС</v>
      </c>
      <c r="R983" s="235"/>
      <c r="S983" s="239"/>
      <c r="T983" s="226"/>
      <c r="U983" s="228"/>
      <c r="V983" s="222"/>
      <c r="W983" s="229"/>
      <c r="X983" s="227"/>
      <c r="Y983" s="229"/>
      <c r="Z983" s="236"/>
      <c r="AA983" s="237"/>
      <c r="AB983" s="238"/>
      <c r="AC983" s="223"/>
      <c r="AD983" s="222"/>
    </row>
    <row r="984" spans="1:30" x14ac:dyDescent="0.4">
      <c r="A984" s="230"/>
      <c r="B984" s="8">
        <v>198</v>
      </c>
      <c r="C984" s="14">
        <f t="shared" ca="1" si="570"/>
        <v>0.09</v>
      </c>
      <c r="D984" s="20">
        <f t="shared" ca="1" si="545"/>
        <v>0.108</v>
      </c>
      <c r="E984" s="225"/>
      <c r="F984" s="231"/>
      <c r="G984" s="172" t="str">
        <f t="shared" ca="1" si="565"/>
        <v/>
      </c>
      <c r="H984" s="93" t="str">
        <f t="shared" ca="1" si="566"/>
        <v/>
      </c>
      <c r="I984" s="21">
        <v>300</v>
      </c>
      <c r="J984" s="68">
        <f t="shared" si="567"/>
        <v>0.625</v>
      </c>
      <c r="K984" s="70">
        <v>0.75</v>
      </c>
      <c r="L984" s="72">
        <f t="shared" ca="1" si="562"/>
        <v>0.42800000000000005</v>
      </c>
      <c r="M984" s="73">
        <f t="shared" ca="1" si="563"/>
        <v>128.4</v>
      </c>
      <c r="N984" s="12" t="s">
        <v>42</v>
      </c>
      <c r="O984" s="47" t="s">
        <v>45</v>
      </c>
      <c r="P984" s="13">
        <f t="shared" si="552"/>
        <v>0.75</v>
      </c>
      <c r="Q984" s="1" t="str">
        <f t="shared" si="553"/>
        <v>300-490 шт - 0,75 руб / шт с НДС</v>
      </c>
      <c r="R984" s="235"/>
      <c r="S984" s="239"/>
      <c r="T984" s="226"/>
      <c r="U984" s="228"/>
      <c r="V984" s="222"/>
      <c r="W984" s="229"/>
      <c r="X984" s="227"/>
      <c r="Y984" s="229"/>
      <c r="Z984" s="236"/>
      <c r="AA984" s="237"/>
      <c r="AB984" s="238"/>
      <c r="AC984" s="223"/>
      <c r="AD984" s="222"/>
    </row>
    <row r="985" spans="1:30" x14ac:dyDescent="0.4">
      <c r="A985" s="230"/>
      <c r="B985" s="8">
        <v>198</v>
      </c>
      <c r="C985" s="14">
        <f t="shared" ca="1" si="570"/>
        <v>0.09</v>
      </c>
      <c r="D985" s="20">
        <f t="shared" ca="1" si="545"/>
        <v>0.108</v>
      </c>
      <c r="E985" s="225"/>
      <c r="F985" s="231"/>
      <c r="G985" s="172" t="str">
        <f t="shared" ca="1" si="565"/>
        <v/>
      </c>
      <c r="H985" s="93" t="str">
        <f t="shared" ca="1" si="566"/>
        <v/>
      </c>
      <c r="I985" s="21">
        <v>500</v>
      </c>
      <c r="J985" s="68">
        <f t="shared" si="567"/>
        <v>0.53333333333333333</v>
      </c>
      <c r="K985" s="70">
        <v>0.64</v>
      </c>
      <c r="L985" s="72">
        <f t="shared" ca="1" si="562"/>
        <v>0.35466666666666669</v>
      </c>
      <c r="M985" s="73">
        <f t="shared" ca="1" si="563"/>
        <v>177.33333333333334</v>
      </c>
      <c r="N985" s="12" t="s">
        <v>43</v>
      </c>
      <c r="O985" s="47" t="s">
        <v>45</v>
      </c>
      <c r="P985" s="13">
        <f t="shared" si="552"/>
        <v>0.64</v>
      </c>
      <c r="Q985" s="1" t="str">
        <f t="shared" si="553"/>
        <v>500-990 шт - 0,64 руб / шт с НДС</v>
      </c>
      <c r="R985" s="235"/>
      <c r="S985" s="239"/>
      <c r="T985" s="226"/>
      <c r="U985" s="228"/>
      <c r="V985" s="222"/>
      <c r="W985" s="229"/>
      <c r="X985" s="227"/>
      <c r="Y985" s="229"/>
      <c r="Z985" s="236"/>
      <c r="AA985" s="237"/>
      <c r="AB985" s="238"/>
      <c r="AC985" s="223"/>
      <c r="AD985" s="222"/>
    </row>
    <row r="986" spans="1:30" x14ac:dyDescent="0.4">
      <c r="A986" s="230"/>
      <c r="B986" s="8">
        <v>198</v>
      </c>
      <c r="C986" s="14">
        <f t="shared" ca="1" si="570"/>
        <v>0.09</v>
      </c>
      <c r="D986" s="20">
        <f t="shared" ca="1" si="545"/>
        <v>0.108</v>
      </c>
      <c r="E986" s="225"/>
      <c r="F986" s="231"/>
      <c r="G986" s="172" t="str">
        <f t="shared" ca="1" si="565"/>
        <v/>
      </c>
      <c r="H986" s="93" t="str">
        <f t="shared" ca="1" si="566"/>
        <v/>
      </c>
      <c r="I986" s="21">
        <v>1000</v>
      </c>
      <c r="J986" s="68">
        <f t="shared" si="567"/>
        <v>0.45000000000000007</v>
      </c>
      <c r="K986" s="70">
        <v>0.54</v>
      </c>
      <c r="L986" s="72">
        <f t="shared" ca="1" si="562"/>
        <v>0.28800000000000009</v>
      </c>
      <c r="M986" s="73">
        <f t="shared" ca="1" si="563"/>
        <v>288.00000000000011</v>
      </c>
      <c r="N986" s="12" t="s">
        <v>44</v>
      </c>
      <c r="O986" s="47" t="s">
        <v>45</v>
      </c>
      <c r="P986" s="13">
        <f t="shared" si="552"/>
        <v>0.54</v>
      </c>
      <c r="Q986" s="1" t="str">
        <f t="shared" si="553"/>
        <v>1000 + шт - 0,54 руб / шт с НДС</v>
      </c>
      <c r="R986" s="235"/>
      <c r="S986" s="239"/>
      <c r="T986" s="226"/>
      <c r="U986" s="228"/>
      <c r="V986" s="222"/>
      <c r="W986" s="229"/>
      <c r="X986" s="227"/>
      <c r="Y986" s="229"/>
      <c r="Z986" s="236"/>
      <c r="AA986" s="237"/>
      <c r="AB986" s="238"/>
      <c r="AC986" s="223"/>
      <c r="AD986" s="222"/>
    </row>
    <row r="987" spans="1:30" x14ac:dyDescent="0.4">
      <c r="A987" s="230">
        <v>199</v>
      </c>
      <c r="B987" s="8">
        <v>199</v>
      </c>
      <c r="C987" s="14">
        <f t="shared" ca="1" si="570"/>
        <v>0.56000000000000005</v>
      </c>
      <c r="D987" s="20">
        <f t="shared" ca="1" si="545"/>
        <v>0.67200000000000004</v>
      </c>
      <c r="E987" s="224" t="str">
        <f ca="1">INDIRECT("'Закуп'!D" &amp; A987)</f>
        <v>У</v>
      </c>
      <c r="F987" s="231" t="str">
        <f t="shared" ref="F987" ca="1" si="577">INDIRECT("'Закуп'!E" &amp; B987)</f>
        <v>240х240х80</v>
      </c>
      <c r="G987" s="172" t="str">
        <f t="shared" ca="1" si="565"/>
        <v/>
      </c>
      <c r="H987" s="93" t="str">
        <f t="shared" ca="1" si="566"/>
        <v/>
      </c>
      <c r="I987" s="21">
        <v>50</v>
      </c>
      <c r="J987" s="68">
        <f t="shared" si="567"/>
        <v>1.3166666666666669</v>
      </c>
      <c r="K987" s="70">
        <v>1.58</v>
      </c>
      <c r="L987" s="72">
        <f t="shared" ca="1" si="562"/>
        <v>0.6053333333333335</v>
      </c>
      <c r="M987" s="73">
        <f t="shared" ca="1" si="563"/>
        <v>30.266666666666676</v>
      </c>
      <c r="N987" s="12" t="s">
        <v>40</v>
      </c>
      <c r="O987" s="47" t="s">
        <v>45</v>
      </c>
      <c r="P987" s="13">
        <f t="shared" si="552"/>
        <v>1.58</v>
      </c>
      <c r="Q987" s="1" t="str">
        <f t="shared" si="553"/>
        <v>50-90 шт - 1,58 руб / шт с НДС</v>
      </c>
      <c r="R987" s="235" t="str">
        <f ca="1">INDIRECT("'Закуп'!k" &amp; A987)</f>
        <v>K200</v>
      </c>
      <c r="S987" s="239">
        <f ca="1">INDIRECT("'Закуп'!o" &amp; A987)</f>
        <v>4.6100000000000003</v>
      </c>
      <c r="T987" s="226" t="str">
        <f ca="1">INDIRECT("'Закуп'!p" &amp; A987)</f>
        <v>4-5,9 литра</v>
      </c>
      <c r="U987" s="228" t="str">
        <f ca="1">INDIRECT("'Закуп'!v" &amp; A987)</f>
        <v/>
      </c>
      <c r="V987" s="222" t="str">
        <f ca="1">INDIRECT("'Закуп'!w" &amp; A987)</f>
        <v>Плоские</v>
      </c>
      <c r="W987" s="229" t="str">
        <f ca="1">INDIRECT("'Закуп'!H" &amp; A987)</f>
        <v>х</v>
      </c>
      <c r="X987" s="227" t="str">
        <f t="shared" ref="X987" ca="1" si="578">INDIRECT("'Закуп'!g" &amp; A987)</f>
        <v>Ч</v>
      </c>
      <c r="Y987" s="229" t="str">
        <f ca="1">INDIRECT("'Закуп'!i" &amp; A987)</f>
        <v>В</v>
      </c>
      <c r="Z987" s="236" t="str">
        <f ca="1">INDIRECT("'Закуп'!x" &amp; A987)</f>
        <v>200-299 мм</v>
      </c>
      <c r="AA987" s="237" t="str">
        <f ca="1">INDIRECT("'Закуп'!y" &amp; A987)</f>
        <v>200-299 мм</v>
      </c>
      <c r="AB987" s="238" t="str">
        <f ca="1">INDIRECT("'Закуп'!z" &amp; A987)</f>
        <v>10-99 мм</v>
      </c>
      <c r="AC987" s="223" t="str">
        <f t="shared" ca="1" si="556"/>
        <v>240x240x80</v>
      </c>
      <c r="AD987" s="222" t="str">
        <f t="shared" ref="AD987:AD1047" ca="1" si="579">SUBSTITUTE(INDEX(F:F, ROUNDUP((ROW(A986))/5,0)*5 - 3), "х", "x") &amp; " - " &amp; SUBSTITUTE(SUBSTITUTE(INDEX(F:F, ROUNDUP((ROW(A986))/5,0)*5 - 3), "х", "*"), "x", "*") &amp; " мм"</f>
        <v>240x240x80 - 240*240*80 мм</v>
      </c>
    </row>
    <row r="988" spans="1:30" x14ac:dyDescent="0.4">
      <c r="A988" s="230"/>
      <c r="B988" s="8">
        <v>199</v>
      </c>
      <c r="C988" s="14">
        <f t="shared" ca="1" si="570"/>
        <v>0.56000000000000005</v>
      </c>
      <c r="D988" s="20">
        <f t="shared" ca="1" si="545"/>
        <v>0.67200000000000004</v>
      </c>
      <c r="E988" s="225"/>
      <c r="F988" s="231"/>
      <c r="G988" s="172" t="str">
        <f t="shared" ca="1" si="565"/>
        <v/>
      </c>
      <c r="H988" s="93" t="str">
        <f t="shared" ca="1" si="566"/>
        <v/>
      </c>
      <c r="I988" s="21">
        <v>100</v>
      </c>
      <c r="J988" s="68">
        <f t="shared" si="567"/>
        <v>1.1916666666666667</v>
      </c>
      <c r="K988" s="70">
        <v>1.43</v>
      </c>
      <c r="L988" s="72">
        <f t="shared" ca="1" si="562"/>
        <v>0.5053333333333333</v>
      </c>
      <c r="M988" s="73">
        <f t="shared" ca="1" si="563"/>
        <v>50.533333333333331</v>
      </c>
      <c r="N988" s="12" t="s">
        <v>41</v>
      </c>
      <c r="O988" s="47" t="s">
        <v>45</v>
      </c>
      <c r="P988" s="13">
        <f t="shared" si="552"/>
        <v>1.43</v>
      </c>
      <c r="Q988" s="1" t="str">
        <f t="shared" si="553"/>
        <v>100-290 шт - 1,43 руб / шт с НДС</v>
      </c>
      <c r="R988" s="235"/>
      <c r="S988" s="239"/>
      <c r="T988" s="226"/>
      <c r="U988" s="228"/>
      <c r="V988" s="222"/>
      <c r="W988" s="229"/>
      <c r="X988" s="227"/>
      <c r="Y988" s="229"/>
      <c r="Z988" s="236"/>
      <c r="AA988" s="237"/>
      <c r="AB988" s="238"/>
      <c r="AC988" s="223"/>
      <c r="AD988" s="222"/>
    </row>
    <row r="989" spans="1:30" x14ac:dyDescent="0.4">
      <c r="A989" s="230"/>
      <c r="B989" s="8">
        <v>199</v>
      </c>
      <c r="C989" s="14">
        <f t="shared" ca="1" si="570"/>
        <v>0.56000000000000005</v>
      </c>
      <c r="D989" s="20">
        <f t="shared" ca="1" si="545"/>
        <v>0.67200000000000004</v>
      </c>
      <c r="E989" s="225"/>
      <c r="F989" s="231"/>
      <c r="G989" s="172" t="str">
        <f t="shared" ca="1" si="565"/>
        <v/>
      </c>
      <c r="H989" s="93" t="str">
        <f t="shared" ca="1" si="566"/>
        <v/>
      </c>
      <c r="I989" s="21">
        <v>300</v>
      </c>
      <c r="J989" s="68">
        <f t="shared" si="567"/>
        <v>0.94166666666666665</v>
      </c>
      <c r="K989" s="70">
        <v>1.1299999999999999</v>
      </c>
      <c r="L989" s="72">
        <f t="shared" ca="1" si="562"/>
        <v>0.30533333333333329</v>
      </c>
      <c r="M989" s="73">
        <f t="shared" ca="1" si="563"/>
        <v>91.59999999999998</v>
      </c>
      <c r="N989" s="12" t="s">
        <v>42</v>
      </c>
      <c r="O989" s="47" t="s">
        <v>45</v>
      </c>
      <c r="P989" s="13">
        <f t="shared" si="552"/>
        <v>1.1299999999999999</v>
      </c>
      <c r="Q989" s="1" t="str">
        <f t="shared" si="553"/>
        <v>300-490 шт - 1,13 руб / шт с НДС</v>
      </c>
      <c r="R989" s="235"/>
      <c r="S989" s="239"/>
      <c r="T989" s="226"/>
      <c r="U989" s="228"/>
      <c r="V989" s="222"/>
      <c r="W989" s="229"/>
      <c r="X989" s="227"/>
      <c r="Y989" s="229"/>
      <c r="Z989" s="236"/>
      <c r="AA989" s="237"/>
      <c r="AB989" s="238"/>
      <c r="AC989" s="223"/>
      <c r="AD989" s="222"/>
    </row>
    <row r="990" spans="1:30" x14ac:dyDescent="0.4">
      <c r="A990" s="230"/>
      <c r="B990" s="8">
        <v>199</v>
      </c>
      <c r="C990" s="14">
        <f t="shared" ca="1" si="570"/>
        <v>0.56000000000000005</v>
      </c>
      <c r="D990" s="20">
        <f t="shared" ca="1" si="545"/>
        <v>0.67200000000000004</v>
      </c>
      <c r="E990" s="225"/>
      <c r="F990" s="231"/>
      <c r="G990" s="172" t="str">
        <f t="shared" ca="1" si="565"/>
        <v/>
      </c>
      <c r="H990" s="93" t="str">
        <f t="shared" ca="1" si="566"/>
        <v/>
      </c>
      <c r="I990" s="21">
        <v>500</v>
      </c>
      <c r="J990" s="68">
        <f t="shared" si="567"/>
        <v>0.88333333333333341</v>
      </c>
      <c r="K990" s="70">
        <v>1.06</v>
      </c>
      <c r="L990" s="72">
        <f t="shared" ca="1" si="562"/>
        <v>0.25866666666666671</v>
      </c>
      <c r="M990" s="73">
        <f t="shared" ca="1" si="563"/>
        <v>129.33333333333334</v>
      </c>
      <c r="N990" s="12" t="s">
        <v>43</v>
      </c>
      <c r="O990" s="47" t="s">
        <v>45</v>
      </c>
      <c r="P990" s="13">
        <f t="shared" si="552"/>
        <v>1.06</v>
      </c>
      <c r="Q990" s="1" t="str">
        <f t="shared" si="553"/>
        <v>500-990 шт - 1,06 руб / шт с НДС</v>
      </c>
      <c r="R990" s="235"/>
      <c r="S990" s="239"/>
      <c r="T990" s="226"/>
      <c r="U990" s="228"/>
      <c r="V990" s="222"/>
      <c r="W990" s="229"/>
      <c r="X990" s="227"/>
      <c r="Y990" s="229"/>
      <c r="Z990" s="236"/>
      <c r="AA990" s="237"/>
      <c r="AB990" s="238"/>
      <c r="AC990" s="223"/>
      <c r="AD990" s="222"/>
    </row>
    <row r="991" spans="1:30" x14ac:dyDescent="0.4">
      <c r="A991" s="230"/>
      <c r="B991" s="8">
        <v>199</v>
      </c>
      <c r="C991" s="14">
        <f t="shared" ca="1" si="570"/>
        <v>0.56000000000000005</v>
      </c>
      <c r="D991" s="20">
        <f t="shared" ca="1" si="545"/>
        <v>0.67200000000000004</v>
      </c>
      <c r="E991" s="225"/>
      <c r="F991" s="231"/>
      <c r="G991" s="172" t="str">
        <f t="shared" ca="1" si="565"/>
        <v/>
      </c>
      <c r="H991" s="93" t="str">
        <f t="shared" ca="1" si="566"/>
        <v/>
      </c>
      <c r="I991" s="21">
        <v>1000</v>
      </c>
      <c r="J991" s="68">
        <f t="shared" si="567"/>
        <v>0.84166666666666667</v>
      </c>
      <c r="K991" s="70">
        <v>1.01</v>
      </c>
      <c r="L991" s="72">
        <f t="shared" ca="1" si="562"/>
        <v>0.2253333333333333</v>
      </c>
      <c r="M991" s="73">
        <f t="shared" ca="1" si="563"/>
        <v>225.33333333333331</v>
      </c>
      <c r="N991" s="12" t="s">
        <v>44</v>
      </c>
      <c r="O991" s="47" t="s">
        <v>45</v>
      </c>
      <c r="P991" s="13">
        <f t="shared" si="552"/>
        <v>1.01</v>
      </c>
      <c r="Q991" s="1" t="str">
        <f t="shared" si="553"/>
        <v>1000 + шт - 1,01 руб / шт с НДС</v>
      </c>
      <c r="R991" s="235"/>
      <c r="S991" s="239"/>
      <c r="T991" s="226"/>
      <c r="U991" s="228"/>
      <c r="V991" s="222"/>
      <c r="W991" s="229"/>
      <c r="X991" s="227"/>
      <c r="Y991" s="229"/>
      <c r="Z991" s="236"/>
      <c r="AA991" s="237"/>
      <c r="AB991" s="238"/>
      <c r="AC991" s="223"/>
      <c r="AD991" s="222"/>
    </row>
    <row r="992" spans="1:30" x14ac:dyDescent="0.4">
      <c r="A992" s="230">
        <v>200</v>
      </c>
      <c r="B992" s="8">
        <v>200</v>
      </c>
      <c r="C992" s="14">
        <f t="shared" ca="1" si="570"/>
        <v>0.21</v>
      </c>
      <c r="D992" s="20">
        <f t="shared" ca="1" si="545"/>
        <v>0.252</v>
      </c>
      <c r="E992" s="224" t="str">
        <f ca="1">INDIRECT("'Закуп'!D" &amp; A992)</f>
        <v>У</v>
      </c>
      <c r="F992" s="231" t="str">
        <f t="shared" ref="F992" ca="1" si="580">INDIRECT("'Закуп'!E" &amp; B992)</f>
        <v>185х125х20</v>
      </c>
      <c r="G992" s="172" t="str">
        <f t="shared" ca="1" si="565"/>
        <v/>
      </c>
      <c r="H992" s="93" t="str">
        <f t="shared" ca="1" si="566"/>
        <v/>
      </c>
      <c r="I992" s="21">
        <v>50</v>
      </c>
      <c r="J992" s="68">
        <f t="shared" si="567"/>
        <v>0.8</v>
      </c>
      <c r="K992" s="70">
        <v>0.96</v>
      </c>
      <c r="L992" s="72">
        <f t="shared" ca="1" si="562"/>
        <v>0.47200000000000009</v>
      </c>
      <c r="M992" s="73">
        <f t="shared" ca="1" si="563"/>
        <v>23.600000000000005</v>
      </c>
      <c r="N992" s="12" t="s">
        <v>40</v>
      </c>
      <c r="O992" s="47" t="s">
        <v>45</v>
      </c>
      <c r="P992" s="13">
        <f t="shared" si="552"/>
        <v>0.96</v>
      </c>
      <c r="Q992" s="1" t="str">
        <f t="shared" si="553"/>
        <v>50-90 шт - 0,96 руб / шт с НДС</v>
      </c>
      <c r="R992" s="235" t="str">
        <f ca="1">INDIRECT("'Закуп'!k" &amp; A992)</f>
        <v>K201</v>
      </c>
      <c r="S992" s="239">
        <f ca="1">INDIRECT("'Закуп'!o" &amp; A992)</f>
        <v>0.46</v>
      </c>
      <c r="T992" s="226" t="str">
        <f ca="1">INDIRECT("'Закуп'!p" &amp; A992)</f>
        <v>0,1-0,9 литров</v>
      </c>
      <c r="U992" s="228" t="str">
        <f ca="1">INDIRECT("'Закуп'!v" &amp; A992)</f>
        <v/>
      </c>
      <c r="V992" s="222" t="str">
        <f ca="1">INDIRECT("'Закуп'!w" &amp; A992)</f>
        <v>Плоские</v>
      </c>
      <c r="W992" s="229" t="str">
        <f ca="1">INDIRECT("'Закуп'!H" &amp; A992)</f>
        <v>0427</v>
      </c>
      <c r="X992" s="227" t="str">
        <f t="shared" ref="X992" ca="1" si="581">INDIRECT("'Закуп'!g" &amp; A992)</f>
        <v>С</v>
      </c>
      <c r="Y992" s="229" t="str">
        <f ca="1">INDIRECT("'Закуп'!i" &amp; A992)</f>
        <v>Е</v>
      </c>
      <c r="Z992" s="236" t="str">
        <f ca="1">INDIRECT("'Закуп'!x" &amp; A992)</f>
        <v>100-199 мм</v>
      </c>
      <c r="AA992" s="237" t="str">
        <f ca="1">INDIRECT("'Закуп'!y" &amp; A992)</f>
        <v>100-199 мм</v>
      </c>
      <c r="AB992" s="238" t="str">
        <f ca="1">INDIRECT("'Закуп'!z" &amp; A992)</f>
        <v>10-99 мм</v>
      </c>
      <c r="AC992" s="223" t="str">
        <f t="shared" ca="1" si="556"/>
        <v>185x125x20</v>
      </c>
      <c r="AD992" s="222" t="str">
        <f t="shared" ca="1" si="579"/>
        <v>185x125x20 - 185*125*20 мм</v>
      </c>
    </row>
    <row r="993" spans="1:30" x14ac:dyDescent="0.4">
      <c r="A993" s="230"/>
      <c r="B993" s="8">
        <v>200</v>
      </c>
      <c r="C993" s="14">
        <f t="shared" ca="1" si="570"/>
        <v>0.21</v>
      </c>
      <c r="D993" s="20">
        <f t="shared" ref="D993:D1056" ca="1" si="582">C993*1.2</f>
        <v>0.252</v>
      </c>
      <c r="E993" s="225"/>
      <c r="F993" s="231"/>
      <c r="G993" s="172" t="str">
        <f t="shared" ca="1" si="565"/>
        <v/>
      </c>
      <c r="H993" s="93" t="str">
        <f t="shared" ca="1" si="566"/>
        <v/>
      </c>
      <c r="I993" s="21">
        <v>100</v>
      </c>
      <c r="J993" s="68">
        <f t="shared" si="567"/>
        <v>0.68333333333333335</v>
      </c>
      <c r="K993" s="70">
        <v>0.82</v>
      </c>
      <c r="L993" s="72">
        <f t="shared" ca="1" si="562"/>
        <v>0.37866666666666671</v>
      </c>
      <c r="M993" s="73">
        <f t="shared" ca="1" si="563"/>
        <v>37.866666666666674</v>
      </c>
      <c r="N993" s="12" t="s">
        <v>41</v>
      </c>
      <c r="O993" s="47" t="s">
        <v>45</v>
      </c>
      <c r="P993" s="13">
        <f t="shared" si="552"/>
        <v>0.82</v>
      </c>
      <c r="Q993" s="1" t="str">
        <f t="shared" si="553"/>
        <v>100-290 шт - 0,82 руб / шт с НДС</v>
      </c>
      <c r="R993" s="235"/>
      <c r="S993" s="239"/>
      <c r="T993" s="226"/>
      <c r="U993" s="228"/>
      <c r="V993" s="222"/>
      <c r="W993" s="229"/>
      <c r="X993" s="227"/>
      <c r="Y993" s="229"/>
      <c r="Z993" s="236"/>
      <c r="AA993" s="237"/>
      <c r="AB993" s="238"/>
      <c r="AC993" s="223"/>
      <c r="AD993" s="222"/>
    </row>
    <row r="994" spans="1:30" x14ac:dyDescent="0.4">
      <c r="A994" s="230"/>
      <c r="B994" s="8">
        <v>200</v>
      </c>
      <c r="C994" s="14">
        <f t="shared" ca="1" si="570"/>
        <v>0.21</v>
      </c>
      <c r="D994" s="20">
        <f t="shared" ca="1" si="582"/>
        <v>0.252</v>
      </c>
      <c r="E994" s="225"/>
      <c r="F994" s="231"/>
      <c r="G994" s="172" t="str">
        <f t="shared" ca="1" si="565"/>
        <v/>
      </c>
      <c r="H994" s="93" t="str">
        <f t="shared" ca="1" si="566"/>
        <v/>
      </c>
      <c r="I994" s="21">
        <v>300</v>
      </c>
      <c r="J994" s="68">
        <f t="shared" si="567"/>
        <v>0.58333333333333337</v>
      </c>
      <c r="K994" s="70">
        <v>0.7</v>
      </c>
      <c r="L994" s="72">
        <f t="shared" ca="1" si="562"/>
        <v>0.29866666666666675</v>
      </c>
      <c r="M994" s="73">
        <f t="shared" ca="1" si="563"/>
        <v>89.600000000000023</v>
      </c>
      <c r="N994" s="12" t="s">
        <v>42</v>
      </c>
      <c r="O994" s="47" t="s">
        <v>45</v>
      </c>
      <c r="P994" s="13">
        <f t="shared" si="552"/>
        <v>0.7</v>
      </c>
      <c r="Q994" s="1" t="str">
        <f t="shared" si="553"/>
        <v>300-490 шт - 0,7 руб / шт с НДС</v>
      </c>
      <c r="R994" s="235"/>
      <c r="S994" s="239"/>
      <c r="T994" s="226"/>
      <c r="U994" s="228"/>
      <c r="V994" s="222"/>
      <c r="W994" s="229"/>
      <c r="X994" s="227"/>
      <c r="Y994" s="229"/>
      <c r="Z994" s="236"/>
      <c r="AA994" s="237"/>
      <c r="AB994" s="238"/>
      <c r="AC994" s="223"/>
      <c r="AD994" s="222"/>
    </row>
    <row r="995" spans="1:30" x14ac:dyDescent="0.4">
      <c r="A995" s="230"/>
      <c r="B995" s="8">
        <v>200</v>
      </c>
      <c r="C995" s="14">
        <f t="shared" ca="1" si="570"/>
        <v>0.21</v>
      </c>
      <c r="D995" s="20">
        <f t="shared" ca="1" si="582"/>
        <v>0.252</v>
      </c>
      <c r="E995" s="225"/>
      <c r="F995" s="231"/>
      <c r="G995" s="172" t="str">
        <f t="shared" ca="1" si="565"/>
        <v/>
      </c>
      <c r="H995" s="93" t="str">
        <f t="shared" ca="1" si="566"/>
        <v/>
      </c>
      <c r="I995" s="21">
        <v>500</v>
      </c>
      <c r="J995" s="68">
        <f t="shared" si="567"/>
        <v>0.49166666666666664</v>
      </c>
      <c r="K995" s="70">
        <v>0.59</v>
      </c>
      <c r="L995" s="72">
        <f t="shared" ca="1" si="562"/>
        <v>0.2253333333333333</v>
      </c>
      <c r="M995" s="73">
        <f t="shared" ca="1" si="563"/>
        <v>112.66666666666666</v>
      </c>
      <c r="N995" s="12" t="s">
        <v>43</v>
      </c>
      <c r="O995" s="47" t="s">
        <v>45</v>
      </c>
      <c r="P995" s="13">
        <f t="shared" si="552"/>
        <v>0.59</v>
      </c>
      <c r="Q995" s="1" t="str">
        <f t="shared" si="553"/>
        <v>500-990 шт - 0,59 руб / шт с НДС</v>
      </c>
      <c r="R995" s="235"/>
      <c r="S995" s="239"/>
      <c r="T995" s="226"/>
      <c r="U995" s="228"/>
      <c r="V995" s="222"/>
      <c r="W995" s="229"/>
      <c r="X995" s="227"/>
      <c r="Y995" s="229"/>
      <c r="Z995" s="236"/>
      <c r="AA995" s="237"/>
      <c r="AB995" s="238"/>
      <c r="AC995" s="223"/>
      <c r="AD995" s="222"/>
    </row>
    <row r="996" spans="1:30" x14ac:dyDescent="0.4">
      <c r="A996" s="230"/>
      <c r="B996" s="8">
        <v>200</v>
      </c>
      <c r="C996" s="14">
        <f t="shared" ca="1" si="570"/>
        <v>0.21</v>
      </c>
      <c r="D996" s="20">
        <f t="shared" ca="1" si="582"/>
        <v>0.252</v>
      </c>
      <c r="E996" s="225"/>
      <c r="F996" s="231"/>
      <c r="G996" s="172" t="str">
        <f t="shared" ca="1" si="565"/>
        <v/>
      </c>
      <c r="H996" s="93" t="str">
        <f t="shared" ca="1" si="566"/>
        <v/>
      </c>
      <c r="I996" s="21">
        <v>1000</v>
      </c>
      <c r="J996" s="68">
        <f t="shared" si="567"/>
        <v>0.42500000000000004</v>
      </c>
      <c r="K996" s="70">
        <v>0.51</v>
      </c>
      <c r="L996" s="72">
        <f t="shared" ca="1" si="562"/>
        <v>0.17200000000000004</v>
      </c>
      <c r="M996" s="73">
        <f t="shared" ca="1" si="563"/>
        <v>172.00000000000003</v>
      </c>
      <c r="N996" s="12" t="s">
        <v>44</v>
      </c>
      <c r="O996" s="47" t="s">
        <v>45</v>
      </c>
      <c r="P996" s="13">
        <f t="shared" si="552"/>
        <v>0.51</v>
      </c>
      <c r="Q996" s="1" t="str">
        <f t="shared" si="553"/>
        <v>1000 + шт - 0,51 руб / шт с НДС</v>
      </c>
      <c r="R996" s="235"/>
      <c r="S996" s="239"/>
      <c r="T996" s="226"/>
      <c r="U996" s="228"/>
      <c r="V996" s="222"/>
      <c r="W996" s="229"/>
      <c r="X996" s="227"/>
      <c r="Y996" s="229"/>
      <c r="Z996" s="236"/>
      <c r="AA996" s="237"/>
      <c r="AB996" s="238"/>
      <c r="AC996" s="223"/>
      <c r="AD996" s="222"/>
    </row>
    <row r="997" spans="1:30" x14ac:dyDescent="0.4">
      <c r="A997" s="230">
        <v>201</v>
      </c>
      <c r="B997" s="8">
        <v>201</v>
      </c>
      <c r="C997" s="14">
        <f t="shared" ca="1" si="570"/>
        <v>1.36</v>
      </c>
      <c r="D997" s="20">
        <f t="shared" ca="1" si="582"/>
        <v>1.6320000000000001</v>
      </c>
      <c r="E997" s="224" t="str">
        <f ca="1">INDIRECT("'Закуп'!D" &amp; A997)</f>
        <v>У</v>
      </c>
      <c r="F997" s="231" t="str">
        <f t="shared" ref="F997" ca="1" si="583">INDIRECT("'Закуп'!E" &amp; B997)</f>
        <v>540х325х100</v>
      </c>
      <c r="G997" s="172" t="str">
        <f t="shared" ca="1" si="565"/>
        <v/>
      </c>
      <c r="H997" s="93" t="str">
        <f t="shared" ca="1" si="566"/>
        <v/>
      </c>
      <c r="I997" s="21">
        <v>50</v>
      </c>
      <c r="J997" s="68">
        <f t="shared" si="567"/>
        <v>2.8750000000000004</v>
      </c>
      <c r="K997" s="70">
        <v>3.45</v>
      </c>
      <c r="L997" s="72">
        <f t="shared" ca="1" si="562"/>
        <v>1.2120000000000002</v>
      </c>
      <c r="M997" s="73">
        <f t="shared" ca="1" si="563"/>
        <v>60.600000000000009</v>
      </c>
      <c r="N997" s="12" t="s">
        <v>40</v>
      </c>
      <c r="O997" s="47" t="s">
        <v>45</v>
      </c>
      <c r="P997" s="13">
        <f t="shared" si="552"/>
        <v>3.45</v>
      </c>
      <c r="Q997" s="1" t="str">
        <f t="shared" si="553"/>
        <v>50-90 шт - 3,45 руб / шт с НДС</v>
      </c>
      <c r="R997" s="235" t="str">
        <f ca="1">INDIRECT("'Закуп'!k" &amp; A997)</f>
        <v>K202</v>
      </c>
      <c r="S997" s="239">
        <f ca="1">INDIRECT("'Закуп'!o" &amp; A997)</f>
        <v>17.55</v>
      </c>
      <c r="T997" s="226" t="str">
        <f ca="1">INDIRECT("'Закуп'!p" &amp; A997)</f>
        <v>15-19,9 литров</v>
      </c>
      <c r="U997" s="228" t="str">
        <f ca="1">INDIRECT("'Закуп'!v" &amp; A997)</f>
        <v/>
      </c>
      <c r="V997" s="222" t="str">
        <f ca="1">INDIRECT("'Закуп'!w" &amp; A997)</f>
        <v>Плоские</v>
      </c>
      <c r="W997" s="229" t="str">
        <f ca="1">INDIRECT("'Закуп'!H" &amp; A997)</f>
        <v>0201</v>
      </c>
      <c r="X997" s="227" t="str">
        <f t="shared" ref="X997" ca="1" si="584">INDIRECT("'Закуп'!g" &amp; A997)</f>
        <v>Ч</v>
      </c>
      <c r="Y997" s="229" t="str">
        <f ca="1">INDIRECT("'Закуп'!i" &amp; A997)</f>
        <v>В</v>
      </c>
      <c r="Z997" s="236" t="str">
        <f ca="1">INDIRECT("'Закуп'!x" &amp; A997)</f>
        <v>500-599 мм</v>
      </c>
      <c r="AA997" s="237" t="str">
        <f ca="1">INDIRECT("'Закуп'!y" &amp; A997)</f>
        <v>300-399 мм</v>
      </c>
      <c r="AB997" s="238" t="str">
        <f ca="1">INDIRECT("'Закуп'!z" &amp; A997)</f>
        <v>100-199 мм</v>
      </c>
      <c r="AC997" s="223" t="str">
        <f t="shared" ca="1" si="556"/>
        <v>540x325x100</v>
      </c>
      <c r="AD997" s="222" t="str">
        <f t="shared" ca="1" si="579"/>
        <v>540x325x100 - 540*325*100 мм</v>
      </c>
    </row>
    <row r="998" spans="1:30" x14ac:dyDescent="0.4">
      <c r="A998" s="230"/>
      <c r="B998" s="8">
        <v>201</v>
      </c>
      <c r="C998" s="14">
        <f t="shared" ca="1" si="570"/>
        <v>1.36</v>
      </c>
      <c r="D998" s="20">
        <f t="shared" ca="1" si="582"/>
        <v>1.6320000000000001</v>
      </c>
      <c r="E998" s="225"/>
      <c r="F998" s="231"/>
      <c r="G998" s="172" t="str">
        <f t="shared" ca="1" si="565"/>
        <v/>
      </c>
      <c r="H998" s="93" t="str">
        <f t="shared" ca="1" si="566"/>
        <v/>
      </c>
      <c r="I998" s="21">
        <v>100</v>
      </c>
      <c r="J998" s="68">
        <f t="shared" si="567"/>
        <v>2.291666666666667</v>
      </c>
      <c r="K998" s="70">
        <v>2.75</v>
      </c>
      <c r="L998" s="72">
        <f t="shared" ca="1" si="562"/>
        <v>0.74533333333333351</v>
      </c>
      <c r="M998" s="73">
        <f t="shared" ca="1" si="563"/>
        <v>74.533333333333346</v>
      </c>
      <c r="N998" s="12" t="s">
        <v>41</v>
      </c>
      <c r="O998" s="47" t="s">
        <v>45</v>
      </c>
      <c r="P998" s="13">
        <f t="shared" si="552"/>
        <v>2.75</v>
      </c>
      <c r="Q998" s="1" t="str">
        <f t="shared" si="553"/>
        <v>100-290 шт - 2,75 руб / шт с НДС</v>
      </c>
      <c r="R998" s="235"/>
      <c r="S998" s="239"/>
      <c r="T998" s="226"/>
      <c r="U998" s="228"/>
      <c r="V998" s="222"/>
      <c r="W998" s="229"/>
      <c r="X998" s="227"/>
      <c r="Y998" s="229"/>
      <c r="Z998" s="236"/>
      <c r="AA998" s="237"/>
      <c r="AB998" s="238"/>
      <c r="AC998" s="223"/>
      <c r="AD998" s="222"/>
    </row>
    <row r="999" spans="1:30" x14ac:dyDescent="0.4">
      <c r="A999" s="230"/>
      <c r="B999" s="8">
        <v>201</v>
      </c>
      <c r="C999" s="14">
        <f t="shared" ca="1" si="570"/>
        <v>1.36</v>
      </c>
      <c r="D999" s="20">
        <f t="shared" ca="1" si="582"/>
        <v>1.6320000000000001</v>
      </c>
      <c r="E999" s="225"/>
      <c r="F999" s="231"/>
      <c r="G999" s="172" t="str">
        <f t="shared" ca="1" si="565"/>
        <v/>
      </c>
      <c r="H999" s="93" t="str">
        <f t="shared" ca="1" si="566"/>
        <v/>
      </c>
      <c r="I999" s="21">
        <v>300</v>
      </c>
      <c r="J999" s="68">
        <f t="shared" si="567"/>
        <v>2.0666666666666669</v>
      </c>
      <c r="K999" s="70">
        <v>2.48</v>
      </c>
      <c r="L999" s="72">
        <f t="shared" ca="1" si="562"/>
        <v>0.56533333333333347</v>
      </c>
      <c r="M999" s="73">
        <f t="shared" ca="1" si="563"/>
        <v>169.60000000000005</v>
      </c>
      <c r="N999" s="12" t="s">
        <v>42</v>
      </c>
      <c r="O999" s="47" t="s">
        <v>45</v>
      </c>
      <c r="P999" s="13">
        <f t="shared" si="552"/>
        <v>2.48</v>
      </c>
      <c r="Q999" s="1" t="str">
        <f t="shared" si="553"/>
        <v>300-490 шт - 2,48 руб / шт с НДС</v>
      </c>
      <c r="R999" s="235"/>
      <c r="S999" s="239"/>
      <c r="T999" s="226"/>
      <c r="U999" s="228"/>
      <c r="V999" s="222"/>
      <c r="W999" s="229"/>
      <c r="X999" s="227"/>
      <c r="Y999" s="229"/>
      <c r="Z999" s="236"/>
      <c r="AA999" s="237"/>
      <c r="AB999" s="238"/>
      <c r="AC999" s="223"/>
      <c r="AD999" s="222"/>
    </row>
    <row r="1000" spans="1:30" x14ac:dyDescent="0.4">
      <c r="A1000" s="230"/>
      <c r="B1000" s="8">
        <v>201</v>
      </c>
      <c r="C1000" s="14">
        <f t="shared" ca="1" si="570"/>
        <v>1.36</v>
      </c>
      <c r="D1000" s="20">
        <f t="shared" ca="1" si="582"/>
        <v>1.6320000000000001</v>
      </c>
      <c r="E1000" s="225"/>
      <c r="F1000" s="231"/>
      <c r="G1000" s="172" t="str">
        <f t="shared" ca="1" si="565"/>
        <v/>
      </c>
      <c r="H1000" s="93" t="str">
        <f t="shared" ca="1" si="566"/>
        <v/>
      </c>
      <c r="I1000" s="21">
        <v>500</v>
      </c>
      <c r="J1000" s="68">
        <f t="shared" si="567"/>
        <v>1.8666666666666669</v>
      </c>
      <c r="K1000" s="70">
        <v>2.2400000000000002</v>
      </c>
      <c r="L1000" s="72">
        <f t="shared" ca="1" si="562"/>
        <v>0.40533333333333343</v>
      </c>
      <c r="M1000" s="73">
        <f t="shared" ca="1" si="563"/>
        <v>202.66666666666671</v>
      </c>
      <c r="N1000" s="12" t="s">
        <v>43</v>
      </c>
      <c r="O1000" s="47" t="s">
        <v>45</v>
      </c>
      <c r="P1000" s="13">
        <f t="shared" si="552"/>
        <v>2.2400000000000002</v>
      </c>
      <c r="Q1000" s="1" t="str">
        <f t="shared" si="553"/>
        <v>500-990 шт - 2,24 руб / шт с НДС</v>
      </c>
      <c r="R1000" s="235"/>
      <c r="S1000" s="239"/>
      <c r="T1000" s="226"/>
      <c r="U1000" s="228"/>
      <c r="V1000" s="222"/>
      <c r="W1000" s="229"/>
      <c r="X1000" s="227"/>
      <c r="Y1000" s="229"/>
      <c r="Z1000" s="236"/>
      <c r="AA1000" s="237"/>
      <c r="AB1000" s="238"/>
      <c r="AC1000" s="223"/>
      <c r="AD1000" s="222"/>
    </row>
    <row r="1001" spans="1:30" x14ac:dyDescent="0.4">
      <c r="A1001" s="230"/>
      <c r="B1001" s="8">
        <v>201</v>
      </c>
      <c r="C1001" s="14">
        <f t="shared" ca="1" si="570"/>
        <v>1.36</v>
      </c>
      <c r="D1001" s="20">
        <f t="shared" ca="1" si="582"/>
        <v>1.6320000000000001</v>
      </c>
      <c r="E1001" s="225"/>
      <c r="F1001" s="231"/>
      <c r="G1001" s="172" t="str">
        <f t="shared" ca="1" si="565"/>
        <v/>
      </c>
      <c r="H1001" s="93" t="str">
        <f t="shared" ca="1" si="566"/>
        <v/>
      </c>
      <c r="I1001" s="21">
        <v>1000</v>
      </c>
      <c r="J1001" s="68">
        <f t="shared" si="567"/>
        <v>1.7749999999999999</v>
      </c>
      <c r="K1001" s="70">
        <v>2.13</v>
      </c>
      <c r="L1001" s="72">
        <f t="shared" ca="1" si="562"/>
        <v>0.33199999999999985</v>
      </c>
      <c r="M1001" s="73">
        <f t="shared" ca="1" si="563"/>
        <v>331.99999999999983</v>
      </c>
      <c r="N1001" s="12" t="s">
        <v>44</v>
      </c>
      <c r="O1001" s="47" t="s">
        <v>45</v>
      </c>
      <c r="P1001" s="13">
        <f t="shared" si="552"/>
        <v>2.13</v>
      </c>
      <c r="Q1001" s="1" t="str">
        <f t="shared" si="553"/>
        <v>1000 + шт - 2,13 руб / шт с НДС</v>
      </c>
      <c r="R1001" s="235"/>
      <c r="S1001" s="239"/>
      <c r="T1001" s="226"/>
      <c r="U1001" s="228"/>
      <c r="V1001" s="222"/>
      <c r="W1001" s="229"/>
      <c r="X1001" s="227"/>
      <c r="Y1001" s="229"/>
      <c r="Z1001" s="236"/>
      <c r="AA1001" s="237"/>
      <c r="AB1001" s="238"/>
      <c r="AC1001" s="223"/>
      <c r="AD1001" s="222"/>
    </row>
    <row r="1002" spans="1:30" x14ac:dyDescent="0.4">
      <c r="A1002" s="230">
        <v>202</v>
      </c>
      <c r="B1002" s="8">
        <v>202</v>
      </c>
      <c r="C1002" s="14">
        <f t="shared" ca="1" si="570"/>
        <v>0.54</v>
      </c>
      <c r="D1002" s="20">
        <f t="shared" ca="1" si="582"/>
        <v>0.64800000000000002</v>
      </c>
      <c r="E1002" s="224" t="str">
        <f ca="1">INDIRECT("'Закуп'!D" &amp; A1002)</f>
        <v>У</v>
      </c>
      <c r="F1002" s="231" t="str">
        <f t="shared" ref="F1002" ca="1" si="585">INDIRECT("'Закуп'!E" &amp; B1002)</f>
        <v>314х164х57</v>
      </c>
      <c r="G1002" s="172" t="str">
        <f t="shared" ca="1" si="565"/>
        <v/>
      </c>
      <c r="H1002" s="93" t="str">
        <f t="shared" ca="1" si="566"/>
        <v/>
      </c>
      <c r="I1002" s="21">
        <v>50</v>
      </c>
      <c r="J1002" s="68">
        <f t="shared" si="567"/>
        <v>1.2750000000000001</v>
      </c>
      <c r="K1002" s="70">
        <v>1.53</v>
      </c>
      <c r="L1002" s="72">
        <f t="shared" ca="1" si="562"/>
        <v>0.58800000000000008</v>
      </c>
      <c r="M1002" s="73">
        <f t="shared" ca="1" si="563"/>
        <v>29.400000000000006</v>
      </c>
      <c r="N1002" s="12" t="s">
        <v>40</v>
      </c>
      <c r="O1002" s="47" t="s">
        <v>45</v>
      </c>
      <c r="P1002" s="13">
        <f t="shared" si="552"/>
        <v>1.53</v>
      </c>
      <c r="Q1002" s="1" t="str">
        <f t="shared" si="553"/>
        <v>50-90 шт - 1,53 руб / шт с НДС</v>
      </c>
      <c r="R1002" s="235" t="str">
        <f ca="1">INDIRECT("'Закуп'!k" &amp; A1002)</f>
        <v>K203</v>
      </c>
      <c r="S1002" s="239">
        <f ca="1">INDIRECT("'Закуп'!o" &amp; A1002)</f>
        <v>2.94</v>
      </c>
      <c r="T1002" s="226" t="str">
        <f ca="1">INDIRECT("'Закуп'!p" &amp; A1002)</f>
        <v>2-2,9 литра</v>
      </c>
      <c r="U1002" s="228" t="str">
        <f ca="1">INDIRECT("'Закуп'!v" &amp; A1002)</f>
        <v/>
      </c>
      <c r="V1002" s="222" t="str">
        <f ca="1">INDIRECT("'Закуп'!w" &amp; A1002)</f>
        <v>Плоские</v>
      </c>
      <c r="W1002" s="229" t="str">
        <f ca="1">INDIRECT("'Закуп'!H" &amp; A1002)</f>
        <v>0427</v>
      </c>
      <c r="X1002" s="227" t="str">
        <f t="shared" ref="X1002" ca="1" si="586">INDIRECT("'Закуп'!g" &amp; A1002)</f>
        <v>С</v>
      </c>
      <c r="Y1002" s="229" t="str">
        <f ca="1">INDIRECT("'Закуп'!i" &amp; A1002)</f>
        <v>В</v>
      </c>
      <c r="Z1002" s="236" t="str">
        <f ca="1">INDIRECT("'Закуп'!x" &amp; A1002)</f>
        <v>300-399 мм</v>
      </c>
      <c r="AA1002" s="237" t="str">
        <f ca="1">INDIRECT("'Закуп'!y" &amp; A1002)</f>
        <v>100-199 мм</v>
      </c>
      <c r="AB1002" s="238" t="str">
        <f ca="1">INDIRECT("'Закуп'!z" &amp; A1002)</f>
        <v>10-99 мм</v>
      </c>
      <c r="AC1002" s="223" t="str">
        <f t="shared" ca="1" si="556"/>
        <v>314x164x57</v>
      </c>
      <c r="AD1002" s="222" t="str">
        <f t="shared" ca="1" si="579"/>
        <v>314x164x57 - 314*164*57 мм</v>
      </c>
    </row>
    <row r="1003" spans="1:30" x14ac:dyDescent="0.4">
      <c r="A1003" s="230"/>
      <c r="B1003" s="8">
        <v>202</v>
      </c>
      <c r="C1003" s="14">
        <f t="shared" ca="1" si="570"/>
        <v>0.54</v>
      </c>
      <c r="D1003" s="20">
        <f t="shared" ca="1" si="582"/>
        <v>0.64800000000000002</v>
      </c>
      <c r="E1003" s="225"/>
      <c r="F1003" s="231"/>
      <c r="G1003" s="172" t="str">
        <f t="shared" ca="1" si="565"/>
        <v/>
      </c>
      <c r="H1003" s="93" t="str">
        <f t="shared" ca="1" si="566"/>
        <v/>
      </c>
      <c r="I1003" s="21">
        <v>100</v>
      </c>
      <c r="J1003" s="68">
        <f t="shared" si="567"/>
        <v>1.1583333333333332</v>
      </c>
      <c r="K1003" s="70">
        <v>1.39</v>
      </c>
      <c r="L1003" s="72">
        <f t="shared" ca="1" si="562"/>
        <v>0.49466666666666653</v>
      </c>
      <c r="M1003" s="73">
        <f t="shared" ca="1" si="563"/>
        <v>49.466666666666654</v>
      </c>
      <c r="N1003" s="12" t="s">
        <v>41</v>
      </c>
      <c r="O1003" s="47" t="s">
        <v>45</v>
      </c>
      <c r="P1003" s="13">
        <f t="shared" si="552"/>
        <v>1.39</v>
      </c>
      <c r="Q1003" s="1" t="str">
        <f t="shared" si="553"/>
        <v>100-290 шт - 1,39 руб / шт с НДС</v>
      </c>
      <c r="R1003" s="235"/>
      <c r="S1003" s="239"/>
      <c r="T1003" s="226"/>
      <c r="U1003" s="228"/>
      <c r="V1003" s="222"/>
      <c r="W1003" s="229"/>
      <c r="X1003" s="227"/>
      <c r="Y1003" s="229"/>
      <c r="Z1003" s="236"/>
      <c r="AA1003" s="237"/>
      <c r="AB1003" s="238"/>
      <c r="AC1003" s="223"/>
      <c r="AD1003" s="222"/>
    </row>
    <row r="1004" spans="1:30" x14ac:dyDescent="0.4">
      <c r="A1004" s="230"/>
      <c r="B1004" s="8">
        <v>202</v>
      </c>
      <c r="C1004" s="14">
        <f t="shared" ca="1" si="570"/>
        <v>0.54</v>
      </c>
      <c r="D1004" s="20">
        <f t="shared" ca="1" si="582"/>
        <v>0.64800000000000002</v>
      </c>
      <c r="E1004" s="225"/>
      <c r="F1004" s="231"/>
      <c r="G1004" s="172" t="str">
        <f t="shared" ca="1" si="565"/>
        <v/>
      </c>
      <c r="H1004" s="93" t="str">
        <f t="shared" ca="1" si="566"/>
        <v/>
      </c>
      <c r="I1004" s="21">
        <v>300</v>
      </c>
      <c r="J1004" s="68">
        <f t="shared" si="567"/>
        <v>0.90833333333333344</v>
      </c>
      <c r="K1004" s="70">
        <v>1.0900000000000001</v>
      </c>
      <c r="L1004" s="72">
        <f t="shared" ca="1" si="562"/>
        <v>0.29466666666666674</v>
      </c>
      <c r="M1004" s="73">
        <f t="shared" ca="1" si="563"/>
        <v>88.40000000000002</v>
      </c>
      <c r="N1004" s="12" t="s">
        <v>42</v>
      </c>
      <c r="O1004" s="47" t="s">
        <v>45</v>
      </c>
      <c r="P1004" s="13">
        <f t="shared" si="552"/>
        <v>1.0900000000000001</v>
      </c>
      <c r="Q1004" s="1" t="str">
        <f t="shared" si="553"/>
        <v>300-490 шт - 1,09 руб / шт с НДС</v>
      </c>
      <c r="R1004" s="235"/>
      <c r="S1004" s="239"/>
      <c r="T1004" s="226"/>
      <c r="U1004" s="228"/>
      <c r="V1004" s="222"/>
      <c r="W1004" s="229"/>
      <c r="X1004" s="227"/>
      <c r="Y1004" s="229"/>
      <c r="Z1004" s="236"/>
      <c r="AA1004" s="237"/>
      <c r="AB1004" s="238"/>
      <c r="AC1004" s="223"/>
      <c r="AD1004" s="222"/>
    </row>
    <row r="1005" spans="1:30" x14ac:dyDescent="0.4">
      <c r="A1005" s="230"/>
      <c r="B1005" s="8">
        <v>202</v>
      </c>
      <c r="C1005" s="14">
        <f t="shared" ca="1" si="570"/>
        <v>0.54</v>
      </c>
      <c r="D1005" s="20">
        <f t="shared" ca="1" si="582"/>
        <v>0.64800000000000002</v>
      </c>
      <c r="E1005" s="225"/>
      <c r="F1005" s="231"/>
      <c r="G1005" s="172" t="str">
        <f t="shared" ca="1" si="565"/>
        <v/>
      </c>
      <c r="H1005" s="93" t="str">
        <f t="shared" ca="1" si="566"/>
        <v/>
      </c>
      <c r="I1005" s="21">
        <v>500</v>
      </c>
      <c r="J1005" s="68">
        <f t="shared" si="567"/>
        <v>0.85833333333333339</v>
      </c>
      <c r="K1005" s="70">
        <v>1.03</v>
      </c>
      <c r="L1005" s="72">
        <f t="shared" ca="1" si="562"/>
        <v>0.25466666666666671</v>
      </c>
      <c r="M1005" s="73">
        <f t="shared" ca="1" si="563"/>
        <v>127.33333333333336</v>
      </c>
      <c r="N1005" s="12" t="s">
        <v>43</v>
      </c>
      <c r="O1005" s="47" t="s">
        <v>45</v>
      </c>
      <c r="P1005" s="13">
        <f t="shared" si="552"/>
        <v>1.03</v>
      </c>
      <c r="Q1005" s="1" t="str">
        <f t="shared" si="553"/>
        <v>500-990 шт - 1,03 руб / шт с НДС</v>
      </c>
      <c r="R1005" s="235"/>
      <c r="S1005" s="239"/>
      <c r="T1005" s="226"/>
      <c r="U1005" s="228"/>
      <c r="V1005" s="222"/>
      <c r="W1005" s="229"/>
      <c r="X1005" s="227"/>
      <c r="Y1005" s="229"/>
      <c r="Z1005" s="236"/>
      <c r="AA1005" s="237"/>
      <c r="AB1005" s="238"/>
      <c r="AC1005" s="223"/>
      <c r="AD1005" s="222"/>
    </row>
    <row r="1006" spans="1:30" x14ac:dyDescent="0.4">
      <c r="A1006" s="230"/>
      <c r="B1006" s="8">
        <v>202</v>
      </c>
      <c r="C1006" s="14">
        <f t="shared" ca="1" si="570"/>
        <v>0.54</v>
      </c>
      <c r="D1006" s="20">
        <f t="shared" ca="1" si="582"/>
        <v>0.64800000000000002</v>
      </c>
      <c r="E1006" s="225"/>
      <c r="F1006" s="231"/>
      <c r="G1006" s="172" t="str">
        <f t="shared" ca="1" si="565"/>
        <v/>
      </c>
      <c r="H1006" s="93" t="str">
        <f t="shared" ca="1" si="566"/>
        <v/>
      </c>
      <c r="I1006" s="21">
        <v>1000</v>
      </c>
      <c r="J1006" s="68">
        <f t="shared" si="567"/>
        <v>0.80833333333333335</v>
      </c>
      <c r="K1006" s="70">
        <v>0.97</v>
      </c>
      <c r="L1006" s="72">
        <f t="shared" ca="1" si="562"/>
        <v>0.21466666666666664</v>
      </c>
      <c r="M1006" s="73">
        <f t="shared" ca="1" si="563"/>
        <v>214.66666666666666</v>
      </c>
      <c r="N1006" s="12" t="s">
        <v>44</v>
      </c>
      <c r="O1006" s="47" t="s">
        <v>45</v>
      </c>
      <c r="P1006" s="13">
        <f t="shared" si="552"/>
        <v>0.97</v>
      </c>
      <c r="Q1006" s="1" t="str">
        <f t="shared" si="553"/>
        <v>1000 + шт - 0,97 руб / шт с НДС</v>
      </c>
      <c r="R1006" s="235"/>
      <c r="S1006" s="239"/>
      <c r="T1006" s="226"/>
      <c r="U1006" s="228"/>
      <c r="V1006" s="222"/>
      <c r="W1006" s="229"/>
      <c r="X1006" s="227"/>
      <c r="Y1006" s="229"/>
      <c r="Z1006" s="236"/>
      <c r="AA1006" s="237"/>
      <c r="AB1006" s="238"/>
      <c r="AC1006" s="223"/>
      <c r="AD1006" s="222"/>
    </row>
    <row r="1007" spans="1:30" x14ac:dyDescent="0.4">
      <c r="A1007" s="230">
        <v>203</v>
      </c>
      <c r="B1007" s="8">
        <v>203</v>
      </c>
      <c r="C1007" s="14">
        <f t="shared" ca="1" si="570"/>
        <v>0.36</v>
      </c>
      <c r="D1007" s="20">
        <f t="shared" ca="1" si="582"/>
        <v>0.432</v>
      </c>
      <c r="E1007" s="224" t="str">
        <f ca="1">INDIRECT("'Закуп'!D" &amp; A1007)</f>
        <v>У</v>
      </c>
      <c r="F1007" s="231" t="str">
        <f t="shared" ref="F1007" ca="1" si="587">INDIRECT("'Закуп'!E" &amp; B1007)</f>
        <v>187х124х140</v>
      </c>
      <c r="G1007" s="172" t="str">
        <f t="shared" ca="1" si="565"/>
        <v/>
      </c>
      <c r="H1007" s="93" t="str">
        <f t="shared" ca="1" si="566"/>
        <v/>
      </c>
      <c r="I1007" s="21">
        <v>50</v>
      </c>
      <c r="J1007" s="68">
        <f t="shared" si="567"/>
        <v>0.88333333333333341</v>
      </c>
      <c r="K1007" s="70">
        <v>1.06</v>
      </c>
      <c r="L1007" s="72">
        <f t="shared" ca="1" si="562"/>
        <v>0.41866666666666674</v>
      </c>
      <c r="M1007" s="73">
        <f t="shared" ca="1" si="563"/>
        <v>20.933333333333337</v>
      </c>
      <c r="N1007" s="12" t="s">
        <v>40</v>
      </c>
      <c r="O1007" s="47" t="s">
        <v>45</v>
      </c>
      <c r="P1007" s="13">
        <f t="shared" ref="P1007:P1070" si="588">ROUND(K1007,2)</f>
        <v>1.06</v>
      </c>
      <c r="Q1007" s="1" t="str">
        <f t="shared" si="553"/>
        <v>50-90 шт - 1,06 руб / шт с НДС</v>
      </c>
      <c r="R1007" s="235" t="str">
        <f ca="1">INDIRECT("'Закуп'!k" &amp; A1007)</f>
        <v>K204</v>
      </c>
      <c r="S1007" s="239">
        <f ca="1">INDIRECT("'Закуп'!o" &amp; A1007)</f>
        <v>3.25</v>
      </c>
      <c r="T1007" s="226" t="str">
        <f ca="1">INDIRECT("'Закуп'!p" &amp; A1007)</f>
        <v>3-3,9 литра</v>
      </c>
      <c r="U1007" s="228" t="str">
        <f ca="1">INDIRECT("'Закуп'!v" &amp; A1007)</f>
        <v/>
      </c>
      <c r="V1007" s="222" t="str">
        <f ca="1">INDIRECT("'Закуп'!w" &amp; A1007)</f>
        <v/>
      </c>
      <c r="W1007" s="229" t="str">
        <f ca="1">INDIRECT("'Закуп'!H" &amp; A1007)</f>
        <v>0215</v>
      </c>
      <c r="X1007" s="227" t="str">
        <f t="shared" ref="X1007" ca="1" si="589">INDIRECT("'Закуп'!g" &amp; A1007)</f>
        <v>С</v>
      </c>
      <c r="Y1007" s="229" t="str">
        <f ca="1">INDIRECT("'Закуп'!i" &amp; A1007)</f>
        <v>Е</v>
      </c>
      <c r="Z1007" s="236" t="str">
        <f ca="1">INDIRECT("'Закуп'!x" &amp; A1007)</f>
        <v>100-199 мм</v>
      </c>
      <c r="AA1007" s="237" t="str">
        <f ca="1">INDIRECT("'Закуп'!y" &amp; A1007)</f>
        <v>100-199 мм</v>
      </c>
      <c r="AB1007" s="238" t="str">
        <f ca="1">INDIRECT("'Закуп'!z" &amp; A1007)</f>
        <v>100-199 мм</v>
      </c>
      <c r="AC1007" s="223" t="str">
        <f t="shared" ca="1" si="556"/>
        <v>187x124x140</v>
      </c>
      <c r="AD1007" s="222" t="str">
        <f t="shared" ca="1" si="579"/>
        <v>187x124x140 - 187*124*140 мм</v>
      </c>
    </row>
    <row r="1008" spans="1:30" x14ac:dyDescent="0.4">
      <c r="A1008" s="230"/>
      <c r="B1008" s="8">
        <v>203</v>
      </c>
      <c r="C1008" s="14">
        <f t="shared" ca="1" si="570"/>
        <v>0.36</v>
      </c>
      <c r="D1008" s="20">
        <f t="shared" ca="1" si="582"/>
        <v>0.432</v>
      </c>
      <c r="E1008" s="225"/>
      <c r="F1008" s="231"/>
      <c r="G1008" s="172" t="str">
        <f t="shared" ca="1" si="565"/>
        <v/>
      </c>
      <c r="H1008" s="93" t="str">
        <f t="shared" ca="1" si="566"/>
        <v/>
      </c>
      <c r="I1008" s="21">
        <v>100</v>
      </c>
      <c r="J1008" s="68">
        <f t="shared" si="567"/>
        <v>0.76666666666666672</v>
      </c>
      <c r="K1008" s="70">
        <v>0.92</v>
      </c>
      <c r="L1008" s="72">
        <f t="shared" ca="1" si="562"/>
        <v>0.32533333333333336</v>
      </c>
      <c r="M1008" s="73">
        <f t="shared" ca="1" si="563"/>
        <v>32.533333333333339</v>
      </c>
      <c r="N1008" s="12" t="s">
        <v>41</v>
      </c>
      <c r="O1008" s="47" t="s">
        <v>45</v>
      </c>
      <c r="P1008" s="13">
        <f t="shared" si="588"/>
        <v>0.92</v>
      </c>
      <c r="Q1008" s="1" t="str">
        <f t="shared" ref="Q1008:Q1071" si="590">CONCATENATE(N1008,P1008,O1008,)</f>
        <v>100-290 шт - 0,92 руб / шт с НДС</v>
      </c>
      <c r="R1008" s="235"/>
      <c r="S1008" s="239"/>
      <c r="T1008" s="226"/>
      <c r="U1008" s="228"/>
      <c r="V1008" s="222"/>
      <c r="W1008" s="229"/>
      <c r="X1008" s="227"/>
      <c r="Y1008" s="229"/>
      <c r="Z1008" s="236"/>
      <c r="AA1008" s="237"/>
      <c r="AB1008" s="238"/>
      <c r="AC1008" s="223"/>
      <c r="AD1008" s="222"/>
    </row>
    <row r="1009" spans="1:30" x14ac:dyDescent="0.4">
      <c r="A1009" s="230"/>
      <c r="B1009" s="8">
        <v>203</v>
      </c>
      <c r="C1009" s="14">
        <f t="shared" ca="1" si="570"/>
        <v>0.36</v>
      </c>
      <c r="D1009" s="20">
        <f t="shared" ca="1" si="582"/>
        <v>0.432</v>
      </c>
      <c r="E1009" s="225"/>
      <c r="F1009" s="231"/>
      <c r="G1009" s="172" t="str">
        <f t="shared" ca="1" si="565"/>
        <v/>
      </c>
      <c r="H1009" s="93" t="str">
        <f t="shared" ca="1" si="566"/>
        <v/>
      </c>
      <c r="I1009" s="21">
        <v>300</v>
      </c>
      <c r="J1009" s="68">
        <f t="shared" si="567"/>
        <v>0.70833333333333337</v>
      </c>
      <c r="K1009" s="70">
        <v>0.85</v>
      </c>
      <c r="L1009" s="72">
        <f t="shared" ca="1" si="562"/>
        <v>0.27866666666666673</v>
      </c>
      <c r="M1009" s="73">
        <f t="shared" ca="1" si="563"/>
        <v>83.600000000000023</v>
      </c>
      <c r="N1009" s="12" t="s">
        <v>42</v>
      </c>
      <c r="O1009" s="47" t="s">
        <v>45</v>
      </c>
      <c r="P1009" s="13">
        <f t="shared" si="588"/>
        <v>0.85</v>
      </c>
      <c r="Q1009" s="1" t="str">
        <f t="shared" si="590"/>
        <v>300-490 шт - 0,85 руб / шт с НДС</v>
      </c>
      <c r="R1009" s="235"/>
      <c r="S1009" s="239"/>
      <c r="T1009" s="226"/>
      <c r="U1009" s="228"/>
      <c r="V1009" s="222"/>
      <c r="W1009" s="229"/>
      <c r="X1009" s="227"/>
      <c r="Y1009" s="229"/>
      <c r="Z1009" s="236"/>
      <c r="AA1009" s="237"/>
      <c r="AB1009" s="238"/>
      <c r="AC1009" s="223"/>
      <c r="AD1009" s="222"/>
    </row>
    <row r="1010" spans="1:30" x14ac:dyDescent="0.4">
      <c r="A1010" s="230"/>
      <c r="B1010" s="8">
        <v>203</v>
      </c>
      <c r="C1010" s="14">
        <f t="shared" ca="1" si="570"/>
        <v>0.36</v>
      </c>
      <c r="D1010" s="20">
        <f t="shared" ca="1" si="582"/>
        <v>0.432</v>
      </c>
      <c r="E1010" s="225"/>
      <c r="F1010" s="231"/>
      <c r="G1010" s="172" t="str">
        <f t="shared" ca="1" si="565"/>
        <v/>
      </c>
      <c r="H1010" s="93" t="str">
        <f t="shared" ca="1" si="566"/>
        <v/>
      </c>
      <c r="I1010" s="21">
        <v>500</v>
      </c>
      <c r="J1010" s="68">
        <f t="shared" si="567"/>
        <v>0.64166666666666672</v>
      </c>
      <c r="K1010" s="70">
        <v>0.77</v>
      </c>
      <c r="L1010" s="72">
        <f t="shared" ca="1" si="562"/>
        <v>0.22533333333333339</v>
      </c>
      <c r="M1010" s="73">
        <f t="shared" ca="1" si="563"/>
        <v>112.66666666666669</v>
      </c>
      <c r="N1010" s="12" t="s">
        <v>43</v>
      </c>
      <c r="O1010" s="47" t="s">
        <v>45</v>
      </c>
      <c r="P1010" s="13">
        <f t="shared" si="588"/>
        <v>0.77</v>
      </c>
      <c r="Q1010" s="1" t="str">
        <f t="shared" si="590"/>
        <v>500-990 шт - 0,77 руб / шт с НДС</v>
      </c>
      <c r="R1010" s="235"/>
      <c r="S1010" s="239"/>
      <c r="T1010" s="226"/>
      <c r="U1010" s="228"/>
      <c r="V1010" s="222"/>
      <c r="W1010" s="229"/>
      <c r="X1010" s="227"/>
      <c r="Y1010" s="229"/>
      <c r="Z1010" s="236"/>
      <c r="AA1010" s="237"/>
      <c r="AB1010" s="238"/>
      <c r="AC1010" s="223"/>
      <c r="AD1010" s="222"/>
    </row>
    <row r="1011" spans="1:30" x14ac:dyDescent="0.4">
      <c r="A1011" s="230"/>
      <c r="B1011" s="8">
        <v>203</v>
      </c>
      <c r="C1011" s="14">
        <f t="shared" ca="1" si="570"/>
        <v>0.36</v>
      </c>
      <c r="D1011" s="20">
        <f t="shared" ca="1" si="582"/>
        <v>0.432</v>
      </c>
      <c r="E1011" s="225"/>
      <c r="F1011" s="231"/>
      <c r="G1011" s="172" t="str">
        <f t="shared" ca="1" si="565"/>
        <v/>
      </c>
      <c r="H1011" s="93" t="str">
        <f t="shared" ca="1" si="566"/>
        <v/>
      </c>
      <c r="I1011" s="21">
        <v>1000</v>
      </c>
      <c r="J1011" s="68">
        <f t="shared" si="567"/>
        <v>0.6</v>
      </c>
      <c r="K1011" s="70">
        <v>0.72</v>
      </c>
      <c r="L1011" s="72">
        <f t="shared" ca="1" si="562"/>
        <v>0.192</v>
      </c>
      <c r="M1011" s="73">
        <f t="shared" ca="1" si="563"/>
        <v>192</v>
      </c>
      <c r="N1011" s="12" t="s">
        <v>44</v>
      </c>
      <c r="O1011" s="47" t="s">
        <v>45</v>
      </c>
      <c r="P1011" s="13">
        <f t="shared" si="588"/>
        <v>0.72</v>
      </c>
      <c r="Q1011" s="1" t="str">
        <f t="shared" si="590"/>
        <v>1000 + шт - 0,72 руб / шт с НДС</v>
      </c>
      <c r="R1011" s="235"/>
      <c r="S1011" s="239"/>
      <c r="T1011" s="226"/>
      <c r="U1011" s="228"/>
      <c r="V1011" s="222"/>
      <c r="W1011" s="229"/>
      <c r="X1011" s="227"/>
      <c r="Y1011" s="229"/>
      <c r="Z1011" s="236"/>
      <c r="AA1011" s="237"/>
      <c r="AB1011" s="238"/>
      <c r="AC1011" s="223"/>
      <c r="AD1011" s="222"/>
    </row>
    <row r="1012" spans="1:30" x14ac:dyDescent="0.4">
      <c r="A1012" s="230">
        <v>204</v>
      </c>
      <c r="B1012" s="8">
        <v>204</v>
      </c>
      <c r="C1012" s="14">
        <f t="shared" ca="1" si="570"/>
        <v>0.67</v>
      </c>
      <c r="D1012" s="20">
        <f t="shared" ca="1" si="582"/>
        <v>0.80400000000000005</v>
      </c>
      <c r="E1012" s="224" t="str">
        <f ca="1">INDIRECT("'Закуп'!D" &amp; A1012)</f>
        <v>У</v>
      </c>
      <c r="F1012" s="231" t="str">
        <f t="shared" ref="F1012" ca="1" si="591">INDIRECT("'Закуп'!E" &amp; B1012)</f>
        <v>354х184х65</v>
      </c>
      <c r="G1012" s="172" t="str">
        <f t="shared" ca="1" si="565"/>
        <v/>
      </c>
      <c r="H1012" s="93" t="str">
        <f t="shared" ca="1" si="566"/>
        <v/>
      </c>
      <c r="I1012" s="21">
        <v>50</v>
      </c>
      <c r="J1012" s="68">
        <f t="shared" si="567"/>
        <v>1.575</v>
      </c>
      <c r="K1012" s="70">
        <v>1.89</v>
      </c>
      <c r="L1012" s="72">
        <f t="shared" ca="1" si="562"/>
        <v>0.72399999999999998</v>
      </c>
      <c r="M1012" s="73">
        <f t="shared" ca="1" si="563"/>
        <v>36.199999999999996</v>
      </c>
      <c r="N1012" s="12" t="s">
        <v>40</v>
      </c>
      <c r="O1012" s="47" t="s">
        <v>45</v>
      </c>
      <c r="P1012" s="13">
        <f t="shared" si="588"/>
        <v>1.89</v>
      </c>
      <c r="Q1012" s="1" t="str">
        <f t="shared" si="590"/>
        <v>50-90 шт - 1,89 руб / шт с НДС</v>
      </c>
      <c r="R1012" s="235" t="str">
        <f ca="1">INDIRECT("'Закуп'!k" &amp; A1012)</f>
        <v>K205</v>
      </c>
      <c r="S1012" s="239">
        <f ca="1">INDIRECT("'Закуп'!o" &amp; A1012)</f>
        <v>4.2300000000000004</v>
      </c>
      <c r="T1012" s="226" t="str">
        <f ca="1">INDIRECT("'Закуп'!p" &amp; A1012)</f>
        <v>4-5,9 литра</v>
      </c>
      <c r="U1012" s="228" t="str">
        <f ca="1">INDIRECT("'Закуп'!v" &amp; A1012)</f>
        <v/>
      </c>
      <c r="V1012" s="222" t="str">
        <f ca="1">INDIRECT("'Закуп'!w" &amp; A1012)</f>
        <v>Плоские</v>
      </c>
      <c r="W1012" s="229" t="str">
        <f ca="1">INDIRECT("'Закуп'!H" &amp; A1012)</f>
        <v>0427</v>
      </c>
      <c r="X1012" s="227" t="str">
        <f t="shared" ref="X1012" ca="1" si="592">INDIRECT("'Закуп'!g" &amp; A1012)</f>
        <v>С</v>
      </c>
      <c r="Y1012" s="229" t="str">
        <f ca="1">INDIRECT("'Закуп'!i" &amp; A1012)</f>
        <v>В</v>
      </c>
      <c r="Z1012" s="236" t="str">
        <f ca="1">INDIRECT("'Закуп'!x" &amp; A1012)</f>
        <v>300-399 мм</v>
      </c>
      <c r="AA1012" s="237" t="str">
        <f ca="1">INDIRECT("'Закуп'!y" &amp; A1012)</f>
        <v>100-199 мм</v>
      </c>
      <c r="AB1012" s="238" t="str">
        <f ca="1">INDIRECT("'Закуп'!z" &amp; A1012)</f>
        <v>10-99 мм</v>
      </c>
      <c r="AC1012" s="223" t="str">
        <f t="shared" ref="AC1012:AC1072" ca="1" si="593">SUBSTITUTE(INDEX(F:F, ROUNDUP((ROW(A1011))/5,0)*5 - 3), "х", "x")</f>
        <v>354x184x65</v>
      </c>
      <c r="AD1012" s="222" t="str">
        <f t="shared" ca="1" si="579"/>
        <v>354x184x65 - 354*184*65 мм</v>
      </c>
    </row>
    <row r="1013" spans="1:30" x14ac:dyDescent="0.4">
      <c r="A1013" s="230"/>
      <c r="B1013" s="8">
        <v>204</v>
      </c>
      <c r="C1013" s="14">
        <f t="shared" ca="1" si="570"/>
        <v>0.67</v>
      </c>
      <c r="D1013" s="20">
        <f t="shared" ca="1" si="582"/>
        <v>0.80400000000000005</v>
      </c>
      <c r="E1013" s="225"/>
      <c r="F1013" s="231"/>
      <c r="G1013" s="172" t="str">
        <f t="shared" ca="1" si="565"/>
        <v/>
      </c>
      <c r="H1013" s="93" t="str">
        <f t="shared" ca="1" si="566"/>
        <v/>
      </c>
      <c r="I1013" s="21">
        <v>100</v>
      </c>
      <c r="J1013" s="68">
        <f t="shared" si="567"/>
        <v>1.4333333333333333</v>
      </c>
      <c r="K1013" s="70">
        <v>1.72</v>
      </c>
      <c r="L1013" s="72">
        <f t="shared" ca="1" si="562"/>
        <v>0.61066666666666669</v>
      </c>
      <c r="M1013" s="73">
        <f t="shared" ca="1" si="563"/>
        <v>61.06666666666667</v>
      </c>
      <c r="N1013" s="12" t="s">
        <v>41</v>
      </c>
      <c r="O1013" s="47" t="s">
        <v>45</v>
      </c>
      <c r="P1013" s="13">
        <f t="shared" si="588"/>
        <v>1.72</v>
      </c>
      <c r="Q1013" s="1" t="str">
        <f t="shared" si="590"/>
        <v>100-290 шт - 1,72 руб / шт с НДС</v>
      </c>
      <c r="R1013" s="235"/>
      <c r="S1013" s="239"/>
      <c r="T1013" s="226"/>
      <c r="U1013" s="228"/>
      <c r="V1013" s="222"/>
      <c r="W1013" s="229"/>
      <c r="X1013" s="227"/>
      <c r="Y1013" s="229"/>
      <c r="Z1013" s="236"/>
      <c r="AA1013" s="237"/>
      <c r="AB1013" s="238"/>
      <c r="AC1013" s="223"/>
      <c r="AD1013" s="222"/>
    </row>
    <row r="1014" spans="1:30" x14ac:dyDescent="0.4">
      <c r="A1014" s="230"/>
      <c r="B1014" s="8">
        <v>204</v>
      </c>
      <c r="C1014" s="14">
        <f t="shared" ca="1" si="570"/>
        <v>0.67</v>
      </c>
      <c r="D1014" s="20">
        <f t="shared" ca="1" si="582"/>
        <v>0.80400000000000005</v>
      </c>
      <c r="E1014" s="225"/>
      <c r="F1014" s="231"/>
      <c r="G1014" s="172" t="str">
        <f t="shared" ca="1" si="565"/>
        <v/>
      </c>
      <c r="H1014" s="93" t="str">
        <f t="shared" ca="1" si="566"/>
        <v/>
      </c>
      <c r="I1014" s="21">
        <v>300</v>
      </c>
      <c r="J1014" s="68">
        <f t="shared" si="567"/>
        <v>1.1333333333333335</v>
      </c>
      <c r="K1014" s="70">
        <v>1.36</v>
      </c>
      <c r="L1014" s="72">
        <f t="shared" ca="1" si="562"/>
        <v>0.37066666666666681</v>
      </c>
      <c r="M1014" s="73">
        <f t="shared" ca="1" si="563"/>
        <v>111.20000000000005</v>
      </c>
      <c r="N1014" s="12" t="s">
        <v>42</v>
      </c>
      <c r="O1014" s="47" t="s">
        <v>45</v>
      </c>
      <c r="P1014" s="13">
        <f t="shared" si="588"/>
        <v>1.36</v>
      </c>
      <c r="Q1014" s="1" t="str">
        <f t="shared" si="590"/>
        <v>300-490 шт - 1,36 руб / шт с НДС</v>
      </c>
      <c r="R1014" s="235"/>
      <c r="S1014" s="239"/>
      <c r="T1014" s="226"/>
      <c r="U1014" s="228"/>
      <c r="V1014" s="222"/>
      <c r="W1014" s="229"/>
      <c r="X1014" s="227"/>
      <c r="Y1014" s="229"/>
      <c r="Z1014" s="236"/>
      <c r="AA1014" s="237"/>
      <c r="AB1014" s="238"/>
      <c r="AC1014" s="223"/>
      <c r="AD1014" s="222"/>
    </row>
    <row r="1015" spans="1:30" x14ac:dyDescent="0.4">
      <c r="A1015" s="230"/>
      <c r="B1015" s="8">
        <v>204</v>
      </c>
      <c r="C1015" s="14">
        <f t="shared" ca="1" si="570"/>
        <v>0.67</v>
      </c>
      <c r="D1015" s="20">
        <f t="shared" ca="1" si="582"/>
        <v>0.80400000000000005</v>
      </c>
      <c r="E1015" s="225"/>
      <c r="F1015" s="231"/>
      <c r="G1015" s="172" t="str">
        <f t="shared" ca="1" si="565"/>
        <v/>
      </c>
      <c r="H1015" s="93" t="str">
        <f t="shared" ca="1" si="566"/>
        <v/>
      </c>
      <c r="I1015" s="21">
        <v>500</v>
      </c>
      <c r="J1015" s="68">
        <f t="shared" si="567"/>
        <v>1.0583333333333333</v>
      </c>
      <c r="K1015" s="70">
        <v>1.27</v>
      </c>
      <c r="L1015" s="72">
        <f t="shared" ca="1" si="562"/>
        <v>0.31066666666666665</v>
      </c>
      <c r="M1015" s="73">
        <f t="shared" ca="1" si="563"/>
        <v>155.33333333333331</v>
      </c>
      <c r="N1015" s="12" t="s">
        <v>43</v>
      </c>
      <c r="O1015" s="47" t="s">
        <v>45</v>
      </c>
      <c r="P1015" s="13">
        <f t="shared" si="588"/>
        <v>1.27</v>
      </c>
      <c r="Q1015" s="1" t="str">
        <f t="shared" si="590"/>
        <v>500-990 шт - 1,27 руб / шт с НДС</v>
      </c>
      <c r="R1015" s="235"/>
      <c r="S1015" s="239"/>
      <c r="T1015" s="226"/>
      <c r="U1015" s="228"/>
      <c r="V1015" s="222"/>
      <c r="W1015" s="229"/>
      <c r="X1015" s="227"/>
      <c r="Y1015" s="229"/>
      <c r="Z1015" s="236"/>
      <c r="AA1015" s="237"/>
      <c r="AB1015" s="238"/>
      <c r="AC1015" s="223"/>
      <c r="AD1015" s="222"/>
    </row>
    <row r="1016" spans="1:30" x14ac:dyDescent="0.4">
      <c r="A1016" s="230"/>
      <c r="B1016" s="8">
        <v>204</v>
      </c>
      <c r="C1016" s="14">
        <f t="shared" ca="1" si="570"/>
        <v>0.67</v>
      </c>
      <c r="D1016" s="20">
        <f t="shared" ca="1" si="582"/>
        <v>0.80400000000000005</v>
      </c>
      <c r="E1016" s="225"/>
      <c r="F1016" s="231"/>
      <c r="G1016" s="172" t="str">
        <f t="shared" ca="1" si="565"/>
        <v/>
      </c>
      <c r="H1016" s="93" t="str">
        <f t="shared" ca="1" si="566"/>
        <v/>
      </c>
      <c r="I1016" s="21">
        <v>1000</v>
      </c>
      <c r="J1016" s="68">
        <f t="shared" si="567"/>
        <v>0.93333333333333346</v>
      </c>
      <c r="K1016" s="70">
        <v>1.1200000000000001</v>
      </c>
      <c r="L1016" s="72">
        <f t="shared" ca="1" si="562"/>
        <v>0.21066666666666672</v>
      </c>
      <c r="M1016" s="73">
        <f t="shared" ca="1" si="563"/>
        <v>210.66666666666671</v>
      </c>
      <c r="N1016" s="12" t="s">
        <v>44</v>
      </c>
      <c r="O1016" s="47" t="s">
        <v>45</v>
      </c>
      <c r="P1016" s="13">
        <f t="shared" si="588"/>
        <v>1.1200000000000001</v>
      </c>
      <c r="Q1016" s="1" t="str">
        <f t="shared" si="590"/>
        <v>1000 + шт - 1,12 руб / шт с НДС</v>
      </c>
      <c r="R1016" s="235"/>
      <c r="S1016" s="239"/>
      <c r="T1016" s="226"/>
      <c r="U1016" s="228"/>
      <c r="V1016" s="222"/>
      <c r="W1016" s="229"/>
      <c r="X1016" s="227"/>
      <c r="Y1016" s="229"/>
      <c r="Z1016" s="236"/>
      <c r="AA1016" s="237"/>
      <c r="AB1016" s="238"/>
      <c r="AC1016" s="223"/>
      <c r="AD1016" s="222"/>
    </row>
    <row r="1017" spans="1:30" x14ac:dyDescent="0.4">
      <c r="A1017" s="230">
        <v>205</v>
      </c>
      <c r="B1017" s="8">
        <v>205</v>
      </c>
      <c r="C1017" s="14">
        <f t="shared" ca="1" si="570"/>
        <v>1.18</v>
      </c>
      <c r="D1017" s="20">
        <f t="shared" ca="1" si="582"/>
        <v>1.4159999999999999</v>
      </c>
      <c r="E1017" s="224" t="str">
        <f ca="1">INDIRECT("'Закуп'!D" &amp; A1017)</f>
        <v>У</v>
      </c>
      <c r="F1017" s="231" t="str">
        <f t="shared" ref="F1017" ca="1" si="594">INDIRECT("'Закуп'!E" &amp; B1017)</f>
        <v>480х300х70</v>
      </c>
      <c r="G1017" s="172" t="str">
        <f t="shared" ca="1" si="565"/>
        <v/>
      </c>
      <c r="H1017" s="93" t="str">
        <f t="shared" ca="1" si="566"/>
        <v/>
      </c>
      <c r="I1017" s="21">
        <v>50</v>
      </c>
      <c r="J1017" s="68">
        <f t="shared" si="567"/>
        <v>2.3166666666666664</v>
      </c>
      <c r="K1017" s="70">
        <v>2.78</v>
      </c>
      <c r="L1017" s="72">
        <f t="shared" ca="1" si="562"/>
        <v>0.90933333333333322</v>
      </c>
      <c r="M1017" s="73">
        <f t="shared" ca="1" si="563"/>
        <v>45.466666666666661</v>
      </c>
      <c r="N1017" s="12" t="s">
        <v>40</v>
      </c>
      <c r="O1017" s="47" t="s">
        <v>45</v>
      </c>
      <c r="P1017" s="13">
        <f t="shared" si="588"/>
        <v>2.78</v>
      </c>
      <c r="Q1017" s="1" t="str">
        <f t="shared" si="590"/>
        <v>50-90 шт - 2,78 руб / шт с НДС</v>
      </c>
      <c r="R1017" s="235" t="str">
        <f ca="1">INDIRECT("'Закуп'!k" &amp; A1017)</f>
        <v>K206</v>
      </c>
      <c r="S1017" s="239">
        <f ca="1">INDIRECT("'Закуп'!o" &amp; A1017)</f>
        <v>10.08</v>
      </c>
      <c r="T1017" s="226" t="str">
        <f ca="1">INDIRECT("'Закуп'!p" &amp; A1017)</f>
        <v>10-14,9 литров</v>
      </c>
      <c r="U1017" s="228" t="str">
        <f ca="1">INDIRECT("'Закуп'!v" &amp; A1017)</f>
        <v/>
      </c>
      <c r="V1017" s="222" t="str">
        <f ca="1">INDIRECT("'Закуп'!w" &amp; A1017)</f>
        <v>Плоские</v>
      </c>
      <c r="W1017" s="229" t="str">
        <f ca="1">INDIRECT("'Закуп'!H" &amp; A1017)</f>
        <v>0427</v>
      </c>
      <c r="X1017" s="227" t="str">
        <f t="shared" ref="X1017" ca="1" si="595">INDIRECT("'Закуп'!g" &amp; A1017)</f>
        <v>С</v>
      </c>
      <c r="Y1017" s="229" t="str">
        <f ca="1">INDIRECT("'Закуп'!i" &amp; A1017)</f>
        <v>В</v>
      </c>
      <c r="Z1017" s="236" t="str">
        <f ca="1">INDIRECT("'Закуп'!x" &amp; A1017)</f>
        <v>400-499 мм</v>
      </c>
      <c r="AA1017" s="237" t="str">
        <f ca="1">INDIRECT("'Закуп'!y" &amp; A1017)</f>
        <v>300-399 мм</v>
      </c>
      <c r="AB1017" s="238" t="str">
        <f ca="1">INDIRECT("'Закуп'!z" &amp; A1017)</f>
        <v>10-99 мм</v>
      </c>
      <c r="AC1017" s="223" t="str">
        <f t="shared" ca="1" si="593"/>
        <v>480x300x70</v>
      </c>
      <c r="AD1017" s="222" t="str">
        <f t="shared" ca="1" si="579"/>
        <v>480x300x70 - 480*300*70 мм</v>
      </c>
    </row>
    <row r="1018" spans="1:30" x14ac:dyDescent="0.4">
      <c r="A1018" s="230"/>
      <c r="B1018" s="8">
        <v>205</v>
      </c>
      <c r="C1018" s="14">
        <f t="shared" ca="1" si="570"/>
        <v>1.18</v>
      </c>
      <c r="D1018" s="20">
        <f t="shared" ca="1" si="582"/>
        <v>1.4159999999999999</v>
      </c>
      <c r="E1018" s="225"/>
      <c r="F1018" s="231"/>
      <c r="G1018" s="172" t="str">
        <f t="shared" ca="1" si="565"/>
        <v/>
      </c>
      <c r="H1018" s="93" t="str">
        <f t="shared" ca="1" si="566"/>
        <v/>
      </c>
      <c r="I1018" s="21">
        <v>100</v>
      </c>
      <c r="J1018" s="68">
        <f t="shared" si="567"/>
        <v>2.0250000000000004</v>
      </c>
      <c r="K1018" s="70">
        <v>2.4300000000000002</v>
      </c>
      <c r="L1018" s="72">
        <f t="shared" ca="1" si="562"/>
        <v>0.67600000000000038</v>
      </c>
      <c r="M1018" s="73">
        <f t="shared" ca="1" si="563"/>
        <v>67.600000000000037</v>
      </c>
      <c r="N1018" s="12" t="s">
        <v>41</v>
      </c>
      <c r="O1018" s="47" t="s">
        <v>45</v>
      </c>
      <c r="P1018" s="13">
        <f t="shared" si="588"/>
        <v>2.4300000000000002</v>
      </c>
      <c r="Q1018" s="1" t="str">
        <f t="shared" si="590"/>
        <v>100-290 шт - 2,43 руб / шт с НДС</v>
      </c>
      <c r="R1018" s="235"/>
      <c r="S1018" s="239"/>
      <c r="T1018" s="226"/>
      <c r="U1018" s="228"/>
      <c r="V1018" s="222"/>
      <c r="W1018" s="229"/>
      <c r="X1018" s="227"/>
      <c r="Y1018" s="229"/>
      <c r="Z1018" s="236"/>
      <c r="AA1018" s="237"/>
      <c r="AB1018" s="238"/>
      <c r="AC1018" s="223"/>
      <c r="AD1018" s="222"/>
    </row>
    <row r="1019" spans="1:30" x14ac:dyDescent="0.4">
      <c r="A1019" s="230"/>
      <c r="B1019" s="8">
        <v>205</v>
      </c>
      <c r="C1019" s="14">
        <f t="shared" ca="1" si="570"/>
        <v>1.18</v>
      </c>
      <c r="D1019" s="20">
        <f t="shared" ca="1" si="582"/>
        <v>1.4159999999999999</v>
      </c>
      <c r="E1019" s="225"/>
      <c r="F1019" s="231"/>
      <c r="G1019" s="172" t="str">
        <f t="shared" ca="1" si="565"/>
        <v/>
      </c>
      <c r="H1019" s="93" t="str">
        <f t="shared" ca="1" si="566"/>
        <v/>
      </c>
      <c r="I1019" s="21">
        <v>300</v>
      </c>
      <c r="J1019" s="68">
        <f t="shared" si="567"/>
        <v>1.8416666666666668</v>
      </c>
      <c r="K1019" s="70">
        <v>2.21</v>
      </c>
      <c r="L1019" s="72">
        <f t="shared" ca="1" si="562"/>
        <v>0.52933333333333343</v>
      </c>
      <c r="M1019" s="73">
        <f t="shared" ca="1" si="563"/>
        <v>158.80000000000004</v>
      </c>
      <c r="N1019" s="12" t="s">
        <v>42</v>
      </c>
      <c r="O1019" s="47" t="s">
        <v>45</v>
      </c>
      <c r="P1019" s="13">
        <f t="shared" si="588"/>
        <v>2.21</v>
      </c>
      <c r="Q1019" s="1" t="str">
        <f t="shared" si="590"/>
        <v>300-490 шт - 2,21 руб / шт с НДС</v>
      </c>
      <c r="R1019" s="235"/>
      <c r="S1019" s="239"/>
      <c r="T1019" s="226"/>
      <c r="U1019" s="228"/>
      <c r="V1019" s="222"/>
      <c r="W1019" s="229"/>
      <c r="X1019" s="227"/>
      <c r="Y1019" s="229"/>
      <c r="Z1019" s="236"/>
      <c r="AA1019" s="237"/>
      <c r="AB1019" s="238"/>
      <c r="AC1019" s="223"/>
      <c r="AD1019" s="222"/>
    </row>
    <row r="1020" spans="1:30" x14ac:dyDescent="0.4">
      <c r="A1020" s="230"/>
      <c r="B1020" s="8">
        <v>205</v>
      </c>
      <c r="C1020" s="14">
        <f t="shared" ca="1" si="570"/>
        <v>1.18</v>
      </c>
      <c r="D1020" s="20">
        <f t="shared" ca="1" si="582"/>
        <v>1.4159999999999999</v>
      </c>
      <c r="E1020" s="225"/>
      <c r="F1020" s="231"/>
      <c r="G1020" s="172" t="str">
        <f t="shared" ca="1" si="565"/>
        <v/>
      </c>
      <c r="H1020" s="93" t="str">
        <f t="shared" ca="1" si="566"/>
        <v/>
      </c>
      <c r="I1020" s="21">
        <v>500</v>
      </c>
      <c r="J1020" s="68">
        <f t="shared" si="567"/>
        <v>1.6416666666666666</v>
      </c>
      <c r="K1020" s="70">
        <v>1.97</v>
      </c>
      <c r="L1020" s="72">
        <f t="shared" ca="1" si="562"/>
        <v>0.36933333333333335</v>
      </c>
      <c r="M1020" s="73">
        <f t="shared" ca="1" si="563"/>
        <v>184.66666666666669</v>
      </c>
      <c r="N1020" s="12" t="s">
        <v>43</v>
      </c>
      <c r="O1020" s="47" t="s">
        <v>45</v>
      </c>
      <c r="P1020" s="13">
        <f t="shared" si="588"/>
        <v>1.97</v>
      </c>
      <c r="Q1020" s="1" t="str">
        <f t="shared" si="590"/>
        <v>500-990 шт - 1,97 руб / шт с НДС</v>
      </c>
      <c r="R1020" s="235"/>
      <c r="S1020" s="239"/>
      <c r="T1020" s="226"/>
      <c r="U1020" s="228"/>
      <c r="V1020" s="222"/>
      <c r="W1020" s="229"/>
      <c r="X1020" s="227"/>
      <c r="Y1020" s="229"/>
      <c r="Z1020" s="236"/>
      <c r="AA1020" s="237"/>
      <c r="AB1020" s="238"/>
      <c r="AC1020" s="223"/>
      <c r="AD1020" s="222"/>
    </row>
    <row r="1021" spans="1:30" x14ac:dyDescent="0.4">
      <c r="A1021" s="230"/>
      <c r="B1021" s="8">
        <v>205</v>
      </c>
      <c r="C1021" s="14">
        <f t="shared" ca="1" si="570"/>
        <v>1.18</v>
      </c>
      <c r="D1021" s="20">
        <f t="shared" ca="1" si="582"/>
        <v>1.4159999999999999</v>
      </c>
      <c r="E1021" s="225"/>
      <c r="F1021" s="231"/>
      <c r="G1021" s="172" t="str">
        <f t="shared" ca="1" si="565"/>
        <v/>
      </c>
      <c r="H1021" s="93" t="str">
        <f t="shared" ca="1" si="566"/>
        <v/>
      </c>
      <c r="I1021" s="21">
        <v>1000</v>
      </c>
      <c r="J1021" s="68">
        <f t="shared" si="567"/>
        <v>1.5666666666666667</v>
      </c>
      <c r="K1021" s="70">
        <v>1.88</v>
      </c>
      <c r="L1021" s="72">
        <f t="shared" ca="1" si="562"/>
        <v>0.30933333333333335</v>
      </c>
      <c r="M1021" s="73">
        <f t="shared" ca="1" si="563"/>
        <v>309.33333333333337</v>
      </c>
      <c r="N1021" s="12" t="s">
        <v>44</v>
      </c>
      <c r="O1021" s="47" t="s">
        <v>45</v>
      </c>
      <c r="P1021" s="13">
        <f t="shared" si="588"/>
        <v>1.88</v>
      </c>
      <c r="Q1021" s="1" t="str">
        <f t="shared" si="590"/>
        <v>1000 + шт - 1,88 руб / шт с НДС</v>
      </c>
      <c r="R1021" s="235"/>
      <c r="S1021" s="239"/>
      <c r="T1021" s="226"/>
      <c r="U1021" s="228"/>
      <c r="V1021" s="222"/>
      <c r="W1021" s="229"/>
      <c r="X1021" s="227"/>
      <c r="Y1021" s="229"/>
      <c r="Z1021" s="236"/>
      <c r="AA1021" s="237"/>
      <c r="AB1021" s="238"/>
      <c r="AC1021" s="223"/>
      <c r="AD1021" s="222"/>
    </row>
    <row r="1022" spans="1:30" x14ac:dyDescent="0.4">
      <c r="A1022" s="230">
        <v>206</v>
      </c>
      <c r="B1022" s="8">
        <v>206</v>
      </c>
      <c r="C1022" s="14">
        <f t="shared" ca="1" si="570"/>
        <v>1.31</v>
      </c>
      <c r="D1022" s="20">
        <f t="shared" ca="1" si="582"/>
        <v>1.5720000000000001</v>
      </c>
      <c r="E1022" s="224" t="str">
        <f ca="1">INDIRECT("'Закуп'!D" &amp; A1022)</f>
        <v>У</v>
      </c>
      <c r="F1022" s="231" t="str">
        <f t="shared" ref="F1022" ca="1" si="596">INDIRECT("'Закуп'!E" &amp; B1022)</f>
        <v>342х242х192</v>
      </c>
      <c r="G1022" s="172" t="str">
        <f t="shared" ca="1" si="565"/>
        <v/>
      </c>
      <c r="H1022" s="93" t="str">
        <f t="shared" ca="1" si="566"/>
        <v/>
      </c>
      <c r="I1022" s="21">
        <v>50</v>
      </c>
      <c r="J1022" s="68">
        <f t="shared" si="567"/>
        <v>2.5833333333333335</v>
      </c>
      <c r="K1022" s="70">
        <v>3.1</v>
      </c>
      <c r="L1022" s="72">
        <f t="shared" ca="1" si="562"/>
        <v>1.0186666666666668</v>
      </c>
      <c r="M1022" s="73">
        <f t="shared" ca="1" si="563"/>
        <v>50.933333333333344</v>
      </c>
      <c r="N1022" s="12" t="s">
        <v>40</v>
      </c>
      <c r="O1022" s="47" t="s">
        <v>45</v>
      </c>
      <c r="P1022" s="13">
        <f t="shared" si="588"/>
        <v>3.1</v>
      </c>
      <c r="Q1022" s="1" t="str">
        <f t="shared" si="590"/>
        <v>50-90 шт - 3,1 руб / шт с НДС</v>
      </c>
      <c r="R1022" s="235" t="str">
        <f ca="1">INDIRECT("'Закуп'!k" &amp; A1022)</f>
        <v>K207</v>
      </c>
      <c r="S1022" s="239">
        <f ca="1">INDIRECT("'Закуп'!o" &amp; A1022)</f>
        <v>15.89</v>
      </c>
      <c r="T1022" s="226" t="str">
        <f ca="1">INDIRECT("'Закуп'!p" &amp; A1022)</f>
        <v>15-19,9 литров</v>
      </c>
      <c r="U1022" s="228" t="str">
        <f ca="1">INDIRECT("'Закуп'!v" &amp; A1022)</f>
        <v/>
      </c>
      <c r="V1022" s="222" t="str">
        <f ca="1">INDIRECT("'Закуп'!w" &amp; A1022)</f>
        <v/>
      </c>
      <c r="W1022" s="229" t="str">
        <f ca="1">INDIRECT("'Закуп'!H" &amp; A1022)</f>
        <v>0201</v>
      </c>
      <c r="X1022" s="227" t="str">
        <f t="shared" ref="X1022" ca="1" si="597">INDIRECT("'Закуп'!g" &amp; A1022)</f>
        <v>Ч</v>
      </c>
      <c r="Y1022" s="229" t="str">
        <f ca="1">INDIRECT("'Закуп'!i" &amp; A1022)</f>
        <v>В</v>
      </c>
      <c r="Z1022" s="236" t="str">
        <f ca="1">INDIRECT("'Закуп'!x" &amp; A1022)</f>
        <v>300-399 мм</v>
      </c>
      <c r="AA1022" s="237" t="str">
        <f ca="1">INDIRECT("'Закуп'!y" &amp; A1022)</f>
        <v>200-299 мм</v>
      </c>
      <c r="AB1022" s="238" t="str">
        <f ca="1">INDIRECT("'Закуп'!z" &amp; A1022)</f>
        <v>100-199 мм</v>
      </c>
      <c r="AC1022" s="223" t="str">
        <f t="shared" ca="1" si="593"/>
        <v>342x242x192</v>
      </c>
      <c r="AD1022" s="222" t="str">
        <f t="shared" ca="1" si="579"/>
        <v>342x242x192 - 342*242*192 мм</v>
      </c>
    </row>
    <row r="1023" spans="1:30" x14ac:dyDescent="0.4">
      <c r="A1023" s="230"/>
      <c r="B1023" s="8">
        <v>206</v>
      </c>
      <c r="C1023" s="14">
        <f t="shared" ca="1" si="570"/>
        <v>1.31</v>
      </c>
      <c r="D1023" s="20">
        <f t="shared" ca="1" si="582"/>
        <v>1.5720000000000001</v>
      </c>
      <c r="E1023" s="225"/>
      <c r="F1023" s="231"/>
      <c r="G1023" s="172" t="str">
        <f t="shared" ca="1" si="565"/>
        <v/>
      </c>
      <c r="H1023" s="93" t="str">
        <f t="shared" ca="1" si="566"/>
        <v/>
      </c>
      <c r="I1023" s="21">
        <v>100</v>
      </c>
      <c r="J1023" s="68">
        <f t="shared" si="567"/>
        <v>2.2500000000000004</v>
      </c>
      <c r="K1023" s="70">
        <v>2.7</v>
      </c>
      <c r="L1023" s="72">
        <f t="shared" ca="1" si="562"/>
        <v>0.75200000000000033</v>
      </c>
      <c r="M1023" s="73">
        <f t="shared" ca="1" si="563"/>
        <v>75.200000000000031</v>
      </c>
      <c r="N1023" s="12" t="s">
        <v>41</v>
      </c>
      <c r="O1023" s="47" t="s">
        <v>45</v>
      </c>
      <c r="P1023" s="13">
        <f t="shared" si="588"/>
        <v>2.7</v>
      </c>
      <c r="Q1023" s="1" t="str">
        <f t="shared" si="590"/>
        <v>100-290 шт - 2,7 руб / шт с НДС</v>
      </c>
      <c r="R1023" s="235"/>
      <c r="S1023" s="239"/>
      <c r="T1023" s="226"/>
      <c r="U1023" s="228"/>
      <c r="V1023" s="222"/>
      <c r="W1023" s="229"/>
      <c r="X1023" s="227"/>
      <c r="Y1023" s="229"/>
      <c r="Z1023" s="236"/>
      <c r="AA1023" s="237"/>
      <c r="AB1023" s="238"/>
      <c r="AC1023" s="223"/>
      <c r="AD1023" s="222"/>
    </row>
    <row r="1024" spans="1:30" x14ac:dyDescent="0.4">
      <c r="A1024" s="230"/>
      <c r="B1024" s="8">
        <v>206</v>
      </c>
      <c r="C1024" s="14">
        <f t="shared" ca="1" si="570"/>
        <v>1.31</v>
      </c>
      <c r="D1024" s="20">
        <f t="shared" ca="1" si="582"/>
        <v>1.5720000000000001</v>
      </c>
      <c r="E1024" s="225"/>
      <c r="F1024" s="231"/>
      <c r="G1024" s="172" t="str">
        <f t="shared" ca="1" si="565"/>
        <v/>
      </c>
      <c r="H1024" s="93" t="str">
        <f t="shared" ca="1" si="566"/>
        <v/>
      </c>
      <c r="I1024" s="21">
        <v>300</v>
      </c>
      <c r="J1024" s="68">
        <f t="shared" si="567"/>
        <v>2.0166666666666666</v>
      </c>
      <c r="K1024" s="70">
        <v>2.42</v>
      </c>
      <c r="L1024" s="72">
        <f t="shared" ca="1" si="562"/>
        <v>0.56533333333333324</v>
      </c>
      <c r="M1024" s="73">
        <f t="shared" ca="1" si="563"/>
        <v>169.59999999999997</v>
      </c>
      <c r="N1024" s="12" t="s">
        <v>42</v>
      </c>
      <c r="O1024" s="47" t="s">
        <v>45</v>
      </c>
      <c r="P1024" s="13">
        <f t="shared" si="588"/>
        <v>2.42</v>
      </c>
      <c r="Q1024" s="1" t="str">
        <f t="shared" si="590"/>
        <v>300-490 шт - 2,42 руб / шт с НДС</v>
      </c>
      <c r="R1024" s="235"/>
      <c r="S1024" s="239"/>
      <c r="T1024" s="226"/>
      <c r="U1024" s="228"/>
      <c r="V1024" s="222"/>
      <c r="W1024" s="229"/>
      <c r="X1024" s="227"/>
      <c r="Y1024" s="229"/>
      <c r="Z1024" s="236"/>
      <c r="AA1024" s="237"/>
      <c r="AB1024" s="238"/>
      <c r="AC1024" s="223"/>
      <c r="AD1024" s="222"/>
    </row>
    <row r="1025" spans="1:30" x14ac:dyDescent="0.4">
      <c r="A1025" s="230"/>
      <c r="B1025" s="8">
        <v>206</v>
      </c>
      <c r="C1025" s="14">
        <f t="shared" ca="1" si="570"/>
        <v>1.31</v>
      </c>
      <c r="D1025" s="20">
        <f t="shared" ca="1" si="582"/>
        <v>1.5720000000000001</v>
      </c>
      <c r="E1025" s="225"/>
      <c r="F1025" s="231"/>
      <c r="G1025" s="172" t="str">
        <f t="shared" ca="1" si="565"/>
        <v/>
      </c>
      <c r="H1025" s="93" t="str">
        <f t="shared" ca="1" si="566"/>
        <v/>
      </c>
      <c r="I1025" s="21">
        <v>500</v>
      </c>
      <c r="J1025" s="68">
        <f t="shared" si="567"/>
        <v>1.8166666666666669</v>
      </c>
      <c r="K1025" s="70">
        <v>2.1800000000000002</v>
      </c>
      <c r="L1025" s="72">
        <f t="shared" ca="1" si="562"/>
        <v>0.40533333333333343</v>
      </c>
      <c r="M1025" s="73">
        <f t="shared" ca="1" si="563"/>
        <v>202.66666666666671</v>
      </c>
      <c r="N1025" s="12" t="s">
        <v>43</v>
      </c>
      <c r="O1025" s="47" t="s">
        <v>45</v>
      </c>
      <c r="P1025" s="13">
        <f t="shared" si="588"/>
        <v>2.1800000000000002</v>
      </c>
      <c r="Q1025" s="1" t="str">
        <f t="shared" si="590"/>
        <v>500-990 шт - 2,18 руб / шт с НДС</v>
      </c>
      <c r="R1025" s="235"/>
      <c r="S1025" s="239"/>
      <c r="T1025" s="226"/>
      <c r="U1025" s="228"/>
      <c r="V1025" s="222"/>
      <c r="W1025" s="229"/>
      <c r="X1025" s="227"/>
      <c r="Y1025" s="229"/>
      <c r="Z1025" s="236"/>
      <c r="AA1025" s="237"/>
      <c r="AB1025" s="238"/>
      <c r="AC1025" s="223"/>
      <c r="AD1025" s="222"/>
    </row>
    <row r="1026" spans="1:30" x14ac:dyDescent="0.4">
      <c r="A1026" s="230"/>
      <c r="B1026" s="8">
        <v>206</v>
      </c>
      <c r="C1026" s="14">
        <f t="shared" ca="1" si="570"/>
        <v>1.31</v>
      </c>
      <c r="D1026" s="20">
        <f t="shared" ca="1" si="582"/>
        <v>1.5720000000000001</v>
      </c>
      <c r="E1026" s="225"/>
      <c r="F1026" s="231"/>
      <c r="G1026" s="172" t="str">
        <f t="shared" ca="1" si="565"/>
        <v/>
      </c>
      <c r="H1026" s="93" t="str">
        <f t="shared" ca="1" si="566"/>
        <v/>
      </c>
      <c r="I1026" s="21">
        <v>1000</v>
      </c>
      <c r="J1026" s="68">
        <f t="shared" si="567"/>
        <v>1.7416666666666667</v>
      </c>
      <c r="K1026" s="70">
        <v>2.09</v>
      </c>
      <c r="L1026" s="72">
        <f t="shared" ref="L1026:L1089" ca="1" si="598">J1026-C1026-(J1026-C1026)*0.2</f>
        <v>0.34533333333333333</v>
      </c>
      <c r="M1026" s="73">
        <f t="shared" ref="M1026:M1089" ca="1" si="599">L1026*I1026</f>
        <v>345.33333333333331</v>
      </c>
      <c r="N1026" s="12" t="s">
        <v>44</v>
      </c>
      <c r="O1026" s="47" t="s">
        <v>45</v>
      </c>
      <c r="P1026" s="13">
        <f t="shared" si="588"/>
        <v>2.09</v>
      </c>
      <c r="Q1026" s="1" t="str">
        <f t="shared" si="590"/>
        <v>1000 + шт - 2,09 руб / шт с НДС</v>
      </c>
      <c r="R1026" s="235"/>
      <c r="S1026" s="239"/>
      <c r="T1026" s="226"/>
      <c r="U1026" s="228"/>
      <c r="V1026" s="222"/>
      <c r="W1026" s="229"/>
      <c r="X1026" s="227"/>
      <c r="Y1026" s="229"/>
      <c r="Z1026" s="236"/>
      <c r="AA1026" s="237"/>
      <c r="AB1026" s="238"/>
      <c r="AC1026" s="223"/>
      <c r="AD1026" s="222"/>
    </row>
    <row r="1027" spans="1:30" x14ac:dyDescent="0.4">
      <c r="A1027" s="230">
        <v>207</v>
      </c>
      <c r="B1027" s="8">
        <v>207</v>
      </c>
      <c r="C1027" s="14">
        <f t="shared" ca="1" si="570"/>
        <v>1.49</v>
      </c>
      <c r="D1027" s="20">
        <f t="shared" ca="1" si="582"/>
        <v>1.788</v>
      </c>
      <c r="E1027" s="224" t="str">
        <f ca="1">INDIRECT("'Закуп'!D" &amp; A1027)</f>
        <v>У</v>
      </c>
      <c r="F1027" s="231" t="str">
        <f t="shared" ref="F1027" ca="1" si="600">INDIRECT("'Закуп'!E" &amp; B1027)</f>
        <v>429х357х175</v>
      </c>
      <c r="G1027" s="172" t="str">
        <f t="shared" ref="G1027:G1090" ca="1" si="601">IF(INDIRECT("'Закуп'!L" &amp; B1027)="Sale","Sale","")</f>
        <v/>
      </c>
      <c r="H1027" s="93" t="str">
        <f t="shared" ref="H1027:H1090" ca="1" si="602">IF(INDIRECT("'Закуп'!F" &amp; B1027)=0,"",INDIRECT("'Закуп'!F" &amp; B1027))</f>
        <v/>
      </c>
      <c r="I1027" s="21">
        <v>50</v>
      </c>
      <c r="J1027" s="68">
        <f t="shared" ref="J1027:J1090" si="603">K1027/1.2</f>
        <v>2.9416666666666664</v>
      </c>
      <c r="K1027" s="70">
        <v>3.53</v>
      </c>
      <c r="L1027" s="72">
        <f t="shared" ca="1" si="598"/>
        <v>1.1613333333333331</v>
      </c>
      <c r="M1027" s="73">
        <f t="shared" ca="1" si="599"/>
        <v>58.066666666666656</v>
      </c>
      <c r="N1027" s="12" t="s">
        <v>40</v>
      </c>
      <c r="O1027" s="47" t="s">
        <v>45</v>
      </c>
      <c r="P1027" s="13">
        <f t="shared" si="588"/>
        <v>3.53</v>
      </c>
      <c r="Q1027" s="1" t="str">
        <f t="shared" si="590"/>
        <v>50-90 шт - 3,53 руб / шт с НДС</v>
      </c>
      <c r="R1027" s="235" t="str">
        <f ca="1">INDIRECT("'Закуп'!k" &amp; A1027)</f>
        <v>K208</v>
      </c>
      <c r="S1027" s="239">
        <f ca="1">INDIRECT("'Закуп'!o" &amp; A1027)</f>
        <v>26.8</v>
      </c>
      <c r="T1027" s="226" t="str">
        <f ca="1">INDIRECT("'Закуп'!p" &amp; A1027)</f>
        <v>20-29 литров</v>
      </c>
      <c r="U1027" s="228" t="str">
        <f ca="1">INDIRECT("'Закуп'!v" &amp; A1027)</f>
        <v/>
      </c>
      <c r="V1027" s="222" t="str">
        <f ca="1">INDIRECT("'Закуп'!w" &amp; A1027)</f>
        <v>Плоские</v>
      </c>
      <c r="W1027" s="229" t="str">
        <f ca="1">INDIRECT("'Закуп'!H" &amp; A1027)</f>
        <v>х</v>
      </c>
      <c r="X1027" s="227" t="str">
        <f t="shared" ref="X1027" ca="1" si="604">INDIRECT("'Закуп'!g" &amp; A1027)</f>
        <v>Ч</v>
      </c>
      <c r="Y1027" s="229" t="str">
        <f ca="1">INDIRECT("'Закуп'!i" &amp; A1027)</f>
        <v>В</v>
      </c>
      <c r="Z1027" s="236" t="str">
        <f ca="1">INDIRECT("'Закуп'!x" &amp; A1027)</f>
        <v>400-499 мм</v>
      </c>
      <c r="AA1027" s="237" t="str">
        <f ca="1">INDIRECT("'Закуп'!y" &amp; A1027)</f>
        <v>300-399 мм</v>
      </c>
      <c r="AB1027" s="238" t="str">
        <f ca="1">INDIRECT("'Закуп'!z" &amp; A1027)</f>
        <v>100-199 мм</v>
      </c>
      <c r="AC1027" s="223" t="str">
        <f t="shared" ca="1" si="593"/>
        <v>429x357x175</v>
      </c>
      <c r="AD1027" s="222" t="str">
        <f t="shared" ca="1" si="579"/>
        <v>429x357x175 - 429*357*175 мм</v>
      </c>
    </row>
    <row r="1028" spans="1:30" x14ac:dyDescent="0.4">
      <c r="A1028" s="230"/>
      <c r="B1028" s="8">
        <v>207</v>
      </c>
      <c r="C1028" s="14">
        <f t="shared" ca="1" si="570"/>
        <v>1.49</v>
      </c>
      <c r="D1028" s="20">
        <f t="shared" ca="1" si="582"/>
        <v>1.788</v>
      </c>
      <c r="E1028" s="225"/>
      <c r="F1028" s="231"/>
      <c r="G1028" s="172" t="str">
        <f t="shared" ca="1" si="601"/>
        <v/>
      </c>
      <c r="H1028" s="93" t="str">
        <f t="shared" ca="1" si="602"/>
        <v/>
      </c>
      <c r="I1028" s="21">
        <v>100</v>
      </c>
      <c r="J1028" s="68">
        <f t="shared" si="603"/>
        <v>2.5500000000000003</v>
      </c>
      <c r="K1028" s="70">
        <v>3.06</v>
      </c>
      <c r="L1028" s="72">
        <f t="shared" ca="1" si="598"/>
        <v>0.8480000000000002</v>
      </c>
      <c r="M1028" s="73">
        <f t="shared" ca="1" si="599"/>
        <v>84.800000000000026</v>
      </c>
      <c r="N1028" s="12" t="s">
        <v>41</v>
      </c>
      <c r="O1028" s="47" t="s">
        <v>45</v>
      </c>
      <c r="P1028" s="13">
        <f t="shared" si="588"/>
        <v>3.06</v>
      </c>
      <c r="Q1028" s="1" t="str">
        <f t="shared" si="590"/>
        <v>100-290 шт - 3,06 руб / шт с НДС</v>
      </c>
      <c r="R1028" s="235"/>
      <c r="S1028" s="239"/>
      <c r="T1028" s="226"/>
      <c r="U1028" s="228"/>
      <c r="V1028" s="222"/>
      <c r="W1028" s="229"/>
      <c r="X1028" s="227"/>
      <c r="Y1028" s="229"/>
      <c r="Z1028" s="236"/>
      <c r="AA1028" s="237"/>
      <c r="AB1028" s="238"/>
      <c r="AC1028" s="223"/>
      <c r="AD1028" s="222"/>
    </row>
    <row r="1029" spans="1:30" x14ac:dyDescent="0.4">
      <c r="A1029" s="230"/>
      <c r="B1029" s="8">
        <v>207</v>
      </c>
      <c r="C1029" s="14">
        <f t="shared" ca="1" si="570"/>
        <v>1.49</v>
      </c>
      <c r="D1029" s="20">
        <f t="shared" ca="1" si="582"/>
        <v>1.788</v>
      </c>
      <c r="E1029" s="225"/>
      <c r="F1029" s="231"/>
      <c r="G1029" s="172" t="str">
        <f t="shared" ca="1" si="601"/>
        <v/>
      </c>
      <c r="H1029" s="93" t="str">
        <f t="shared" ca="1" si="602"/>
        <v/>
      </c>
      <c r="I1029" s="21">
        <v>300</v>
      </c>
      <c r="J1029" s="68">
        <f t="shared" si="603"/>
        <v>2.1500000000000004</v>
      </c>
      <c r="K1029" s="70">
        <v>2.58</v>
      </c>
      <c r="L1029" s="72">
        <f t="shared" ca="1" si="598"/>
        <v>0.52800000000000025</v>
      </c>
      <c r="M1029" s="73">
        <f t="shared" ca="1" si="599"/>
        <v>158.40000000000006</v>
      </c>
      <c r="N1029" s="12" t="s">
        <v>42</v>
      </c>
      <c r="O1029" s="47" t="s">
        <v>45</v>
      </c>
      <c r="P1029" s="13">
        <f t="shared" si="588"/>
        <v>2.58</v>
      </c>
      <c r="Q1029" s="1" t="str">
        <f t="shared" si="590"/>
        <v>300-490 шт - 2,58 руб / шт с НДС</v>
      </c>
      <c r="R1029" s="235"/>
      <c r="S1029" s="239"/>
      <c r="T1029" s="226"/>
      <c r="U1029" s="228"/>
      <c r="V1029" s="222"/>
      <c r="W1029" s="229"/>
      <c r="X1029" s="227"/>
      <c r="Y1029" s="229"/>
      <c r="Z1029" s="236"/>
      <c r="AA1029" s="237"/>
      <c r="AB1029" s="238"/>
      <c r="AC1029" s="223"/>
      <c r="AD1029" s="222"/>
    </row>
    <row r="1030" spans="1:30" x14ac:dyDescent="0.4">
      <c r="A1030" s="230"/>
      <c r="B1030" s="8">
        <v>207</v>
      </c>
      <c r="C1030" s="14">
        <f t="shared" ca="1" si="570"/>
        <v>1.49</v>
      </c>
      <c r="D1030" s="20">
        <f t="shared" ca="1" si="582"/>
        <v>1.788</v>
      </c>
      <c r="E1030" s="225"/>
      <c r="F1030" s="231"/>
      <c r="G1030" s="172" t="str">
        <f t="shared" ca="1" si="601"/>
        <v/>
      </c>
      <c r="H1030" s="93" t="str">
        <f t="shared" ca="1" si="602"/>
        <v/>
      </c>
      <c r="I1030" s="21">
        <v>500</v>
      </c>
      <c r="J1030" s="68">
        <f t="shared" si="603"/>
        <v>2.041666666666667</v>
      </c>
      <c r="K1030" s="70">
        <v>2.4500000000000002</v>
      </c>
      <c r="L1030" s="72">
        <f t="shared" ca="1" si="598"/>
        <v>0.44133333333333358</v>
      </c>
      <c r="M1030" s="73">
        <f t="shared" ca="1" si="599"/>
        <v>220.6666666666668</v>
      </c>
      <c r="N1030" s="12" t="s">
        <v>43</v>
      </c>
      <c r="O1030" s="47" t="s">
        <v>45</v>
      </c>
      <c r="P1030" s="13">
        <f t="shared" si="588"/>
        <v>2.4500000000000002</v>
      </c>
      <c r="Q1030" s="1" t="str">
        <f t="shared" si="590"/>
        <v>500-990 шт - 2,45 руб / шт с НДС</v>
      </c>
      <c r="R1030" s="235"/>
      <c r="S1030" s="239"/>
      <c r="T1030" s="226"/>
      <c r="U1030" s="228"/>
      <c r="V1030" s="222"/>
      <c r="W1030" s="229"/>
      <c r="X1030" s="227"/>
      <c r="Y1030" s="229"/>
      <c r="Z1030" s="236"/>
      <c r="AA1030" s="237"/>
      <c r="AB1030" s="238"/>
      <c r="AC1030" s="223"/>
      <c r="AD1030" s="222"/>
    </row>
    <row r="1031" spans="1:30" x14ac:dyDescent="0.4">
      <c r="A1031" s="230"/>
      <c r="B1031" s="8">
        <v>207</v>
      </c>
      <c r="C1031" s="14">
        <f t="shared" ca="1" si="570"/>
        <v>1.49</v>
      </c>
      <c r="D1031" s="20">
        <f t="shared" ca="1" si="582"/>
        <v>1.788</v>
      </c>
      <c r="E1031" s="225"/>
      <c r="F1031" s="231"/>
      <c r="G1031" s="172" t="str">
        <f t="shared" ca="1" si="601"/>
        <v/>
      </c>
      <c r="H1031" s="93" t="str">
        <f t="shared" ca="1" si="602"/>
        <v/>
      </c>
      <c r="I1031" s="21">
        <v>1000</v>
      </c>
      <c r="J1031" s="68">
        <f t="shared" si="603"/>
        <v>1.9416666666666669</v>
      </c>
      <c r="K1031" s="70">
        <v>2.33</v>
      </c>
      <c r="L1031" s="72">
        <f t="shared" ca="1" si="598"/>
        <v>0.36133333333333351</v>
      </c>
      <c r="M1031" s="73">
        <f t="shared" ca="1" si="599"/>
        <v>361.33333333333348</v>
      </c>
      <c r="N1031" s="12" t="s">
        <v>44</v>
      </c>
      <c r="O1031" s="47" t="s">
        <v>45</v>
      </c>
      <c r="P1031" s="13">
        <f t="shared" si="588"/>
        <v>2.33</v>
      </c>
      <c r="Q1031" s="1" t="str">
        <f t="shared" si="590"/>
        <v>1000 + шт - 2,33 руб / шт с НДС</v>
      </c>
      <c r="R1031" s="235"/>
      <c r="S1031" s="239"/>
      <c r="T1031" s="226"/>
      <c r="U1031" s="228"/>
      <c r="V1031" s="222"/>
      <c r="W1031" s="229"/>
      <c r="X1031" s="227"/>
      <c r="Y1031" s="229"/>
      <c r="Z1031" s="236"/>
      <c r="AA1031" s="237"/>
      <c r="AB1031" s="238"/>
      <c r="AC1031" s="223"/>
      <c r="AD1031" s="222"/>
    </row>
    <row r="1032" spans="1:30" x14ac:dyDescent="0.4">
      <c r="A1032" s="230">
        <v>208</v>
      </c>
      <c r="B1032" s="8">
        <v>208</v>
      </c>
      <c r="C1032" s="14">
        <f t="shared" ca="1" si="570"/>
        <v>1.64</v>
      </c>
      <c r="D1032" s="20">
        <f t="shared" ca="1" si="582"/>
        <v>1.9679999999999997</v>
      </c>
      <c r="E1032" s="224" t="str">
        <f ca="1">INDIRECT("'Закуп'!D" &amp; A1032)</f>
        <v>У</v>
      </c>
      <c r="F1032" s="231" t="str">
        <f t="shared" ref="F1032" ca="1" si="605">INDIRECT("'Закуп'!E" &amp; B1032)</f>
        <v>385х383х216</v>
      </c>
      <c r="G1032" s="172" t="str">
        <f t="shared" ca="1" si="601"/>
        <v/>
      </c>
      <c r="H1032" s="93" t="str">
        <f t="shared" ca="1" si="602"/>
        <v/>
      </c>
      <c r="I1032" s="21">
        <v>50</v>
      </c>
      <c r="J1032" s="68">
        <f t="shared" si="603"/>
        <v>3.2083333333333335</v>
      </c>
      <c r="K1032" s="70">
        <v>3.85</v>
      </c>
      <c r="L1032" s="72">
        <f t="shared" ca="1" si="598"/>
        <v>1.2546666666666668</v>
      </c>
      <c r="M1032" s="73">
        <f t="shared" ca="1" si="599"/>
        <v>62.733333333333341</v>
      </c>
      <c r="N1032" s="12" t="s">
        <v>40</v>
      </c>
      <c r="O1032" s="47" t="s">
        <v>45</v>
      </c>
      <c r="P1032" s="13">
        <f t="shared" si="588"/>
        <v>3.85</v>
      </c>
      <c r="Q1032" s="1" t="str">
        <f t="shared" si="590"/>
        <v>50-90 шт - 3,85 руб / шт с НДС</v>
      </c>
      <c r="R1032" s="235" t="str">
        <f ca="1">INDIRECT("'Закуп'!k" &amp; A1032)</f>
        <v>K209</v>
      </c>
      <c r="S1032" s="239">
        <f ca="1">INDIRECT("'Закуп'!o" &amp; A1032)</f>
        <v>31.85</v>
      </c>
      <c r="T1032" s="226" t="str">
        <f ca="1">INDIRECT("'Закуп'!p" &amp; A1032)</f>
        <v>30-49 литров</v>
      </c>
      <c r="U1032" s="228" t="str">
        <f ca="1">INDIRECT("'Закуп'!v" &amp; A1032)</f>
        <v/>
      </c>
      <c r="V1032" s="222" t="str">
        <f ca="1">INDIRECT("'Закуп'!w" &amp; A1032)</f>
        <v/>
      </c>
      <c r="W1032" s="229" t="str">
        <f ca="1">INDIRECT("'Закуп'!H" &amp; A1032)</f>
        <v>х</v>
      </c>
      <c r="X1032" s="227" t="str">
        <f t="shared" ref="X1032" ca="1" si="606">INDIRECT("'Закуп'!g" &amp; A1032)</f>
        <v>Ч</v>
      </c>
      <c r="Y1032" s="229" t="str">
        <f ca="1">INDIRECT("'Закуп'!i" &amp; A1032)</f>
        <v>В</v>
      </c>
      <c r="Z1032" s="236" t="str">
        <f ca="1">INDIRECT("'Закуп'!x" &amp; A1032)</f>
        <v>300-399 мм</v>
      </c>
      <c r="AA1032" s="237" t="str">
        <f ca="1">INDIRECT("'Закуп'!y" &amp; A1032)</f>
        <v>300-399 мм</v>
      </c>
      <c r="AB1032" s="238" t="str">
        <f ca="1">INDIRECT("'Закуп'!z" &amp; A1032)</f>
        <v>200-299 мм</v>
      </c>
      <c r="AC1032" s="223" t="str">
        <f t="shared" ca="1" si="593"/>
        <v>385x383x216</v>
      </c>
      <c r="AD1032" s="222" t="str">
        <f t="shared" ca="1" si="579"/>
        <v>385x383x216 - 385*383*216 мм</v>
      </c>
    </row>
    <row r="1033" spans="1:30" x14ac:dyDescent="0.4">
      <c r="A1033" s="230"/>
      <c r="B1033" s="8">
        <v>208</v>
      </c>
      <c r="C1033" s="14">
        <f t="shared" ref="C1033:C1096" ca="1" si="607">INDIRECT("'Закуп'!A" &amp; B1033)</f>
        <v>1.64</v>
      </c>
      <c r="D1033" s="20">
        <f t="shared" ca="1" si="582"/>
        <v>1.9679999999999997</v>
      </c>
      <c r="E1033" s="225"/>
      <c r="F1033" s="231"/>
      <c r="G1033" s="172" t="str">
        <f t="shared" ca="1" si="601"/>
        <v/>
      </c>
      <c r="H1033" s="93" t="str">
        <f t="shared" ca="1" si="602"/>
        <v/>
      </c>
      <c r="I1033" s="21">
        <v>100</v>
      </c>
      <c r="J1033" s="68">
        <f t="shared" si="603"/>
        <v>2.7750000000000004</v>
      </c>
      <c r="K1033" s="70">
        <v>3.33</v>
      </c>
      <c r="L1033" s="72">
        <f t="shared" ca="1" si="598"/>
        <v>0.90800000000000036</v>
      </c>
      <c r="M1033" s="73">
        <f t="shared" ca="1" si="599"/>
        <v>90.80000000000004</v>
      </c>
      <c r="N1033" s="12" t="s">
        <v>41</v>
      </c>
      <c r="O1033" s="47" t="s">
        <v>45</v>
      </c>
      <c r="P1033" s="13">
        <f t="shared" si="588"/>
        <v>3.33</v>
      </c>
      <c r="Q1033" s="1" t="str">
        <f t="shared" si="590"/>
        <v>100-290 шт - 3,33 руб / шт с НДС</v>
      </c>
      <c r="R1033" s="235"/>
      <c r="S1033" s="239"/>
      <c r="T1033" s="226"/>
      <c r="U1033" s="228"/>
      <c r="V1033" s="222"/>
      <c r="W1033" s="229"/>
      <c r="X1033" s="227"/>
      <c r="Y1033" s="229"/>
      <c r="Z1033" s="236"/>
      <c r="AA1033" s="237"/>
      <c r="AB1033" s="238"/>
      <c r="AC1033" s="223"/>
      <c r="AD1033" s="222"/>
    </row>
    <row r="1034" spans="1:30" x14ac:dyDescent="0.4">
      <c r="A1034" s="230"/>
      <c r="B1034" s="8">
        <v>208</v>
      </c>
      <c r="C1034" s="14">
        <f t="shared" ca="1" si="607"/>
        <v>1.64</v>
      </c>
      <c r="D1034" s="20">
        <f t="shared" ca="1" si="582"/>
        <v>1.9679999999999997</v>
      </c>
      <c r="E1034" s="225"/>
      <c r="F1034" s="231"/>
      <c r="G1034" s="172" t="str">
        <f t="shared" ca="1" si="601"/>
        <v/>
      </c>
      <c r="H1034" s="93" t="str">
        <f t="shared" ca="1" si="602"/>
        <v/>
      </c>
      <c r="I1034" s="21">
        <v>300</v>
      </c>
      <c r="J1034" s="68">
        <f t="shared" si="603"/>
        <v>2.3333333333333335</v>
      </c>
      <c r="K1034" s="70">
        <v>2.8</v>
      </c>
      <c r="L1034" s="72">
        <f t="shared" ca="1" si="598"/>
        <v>0.55466666666666686</v>
      </c>
      <c r="M1034" s="73">
        <f t="shared" ca="1" si="599"/>
        <v>166.40000000000006</v>
      </c>
      <c r="N1034" s="12" t="s">
        <v>42</v>
      </c>
      <c r="O1034" s="47" t="s">
        <v>45</v>
      </c>
      <c r="P1034" s="13">
        <f t="shared" si="588"/>
        <v>2.8</v>
      </c>
      <c r="Q1034" s="1" t="str">
        <f t="shared" si="590"/>
        <v>300-490 шт - 2,8 руб / шт с НДС</v>
      </c>
      <c r="R1034" s="235"/>
      <c r="S1034" s="239"/>
      <c r="T1034" s="226"/>
      <c r="U1034" s="228"/>
      <c r="V1034" s="222"/>
      <c r="W1034" s="229"/>
      <c r="X1034" s="227"/>
      <c r="Y1034" s="229"/>
      <c r="Z1034" s="236"/>
      <c r="AA1034" s="237"/>
      <c r="AB1034" s="238"/>
      <c r="AC1034" s="223"/>
      <c r="AD1034" s="222"/>
    </row>
    <row r="1035" spans="1:30" x14ac:dyDescent="0.4">
      <c r="A1035" s="230"/>
      <c r="B1035" s="8">
        <v>208</v>
      </c>
      <c r="C1035" s="14">
        <f t="shared" ca="1" si="607"/>
        <v>1.64</v>
      </c>
      <c r="D1035" s="20">
        <f t="shared" ca="1" si="582"/>
        <v>1.9679999999999997</v>
      </c>
      <c r="E1035" s="225"/>
      <c r="F1035" s="231"/>
      <c r="G1035" s="172" t="str">
        <f t="shared" ca="1" si="601"/>
        <v/>
      </c>
      <c r="H1035" s="93" t="str">
        <f t="shared" ca="1" si="602"/>
        <v/>
      </c>
      <c r="I1035" s="21">
        <v>500</v>
      </c>
      <c r="J1035" s="68">
        <f t="shared" si="603"/>
        <v>2.2083333333333335</v>
      </c>
      <c r="K1035" s="70">
        <v>2.65</v>
      </c>
      <c r="L1035" s="72">
        <f t="shared" ca="1" si="598"/>
        <v>0.45466666666666689</v>
      </c>
      <c r="M1035" s="73">
        <f t="shared" ca="1" si="599"/>
        <v>227.33333333333346</v>
      </c>
      <c r="N1035" s="12" t="s">
        <v>43</v>
      </c>
      <c r="O1035" s="47" t="s">
        <v>45</v>
      </c>
      <c r="P1035" s="13">
        <f t="shared" si="588"/>
        <v>2.65</v>
      </c>
      <c r="Q1035" s="1" t="str">
        <f t="shared" si="590"/>
        <v>500-990 шт - 2,65 руб / шт с НДС</v>
      </c>
      <c r="R1035" s="235"/>
      <c r="S1035" s="239"/>
      <c r="T1035" s="226"/>
      <c r="U1035" s="228"/>
      <c r="V1035" s="222"/>
      <c r="W1035" s="229"/>
      <c r="X1035" s="227"/>
      <c r="Y1035" s="229"/>
      <c r="Z1035" s="236"/>
      <c r="AA1035" s="237"/>
      <c r="AB1035" s="238"/>
      <c r="AC1035" s="223"/>
      <c r="AD1035" s="222"/>
    </row>
    <row r="1036" spans="1:30" x14ac:dyDescent="0.4">
      <c r="A1036" s="230"/>
      <c r="B1036" s="8">
        <v>208</v>
      </c>
      <c r="C1036" s="14">
        <f t="shared" ca="1" si="607"/>
        <v>1.64</v>
      </c>
      <c r="D1036" s="20">
        <f t="shared" ca="1" si="582"/>
        <v>1.9679999999999997</v>
      </c>
      <c r="E1036" s="225"/>
      <c r="F1036" s="231"/>
      <c r="G1036" s="172" t="str">
        <f t="shared" ca="1" si="601"/>
        <v/>
      </c>
      <c r="H1036" s="93" t="str">
        <f t="shared" ca="1" si="602"/>
        <v/>
      </c>
      <c r="I1036" s="21">
        <v>1000</v>
      </c>
      <c r="J1036" s="68">
        <f t="shared" si="603"/>
        <v>2.1416666666666666</v>
      </c>
      <c r="K1036" s="70">
        <v>2.57</v>
      </c>
      <c r="L1036" s="72">
        <f t="shared" ca="1" si="598"/>
        <v>0.40133333333333338</v>
      </c>
      <c r="M1036" s="73">
        <f t="shared" ca="1" si="599"/>
        <v>401.33333333333337</v>
      </c>
      <c r="N1036" s="12" t="s">
        <v>44</v>
      </c>
      <c r="O1036" s="47" t="s">
        <v>45</v>
      </c>
      <c r="P1036" s="13">
        <f t="shared" si="588"/>
        <v>2.57</v>
      </c>
      <c r="Q1036" s="1" t="str">
        <f t="shared" si="590"/>
        <v>1000 + шт - 2,57 руб / шт с НДС</v>
      </c>
      <c r="R1036" s="235"/>
      <c r="S1036" s="239"/>
      <c r="T1036" s="226"/>
      <c r="U1036" s="228"/>
      <c r="V1036" s="222"/>
      <c r="W1036" s="229"/>
      <c r="X1036" s="227"/>
      <c r="Y1036" s="229"/>
      <c r="Z1036" s="236"/>
      <c r="AA1036" s="237"/>
      <c r="AB1036" s="238"/>
      <c r="AC1036" s="223"/>
      <c r="AD1036" s="222"/>
    </row>
    <row r="1037" spans="1:30" x14ac:dyDescent="0.4">
      <c r="A1037" s="230">
        <v>209</v>
      </c>
      <c r="B1037" s="8">
        <v>209</v>
      </c>
      <c r="C1037" s="14">
        <f t="shared" ca="1" si="607"/>
        <v>0.28000000000000003</v>
      </c>
      <c r="D1037" s="20">
        <f t="shared" ca="1" si="582"/>
        <v>0.33600000000000002</v>
      </c>
      <c r="E1037" s="224" t="str">
        <f ca="1">INDIRECT("'Закуп'!D" &amp; A1037)</f>
        <v>У</v>
      </c>
      <c r="F1037" s="231" t="str">
        <f t="shared" ref="F1037" ca="1" si="608">INDIRECT("'Закуп'!E" &amp; B1037)</f>
        <v>115х100х80</v>
      </c>
      <c r="G1037" s="172" t="str">
        <f t="shared" ca="1" si="601"/>
        <v/>
      </c>
      <c r="H1037" s="93" t="str">
        <f t="shared" ca="1" si="602"/>
        <v/>
      </c>
      <c r="I1037" s="21">
        <v>50</v>
      </c>
      <c r="J1037" s="68">
        <f t="shared" si="603"/>
        <v>0.89166666666666672</v>
      </c>
      <c r="K1037" s="70">
        <v>1.07</v>
      </c>
      <c r="L1037" s="72">
        <f t="shared" ca="1" si="598"/>
        <v>0.48933333333333334</v>
      </c>
      <c r="M1037" s="73">
        <f t="shared" ca="1" si="599"/>
        <v>24.466666666666669</v>
      </c>
      <c r="N1037" s="12" t="s">
        <v>40</v>
      </c>
      <c r="O1037" s="47" t="s">
        <v>45</v>
      </c>
      <c r="P1037" s="13">
        <f t="shared" si="588"/>
        <v>1.07</v>
      </c>
      <c r="Q1037" s="1" t="str">
        <f t="shared" si="590"/>
        <v>50-90 шт - 1,07 руб / шт с НДС</v>
      </c>
      <c r="R1037" s="235" t="str">
        <f ca="1">INDIRECT("'Закуп'!k" &amp; A1037)</f>
        <v>K210</v>
      </c>
      <c r="S1037" s="239">
        <f ca="1">INDIRECT("'Закуп'!o" &amp; A1037)</f>
        <v>0.92</v>
      </c>
      <c r="T1037" s="226" t="str">
        <f ca="1">INDIRECT("'Закуп'!p" &amp; A1037)</f>
        <v>0,1-0,9 литров</v>
      </c>
      <c r="U1037" s="228" t="str">
        <f ca="1">INDIRECT("'Закуп'!v" &amp; A1037)</f>
        <v/>
      </c>
      <c r="V1037" s="222" t="str">
        <f ca="1">INDIRECT("'Закуп'!w" &amp; A1037)</f>
        <v/>
      </c>
      <c r="W1037" s="229" t="str">
        <f ca="1">INDIRECT("'Закуп'!H" &amp; A1037)</f>
        <v>0330</v>
      </c>
      <c r="X1037" s="227" t="str">
        <f t="shared" ref="X1037" ca="1" si="609">INDIRECT("'Закуп'!g" &amp; A1037)</f>
        <v>КД</v>
      </c>
      <c r="Y1037" s="229" t="str">
        <f ca="1">INDIRECT("'Закуп'!i" &amp; A1037)</f>
        <v>Е</v>
      </c>
      <c r="Z1037" s="236" t="str">
        <f ca="1">INDIRECT("'Закуп'!x" &amp; A1037)</f>
        <v>100-199 мм</v>
      </c>
      <c r="AA1037" s="237" t="str">
        <f ca="1">INDIRECT("'Закуп'!y" &amp; A1037)</f>
        <v>100-199 мм</v>
      </c>
      <c r="AB1037" s="238" t="str">
        <f ca="1">INDIRECT("'Закуп'!z" &amp; A1037)</f>
        <v>10-99 мм</v>
      </c>
      <c r="AC1037" s="223" t="str">
        <f t="shared" ca="1" si="593"/>
        <v>115x100x80</v>
      </c>
      <c r="AD1037" s="222" t="str">
        <f t="shared" ca="1" si="579"/>
        <v>115x100x80 - 115*100*80 мм</v>
      </c>
    </row>
    <row r="1038" spans="1:30" x14ac:dyDescent="0.4">
      <c r="A1038" s="230"/>
      <c r="B1038" s="8">
        <v>209</v>
      </c>
      <c r="C1038" s="14">
        <f t="shared" ca="1" si="607"/>
        <v>0.28000000000000003</v>
      </c>
      <c r="D1038" s="20">
        <f t="shared" ca="1" si="582"/>
        <v>0.33600000000000002</v>
      </c>
      <c r="E1038" s="225"/>
      <c r="F1038" s="231"/>
      <c r="G1038" s="172" t="str">
        <f t="shared" ca="1" si="601"/>
        <v/>
      </c>
      <c r="H1038" s="93" t="str">
        <f t="shared" ca="1" si="602"/>
        <v/>
      </c>
      <c r="I1038" s="21">
        <v>100</v>
      </c>
      <c r="J1038" s="68">
        <f t="shared" si="603"/>
        <v>0.77500000000000002</v>
      </c>
      <c r="K1038" s="70">
        <v>0.93</v>
      </c>
      <c r="L1038" s="72">
        <f t="shared" ca="1" si="598"/>
        <v>0.39600000000000002</v>
      </c>
      <c r="M1038" s="73">
        <f t="shared" ca="1" si="599"/>
        <v>39.6</v>
      </c>
      <c r="N1038" s="12" t="s">
        <v>41</v>
      </c>
      <c r="O1038" s="47" t="s">
        <v>45</v>
      </c>
      <c r="P1038" s="13">
        <f t="shared" si="588"/>
        <v>0.93</v>
      </c>
      <c r="Q1038" s="1" t="str">
        <f t="shared" si="590"/>
        <v>100-290 шт - 0,93 руб / шт с НДС</v>
      </c>
      <c r="R1038" s="235"/>
      <c r="S1038" s="239"/>
      <c r="T1038" s="226"/>
      <c r="U1038" s="228"/>
      <c r="V1038" s="222"/>
      <c r="W1038" s="229"/>
      <c r="X1038" s="227"/>
      <c r="Y1038" s="229"/>
      <c r="Z1038" s="236"/>
      <c r="AA1038" s="237"/>
      <c r="AB1038" s="238"/>
      <c r="AC1038" s="223"/>
      <c r="AD1038" s="222"/>
    </row>
    <row r="1039" spans="1:30" x14ac:dyDescent="0.4">
      <c r="A1039" s="230"/>
      <c r="B1039" s="8">
        <v>209</v>
      </c>
      <c r="C1039" s="14">
        <f t="shared" ca="1" si="607"/>
        <v>0.28000000000000003</v>
      </c>
      <c r="D1039" s="20">
        <f t="shared" ca="1" si="582"/>
        <v>0.33600000000000002</v>
      </c>
      <c r="E1039" s="225"/>
      <c r="F1039" s="231"/>
      <c r="G1039" s="172" t="str">
        <f t="shared" ca="1" si="601"/>
        <v/>
      </c>
      <c r="H1039" s="93" t="str">
        <f t="shared" ca="1" si="602"/>
        <v/>
      </c>
      <c r="I1039" s="21">
        <v>300</v>
      </c>
      <c r="J1039" s="68">
        <f t="shared" si="603"/>
        <v>0.625</v>
      </c>
      <c r="K1039" s="70">
        <v>0.75</v>
      </c>
      <c r="L1039" s="72">
        <f t="shared" ca="1" si="598"/>
        <v>0.27599999999999997</v>
      </c>
      <c r="M1039" s="73">
        <f t="shared" ca="1" si="599"/>
        <v>82.8</v>
      </c>
      <c r="N1039" s="12" t="s">
        <v>42</v>
      </c>
      <c r="O1039" s="47" t="s">
        <v>45</v>
      </c>
      <c r="P1039" s="13">
        <f t="shared" si="588"/>
        <v>0.75</v>
      </c>
      <c r="Q1039" s="1" t="str">
        <f t="shared" si="590"/>
        <v>300-490 шт - 0,75 руб / шт с НДС</v>
      </c>
      <c r="R1039" s="235"/>
      <c r="S1039" s="239"/>
      <c r="T1039" s="226"/>
      <c r="U1039" s="228"/>
      <c r="V1039" s="222"/>
      <c r="W1039" s="229"/>
      <c r="X1039" s="227"/>
      <c r="Y1039" s="229"/>
      <c r="Z1039" s="236"/>
      <c r="AA1039" s="237"/>
      <c r="AB1039" s="238"/>
      <c r="AC1039" s="223"/>
      <c r="AD1039" s="222"/>
    </row>
    <row r="1040" spans="1:30" x14ac:dyDescent="0.4">
      <c r="A1040" s="230"/>
      <c r="B1040" s="8">
        <v>209</v>
      </c>
      <c r="C1040" s="14">
        <f t="shared" ca="1" si="607"/>
        <v>0.28000000000000003</v>
      </c>
      <c r="D1040" s="20">
        <f t="shared" ca="1" si="582"/>
        <v>0.33600000000000002</v>
      </c>
      <c r="E1040" s="225"/>
      <c r="F1040" s="231"/>
      <c r="G1040" s="172" t="str">
        <f t="shared" ca="1" si="601"/>
        <v/>
      </c>
      <c r="H1040" s="93" t="str">
        <f t="shared" ca="1" si="602"/>
        <v/>
      </c>
      <c r="I1040" s="21">
        <v>500</v>
      </c>
      <c r="J1040" s="68">
        <f t="shared" si="603"/>
        <v>0.52500000000000002</v>
      </c>
      <c r="K1040" s="70">
        <v>0.63</v>
      </c>
      <c r="L1040" s="72">
        <f t="shared" ca="1" si="598"/>
        <v>0.19600000000000001</v>
      </c>
      <c r="M1040" s="73">
        <f t="shared" ca="1" si="599"/>
        <v>98</v>
      </c>
      <c r="N1040" s="12" t="s">
        <v>43</v>
      </c>
      <c r="O1040" s="47" t="s">
        <v>45</v>
      </c>
      <c r="P1040" s="13">
        <f t="shared" si="588"/>
        <v>0.63</v>
      </c>
      <c r="Q1040" s="1" t="str">
        <f t="shared" si="590"/>
        <v>500-990 шт - 0,63 руб / шт с НДС</v>
      </c>
      <c r="R1040" s="235"/>
      <c r="S1040" s="239"/>
      <c r="T1040" s="226"/>
      <c r="U1040" s="228"/>
      <c r="V1040" s="222"/>
      <c r="W1040" s="229"/>
      <c r="X1040" s="227"/>
      <c r="Y1040" s="229"/>
      <c r="Z1040" s="236"/>
      <c r="AA1040" s="237"/>
      <c r="AB1040" s="238"/>
      <c r="AC1040" s="223"/>
      <c r="AD1040" s="222"/>
    </row>
    <row r="1041" spans="1:30" x14ac:dyDescent="0.4">
      <c r="A1041" s="230"/>
      <c r="B1041" s="8">
        <v>209</v>
      </c>
      <c r="C1041" s="14">
        <f t="shared" ca="1" si="607"/>
        <v>0.28000000000000003</v>
      </c>
      <c r="D1041" s="20">
        <f t="shared" ca="1" si="582"/>
        <v>0.33600000000000002</v>
      </c>
      <c r="E1041" s="225"/>
      <c r="F1041" s="231"/>
      <c r="G1041" s="172" t="str">
        <f t="shared" ca="1" si="601"/>
        <v/>
      </c>
      <c r="H1041" s="93" t="str">
        <f t="shared" ca="1" si="602"/>
        <v/>
      </c>
      <c r="I1041" s="21">
        <v>1000</v>
      </c>
      <c r="J1041" s="68">
        <f t="shared" si="603"/>
        <v>0.45000000000000007</v>
      </c>
      <c r="K1041" s="70">
        <v>0.54</v>
      </c>
      <c r="L1041" s="72">
        <f t="shared" ca="1" si="598"/>
        <v>0.13600000000000004</v>
      </c>
      <c r="M1041" s="73">
        <f t="shared" ca="1" si="599"/>
        <v>136.00000000000003</v>
      </c>
      <c r="N1041" s="12" t="s">
        <v>44</v>
      </c>
      <c r="O1041" s="47" t="s">
        <v>45</v>
      </c>
      <c r="P1041" s="13">
        <f t="shared" si="588"/>
        <v>0.54</v>
      </c>
      <c r="Q1041" s="1" t="str">
        <f t="shared" si="590"/>
        <v>1000 + шт - 0,54 руб / шт с НДС</v>
      </c>
      <c r="R1041" s="235"/>
      <c r="S1041" s="239"/>
      <c r="T1041" s="226"/>
      <c r="U1041" s="228"/>
      <c r="V1041" s="222"/>
      <c r="W1041" s="229"/>
      <c r="X1041" s="227"/>
      <c r="Y1041" s="229"/>
      <c r="Z1041" s="236"/>
      <c r="AA1041" s="237"/>
      <c r="AB1041" s="238"/>
      <c r="AC1041" s="223"/>
      <c r="AD1041" s="222"/>
    </row>
    <row r="1042" spans="1:30" x14ac:dyDescent="0.4">
      <c r="A1042" s="230">
        <v>210</v>
      </c>
      <c r="B1042" s="8">
        <v>210</v>
      </c>
      <c r="C1042" s="14">
        <f t="shared" ca="1" si="607"/>
        <v>0.81</v>
      </c>
      <c r="D1042" s="20">
        <f t="shared" ca="1" si="582"/>
        <v>0.97199999999999998</v>
      </c>
      <c r="E1042" s="224" t="str">
        <f ca="1">INDIRECT("'Закуп'!D" &amp; A1042)</f>
        <v>У</v>
      </c>
      <c r="F1042" s="231" t="str">
        <f t="shared" ref="F1042" ca="1" si="610">INDIRECT("'Закуп'!E" &amp; B1042)</f>
        <v>235х225х117</v>
      </c>
      <c r="G1042" s="172" t="str">
        <f t="shared" ca="1" si="601"/>
        <v/>
      </c>
      <c r="H1042" s="93" t="str">
        <f t="shared" ca="1" si="602"/>
        <v/>
      </c>
      <c r="I1042" s="21">
        <v>50</v>
      </c>
      <c r="J1042" s="68">
        <f t="shared" si="603"/>
        <v>1.9083333333333334</v>
      </c>
      <c r="K1042" s="70">
        <v>2.29</v>
      </c>
      <c r="L1042" s="72">
        <f t="shared" ca="1" si="598"/>
        <v>0.87866666666666671</v>
      </c>
      <c r="M1042" s="73">
        <f t="shared" ca="1" si="599"/>
        <v>43.933333333333337</v>
      </c>
      <c r="N1042" s="12" t="s">
        <v>40</v>
      </c>
      <c r="O1042" s="47" t="s">
        <v>45</v>
      </c>
      <c r="P1042" s="13">
        <f t="shared" si="588"/>
        <v>2.29</v>
      </c>
      <c r="Q1042" s="1" t="str">
        <f t="shared" si="590"/>
        <v>50-90 шт - 2,29 руб / шт с НДС</v>
      </c>
      <c r="R1042" s="235" t="str">
        <f ca="1">INDIRECT("'Закуп'!k" &amp; A1042)</f>
        <v>K211</v>
      </c>
      <c r="S1042" s="239">
        <f ca="1">INDIRECT("'Закуп'!o" &amp; A1042)</f>
        <v>6.19</v>
      </c>
      <c r="T1042" s="226" t="str">
        <f ca="1">INDIRECT("'Закуп'!p" &amp; A1042)</f>
        <v>6-7,9 литра</v>
      </c>
      <c r="U1042" s="228" t="str">
        <f ca="1">INDIRECT("'Закуп'!v" &amp; A1042)</f>
        <v/>
      </c>
      <c r="V1042" s="222" t="str">
        <f ca="1">INDIRECT("'Закуп'!w" &amp; A1042)</f>
        <v/>
      </c>
      <c r="W1042" s="229" t="str">
        <f ca="1">INDIRECT("'Закуп'!H" &amp; A1042)</f>
        <v>0330</v>
      </c>
      <c r="X1042" s="227" t="str">
        <f t="shared" ref="X1042" ca="1" si="611">INDIRECT("'Закуп'!g" &amp; A1042)</f>
        <v>КД</v>
      </c>
      <c r="Y1042" s="229" t="str">
        <f ca="1">INDIRECT("'Закуп'!i" &amp; A1042)</f>
        <v>Е</v>
      </c>
      <c r="Z1042" s="236" t="str">
        <f ca="1">INDIRECT("'Закуп'!x" &amp; A1042)</f>
        <v>200-299 мм</v>
      </c>
      <c r="AA1042" s="237" t="str">
        <f ca="1">INDIRECT("'Закуп'!y" &amp; A1042)</f>
        <v>200-299 мм</v>
      </c>
      <c r="AB1042" s="238" t="str">
        <f ca="1">INDIRECT("'Закуп'!z" &amp; A1042)</f>
        <v>100-199 мм</v>
      </c>
      <c r="AC1042" s="223" t="str">
        <f t="shared" ca="1" si="593"/>
        <v>235x225x117</v>
      </c>
      <c r="AD1042" s="222" t="str">
        <f t="shared" ca="1" si="579"/>
        <v>235x225x117 - 235*225*117 мм</v>
      </c>
    </row>
    <row r="1043" spans="1:30" x14ac:dyDescent="0.4">
      <c r="A1043" s="230"/>
      <c r="B1043" s="8">
        <v>210</v>
      </c>
      <c r="C1043" s="14">
        <f t="shared" ca="1" si="607"/>
        <v>0.81</v>
      </c>
      <c r="D1043" s="20">
        <f t="shared" ca="1" si="582"/>
        <v>0.97199999999999998</v>
      </c>
      <c r="E1043" s="225"/>
      <c r="F1043" s="231"/>
      <c r="G1043" s="172" t="str">
        <f t="shared" ca="1" si="601"/>
        <v/>
      </c>
      <c r="H1043" s="93" t="str">
        <f t="shared" ca="1" si="602"/>
        <v/>
      </c>
      <c r="I1043" s="21">
        <v>100</v>
      </c>
      <c r="J1043" s="68">
        <f t="shared" si="603"/>
        <v>1.7333333333333334</v>
      </c>
      <c r="K1043" s="70">
        <v>2.08</v>
      </c>
      <c r="L1043" s="72">
        <f t="shared" ca="1" si="598"/>
        <v>0.73866666666666669</v>
      </c>
      <c r="M1043" s="73">
        <f t="shared" ca="1" si="599"/>
        <v>73.866666666666674</v>
      </c>
      <c r="N1043" s="12" t="s">
        <v>41</v>
      </c>
      <c r="O1043" s="47" t="s">
        <v>45</v>
      </c>
      <c r="P1043" s="13">
        <f t="shared" si="588"/>
        <v>2.08</v>
      </c>
      <c r="Q1043" s="1" t="str">
        <f t="shared" si="590"/>
        <v>100-290 шт - 2,08 руб / шт с НДС</v>
      </c>
      <c r="R1043" s="235"/>
      <c r="S1043" s="239"/>
      <c r="T1043" s="226"/>
      <c r="U1043" s="228"/>
      <c r="V1043" s="222"/>
      <c r="W1043" s="229"/>
      <c r="X1043" s="227"/>
      <c r="Y1043" s="229"/>
      <c r="Z1043" s="236"/>
      <c r="AA1043" s="237"/>
      <c r="AB1043" s="238"/>
      <c r="AC1043" s="223"/>
      <c r="AD1043" s="222"/>
    </row>
    <row r="1044" spans="1:30" x14ac:dyDescent="0.4">
      <c r="A1044" s="230"/>
      <c r="B1044" s="8">
        <v>210</v>
      </c>
      <c r="C1044" s="14">
        <f t="shared" ca="1" si="607"/>
        <v>0.81</v>
      </c>
      <c r="D1044" s="20">
        <f t="shared" ca="1" si="582"/>
        <v>0.97199999999999998</v>
      </c>
      <c r="E1044" s="225"/>
      <c r="F1044" s="231"/>
      <c r="G1044" s="172" t="str">
        <f t="shared" ca="1" si="601"/>
        <v/>
      </c>
      <c r="H1044" s="93" t="str">
        <f t="shared" ca="1" si="602"/>
        <v/>
      </c>
      <c r="I1044" s="21">
        <v>300</v>
      </c>
      <c r="J1044" s="68">
        <f t="shared" si="603"/>
        <v>1.3583333333333334</v>
      </c>
      <c r="K1044" s="70">
        <v>1.63</v>
      </c>
      <c r="L1044" s="72">
        <f t="shared" ca="1" si="598"/>
        <v>0.43866666666666665</v>
      </c>
      <c r="M1044" s="73">
        <f t="shared" ca="1" si="599"/>
        <v>131.6</v>
      </c>
      <c r="N1044" s="12" t="s">
        <v>42</v>
      </c>
      <c r="O1044" s="47" t="s">
        <v>45</v>
      </c>
      <c r="P1044" s="13">
        <f t="shared" si="588"/>
        <v>1.63</v>
      </c>
      <c r="Q1044" s="1" t="str">
        <f t="shared" si="590"/>
        <v>300-490 шт - 1,63 руб / шт с НДС</v>
      </c>
      <c r="R1044" s="235"/>
      <c r="S1044" s="239"/>
      <c r="T1044" s="226"/>
      <c r="U1044" s="228"/>
      <c r="V1044" s="222"/>
      <c r="W1044" s="229"/>
      <c r="X1044" s="227"/>
      <c r="Y1044" s="229"/>
      <c r="Z1044" s="236"/>
      <c r="AA1044" s="237"/>
      <c r="AB1044" s="238"/>
      <c r="AC1044" s="223"/>
      <c r="AD1044" s="222"/>
    </row>
    <row r="1045" spans="1:30" x14ac:dyDescent="0.4">
      <c r="A1045" s="230"/>
      <c r="B1045" s="8">
        <v>210</v>
      </c>
      <c r="C1045" s="14">
        <f t="shared" ca="1" si="607"/>
        <v>0.81</v>
      </c>
      <c r="D1045" s="20">
        <f t="shared" ca="1" si="582"/>
        <v>0.97199999999999998</v>
      </c>
      <c r="E1045" s="225"/>
      <c r="F1045" s="231"/>
      <c r="G1045" s="172" t="str">
        <f t="shared" ca="1" si="601"/>
        <v/>
      </c>
      <c r="H1045" s="93" t="str">
        <f t="shared" ca="1" si="602"/>
        <v/>
      </c>
      <c r="I1045" s="21">
        <v>500</v>
      </c>
      <c r="J1045" s="68">
        <f t="shared" si="603"/>
        <v>1.1666666666666667</v>
      </c>
      <c r="K1045" s="70">
        <v>1.4</v>
      </c>
      <c r="L1045" s="72">
        <f t="shared" ca="1" si="598"/>
        <v>0.28533333333333333</v>
      </c>
      <c r="M1045" s="73">
        <f t="shared" ca="1" si="599"/>
        <v>142.66666666666666</v>
      </c>
      <c r="N1045" s="12" t="s">
        <v>43</v>
      </c>
      <c r="O1045" s="47" t="s">
        <v>45</v>
      </c>
      <c r="P1045" s="13">
        <f t="shared" si="588"/>
        <v>1.4</v>
      </c>
      <c r="Q1045" s="1" t="str">
        <f t="shared" si="590"/>
        <v>500-990 шт - 1,4 руб / шт с НДС</v>
      </c>
      <c r="R1045" s="235"/>
      <c r="S1045" s="239"/>
      <c r="T1045" s="226"/>
      <c r="U1045" s="228"/>
      <c r="V1045" s="222"/>
      <c r="W1045" s="229"/>
      <c r="X1045" s="227"/>
      <c r="Y1045" s="229"/>
      <c r="Z1045" s="236"/>
      <c r="AA1045" s="237"/>
      <c r="AB1045" s="238"/>
      <c r="AC1045" s="223"/>
      <c r="AD1045" s="222"/>
    </row>
    <row r="1046" spans="1:30" x14ac:dyDescent="0.4">
      <c r="A1046" s="230"/>
      <c r="B1046" s="8">
        <v>210</v>
      </c>
      <c r="C1046" s="14">
        <f t="shared" ca="1" si="607"/>
        <v>0.81</v>
      </c>
      <c r="D1046" s="20">
        <f t="shared" ca="1" si="582"/>
        <v>0.97199999999999998</v>
      </c>
      <c r="E1046" s="225"/>
      <c r="F1046" s="231"/>
      <c r="G1046" s="172" t="str">
        <f t="shared" ca="1" si="601"/>
        <v/>
      </c>
      <c r="H1046" s="93" t="str">
        <f t="shared" ca="1" si="602"/>
        <v/>
      </c>
      <c r="I1046" s="21">
        <v>1000</v>
      </c>
      <c r="J1046" s="68">
        <f t="shared" si="603"/>
        <v>1.0916666666666668</v>
      </c>
      <c r="K1046" s="70">
        <v>1.31</v>
      </c>
      <c r="L1046" s="72">
        <f t="shared" ca="1" si="598"/>
        <v>0.22533333333333339</v>
      </c>
      <c r="M1046" s="73">
        <f t="shared" ca="1" si="599"/>
        <v>225.33333333333337</v>
      </c>
      <c r="N1046" s="12" t="s">
        <v>44</v>
      </c>
      <c r="O1046" s="47" t="s">
        <v>45</v>
      </c>
      <c r="P1046" s="13">
        <f t="shared" si="588"/>
        <v>1.31</v>
      </c>
      <c r="Q1046" s="1" t="str">
        <f t="shared" si="590"/>
        <v>1000 + шт - 1,31 руб / шт с НДС</v>
      </c>
      <c r="R1046" s="235"/>
      <c r="S1046" s="239"/>
      <c r="T1046" s="226"/>
      <c r="U1046" s="228"/>
      <c r="V1046" s="222"/>
      <c r="W1046" s="229"/>
      <c r="X1046" s="227"/>
      <c r="Y1046" s="229"/>
      <c r="Z1046" s="236"/>
      <c r="AA1046" s="237"/>
      <c r="AB1046" s="238"/>
      <c r="AC1046" s="223"/>
      <c r="AD1046" s="222"/>
    </row>
    <row r="1047" spans="1:30" x14ac:dyDescent="0.4">
      <c r="A1047" s="230">
        <v>211</v>
      </c>
      <c r="B1047" s="8">
        <v>211</v>
      </c>
      <c r="C1047" s="14">
        <f t="shared" ca="1" si="607"/>
        <v>0.38</v>
      </c>
      <c r="D1047" s="20">
        <f t="shared" ca="1" si="582"/>
        <v>0.45599999999999996</v>
      </c>
      <c r="E1047" s="224" t="str">
        <f ca="1">INDIRECT("'Закуп'!D" &amp; A1047)</f>
        <v>У</v>
      </c>
      <c r="F1047" s="231" t="str">
        <f t="shared" ref="F1047" ca="1" si="612">INDIRECT("'Закуп'!E" &amp; B1047)</f>
        <v>185х145х57</v>
      </c>
      <c r="G1047" s="172" t="str">
        <f t="shared" ca="1" si="601"/>
        <v/>
      </c>
      <c r="H1047" s="93" t="str">
        <f t="shared" ca="1" si="602"/>
        <v/>
      </c>
      <c r="I1047" s="21">
        <v>50</v>
      </c>
      <c r="J1047" s="68">
        <f t="shared" si="603"/>
        <v>0.97499999999999998</v>
      </c>
      <c r="K1047" s="70">
        <v>1.17</v>
      </c>
      <c r="L1047" s="72">
        <f t="shared" ca="1" si="598"/>
        <v>0.47599999999999998</v>
      </c>
      <c r="M1047" s="73">
        <f t="shared" ca="1" si="599"/>
        <v>23.799999999999997</v>
      </c>
      <c r="N1047" s="12" t="s">
        <v>40</v>
      </c>
      <c r="O1047" s="47" t="s">
        <v>45</v>
      </c>
      <c r="P1047" s="13">
        <f t="shared" si="588"/>
        <v>1.17</v>
      </c>
      <c r="Q1047" s="1" t="str">
        <f t="shared" si="590"/>
        <v>50-90 шт - 1,17 руб / шт с НДС</v>
      </c>
      <c r="R1047" s="235" t="str">
        <f ca="1">INDIRECT("'Закуп'!k" &amp; A1047)</f>
        <v>K212</v>
      </c>
      <c r="S1047" s="239">
        <f ca="1">INDIRECT("'Закуп'!o" &amp; A1047)</f>
        <v>1.53</v>
      </c>
      <c r="T1047" s="226" t="str">
        <f ca="1">INDIRECT("'Закуп'!p" &amp; A1047)</f>
        <v>1-1,9 литра</v>
      </c>
      <c r="U1047" s="228" t="str">
        <f ca="1">INDIRECT("'Закуп'!v" &amp; A1047)</f>
        <v/>
      </c>
      <c r="V1047" s="222" t="str">
        <f ca="1">INDIRECT("'Закуп'!w" &amp; A1047)</f>
        <v>Плоские</v>
      </c>
      <c r="W1047" s="229" t="str">
        <f ca="1">INDIRECT("'Закуп'!H" &amp; A1047)</f>
        <v>0427</v>
      </c>
      <c r="X1047" s="227" t="str">
        <f t="shared" ref="X1047" ca="1" si="613">INDIRECT("'Закуп'!g" &amp; A1047)</f>
        <v>С</v>
      </c>
      <c r="Y1047" s="229" t="str">
        <f ca="1">INDIRECT("'Закуп'!i" &amp; A1047)</f>
        <v>Е</v>
      </c>
      <c r="Z1047" s="236" t="str">
        <f ca="1">INDIRECT("'Закуп'!x" &amp; A1047)</f>
        <v>100-199 мм</v>
      </c>
      <c r="AA1047" s="237" t="str">
        <f ca="1">INDIRECT("'Закуп'!y" &amp; A1047)</f>
        <v>100-199 мм</v>
      </c>
      <c r="AB1047" s="238" t="str">
        <f ca="1">INDIRECT("'Закуп'!z" &amp; A1047)</f>
        <v>10-99 мм</v>
      </c>
      <c r="AC1047" s="223" t="str">
        <f t="shared" ca="1" si="593"/>
        <v>185x145x57</v>
      </c>
      <c r="AD1047" s="222" t="str">
        <f t="shared" ca="1" si="579"/>
        <v>185x145x57 - 185*145*57 мм</v>
      </c>
    </row>
    <row r="1048" spans="1:30" x14ac:dyDescent="0.4">
      <c r="A1048" s="230"/>
      <c r="B1048" s="8">
        <v>211</v>
      </c>
      <c r="C1048" s="14">
        <f t="shared" ca="1" si="607"/>
        <v>0.38</v>
      </c>
      <c r="D1048" s="20">
        <f t="shared" ca="1" si="582"/>
        <v>0.45599999999999996</v>
      </c>
      <c r="E1048" s="225"/>
      <c r="F1048" s="231"/>
      <c r="G1048" s="172" t="str">
        <f t="shared" ca="1" si="601"/>
        <v/>
      </c>
      <c r="H1048" s="93" t="str">
        <f t="shared" ca="1" si="602"/>
        <v/>
      </c>
      <c r="I1048" s="21">
        <v>100</v>
      </c>
      <c r="J1048" s="68">
        <f t="shared" si="603"/>
        <v>0.80833333333333335</v>
      </c>
      <c r="K1048" s="70">
        <v>0.97</v>
      </c>
      <c r="L1048" s="72">
        <f t="shared" ca="1" si="598"/>
        <v>0.34266666666666667</v>
      </c>
      <c r="M1048" s="73">
        <f t="shared" ca="1" si="599"/>
        <v>34.266666666666666</v>
      </c>
      <c r="N1048" s="12" t="s">
        <v>41</v>
      </c>
      <c r="O1048" s="47" t="s">
        <v>45</v>
      </c>
      <c r="P1048" s="13">
        <f t="shared" si="588"/>
        <v>0.97</v>
      </c>
      <c r="Q1048" s="1" t="str">
        <f t="shared" si="590"/>
        <v>100-290 шт - 0,97 руб / шт с НДС</v>
      </c>
      <c r="R1048" s="235"/>
      <c r="S1048" s="239"/>
      <c r="T1048" s="226"/>
      <c r="U1048" s="228"/>
      <c r="V1048" s="222"/>
      <c r="W1048" s="229"/>
      <c r="X1048" s="227"/>
      <c r="Y1048" s="229"/>
      <c r="Z1048" s="236"/>
      <c r="AA1048" s="237"/>
      <c r="AB1048" s="238"/>
      <c r="AC1048" s="223"/>
      <c r="AD1048" s="222"/>
    </row>
    <row r="1049" spans="1:30" x14ac:dyDescent="0.4">
      <c r="A1049" s="230"/>
      <c r="B1049" s="8">
        <v>211</v>
      </c>
      <c r="C1049" s="14">
        <f t="shared" ca="1" si="607"/>
        <v>0.38</v>
      </c>
      <c r="D1049" s="20">
        <f t="shared" ca="1" si="582"/>
        <v>0.45599999999999996</v>
      </c>
      <c r="E1049" s="225"/>
      <c r="F1049" s="231"/>
      <c r="G1049" s="172" t="str">
        <f t="shared" ca="1" si="601"/>
        <v/>
      </c>
      <c r="H1049" s="93" t="str">
        <f t="shared" ca="1" si="602"/>
        <v/>
      </c>
      <c r="I1049" s="21">
        <v>300</v>
      </c>
      <c r="J1049" s="68">
        <f t="shared" si="603"/>
        <v>0.7416666666666667</v>
      </c>
      <c r="K1049" s="70">
        <v>0.89</v>
      </c>
      <c r="L1049" s="72">
        <f t="shared" ca="1" si="598"/>
        <v>0.28933333333333333</v>
      </c>
      <c r="M1049" s="73">
        <f t="shared" ca="1" si="599"/>
        <v>86.8</v>
      </c>
      <c r="N1049" s="12" t="s">
        <v>42</v>
      </c>
      <c r="O1049" s="47" t="s">
        <v>45</v>
      </c>
      <c r="P1049" s="13">
        <f t="shared" si="588"/>
        <v>0.89</v>
      </c>
      <c r="Q1049" s="1" t="str">
        <f t="shared" si="590"/>
        <v>300-490 шт - 0,89 руб / шт с НДС</v>
      </c>
      <c r="R1049" s="235"/>
      <c r="S1049" s="239"/>
      <c r="T1049" s="226"/>
      <c r="U1049" s="228"/>
      <c r="V1049" s="222"/>
      <c r="W1049" s="229"/>
      <c r="X1049" s="227"/>
      <c r="Y1049" s="229"/>
      <c r="Z1049" s="236"/>
      <c r="AA1049" s="237"/>
      <c r="AB1049" s="238"/>
      <c r="AC1049" s="223"/>
      <c r="AD1049" s="222"/>
    </row>
    <row r="1050" spans="1:30" x14ac:dyDescent="0.4">
      <c r="A1050" s="230"/>
      <c r="B1050" s="8">
        <v>211</v>
      </c>
      <c r="C1050" s="14">
        <f t="shared" ca="1" si="607"/>
        <v>0.38</v>
      </c>
      <c r="D1050" s="20">
        <f t="shared" ca="1" si="582"/>
        <v>0.45599999999999996</v>
      </c>
      <c r="E1050" s="225"/>
      <c r="F1050" s="231"/>
      <c r="G1050" s="172" t="str">
        <f t="shared" ca="1" si="601"/>
        <v/>
      </c>
      <c r="H1050" s="93" t="str">
        <f t="shared" ca="1" si="602"/>
        <v/>
      </c>
      <c r="I1050" s="21">
        <v>500</v>
      </c>
      <c r="J1050" s="68">
        <f t="shared" si="603"/>
        <v>0.67500000000000004</v>
      </c>
      <c r="K1050" s="70">
        <v>0.81</v>
      </c>
      <c r="L1050" s="72">
        <f t="shared" ca="1" si="598"/>
        <v>0.23600000000000004</v>
      </c>
      <c r="M1050" s="73">
        <f t="shared" ca="1" si="599"/>
        <v>118.00000000000003</v>
      </c>
      <c r="N1050" s="12" t="s">
        <v>43</v>
      </c>
      <c r="O1050" s="47" t="s">
        <v>45</v>
      </c>
      <c r="P1050" s="13">
        <f t="shared" si="588"/>
        <v>0.81</v>
      </c>
      <c r="Q1050" s="1" t="str">
        <f t="shared" si="590"/>
        <v>500-990 шт - 0,81 руб / шт с НДС</v>
      </c>
      <c r="R1050" s="235"/>
      <c r="S1050" s="239"/>
      <c r="T1050" s="226"/>
      <c r="U1050" s="228"/>
      <c r="V1050" s="222"/>
      <c r="W1050" s="229"/>
      <c r="X1050" s="227"/>
      <c r="Y1050" s="229"/>
      <c r="Z1050" s="236"/>
      <c r="AA1050" s="237"/>
      <c r="AB1050" s="238"/>
      <c r="AC1050" s="223"/>
      <c r="AD1050" s="222"/>
    </row>
    <row r="1051" spans="1:30" x14ac:dyDescent="0.4">
      <c r="A1051" s="230"/>
      <c r="B1051" s="8">
        <v>211</v>
      </c>
      <c r="C1051" s="14">
        <f t="shared" ca="1" si="607"/>
        <v>0.38</v>
      </c>
      <c r="D1051" s="20">
        <f t="shared" ca="1" si="582"/>
        <v>0.45599999999999996</v>
      </c>
      <c r="E1051" s="225"/>
      <c r="F1051" s="231"/>
      <c r="G1051" s="172" t="str">
        <f t="shared" ca="1" si="601"/>
        <v/>
      </c>
      <c r="H1051" s="93" t="str">
        <f t="shared" ca="1" si="602"/>
        <v/>
      </c>
      <c r="I1051" s="21">
        <v>1000</v>
      </c>
      <c r="J1051" s="68">
        <f t="shared" si="603"/>
        <v>0.63333333333333341</v>
      </c>
      <c r="K1051" s="70">
        <v>0.76</v>
      </c>
      <c r="L1051" s="72">
        <f t="shared" ca="1" si="598"/>
        <v>0.20266666666666672</v>
      </c>
      <c r="M1051" s="73">
        <f t="shared" ca="1" si="599"/>
        <v>202.66666666666671</v>
      </c>
      <c r="N1051" s="12" t="s">
        <v>44</v>
      </c>
      <c r="O1051" s="47" t="s">
        <v>45</v>
      </c>
      <c r="P1051" s="13">
        <f t="shared" si="588"/>
        <v>0.76</v>
      </c>
      <c r="Q1051" s="1" t="str">
        <f t="shared" si="590"/>
        <v>1000 + шт - 0,76 руб / шт с НДС</v>
      </c>
      <c r="R1051" s="235"/>
      <c r="S1051" s="239"/>
      <c r="T1051" s="226"/>
      <c r="U1051" s="228"/>
      <c r="V1051" s="222"/>
      <c r="W1051" s="229"/>
      <c r="X1051" s="227"/>
      <c r="Y1051" s="229"/>
      <c r="Z1051" s="236"/>
      <c r="AA1051" s="237"/>
      <c r="AB1051" s="238"/>
      <c r="AC1051" s="223"/>
      <c r="AD1051" s="222"/>
    </row>
    <row r="1052" spans="1:30" x14ac:dyDescent="0.4">
      <c r="A1052" s="230">
        <v>212</v>
      </c>
      <c r="B1052" s="8">
        <v>212</v>
      </c>
      <c r="C1052" s="14">
        <f t="shared" ca="1" si="607"/>
        <v>0.55000000000000004</v>
      </c>
      <c r="D1052" s="20">
        <f t="shared" ca="1" si="582"/>
        <v>0.66</v>
      </c>
      <c r="E1052" s="224" t="str">
        <f ca="1">INDIRECT("'Закуп'!D" &amp; A1052)</f>
        <v>У</v>
      </c>
      <c r="F1052" s="231" t="str">
        <f t="shared" ref="F1052" ca="1" si="614">INDIRECT("'Закуп'!E" &amp; B1052)</f>
        <v>280х190х55</v>
      </c>
      <c r="G1052" s="172" t="str">
        <f t="shared" ca="1" si="601"/>
        <v/>
      </c>
      <c r="H1052" s="93" t="str">
        <f t="shared" ca="1" si="602"/>
        <v/>
      </c>
      <c r="I1052" s="21">
        <v>50</v>
      </c>
      <c r="J1052" s="68">
        <f t="shared" si="603"/>
        <v>1.2916666666666667</v>
      </c>
      <c r="K1052" s="70">
        <v>1.55</v>
      </c>
      <c r="L1052" s="72">
        <f t="shared" ca="1" si="598"/>
        <v>0.59333333333333338</v>
      </c>
      <c r="M1052" s="73">
        <f t="shared" ca="1" si="599"/>
        <v>29.666666666666668</v>
      </c>
      <c r="N1052" s="12" t="s">
        <v>40</v>
      </c>
      <c r="O1052" s="47" t="s">
        <v>45</v>
      </c>
      <c r="P1052" s="13">
        <f t="shared" si="588"/>
        <v>1.55</v>
      </c>
      <c r="Q1052" s="1" t="str">
        <f t="shared" si="590"/>
        <v>50-90 шт - 1,55 руб / шт с НДС</v>
      </c>
      <c r="R1052" s="235" t="str">
        <f ca="1">INDIRECT("'Закуп'!k" &amp; A1052)</f>
        <v>K213</v>
      </c>
      <c r="S1052" s="239">
        <f ca="1">INDIRECT("'Закуп'!o" &amp; A1052)</f>
        <v>2.93</v>
      </c>
      <c r="T1052" s="226" t="str">
        <f ca="1">INDIRECT("'Закуп'!p" &amp; A1052)</f>
        <v>2-2,9 литра</v>
      </c>
      <c r="U1052" s="228" t="str">
        <f ca="1">INDIRECT("'Закуп'!v" &amp; A1052)</f>
        <v/>
      </c>
      <c r="V1052" s="222" t="str">
        <f ca="1">INDIRECT("'Закуп'!w" &amp; A1052)</f>
        <v>Плоские</v>
      </c>
      <c r="W1052" s="229" t="str">
        <f ca="1">INDIRECT("'Закуп'!H" &amp; A1052)</f>
        <v>0427</v>
      </c>
      <c r="X1052" s="227" t="str">
        <f t="shared" ref="X1052" ca="1" si="615">INDIRECT("'Закуп'!g" &amp; A1052)</f>
        <v>С</v>
      </c>
      <c r="Y1052" s="229" t="str">
        <f ca="1">INDIRECT("'Закуп'!i" &amp; A1052)</f>
        <v>Е</v>
      </c>
      <c r="Z1052" s="236" t="str">
        <f ca="1">INDIRECT("'Закуп'!x" &amp; A1052)</f>
        <v>200-299 мм</v>
      </c>
      <c r="AA1052" s="237" t="str">
        <f ca="1">INDIRECT("'Закуп'!y" &amp; A1052)</f>
        <v>100-199 мм</v>
      </c>
      <c r="AB1052" s="238" t="str">
        <f ca="1">INDIRECT("'Закуп'!z" &amp; A1052)</f>
        <v>10-99 мм</v>
      </c>
      <c r="AC1052" s="223" t="str">
        <f t="shared" ca="1" si="593"/>
        <v>280x190x55</v>
      </c>
      <c r="AD1052" s="222" t="str">
        <f t="shared" ref="AD1052:AD1112" ca="1" si="616">SUBSTITUTE(INDEX(F:F, ROUNDUP((ROW(A1051))/5,0)*5 - 3), "х", "x") &amp; " - " &amp; SUBSTITUTE(SUBSTITUTE(INDEX(F:F, ROUNDUP((ROW(A1051))/5,0)*5 - 3), "х", "*"), "x", "*") &amp; " мм"</f>
        <v>280x190x55 - 280*190*55 мм</v>
      </c>
    </row>
    <row r="1053" spans="1:30" x14ac:dyDescent="0.4">
      <c r="A1053" s="230"/>
      <c r="B1053" s="8">
        <v>212</v>
      </c>
      <c r="C1053" s="14">
        <f t="shared" ca="1" si="607"/>
        <v>0.55000000000000004</v>
      </c>
      <c r="D1053" s="20">
        <f t="shared" ca="1" si="582"/>
        <v>0.66</v>
      </c>
      <c r="E1053" s="225"/>
      <c r="F1053" s="231"/>
      <c r="G1053" s="172" t="str">
        <f t="shared" ca="1" si="601"/>
        <v/>
      </c>
      <c r="H1053" s="93" t="str">
        <f t="shared" ca="1" si="602"/>
        <v/>
      </c>
      <c r="I1053" s="21">
        <v>100</v>
      </c>
      <c r="J1053" s="68">
        <f t="shared" si="603"/>
        <v>1.175</v>
      </c>
      <c r="K1053" s="70">
        <v>1.41</v>
      </c>
      <c r="L1053" s="72">
        <f t="shared" ca="1" si="598"/>
        <v>0.5</v>
      </c>
      <c r="M1053" s="73">
        <f t="shared" ca="1" si="599"/>
        <v>50</v>
      </c>
      <c r="N1053" s="12" t="s">
        <v>41</v>
      </c>
      <c r="O1053" s="47" t="s">
        <v>45</v>
      </c>
      <c r="P1053" s="13">
        <f t="shared" si="588"/>
        <v>1.41</v>
      </c>
      <c r="Q1053" s="1" t="str">
        <f t="shared" si="590"/>
        <v>100-290 шт - 1,41 руб / шт с НДС</v>
      </c>
      <c r="R1053" s="235"/>
      <c r="S1053" s="239"/>
      <c r="T1053" s="226"/>
      <c r="U1053" s="228"/>
      <c r="V1053" s="222"/>
      <c r="W1053" s="229"/>
      <c r="X1053" s="227"/>
      <c r="Y1053" s="229"/>
      <c r="Z1053" s="236"/>
      <c r="AA1053" s="237"/>
      <c r="AB1053" s="238"/>
      <c r="AC1053" s="223"/>
      <c r="AD1053" s="222"/>
    </row>
    <row r="1054" spans="1:30" x14ac:dyDescent="0.4">
      <c r="A1054" s="230"/>
      <c r="B1054" s="8">
        <v>212</v>
      </c>
      <c r="C1054" s="14">
        <f t="shared" ca="1" si="607"/>
        <v>0.55000000000000004</v>
      </c>
      <c r="D1054" s="20">
        <f t="shared" ca="1" si="582"/>
        <v>0.66</v>
      </c>
      <c r="E1054" s="225"/>
      <c r="F1054" s="231"/>
      <c r="G1054" s="172" t="str">
        <f t="shared" ca="1" si="601"/>
        <v/>
      </c>
      <c r="H1054" s="93" t="str">
        <f t="shared" ca="1" si="602"/>
        <v/>
      </c>
      <c r="I1054" s="21">
        <v>300</v>
      </c>
      <c r="J1054" s="68">
        <f t="shared" si="603"/>
        <v>0.92500000000000016</v>
      </c>
      <c r="K1054" s="70">
        <v>1.1100000000000001</v>
      </c>
      <c r="L1054" s="72">
        <f t="shared" ca="1" si="598"/>
        <v>0.3000000000000001</v>
      </c>
      <c r="M1054" s="73">
        <f t="shared" ca="1" si="599"/>
        <v>90.000000000000028</v>
      </c>
      <c r="N1054" s="12" t="s">
        <v>42</v>
      </c>
      <c r="O1054" s="47" t="s">
        <v>45</v>
      </c>
      <c r="P1054" s="13">
        <f t="shared" si="588"/>
        <v>1.1100000000000001</v>
      </c>
      <c r="Q1054" s="1" t="str">
        <f t="shared" si="590"/>
        <v>300-490 шт - 1,11 руб / шт с НДС</v>
      </c>
      <c r="R1054" s="235"/>
      <c r="S1054" s="239"/>
      <c r="T1054" s="226"/>
      <c r="U1054" s="228"/>
      <c r="V1054" s="222"/>
      <c r="W1054" s="229"/>
      <c r="X1054" s="227"/>
      <c r="Y1054" s="229"/>
      <c r="Z1054" s="236"/>
      <c r="AA1054" s="237"/>
      <c r="AB1054" s="238"/>
      <c r="AC1054" s="223"/>
      <c r="AD1054" s="222"/>
    </row>
    <row r="1055" spans="1:30" x14ac:dyDescent="0.4">
      <c r="A1055" s="230"/>
      <c r="B1055" s="8">
        <v>212</v>
      </c>
      <c r="C1055" s="14">
        <f t="shared" ca="1" si="607"/>
        <v>0.55000000000000004</v>
      </c>
      <c r="D1055" s="20">
        <f t="shared" ca="1" si="582"/>
        <v>0.66</v>
      </c>
      <c r="E1055" s="225"/>
      <c r="F1055" s="231"/>
      <c r="G1055" s="172" t="str">
        <f t="shared" ca="1" si="601"/>
        <v/>
      </c>
      <c r="H1055" s="93" t="str">
        <f t="shared" ca="1" si="602"/>
        <v/>
      </c>
      <c r="I1055" s="21">
        <v>500</v>
      </c>
      <c r="J1055" s="68">
        <f t="shared" si="603"/>
        <v>0.87500000000000011</v>
      </c>
      <c r="K1055" s="70">
        <v>1.05</v>
      </c>
      <c r="L1055" s="72">
        <f t="shared" ca="1" si="598"/>
        <v>0.26000000000000006</v>
      </c>
      <c r="M1055" s="73">
        <f t="shared" ca="1" si="599"/>
        <v>130.00000000000003</v>
      </c>
      <c r="N1055" s="12" t="s">
        <v>43</v>
      </c>
      <c r="O1055" s="47" t="s">
        <v>45</v>
      </c>
      <c r="P1055" s="13">
        <f t="shared" si="588"/>
        <v>1.05</v>
      </c>
      <c r="Q1055" s="1" t="str">
        <f t="shared" si="590"/>
        <v>500-990 шт - 1,05 руб / шт с НДС</v>
      </c>
      <c r="R1055" s="235"/>
      <c r="S1055" s="239"/>
      <c r="T1055" s="226"/>
      <c r="U1055" s="228"/>
      <c r="V1055" s="222"/>
      <c r="W1055" s="229"/>
      <c r="X1055" s="227"/>
      <c r="Y1055" s="229"/>
      <c r="Z1055" s="236"/>
      <c r="AA1055" s="237"/>
      <c r="AB1055" s="238"/>
      <c r="AC1055" s="223"/>
      <c r="AD1055" s="222"/>
    </row>
    <row r="1056" spans="1:30" x14ac:dyDescent="0.4">
      <c r="A1056" s="230"/>
      <c r="B1056" s="8">
        <v>212</v>
      </c>
      <c r="C1056" s="14">
        <f t="shared" ca="1" si="607"/>
        <v>0.55000000000000004</v>
      </c>
      <c r="D1056" s="20">
        <f t="shared" ca="1" si="582"/>
        <v>0.66</v>
      </c>
      <c r="E1056" s="225"/>
      <c r="F1056" s="231"/>
      <c r="G1056" s="172" t="str">
        <f t="shared" ca="1" si="601"/>
        <v/>
      </c>
      <c r="H1056" s="93" t="str">
        <f t="shared" ca="1" si="602"/>
        <v/>
      </c>
      <c r="I1056" s="21">
        <v>1000</v>
      </c>
      <c r="J1056" s="68">
        <f t="shared" si="603"/>
        <v>0.81666666666666665</v>
      </c>
      <c r="K1056" s="70">
        <v>0.98</v>
      </c>
      <c r="L1056" s="72">
        <f t="shared" ca="1" si="598"/>
        <v>0.21333333333333329</v>
      </c>
      <c r="M1056" s="73">
        <f t="shared" ca="1" si="599"/>
        <v>213.33333333333329</v>
      </c>
      <c r="N1056" s="12" t="s">
        <v>44</v>
      </c>
      <c r="O1056" s="47" t="s">
        <v>45</v>
      </c>
      <c r="P1056" s="13">
        <f t="shared" si="588"/>
        <v>0.98</v>
      </c>
      <c r="Q1056" s="1" t="str">
        <f t="shared" si="590"/>
        <v>1000 + шт - 0,98 руб / шт с НДС</v>
      </c>
      <c r="R1056" s="235"/>
      <c r="S1056" s="239"/>
      <c r="T1056" s="226"/>
      <c r="U1056" s="228"/>
      <c r="V1056" s="222"/>
      <c r="W1056" s="229"/>
      <c r="X1056" s="227"/>
      <c r="Y1056" s="229"/>
      <c r="Z1056" s="236"/>
      <c r="AA1056" s="237"/>
      <c r="AB1056" s="238"/>
      <c r="AC1056" s="223"/>
      <c r="AD1056" s="222"/>
    </row>
    <row r="1057" spans="1:30" x14ac:dyDescent="0.4">
      <c r="A1057" s="230">
        <v>213</v>
      </c>
      <c r="B1057" s="8">
        <v>213</v>
      </c>
      <c r="C1057" s="14">
        <f t="shared" ca="1" si="607"/>
        <v>0.88</v>
      </c>
      <c r="D1057" s="20">
        <f t="shared" ref="D1057:D1120" ca="1" si="617">C1057*1.2</f>
        <v>1.056</v>
      </c>
      <c r="E1057" s="224" t="str">
        <f ca="1">INDIRECT("'Закуп'!D" &amp; A1057)</f>
        <v>У</v>
      </c>
      <c r="F1057" s="231" t="str">
        <f t="shared" ref="F1057" ca="1" si="618">INDIRECT("'Закуп'!E" &amp; B1057)</f>
        <v>290х225х90</v>
      </c>
      <c r="G1057" s="172" t="str">
        <f t="shared" ca="1" si="601"/>
        <v/>
      </c>
      <c r="H1057" s="93" t="str">
        <f t="shared" ca="1" si="602"/>
        <v/>
      </c>
      <c r="I1057" s="21">
        <v>50</v>
      </c>
      <c r="J1057" s="68">
        <f t="shared" si="603"/>
        <v>2.0666666666666669</v>
      </c>
      <c r="K1057" s="70">
        <v>2.48</v>
      </c>
      <c r="L1057" s="72">
        <f t="shared" ca="1" si="598"/>
        <v>0.94933333333333358</v>
      </c>
      <c r="M1057" s="73">
        <f t="shared" ca="1" si="599"/>
        <v>47.466666666666683</v>
      </c>
      <c r="N1057" s="12" t="s">
        <v>40</v>
      </c>
      <c r="O1057" s="47" t="s">
        <v>45</v>
      </c>
      <c r="P1057" s="13">
        <f t="shared" si="588"/>
        <v>2.48</v>
      </c>
      <c r="Q1057" s="1" t="str">
        <f t="shared" si="590"/>
        <v>50-90 шт - 2,48 руб / шт с НДС</v>
      </c>
      <c r="R1057" s="235" t="str">
        <f ca="1">INDIRECT("'Закуп'!k" &amp; A1057)</f>
        <v>K214</v>
      </c>
      <c r="S1057" s="239">
        <f ca="1">INDIRECT("'Закуп'!o" &amp; A1057)</f>
        <v>5.87</v>
      </c>
      <c r="T1057" s="226" t="str">
        <f ca="1">INDIRECT("'Закуп'!p" &amp; A1057)</f>
        <v>4-5,9 литра</v>
      </c>
      <c r="U1057" s="228" t="str">
        <f ca="1">INDIRECT("'Закуп'!v" &amp; A1057)</f>
        <v/>
      </c>
      <c r="V1057" s="222" t="str">
        <f ca="1">INDIRECT("'Закуп'!w" &amp; A1057)</f>
        <v>Плоские</v>
      </c>
      <c r="W1057" s="229" t="str">
        <f ca="1">INDIRECT("'Закуп'!H" &amp; A1057)</f>
        <v>0427</v>
      </c>
      <c r="X1057" s="227" t="str">
        <f t="shared" ref="X1057" ca="1" si="619">INDIRECT("'Закуп'!g" &amp; A1057)</f>
        <v>С</v>
      </c>
      <c r="Y1057" s="229" t="str">
        <f ca="1">INDIRECT("'Закуп'!i" &amp; A1057)</f>
        <v>E</v>
      </c>
      <c r="Z1057" s="236" t="str">
        <f ca="1">INDIRECT("'Закуп'!x" &amp; A1057)</f>
        <v>200-299 мм</v>
      </c>
      <c r="AA1057" s="237" t="str">
        <f ca="1">INDIRECT("'Закуп'!y" &amp; A1057)</f>
        <v>200-299 мм</v>
      </c>
      <c r="AB1057" s="238" t="str">
        <f ca="1">INDIRECT("'Закуп'!z" &amp; A1057)</f>
        <v>10-99 мм</v>
      </c>
      <c r="AC1057" s="223" t="str">
        <f t="shared" ca="1" si="593"/>
        <v>290x225x90</v>
      </c>
      <c r="AD1057" s="222" t="str">
        <f t="shared" ca="1" si="616"/>
        <v>290x225x90 - 290*225*90 мм</v>
      </c>
    </row>
    <row r="1058" spans="1:30" x14ac:dyDescent="0.4">
      <c r="A1058" s="230"/>
      <c r="B1058" s="8">
        <v>213</v>
      </c>
      <c r="C1058" s="14">
        <f t="shared" ca="1" si="607"/>
        <v>0.88</v>
      </c>
      <c r="D1058" s="20">
        <f t="shared" ca="1" si="617"/>
        <v>1.056</v>
      </c>
      <c r="E1058" s="225"/>
      <c r="F1058" s="231"/>
      <c r="G1058" s="172" t="str">
        <f t="shared" ca="1" si="601"/>
        <v/>
      </c>
      <c r="H1058" s="93" t="str">
        <f t="shared" ca="1" si="602"/>
        <v/>
      </c>
      <c r="I1058" s="21">
        <v>100</v>
      </c>
      <c r="J1058" s="68">
        <f t="shared" si="603"/>
        <v>1.8833333333333333</v>
      </c>
      <c r="K1058" s="70">
        <v>2.2599999999999998</v>
      </c>
      <c r="L1058" s="72">
        <f t="shared" ca="1" si="598"/>
        <v>0.80266666666666675</v>
      </c>
      <c r="M1058" s="73">
        <f t="shared" ca="1" si="599"/>
        <v>80.26666666666668</v>
      </c>
      <c r="N1058" s="12" t="s">
        <v>41</v>
      </c>
      <c r="O1058" s="47" t="s">
        <v>45</v>
      </c>
      <c r="P1058" s="13">
        <f t="shared" si="588"/>
        <v>2.2599999999999998</v>
      </c>
      <c r="Q1058" s="1" t="str">
        <f t="shared" si="590"/>
        <v>100-290 шт - 2,26 руб / шт с НДС</v>
      </c>
      <c r="R1058" s="235"/>
      <c r="S1058" s="239"/>
      <c r="T1058" s="226"/>
      <c r="U1058" s="228"/>
      <c r="V1058" s="222"/>
      <c r="W1058" s="229"/>
      <c r="X1058" s="227"/>
      <c r="Y1058" s="229"/>
      <c r="Z1058" s="236"/>
      <c r="AA1058" s="237"/>
      <c r="AB1058" s="238"/>
      <c r="AC1058" s="223"/>
      <c r="AD1058" s="222"/>
    </row>
    <row r="1059" spans="1:30" x14ac:dyDescent="0.4">
      <c r="A1059" s="230"/>
      <c r="B1059" s="8">
        <v>213</v>
      </c>
      <c r="C1059" s="14">
        <f t="shared" ca="1" si="607"/>
        <v>0.88</v>
      </c>
      <c r="D1059" s="20">
        <f t="shared" ca="1" si="617"/>
        <v>1.056</v>
      </c>
      <c r="E1059" s="225"/>
      <c r="F1059" s="231"/>
      <c r="G1059" s="172" t="str">
        <f t="shared" ca="1" si="601"/>
        <v/>
      </c>
      <c r="H1059" s="93" t="str">
        <f t="shared" ca="1" si="602"/>
        <v/>
      </c>
      <c r="I1059" s="21">
        <v>300</v>
      </c>
      <c r="J1059" s="68">
        <f t="shared" si="603"/>
        <v>1.4750000000000001</v>
      </c>
      <c r="K1059" s="70">
        <v>1.77</v>
      </c>
      <c r="L1059" s="72">
        <f t="shared" ca="1" si="598"/>
        <v>0.47600000000000009</v>
      </c>
      <c r="M1059" s="73">
        <f t="shared" ca="1" si="599"/>
        <v>142.80000000000004</v>
      </c>
      <c r="N1059" s="12" t="s">
        <v>42</v>
      </c>
      <c r="O1059" s="47" t="s">
        <v>45</v>
      </c>
      <c r="P1059" s="13">
        <f t="shared" si="588"/>
        <v>1.77</v>
      </c>
      <c r="Q1059" s="1" t="str">
        <f t="shared" si="590"/>
        <v>300-490 шт - 1,77 руб / шт с НДС</v>
      </c>
      <c r="R1059" s="235"/>
      <c r="S1059" s="239"/>
      <c r="T1059" s="226"/>
      <c r="U1059" s="228"/>
      <c r="V1059" s="222"/>
      <c r="W1059" s="229"/>
      <c r="X1059" s="227"/>
      <c r="Y1059" s="229"/>
      <c r="Z1059" s="236"/>
      <c r="AA1059" s="237"/>
      <c r="AB1059" s="238"/>
      <c r="AC1059" s="223"/>
      <c r="AD1059" s="222"/>
    </row>
    <row r="1060" spans="1:30" x14ac:dyDescent="0.4">
      <c r="A1060" s="230"/>
      <c r="B1060" s="8">
        <v>213</v>
      </c>
      <c r="C1060" s="14">
        <f t="shared" ca="1" si="607"/>
        <v>0.88</v>
      </c>
      <c r="D1060" s="20">
        <f t="shared" ca="1" si="617"/>
        <v>1.056</v>
      </c>
      <c r="E1060" s="225"/>
      <c r="F1060" s="231"/>
      <c r="G1060" s="172" t="str">
        <f t="shared" ca="1" si="601"/>
        <v/>
      </c>
      <c r="H1060" s="93" t="str">
        <f t="shared" ca="1" si="602"/>
        <v/>
      </c>
      <c r="I1060" s="21">
        <v>500</v>
      </c>
      <c r="J1060" s="68">
        <f t="shared" si="603"/>
        <v>1.2750000000000001</v>
      </c>
      <c r="K1060" s="70">
        <v>1.53</v>
      </c>
      <c r="L1060" s="72">
        <f t="shared" ca="1" si="598"/>
        <v>0.31600000000000011</v>
      </c>
      <c r="M1060" s="73">
        <f t="shared" ca="1" si="599"/>
        <v>158.00000000000006</v>
      </c>
      <c r="N1060" s="12" t="s">
        <v>43</v>
      </c>
      <c r="O1060" s="47" t="s">
        <v>45</v>
      </c>
      <c r="P1060" s="13">
        <f t="shared" si="588"/>
        <v>1.53</v>
      </c>
      <c r="Q1060" s="1" t="str">
        <f t="shared" si="590"/>
        <v>500-990 шт - 1,53 руб / шт с НДС</v>
      </c>
      <c r="R1060" s="235"/>
      <c r="S1060" s="239"/>
      <c r="T1060" s="226"/>
      <c r="U1060" s="228"/>
      <c r="V1060" s="222"/>
      <c r="W1060" s="229"/>
      <c r="X1060" s="227"/>
      <c r="Y1060" s="229"/>
      <c r="Z1060" s="236"/>
      <c r="AA1060" s="237"/>
      <c r="AB1060" s="238"/>
      <c r="AC1060" s="223"/>
      <c r="AD1060" s="222"/>
    </row>
    <row r="1061" spans="1:30" x14ac:dyDescent="0.4">
      <c r="A1061" s="230"/>
      <c r="B1061" s="8">
        <v>213</v>
      </c>
      <c r="C1061" s="14">
        <f t="shared" ca="1" si="607"/>
        <v>0.88</v>
      </c>
      <c r="D1061" s="20">
        <f t="shared" ca="1" si="617"/>
        <v>1.056</v>
      </c>
      <c r="E1061" s="225"/>
      <c r="F1061" s="231"/>
      <c r="G1061" s="172" t="str">
        <f t="shared" ca="1" si="601"/>
        <v/>
      </c>
      <c r="H1061" s="93" t="str">
        <f t="shared" ca="1" si="602"/>
        <v/>
      </c>
      <c r="I1061" s="21">
        <v>1000</v>
      </c>
      <c r="J1061" s="68">
        <f t="shared" si="603"/>
        <v>1.1833333333333333</v>
      </c>
      <c r="K1061" s="70">
        <v>1.42</v>
      </c>
      <c r="L1061" s="72">
        <f t="shared" ca="1" si="598"/>
        <v>0.24266666666666667</v>
      </c>
      <c r="M1061" s="73">
        <f t="shared" ca="1" si="599"/>
        <v>242.66666666666666</v>
      </c>
      <c r="N1061" s="12" t="s">
        <v>44</v>
      </c>
      <c r="O1061" s="47" t="s">
        <v>45</v>
      </c>
      <c r="P1061" s="13">
        <f t="shared" si="588"/>
        <v>1.42</v>
      </c>
      <c r="Q1061" s="1" t="str">
        <f t="shared" si="590"/>
        <v>1000 + шт - 1,42 руб / шт с НДС</v>
      </c>
      <c r="R1061" s="235"/>
      <c r="S1061" s="239"/>
      <c r="T1061" s="226"/>
      <c r="U1061" s="228"/>
      <c r="V1061" s="222"/>
      <c r="W1061" s="229"/>
      <c r="X1061" s="227"/>
      <c r="Y1061" s="229"/>
      <c r="Z1061" s="236"/>
      <c r="AA1061" s="237"/>
      <c r="AB1061" s="238"/>
      <c r="AC1061" s="223"/>
      <c r="AD1061" s="222"/>
    </row>
    <row r="1062" spans="1:30" x14ac:dyDescent="0.4">
      <c r="A1062" s="230">
        <v>214</v>
      </c>
      <c r="B1062" s="8">
        <v>214</v>
      </c>
      <c r="C1062" s="14">
        <f t="shared" ca="1" si="607"/>
        <v>0.19</v>
      </c>
      <c r="D1062" s="20">
        <f t="shared" ca="1" si="617"/>
        <v>0.22799999999999998</v>
      </c>
      <c r="E1062" s="224" t="str">
        <f ca="1">INDIRECT("'Закуп'!D" &amp; A1062)</f>
        <v>У</v>
      </c>
      <c r="F1062" s="231" t="str">
        <f t="shared" ref="F1062" ca="1" si="620">INDIRECT("'Закуп'!E" &amp; B1062)</f>
        <v>110х98х45</v>
      </c>
      <c r="G1062" s="172" t="str">
        <f t="shared" ca="1" si="601"/>
        <v/>
      </c>
      <c r="H1062" s="93" t="str">
        <f t="shared" ca="1" si="602"/>
        <v/>
      </c>
      <c r="I1062" s="21">
        <v>50</v>
      </c>
      <c r="J1062" s="68">
        <f t="shared" si="603"/>
        <v>0.89166666666666672</v>
      </c>
      <c r="K1062" s="70">
        <v>1.07</v>
      </c>
      <c r="L1062" s="72">
        <f t="shared" ca="1" si="598"/>
        <v>0.56133333333333335</v>
      </c>
      <c r="M1062" s="73">
        <f t="shared" ca="1" si="599"/>
        <v>28.066666666666666</v>
      </c>
      <c r="N1062" s="12" t="s">
        <v>40</v>
      </c>
      <c r="O1062" s="47" t="s">
        <v>45</v>
      </c>
      <c r="P1062" s="13">
        <f t="shared" si="588"/>
        <v>1.07</v>
      </c>
      <c r="Q1062" s="1" t="str">
        <f t="shared" si="590"/>
        <v>50-90 шт - 1,07 руб / шт с НДС</v>
      </c>
      <c r="R1062" s="235" t="str">
        <f ca="1">INDIRECT("'Закуп'!k" &amp; A1062)</f>
        <v>K215</v>
      </c>
      <c r="S1062" s="239">
        <f ca="1">INDIRECT("'Закуп'!o" &amp; A1062)</f>
        <v>0.49</v>
      </c>
      <c r="T1062" s="226" t="str">
        <f ca="1">INDIRECT("'Закуп'!p" &amp; A1062)</f>
        <v>0,1-0,9 литров</v>
      </c>
      <c r="U1062" s="228" t="str">
        <f ca="1">INDIRECT("'Закуп'!v" &amp; A1062)</f>
        <v/>
      </c>
      <c r="V1062" s="222" t="str">
        <f ca="1">INDIRECT("'Закуп'!w" &amp; A1062)</f>
        <v>Плоские</v>
      </c>
      <c r="W1062" s="229" t="str">
        <f ca="1">INDIRECT("'Закуп'!H" &amp; A1062)</f>
        <v>0427</v>
      </c>
      <c r="X1062" s="227" t="str">
        <f t="shared" ref="X1062" ca="1" si="621">INDIRECT("'Закуп'!g" &amp; A1062)</f>
        <v>С</v>
      </c>
      <c r="Y1062" s="229" t="str">
        <f ca="1">INDIRECT("'Закуп'!i" &amp; A1062)</f>
        <v>Е</v>
      </c>
      <c r="Z1062" s="236" t="str">
        <f ca="1">INDIRECT("'Закуп'!x" &amp; A1062)</f>
        <v>100-199 мм</v>
      </c>
      <c r="AA1062" s="237" t="str">
        <f ca="1">INDIRECT("'Закуп'!y" &amp; A1062)</f>
        <v>10-99 мм</v>
      </c>
      <c r="AB1062" s="238" t="str">
        <f ca="1">INDIRECT("'Закуп'!z" &amp; A1062)</f>
        <v>10-99 мм</v>
      </c>
      <c r="AC1062" s="223" t="str">
        <f t="shared" ca="1" si="593"/>
        <v>110x98x45</v>
      </c>
      <c r="AD1062" s="222" t="str">
        <f t="shared" ca="1" si="616"/>
        <v>110x98x45 - 110*98*45 мм</v>
      </c>
    </row>
    <row r="1063" spans="1:30" x14ac:dyDescent="0.4">
      <c r="A1063" s="230"/>
      <c r="B1063" s="8">
        <v>214</v>
      </c>
      <c r="C1063" s="14">
        <f t="shared" ca="1" si="607"/>
        <v>0.19</v>
      </c>
      <c r="D1063" s="20">
        <f t="shared" ca="1" si="617"/>
        <v>0.22799999999999998</v>
      </c>
      <c r="E1063" s="225"/>
      <c r="F1063" s="231"/>
      <c r="G1063" s="172" t="str">
        <f t="shared" ca="1" si="601"/>
        <v/>
      </c>
      <c r="H1063" s="93" t="str">
        <f t="shared" ca="1" si="602"/>
        <v/>
      </c>
      <c r="I1063" s="21">
        <v>100</v>
      </c>
      <c r="J1063" s="68">
        <f t="shared" si="603"/>
        <v>0.75833333333333341</v>
      </c>
      <c r="K1063" s="70">
        <v>0.91</v>
      </c>
      <c r="L1063" s="72">
        <f t="shared" ca="1" si="598"/>
        <v>0.45466666666666666</v>
      </c>
      <c r="M1063" s="73">
        <f t="shared" ca="1" si="599"/>
        <v>45.466666666666669</v>
      </c>
      <c r="N1063" s="12" t="s">
        <v>41</v>
      </c>
      <c r="O1063" s="47" t="s">
        <v>45</v>
      </c>
      <c r="P1063" s="13">
        <f t="shared" si="588"/>
        <v>0.91</v>
      </c>
      <c r="Q1063" s="1" t="str">
        <f t="shared" si="590"/>
        <v>100-290 шт - 0,91 руб / шт с НДС</v>
      </c>
      <c r="R1063" s="235"/>
      <c r="S1063" s="239"/>
      <c r="T1063" s="226"/>
      <c r="U1063" s="228"/>
      <c r="V1063" s="222"/>
      <c r="W1063" s="229"/>
      <c r="X1063" s="227"/>
      <c r="Y1063" s="229"/>
      <c r="Z1063" s="236"/>
      <c r="AA1063" s="237"/>
      <c r="AB1063" s="238"/>
      <c r="AC1063" s="223"/>
      <c r="AD1063" s="222"/>
    </row>
    <row r="1064" spans="1:30" x14ac:dyDescent="0.4">
      <c r="A1064" s="230"/>
      <c r="B1064" s="8">
        <v>214</v>
      </c>
      <c r="C1064" s="14">
        <f t="shared" ca="1" si="607"/>
        <v>0.19</v>
      </c>
      <c r="D1064" s="20">
        <f t="shared" ca="1" si="617"/>
        <v>0.22799999999999998</v>
      </c>
      <c r="E1064" s="225"/>
      <c r="F1064" s="231"/>
      <c r="G1064" s="172" t="str">
        <f t="shared" ca="1" si="601"/>
        <v/>
      </c>
      <c r="H1064" s="93" t="str">
        <f t="shared" ca="1" si="602"/>
        <v/>
      </c>
      <c r="I1064" s="21">
        <v>300</v>
      </c>
      <c r="J1064" s="68">
        <f t="shared" si="603"/>
        <v>0.625</v>
      </c>
      <c r="K1064" s="70">
        <v>0.75</v>
      </c>
      <c r="L1064" s="72">
        <f t="shared" ca="1" si="598"/>
        <v>0.34799999999999998</v>
      </c>
      <c r="M1064" s="73">
        <f t="shared" ca="1" si="599"/>
        <v>104.39999999999999</v>
      </c>
      <c r="N1064" s="12" t="s">
        <v>42</v>
      </c>
      <c r="O1064" s="47" t="s">
        <v>45</v>
      </c>
      <c r="P1064" s="13">
        <f t="shared" si="588"/>
        <v>0.75</v>
      </c>
      <c r="Q1064" s="1" t="str">
        <f t="shared" si="590"/>
        <v>300-490 шт - 0,75 руб / шт с НДС</v>
      </c>
      <c r="R1064" s="235"/>
      <c r="S1064" s="239"/>
      <c r="T1064" s="226"/>
      <c r="U1064" s="228"/>
      <c r="V1064" s="222"/>
      <c r="W1064" s="229"/>
      <c r="X1064" s="227"/>
      <c r="Y1064" s="229"/>
      <c r="Z1064" s="236"/>
      <c r="AA1064" s="237"/>
      <c r="AB1064" s="238"/>
      <c r="AC1064" s="223"/>
      <c r="AD1064" s="222"/>
    </row>
    <row r="1065" spans="1:30" x14ac:dyDescent="0.4">
      <c r="A1065" s="230"/>
      <c r="B1065" s="8">
        <v>214</v>
      </c>
      <c r="C1065" s="14">
        <f t="shared" ca="1" si="607"/>
        <v>0.19</v>
      </c>
      <c r="D1065" s="20">
        <f t="shared" ca="1" si="617"/>
        <v>0.22799999999999998</v>
      </c>
      <c r="E1065" s="225"/>
      <c r="F1065" s="231"/>
      <c r="G1065" s="172" t="str">
        <f t="shared" ca="1" si="601"/>
        <v/>
      </c>
      <c r="H1065" s="93" t="str">
        <f t="shared" ca="1" si="602"/>
        <v/>
      </c>
      <c r="I1065" s="21">
        <v>500</v>
      </c>
      <c r="J1065" s="68">
        <f t="shared" si="603"/>
        <v>0.53333333333333333</v>
      </c>
      <c r="K1065" s="70">
        <v>0.64</v>
      </c>
      <c r="L1065" s="72">
        <f t="shared" ca="1" si="598"/>
        <v>0.27466666666666667</v>
      </c>
      <c r="M1065" s="73">
        <f t="shared" ca="1" si="599"/>
        <v>137.33333333333334</v>
      </c>
      <c r="N1065" s="12" t="s">
        <v>43</v>
      </c>
      <c r="O1065" s="47" t="s">
        <v>45</v>
      </c>
      <c r="P1065" s="13">
        <f t="shared" si="588"/>
        <v>0.64</v>
      </c>
      <c r="Q1065" s="1" t="str">
        <f t="shared" si="590"/>
        <v>500-990 шт - 0,64 руб / шт с НДС</v>
      </c>
      <c r="R1065" s="235"/>
      <c r="S1065" s="239"/>
      <c r="T1065" s="226"/>
      <c r="U1065" s="228"/>
      <c r="V1065" s="222"/>
      <c r="W1065" s="229"/>
      <c r="X1065" s="227"/>
      <c r="Y1065" s="229"/>
      <c r="Z1065" s="236"/>
      <c r="AA1065" s="237"/>
      <c r="AB1065" s="238"/>
      <c r="AC1065" s="223"/>
      <c r="AD1065" s="222"/>
    </row>
    <row r="1066" spans="1:30" x14ac:dyDescent="0.4">
      <c r="A1066" s="230"/>
      <c r="B1066" s="8">
        <v>214</v>
      </c>
      <c r="C1066" s="14">
        <f t="shared" ca="1" si="607"/>
        <v>0.19</v>
      </c>
      <c r="D1066" s="20">
        <f t="shared" ca="1" si="617"/>
        <v>0.22799999999999998</v>
      </c>
      <c r="E1066" s="225"/>
      <c r="F1066" s="231"/>
      <c r="G1066" s="172" t="str">
        <f t="shared" ca="1" si="601"/>
        <v/>
      </c>
      <c r="H1066" s="93" t="str">
        <f t="shared" ca="1" si="602"/>
        <v/>
      </c>
      <c r="I1066" s="21">
        <v>1000</v>
      </c>
      <c r="J1066" s="68">
        <f t="shared" si="603"/>
        <v>0.45000000000000007</v>
      </c>
      <c r="K1066" s="70">
        <v>0.54</v>
      </c>
      <c r="L1066" s="72">
        <f t="shared" ca="1" si="598"/>
        <v>0.20800000000000005</v>
      </c>
      <c r="M1066" s="73">
        <f t="shared" ca="1" si="599"/>
        <v>208.00000000000006</v>
      </c>
      <c r="N1066" s="12" t="s">
        <v>44</v>
      </c>
      <c r="O1066" s="47" t="s">
        <v>45</v>
      </c>
      <c r="P1066" s="13">
        <f t="shared" si="588"/>
        <v>0.54</v>
      </c>
      <c r="Q1066" s="1" t="str">
        <f t="shared" si="590"/>
        <v>1000 + шт - 0,54 руб / шт с НДС</v>
      </c>
      <c r="R1066" s="235"/>
      <c r="S1066" s="239"/>
      <c r="T1066" s="226"/>
      <c r="U1066" s="228"/>
      <c r="V1066" s="222"/>
      <c r="W1066" s="229"/>
      <c r="X1066" s="227"/>
      <c r="Y1066" s="229"/>
      <c r="Z1066" s="236"/>
      <c r="AA1066" s="237"/>
      <c r="AB1066" s="238"/>
      <c r="AC1066" s="223"/>
      <c r="AD1066" s="222"/>
    </row>
    <row r="1067" spans="1:30" ht="32.15" x14ac:dyDescent="0.4">
      <c r="A1067" s="230">
        <v>215</v>
      </c>
      <c r="B1067" s="8">
        <v>215</v>
      </c>
      <c r="C1067" s="14">
        <f t="shared" ca="1" si="607"/>
        <v>0.38</v>
      </c>
      <c r="D1067" s="20">
        <f t="shared" ca="1" si="617"/>
        <v>0.45599999999999996</v>
      </c>
      <c r="E1067" s="225" t="str">
        <f ca="1">INDIRECT("'Закуп'!D" &amp; A1067)</f>
        <v>0-У без разм на сайте</v>
      </c>
      <c r="F1067" s="231" t="str">
        <f t="shared" ref="F1067" ca="1" si="622">INDIRECT("'Закуп'!E" &amp; B1067)</f>
        <v>95х95х275</v>
      </c>
      <c r="G1067" s="172" t="str">
        <f t="shared" ca="1" si="601"/>
        <v/>
      </c>
      <c r="H1067" s="93" t="str">
        <f t="shared" ca="1" si="602"/>
        <v xml:space="preserve"> без размещения на сайте</v>
      </c>
      <c r="I1067" s="21">
        <v>50</v>
      </c>
      <c r="J1067" s="68">
        <f t="shared" si="603"/>
        <v>0.97499999999999998</v>
      </c>
      <c r="K1067" s="70">
        <v>1.17</v>
      </c>
      <c r="L1067" s="72">
        <f t="shared" ca="1" si="598"/>
        <v>0.47599999999999998</v>
      </c>
      <c r="M1067" s="73">
        <f t="shared" ca="1" si="599"/>
        <v>23.799999999999997</v>
      </c>
      <c r="N1067" s="12" t="s">
        <v>40</v>
      </c>
      <c r="O1067" s="47" t="s">
        <v>45</v>
      </c>
      <c r="P1067" s="13">
        <f t="shared" si="588"/>
        <v>1.17</v>
      </c>
      <c r="Q1067" s="1" t="str">
        <f t="shared" si="590"/>
        <v>50-90 шт - 1,17 руб / шт с НДС</v>
      </c>
      <c r="R1067" s="235" t="str">
        <f ca="1">INDIRECT("'Закуп'!k" &amp; A1067)</f>
        <v>K0</v>
      </c>
      <c r="S1067" s="239">
        <f ca="1">INDIRECT("'Закуп'!o" &amp; A1067)</f>
        <v>2.48</v>
      </c>
      <c r="T1067" s="226" t="str">
        <f ca="1">INDIRECT("'Закуп'!p" &amp; A1067)</f>
        <v>2-2,9 литра</v>
      </c>
      <c r="U1067" s="228" t="str">
        <f ca="1">INDIRECT("'Закуп'!v" &amp; A1067)</f>
        <v>Длинные</v>
      </c>
      <c r="V1067" s="222" t="str">
        <f ca="1">INDIRECT("'Закуп'!w" &amp; A1067)</f>
        <v/>
      </c>
      <c r="W1067" s="229" t="str">
        <f ca="1">INDIRECT("'Закуп'!H" &amp; A1067)</f>
        <v>0215</v>
      </c>
      <c r="X1067" s="227" t="str">
        <f t="shared" ref="X1067" ca="1" si="623">INDIRECT("'Закуп'!g" &amp; A1067)</f>
        <v>С</v>
      </c>
      <c r="Y1067" s="229" t="str">
        <f ca="1">INDIRECT("'Закуп'!i" &amp; A1067)</f>
        <v>В</v>
      </c>
      <c r="Z1067" s="236" t="str">
        <f ca="1">INDIRECT("'Закуп'!x" &amp; A1067)</f>
        <v>200-299 мм</v>
      </c>
      <c r="AA1067" s="237" t="str">
        <f ca="1">INDIRECT("'Закуп'!y" &amp; A1067)</f>
        <v>10-99 мм</v>
      </c>
      <c r="AB1067" s="238" t="str">
        <f ca="1">INDIRECT("'Закуп'!z" &amp; A1067)</f>
        <v>10-99 мм</v>
      </c>
      <c r="AC1067" s="223" t="str">
        <f t="shared" ca="1" si="593"/>
        <v>95x95x275</v>
      </c>
      <c r="AD1067" s="222" t="str">
        <f t="shared" ca="1" si="616"/>
        <v>95x95x275 - 95*95*275 мм</v>
      </c>
    </row>
    <row r="1068" spans="1:30" ht="32.15" x14ac:dyDescent="0.4">
      <c r="A1068" s="230"/>
      <c r="B1068" s="8">
        <v>215</v>
      </c>
      <c r="C1068" s="14">
        <f t="shared" ca="1" si="607"/>
        <v>0.38</v>
      </c>
      <c r="D1068" s="20">
        <f t="shared" ca="1" si="617"/>
        <v>0.45599999999999996</v>
      </c>
      <c r="E1068" s="225"/>
      <c r="F1068" s="231"/>
      <c r="G1068" s="172" t="str">
        <f t="shared" ca="1" si="601"/>
        <v/>
      </c>
      <c r="H1068" s="93" t="str">
        <f t="shared" ca="1" si="602"/>
        <v xml:space="preserve"> без размещения на сайте</v>
      </c>
      <c r="I1068" s="21">
        <v>100</v>
      </c>
      <c r="J1068" s="68">
        <f t="shared" si="603"/>
        <v>0.80833333333333335</v>
      </c>
      <c r="K1068" s="70">
        <v>0.97</v>
      </c>
      <c r="L1068" s="72">
        <f t="shared" ca="1" si="598"/>
        <v>0.34266666666666667</v>
      </c>
      <c r="M1068" s="73">
        <f t="shared" ca="1" si="599"/>
        <v>34.266666666666666</v>
      </c>
      <c r="N1068" s="12" t="s">
        <v>41</v>
      </c>
      <c r="O1068" s="47" t="s">
        <v>45</v>
      </c>
      <c r="P1068" s="13">
        <f t="shared" si="588"/>
        <v>0.97</v>
      </c>
      <c r="Q1068" s="1" t="str">
        <f t="shared" si="590"/>
        <v>100-290 шт - 0,97 руб / шт с НДС</v>
      </c>
      <c r="R1068" s="235"/>
      <c r="S1068" s="239"/>
      <c r="T1068" s="226"/>
      <c r="U1068" s="228"/>
      <c r="V1068" s="222"/>
      <c r="W1068" s="229"/>
      <c r="X1068" s="227"/>
      <c r="Y1068" s="229"/>
      <c r="Z1068" s="236"/>
      <c r="AA1068" s="237"/>
      <c r="AB1068" s="238"/>
      <c r="AC1068" s="223"/>
      <c r="AD1068" s="222"/>
    </row>
    <row r="1069" spans="1:30" ht="32.15" x14ac:dyDescent="0.4">
      <c r="A1069" s="230"/>
      <c r="B1069" s="8">
        <v>215</v>
      </c>
      <c r="C1069" s="14">
        <f t="shared" ca="1" si="607"/>
        <v>0.38</v>
      </c>
      <c r="D1069" s="20">
        <f t="shared" ca="1" si="617"/>
        <v>0.45599999999999996</v>
      </c>
      <c r="E1069" s="225"/>
      <c r="F1069" s="231"/>
      <c r="G1069" s="172" t="str">
        <f t="shared" ca="1" si="601"/>
        <v/>
      </c>
      <c r="H1069" s="93" t="str">
        <f t="shared" ca="1" si="602"/>
        <v xml:space="preserve"> без размещения на сайте</v>
      </c>
      <c r="I1069" s="21">
        <v>300</v>
      </c>
      <c r="J1069" s="68">
        <f t="shared" si="603"/>
        <v>0.7416666666666667</v>
      </c>
      <c r="K1069" s="70">
        <v>0.89</v>
      </c>
      <c r="L1069" s="72">
        <f t="shared" ca="1" si="598"/>
        <v>0.28933333333333333</v>
      </c>
      <c r="M1069" s="73">
        <f t="shared" ca="1" si="599"/>
        <v>86.8</v>
      </c>
      <c r="N1069" s="12" t="s">
        <v>42</v>
      </c>
      <c r="O1069" s="47" t="s">
        <v>45</v>
      </c>
      <c r="P1069" s="13">
        <f t="shared" si="588"/>
        <v>0.89</v>
      </c>
      <c r="Q1069" s="1" t="str">
        <f t="shared" si="590"/>
        <v>300-490 шт - 0,89 руб / шт с НДС</v>
      </c>
      <c r="R1069" s="235"/>
      <c r="S1069" s="239"/>
      <c r="T1069" s="226"/>
      <c r="U1069" s="228"/>
      <c r="V1069" s="222"/>
      <c r="W1069" s="229"/>
      <c r="X1069" s="227"/>
      <c r="Y1069" s="229"/>
      <c r="Z1069" s="236"/>
      <c r="AA1069" s="237"/>
      <c r="AB1069" s="238"/>
      <c r="AC1069" s="223"/>
      <c r="AD1069" s="222"/>
    </row>
    <row r="1070" spans="1:30" ht="32.15" x14ac:dyDescent="0.4">
      <c r="A1070" s="230"/>
      <c r="B1070" s="8">
        <v>215</v>
      </c>
      <c r="C1070" s="14">
        <f t="shared" ca="1" si="607"/>
        <v>0.38</v>
      </c>
      <c r="D1070" s="20">
        <f t="shared" ca="1" si="617"/>
        <v>0.45599999999999996</v>
      </c>
      <c r="E1070" s="225"/>
      <c r="F1070" s="231"/>
      <c r="G1070" s="172" t="str">
        <f t="shared" ca="1" si="601"/>
        <v/>
      </c>
      <c r="H1070" s="93" t="str">
        <f t="shared" ca="1" si="602"/>
        <v xml:space="preserve"> без размещения на сайте</v>
      </c>
      <c r="I1070" s="21">
        <v>500</v>
      </c>
      <c r="J1070" s="68">
        <f t="shared" si="603"/>
        <v>0.67500000000000004</v>
      </c>
      <c r="K1070" s="70">
        <v>0.81</v>
      </c>
      <c r="L1070" s="72">
        <f t="shared" ca="1" si="598"/>
        <v>0.23600000000000004</v>
      </c>
      <c r="M1070" s="73">
        <f t="shared" ca="1" si="599"/>
        <v>118.00000000000003</v>
      </c>
      <c r="N1070" s="12" t="s">
        <v>43</v>
      </c>
      <c r="O1070" s="47" t="s">
        <v>45</v>
      </c>
      <c r="P1070" s="13">
        <f t="shared" si="588"/>
        <v>0.81</v>
      </c>
      <c r="Q1070" s="1" t="str">
        <f t="shared" si="590"/>
        <v>500-990 шт - 0,81 руб / шт с НДС</v>
      </c>
      <c r="R1070" s="235"/>
      <c r="S1070" s="239"/>
      <c r="T1070" s="226"/>
      <c r="U1070" s="228"/>
      <c r="V1070" s="222"/>
      <c r="W1070" s="229"/>
      <c r="X1070" s="227"/>
      <c r="Y1070" s="229"/>
      <c r="Z1070" s="236"/>
      <c r="AA1070" s="237"/>
      <c r="AB1070" s="238"/>
      <c r="AC1070" s="223"/>
      <c r="AD1070" s="222"/>
    </row>
    <row r="1071" spans="1:30" ht="32.15" x14ac:dyDescent="0.4">
      <c r="A1071" s="230"/>
      <c r="B1071" s="8">
        <v>215</v>
      </c>
      <c r="C1071" s="14">
        <f t="shared" ca="1" si="607"/>
        <v>0.38</v>
      </c>
      <c r="D1071" s="20">
        <f t="shared" ca="1" si="617"/>
        <v>0.45599999999999996</v>
      </c>
      <c r="E1071" s="225"/>
      <c r="F1071" s="231"/>
      <c r="G1071" s="172" t="str">
        <f t="shared" ca="1" si="601"/>
        <v/>
      </c>
      <c r="H1071" s="93" t="str">
        <f t="shared" ca="1" si="602"/>
        <v xml:space="preserve"> без размещения на сайте</v>
      </c>
      <c r="I1071" s="21">
        <v>1000</v>
      </c>
      <c r="J1071" s="68">
        <f t="shared" si="603"/>
        <v>0.63333333333333341</v>
      </c>
      <c r="K1071" s="70">
        <v>0.76</v>
      </c>
      <c r="L1071" s="72">
        <f t="shared" ca="1" si="598"/>
        <v>0.20266666666666672</v>
      </c>
      <c r="M1071" s="73">
        <f t="shared" ca="1" si="599"/>
        <v>202.66666666666671</v>
      </c>
      <c r="N1071" s="12" t="s">
        <v>44</v>
      </c>
      <c r="O1071" s="47" t="s">
        <v>45</v>
      </c>
      <c r="P1071" s="13">
        <f t="shared" ref="P1071:P1134" si="624">ROUND(K1071,2)</f>
        <v>0.76</v>
      </c>
      <c r="Q1071" s="1" t="str">
        <f t="shared" si="590"/>
        <v>1000 + шт - 0,76 руб / шт с НДС</v>
      </c>
      <c r="R1071" s="235"/>
      <c r="S1071" s="239"/>
      <c r="T1071" s="226"/>
      <c r="U1071" s="228"/>
      <c r="V1071" s="222"/>
      <c r="W1071" s="229"/>
      <c r="X1071" s="227"/>
      <c r="Y1071" s="229"/>
      <c r="Z1071" s="236"/>
      <c r="AA1071" s="237"/>
      <c r="AB1071" s="238"/>
      <c r="AC1071" s="223"/>
      <c r="AD1071" s="222"/>
    </row>
    <row r="1072" spans="1:30" x14ac:dyDescent="0.4">
      <c r="A1072" s="230">
        <v>216</v>
      </c>
      <c r="B1072" s="8">
        <v>216</v>
      </c>
      <c r="C1072" s="14">
        <f t="shared" ca="1" si="607"/>
        <v>0.48</v>
      </c>
      <c r="D1072" s="20">
        <f t="shared" ca="1" si="617"/>
        <v>0.57599999999999996</v>
      </c>
      <c r="E1072" s="224" t="str">
        <f ca="1">INDIRECT("'Закуп'!D" &amp; A1072)</f>
        <v>У</v>
      </c>
      <c r="F1072" s="231" t="str">
        <f t="shared" ref="F1072" ca="1" si="625">INDIRECT("'Закуп'!E" &amp; B1072)</f>
        <v>300х220х40</v>
      </c>
      <c r="G1072" s="172" t="str">
        <f t="shared" ca="1" si="601"/>
        <v/>
      </c>
      <c r="H1072" s="93" t="str">
        <f t="shared" ca="1" si="602"/>
        <v/>
      </c>
      <c r="I1072" s="21">
        <v>50</v>
      </c>
      <c r="J1072" s="68">
        <f t="shared" si="603"/>
        <v>1.575</v>
      </c>
      <c r="K1072" s="70">
        <v>1.89</v>
      </c>
      <c r="L1072" s="72">
        <f t="shared" ca="1" si="598"/>
        <v>0.876</v>
      </c>
      <c r="M1072" s="73">
        <f t="shared" ca="1" si="599"/>
        <v>43.8</v>
      </c>
      <c r="N1072" s="12" t="s">
        <v>40</v>
      </c>
      <c r="O1072" s="47" t="s">
        <v>45</v>
      </c>
      <c r="P1072" s="13">
        <f t="shared" si="624"/>
        <v>1.89</v>
      </c>
      <c r="Q1072" s="1" t="str">
        <f t="shared" ref="Q1072:Q1135" si="626">CONCATENATE(N1072,P1072,O1072,)</f>
        <v>50-90 шт - 1,89 руб / шт с НДС</v>
      </c>
      <c r="R1072" s="235" t="str">
        <f ca="1">INDIRECT("'Закуп'!k" &amp; A1072)</f>
        <v>K216</v>
      </c>
      <c r="S1072" s="239">
        <f ca="1">INDIRECT("'Закуп'!o" &amp; A1072)</f>
        <v>2.64</v>
      </c>
      <c r="T1072" s="226" t="str">
        <f ca="1">INDIRECT("'Закуп'!p" &amp; A1072)</f>
        <v>2-2,9 литра</v>
      </c>
      <c r="U1072" s="228" t="str">
        <f ca="1">INDIRECT("'Закуп'!v" &amp; A1072)</f>
        <v/>
      </c>
      <c r="V1072" s="222" t="str">
        <f ca="1">INDIRECT("'Закуп'!w" &amp; A1072)</f>
        <v>Плоские</v>
      </c>
      <c r="W1072" s="229" t="str">
        <f ca="1">INDIRECT("'Закуп'!H" &amp; A1072)</f>
        <v>0427</v>
      </c>
      <c r="X1072" s="227" t="str">
        <f t="shared" ref="X1072" ca="1" si="627">INDIRECT("'Закуп'!g" &amp; A1072)</f>
        <v>С</v>
      </c>
      <c r="Y1072" s="229" t="str">
        <f ca="1">INDIRECT("'Закуп'!i" &amp; A1072)</f>
        <v>Е</v>
      </c>
      <c r="Z1072" s="236" t="str">
        <f ca="1">INDIRECT("'Закуп'!x" &amp; A1072)</f>
        <v>300-399 мм</v>
      </c>
      <c r="AA1072" s="237" t="str">
        <f ca="1">INDIRECT("'Закуп'!y" &amp; A1072)</f>
        <v>200-299 мм</v>
      </c>
      <c r="AB1072" s="238" t="str">
        <f ca="1">INDIRECT("'Закуп'!z" &amp; A1072)</f>
        <v>10-99 мм</v>
      </c>
      <c r="AC1072" s="223" t="str">
        <f t="shared" ca="1" si="593"/>
        <v>300x220x40</v>
      </c>
      <c r="AD1072" s="222" t="str">
        <f t="shared" ca="1" si="616"/>
        <v>300x220x40 - 300*220*40 мм</v>
      </c>
    </row>
    <row r="1073" spans="1:30" x14ac:dyDescent="0.4">
      <c r="A1073" s="230"/>
      <c r="B1073" s="8">
        <v>216</v>
      </c>
      <c r="C1073" s="14">
        <f t="shared" ca="1" si="607"/>
        <v>0.48</v>
      </c>
      <c r="D1073" s="20">
        <f t="shared" ca="1" si="617"/>
        <v>0.57599999999999996</v>
      </c>
      <c r="E1073" s="225"/>
      <c r="F1073" s="231"/>
      <c r="G1073" s="172" t="str">
        <f t="shared" ca="1" si="601"/>
        <v/>
      </c>
      <c r="H1073" s="93" t="str">
        <f t="shared" ca="1" si="602"/>
        <v/>
      </c>
      <c r="I1073" s="21">
        <v>100</v>
      </c>
      <c r="J1073" s="68">
        <f t="shared" si="603"/>
        <v>1.4333333333333333</v>
      </c>
      <c r="K1073" s="70">
        <v>1.72</v>
      </c>
      <c r="L1073" s="72">
        <f t="shared" ca="1" si="598"/>
        <v>0.76266666666666671</v>
      </c>
      <c r="M1073" s="73">
        <f t="shared" ca="1" si="599"/>
        <v>76.266666666666666</v>
      </c>
      <c r="N1073" s="12" t="s">
        <v>41</v>
      </c>
      <c r="O1073" s="47" t="s">
        <v>45</v>
      </c>
      <c r="P1073" s="13">
        <f t="shared" si="624"/>
        <v>1.72</v>
      </c>
      <c r="Q1073" s="1" t="str">
        <f t="shared" si="626"/>
        <v>100-290 шт - 1,72 руб / шт с НДС</v>
      </c>
      <c r="R1073" s="235"/>
      <c r="S1073" s="239"/>
      <c r="T1073" s="226"/>
      <c r="U1073" s="228"/>
      <c r="V1073" s="222"/>
      <c r="W1073" s="229"/>
      <c r="X1073" s="227"/>
      <c r="Y1073" s="229"/>
      <c r="Z1073" s="236"/>
      <c r="AA1073" s="237"/>
      <c r="AB1073" s="238"/>
      <c r="AC1073" s="223"/>
      <c r="AD1073" s="222"/>
    </row>
    <row r="1074" spans="1:30" x14ac:dyDescent="0.4">
      <c r="A1074" s="230"/>
      <c r="B1074" s="8">
        <v>216</v>
      </c>
      <c r="C1074" s="14">
        <f t="shared" ca="1" si="607"/>
        <v>0.48</v>
      </c>
      <c r="D1074" s="20">
        <f t="shared" ca="1" si="617"/>
        <v>0.57599999999999996</v>
      </c>
      <c r="E1074" s="225"/>
      <c r="F1074" s="231"/>
      <c r="G1074" s="172" t="str">
        <f t="shared" ca="1" si="601"/>
        <v/>
      </c>
      <c r="H1074" s="93" t="str">
        <f t="shared" ca="1" si="602"/>
        <v/>
      </c>
      <c r="I1074" s="21">
        <v>300</v>
      </c>
      <c r="J1074" s="68">
        <f t="shared" si="603"/>
        <v>1.1333333333333335</v>
      </c>
      <c r="K1074" s="70">
        <v>1.36</v>
      </c>
      <c r="L1074" s="72">
        <f t="shared" ca="1" si="598"/>
        <v>0.52266666666666683</v>
      </c>
      <c r="M1074" s="73">
        <f t="shared" ca="1" si="599"/>
        <v>156.80000000000004</v>
      </c>
      <c r="N1074" s="12" t="s">
        <v>42</v>
      </c>
      <c r="O1074" s="47" t="s">
        <v>45</v>
      </c>
      <c r="P1074" s="13">
        <f t="shared" si="624"/>
        <v>1.36</v>
      </c>
      <c r="Q1074" s="1" t="str">
        <f t="shared" si="626"/>
        <v>300-490 шт - 1,36 руб / шт с НДС</v>
      </c>
      <c r="R1074" s="235"/>
      <c r="S1074" s="239"/>
      <c r="T1074" s="226"/>
      <c r="U1074" s="228"/>
      <c r="V1074" s="222"/>
      <c r="W1074" s="229"/>
      <c r="X1074" s="227"/>
      <c r="Y1074" s="229"/>
      <c r="Z1074" s="236"/>
      <c r="AA1074" s="237"/>
      <c r="AB1074" s="238"/>
      <c r="AC1074" s="223"/>
      <c r="AD1074" s="222"/>
    </row>
    <row r="1075" spans="1:30" x14ac:dyDescent="0.4">
      <c r="A1075" s="230"/>
      <c r="B1075" s="8">
        <v>216</v>
      </c>
      <c r="C1075" s="14">
        <f t="shared" ca="1" si="607"/>
        <v>0.48</v>
      </c>
      <c r="D1075" s="20">
        <f t="shared" ca="1" si="617"/>
        <v>0.57599999999999996</v>
      </c>
      <c r="E1075" s="225"/>
      <c r="F1075" s="231"/>
      <c r="G1075" s="172" t="str">
        <f t="shared" ca="1" si="601"/>
        <v/>
      </c>
      <c r="H1075" s="93" t="str">
        <f t="shared" ca="1" si="602"/>
        <v/>
      </c>
      <c r="I1075" s="21">
        <v>500</v>
      </c>
      <c r="J1075" s="68">
        <f t="shared" si="603"/>
        <v>1.0583333333333333</v>
      </c>
      <c r="K1075" s="70">
        <v>1.27</v>
      </c>
      <c r="L1075" s="72">
        <f t="shared" ca="1" si="598"/>
        <v>0.46266666666666667</v>
      </c>
      <c r="M1075" s="73">
        <f t="shared" ca="1" si="599"/>
        <v>231.33333333333334</v>
      </c>
      <c r="N1075" s="12" t="s">
        <v>43</v>
      </c>
      <c r="O1075" s="47" t="s">
        <v>45</v>
      </c>
      <c r="P1075" s="13">
        <f t="shared" si="624"/>
        <v>1.27</v>
      </c>
      <c r="Q1075" s="1" t="str">
        <f t="shared" si="626"/>
        <v>500-990 шт - 1,27 руб / шт с НДС</v>
      </c>
      <c r="R1075" s="235"/>
      <c r="S1075" s="239"/>
      <c r="T1075" s="226"/>
      <c r="U1075" s="228"/>
      <c r="V1075" s="222"/>
      <c r="W1075" s="229"/>
      <c r="X1075" s="227"/>
      <c r="Y1075" s="229"/>
      <c r="Z1075" s="236"/>
      <c r="AA1075" s="237"/>
      <c r="AB1075" s="238"/>
      <c r="AC1075" s="223"/>
      <c r="AD1075" s="222"/>
    </row>
    <row r="1076" spans="1:30" x14ac:dyDescent="0.4">
      <c r="A1076" s="230"/>
      <c r="B1076" s="8">
        <v>216</v>
      </c>
      <c r="C1076" s="14">
        <f t="shared" ca="1" si="607"/>
        <v>0.48</v>
      </c>
      <c r="D1076" s="20">
        <f t="shared" ca="1" si="617"/>
        <v>0.57599999999999996</v>
      </c>
      <c r="E1076" s="225"/>
      <c r="F1076" s="231"/>
      <c r="G1076" s="172" t="str">
        <f t="shared" ca="1" si="601"/>
        <v/>
      </c>
      <c r="H1076" s="93" t="str">
        <f t="shared" ca="1" si="602"/>
        <v/>
      </c>
      <c r="I1076" s="21">
        <v>1000</v>
      </c>
      <c r="J1076" s="68">
        <f t="shared" si="603"/>
        <v>0.93333333333333346</v>
      </c>
      <c r="K1076" s="70">
        <v>1.1200000000000001</v>
      </c>
      <c r="L1076" s="72">
        <f t="shared" ca="1" si="598"/>
        <v>0.3626666666666668</v>
      </c>
      <c r="M1076" s="73">
        <f t="shared" ca="1" si="599"/>
        <v>362.6666666666668</v>
      </c>
      <c r="N1076" s="12" t="s">
        <v>44</v>
      </c>
      <c r="O1076" s="47" t="s">
        <v>45</v>
      </c>
      <c r="P1076" s="13">
        <f t="shared" si="624"/>
        <v>1.1200000000000001</v>
      </c>
      <c r="Q1076" s="1" t="str">
        <f t="shared" si="626"/>
        <v>1000 + шт - 1,12 руб / шт с НДС</v>
      </c>
      <c r="R1076" s="235"/>
      <c r="S1076" s="239"/>
      <c r="T1076" s="226"/>
      <c r="U1076" s="228"/>
      <c r="V1076" s="222"/>
      <c r="W1076" s="229"/>
      <c r="X1076" s="227"/>
      <c r="Y1076" s="229"/>
      <c r="Z1076" s="236"/>
      <c r="AA1076" s="237"/>
      <c r="AB1076" s="238"/>
      <c r="AC1076" s="223"/>
      <c r="AD1076" s="222"/>
    </row>
    <row r="1077" spans="1:30" x14ac:dyDescent="0.4">
      <c r="A1077" s="230">
        <v>217</v>
      </c>
      <c r="B1077" s="8">
        <v>217</v>
      </c>
      <c r="C1077" s="14">
        <f t="shared" ca="1" si="607"/>
        <v>1.42</v>
      </c>
      <c r="D1077" s="20">
        <f t="shared" ca="1" si="617"/>
        <v>1.704</v>
      </c>
      <c r="E1077" s="225" t="str">
        <f ca="1">INDIRECT("'Закуп'!D" &amp; A1077)</f>
        <v>0-А</v>
      </c>
      <c r="F1077" s="231" t="str">
        <f t="shared" ref="F1077" ca="1" si="628">INDIRECT("'Закуп'!E" &amp; B1077)</f>
        <v>516х463х48</v>
      </c>
      <c r="G1077" s="172" t="str">
        <f t="shared" ca="1" si="601"/>
        <v/>
      </c>
      <c r="H1077" s="93" t="str">
        <f t="shared" ca="1" si="602"/>
        <v>516х463х48</v>
      </c>
      <c r="I1077" s="21">
        <v>50</v>
      </c>
      <c r="J1077" s="68">
        <f t="shared" si="603"/>
        <v>1.7833333333333334</v>
      </c>
      <c r="K1077" s="70">
        <v>2.14</v>
      </c>
      <c r="L1077" s="72">
        <f t="shared" ca="1" si="598"/>
        <v>0.2906666666666668</v>
      </c>
      <c r="M1077" s="73">
        <f t="shared" ca="1" si="599"/>
        <v>14.53333333333334</v>
      </c>
      <c r="N1077" s="12" t="s">
        <v>40</v>
      </c>
      <c r="O1077" s="47" t="s">
        <v>45</v>
      </c>
      <c r="P1077" s="13">
        <f t="shared" si="624"/>
        <v>2.14</v>
      </c>
      <c r="Q1077" s="1" t="str">
        <f t="shared" si="626"/>
        <v>50-90 шт - 2,14 руб / шт с НДС</v>
      </c>
      <c r="R1077" s="235" t="str">
        <f ca="1">INDIRECT("'Закуп'!k" &amp; A1077)</f>
        <v>K1003</v>
      </c>
      <c r="S1077" s="239">
        <f ca="1">INDIRECT("'Закуп'!o" &amp; A1077)</f>
        <v>11.47</v>
      </c>
      <c r="T1077" s="226" t="str">
        <f ca="1">INDIRECT("'Закуп'!p" &amp; A1077)</f>
        <v>10-14,9 литров</v>
      </c>
      <c r="U1077" s="228" t="str">
        <f ca="1">INDIRECT("'Закуп'!v" &amp; A1077)</f>
        <v/>
      </c>
      <c r="V1077" s="222" t="str">
        <f ca="1">INDIRECT("'Закуп'!w" &amp; A1077)</f>
        <v>Плоские</v>
      </c>
      <c r="W1077" s="229" t="str">
        <f ca="1">INDIRECT("'Закуп'!H" &amp; A1077)</f>
        <v>0427</v>
      </c>
      <c r="X1077" s="227" t="str">
        <f t="shared" ref="X1077" ca="1" si="629">INDIRECT("'Закуп'!g" &amp; A1077)</f>
        <v>С</v>
      </c>
      <c r="Y1077" s="229" t="str">
        <f ca="1">INDIRECT("'Закуп'!i" &amp; A1077)</f>
        <v>В</v>
      </c>
      <c r="Z1077" s="236" t="str">
        <f ca="1">INDIRECT("'Закуп'!x" &amp; A1077)</f>
        <v>500-599 мм</v>
      </c>
      <c r="AA1077" s="237" t="str">
        <f ca="1">INDIRECT("'Закуп'!y" &amp; A1077)</f>
        <v>400-499 мм</v>
      </c>
      <c r="AB1077" s="238" t="str">
        <f ca="1">INDIRECT("'Закуп'!z" &amp; A1077)</f>
        <v>10-99 мм</v>
      </c>
      <c r="AC1077" s="223" t="str">
        <f t="shared" ref="AC1077:AC1137" ca="1" si="630">SUBSTITUTE(INDEX(F:F, ROUNDUP((ROW(A1076))/5,0)*5 - 3), "х", "x")</f>
        <v>516x463x48</v>
      </c>
      <c r="AD1077" s="222" t="str">
        <f t="shared" ca="1" si="616"/>
        <v>516x463x48 - 516*463*48 мм</v>
      </c>
    </row>
    <row r="1078" spans="1:30" x14ac:dyDescent="0.4">
      <c r="A1078" s="230"/>
      <c r="B1078" s="8">
        <v>217</v>
      </c>
      <c r="C1078" s="14">
        <f t="shared" ca="1" si="607"/>
        <v>1.42</v>
      </c>
      <c r="D1078" s="20">
        <f t="shared" ca="1" si="617"/>
        <v>1.704</v>
      </c>
      <c r="E1078" s="225"/>
      <c r="F1078" s="231"/>
      <c r="G1078" s="172" t="str">
        <f t="shared" ca="1" si="601"/>
        <v/>
      </c>
      <c r="H1078" s="93" t="str">
        <f t="shared" ca="1" si="602"/>
        <v>516х463х48</v>
      </c>
      <c r="I1078" s="21">
        <v>100</v>
      </c>
      <c r="J1078" s="68">
        <f t="shared" si="603"/>
        <v>1.7833333333333334</v>
      </c>
      <c r="K1078" s="70">
        <v>2.14</v>
      </c>
      <c r="L1078" s="72">
        <f t="shared" ca="1" si="598"/>
        <v>0.2906666666666668</v>
      </c>
      <c r="M1078" s="73">
        <f t="shared" ca="1" si="599"/>
        <v>29.066666666666681</v>
      </c>
      <c r="N1078" s="12" t="s">
        <v>41</v>
      </c>
      <c r="O1078" s="47" t="s">
        <v>45</v>
      </c>
      <c r="P1078" s="13">
        <f t="shared" si="624"/>
        <v>2.14</v>
      </c>
      <c r="Q1078" s="1" t="str">
        <f t="shared" si="626"/>
        <v>100-290 шт - 2,14 руб / шт с НДС</v>
      </c>
      <c r="R1078" s="235"/>
      <c r="S1078" s="239"/>
      <c r="T1078" s="226"/>
      <c r="U1078" s="228"/>
      <c r="V1078" s="222"/>
      <c r="W1078" s="229"/>
      <c r="X1078" s="227"/>
      <c r="Y1078" s="229"/>
      <c r="Z1078" s="236"/>
      <c r="AA1078" s="237"/>
      <c r="AB1078" s="238"/>
      <c r="AC1078" s="223"/>
      <c r="AD1078" s="222"/>
    </row>
    <row r="1079" spans="1:30" x14ac:dyDescent="0.4">
      <c r="A1079" s="230"/>
      <c r="B1079" s="8">
        <v>217</v>
      </c>
      <c r="C1079" s="14">
        <f t="shared" ca="1" si="607"/>
        <v>1.42</v>
      </c>
      <c r="D1079" s="20">
        <f t="shared" ca="1" si="617"/>
        <v>1.704</v>
      </c>
      <c r="E1079" s="225"/>
      <c r="F1079" s="231"/>
      <c r="G1079" s="172" t="str">
        <f t="shared" ca="1" si="601"/>
        <v/>
      </c>
      <c r="H1079" s="93" t="str">
        <f t="shared" ca="1" si="602"/>
        <v>516х463х48</v>
      </c>
      <c r="I1079" s="21">
        <v>300</v>
      </c>
      <c r="J1079" s="68">
        <f t="shared" si="603"/>
        <v>1.7833333333333334</v>
      </c>
      <c r="K1079" s="70">
        <v>2.14</v>
      </c>
      <c r="L1079" s="72">
        <f t="shared" ca="1" si="598"/>
        <v>0.2906666666666668</v>
      </c>
      <c r="M1079" s="73">
        <f t="shared" ca="1" si="599"/>
        <v>87.200000000000045</v>
      </c>
      <c r="N1079" s="12" t="s">
        <v>42</v>
      </c>
      <c r="O1079" s="47" t="s">
        <v>45</v>
      </c>
      <c r="P1079" s="13">
        <f t="shared" si="624"/>
        <v>2.14</v>
      </c>
      <c r="Q1079" s="1" t="str">
        <f t="shared" si="626"/>
        <v>300-490 шт - 2,14 руб / шт с НДС</v>
      </c>
      <c r="R1079" s="235"/>
      <c r="S1079" s="239"/>
      <c r="T1079" s="226"/>
      <c r="U1079" s="228"/>
      <c r="V1079" s="222"/>
      <c r="W1079" s="229"/>
      <c r="X1079" s="227"/>
      <c r="Y1079" s="229"/>
      <c r="Z1079" s="236"/>
      <c r="AA1079" s="237"/>
      <c r="AB1079" s="238"/>
      <c r="AC1079" s="223"/>
      <c r="AD1079" s="222"/>
    </row>
    <row r="1080" spans="1:30" x14ac:dyDescent="0.4">
      <c r="A1080" s="230"/>
      <c r="B1080" s="8">
        <v>217</v>
      </c>
      <c r="C1080" s="14">
        <f t="shared" ca="1" si="607"/>
        <v>1.42</v>
      </c>
      <c r="D1080" s="20">
        <f t="shared" ca="1" si="617"/>
        <v>1.704</v>
      </c>
      <c r="E1080" s="225"/>
      <c r="F1080" s="231"/>
      <c r="G1080" s="172" t="str">
        <f t="shared" ca="1" si="601"/>
        <v/>
      </c>
      <c r="H1080" s="93" t="str">
        <f t="shared" ca="1" si="602"/>
        <v>516х463х48</v>
      </c>
      <c r="I1080" s="21">
        <v>500</v>
      </c>
      <c r="J1080" s="68">
        <f t="shared" si="603"/>
        <v>1.7833333333333334</v>
      </c>
      <c r="K1080" s="70">
        <v>2.14</v>
      </c>
      <c r="L1080" s="72">
        <f t="shared" ca="1" si="598"/>
        <v>0.2906666666666668</v>
      </c>
      <c r="M1080" s="73">
        <f t="shared" ca="1" si="599"/>
        <v>145.3333333333334</v>
      </c>
      <c r="N1080" s="12" t="s">
        <v>43</v>
      </c>
      <c r="O1080" s="47" t="s">
        <v>45</v>
      </c>
      <c r="P1080" s="13">
        <f t="shared" si="624"/>
        <v>2.14</v>
      </c>
      <c r="Q1080" s="1" t="str">
        <f t="shared" si="626"/>
        <v>500-990 шт - 2,14 руб / шт с НДС</v>
      </c>
      <c r="R1080" s="235"/>
      <c r="S1080" s="239"/>
      <c r="T1080" s="226"/>
      <c r="U1080" s="228"/>
      <c r="V1080" s="222"/>
      <c r="W1080" s="229"/>
      <c r="X1080" s="227"/>
      <c r="Y1080" s="229"/>
      <c r="Z1080" s="236"/>
      <c r="AA1080" s="237"/>
      <c r="AB1080" s="238"/>
      <c r="AC1080" s="223"/>
      <c r="AD1080" s="222"/>
    </row>
    <row r="1081" spans="1:30" x14ac:dyDescent="0.4">
      <c r="A1081" s="230"/>
      <c r="B1081" s="8">
        <v>217</v>
      </c>
      <c r="C1081" s="14">
        <f t="shared" ca="1" si="607"/>
        <v>1.42</v>
      </c>
      <c r="D1081" s="20">
        <f t="shared" ca="1" si="617"/>
        <v>1.704</v>
      </c>
      <c r="E1081" s="225"/>
      <c r="F1081" s="231"/>
      <c r="G1081" s="172" t="str">
        <f t="shared" ca="1" si="601"/>
        <v/>
      </c>
      <c r="H1081" s="93" t="str">
        <f t="shared" ca="1" si="602"/>
        <v>516х463х48</v>
      </c>
      <c r="I1081" s="21">
        <v>1000</v>
      </c>
      <c r="J1081" s="68">
        <f t="shared" si="603"/>
        <v>1.7833333333333334</v>
      </c>
      <c r="K1081" s="70">
        <v>2.14</v>
      </c>
      <c r="L1081" s="72">
        <f t="shared" ca="1" si="598"/>
        <v>0.2906666666666668</v>
      </c>
      <c r="M1081" s="73">
        <f t="shared" ca="1" si="599"/>
        <v>290.6666666666668</v>
      </c>
      <c r="N1081" s="12" t="s">
        <v>44</v>
      </c>
      <c r="O1081" s="47" t="s">
        <v>45</v>
      </c>
      <c r="P1081" s="13">
        <f t="shared" si="624"/>
        <v>2.14</v>
      </c>
      <c r="Q1081" s="1" t="str">
        <f t="shared" si="626"/>
        <v>1000 + шт - 2,14 руб / шт с НДС</v>
      </c>
      <c r="R1081" s="235"/>
      <c r="S1081" s="239"/>
      <c r="T1081" s="226"/>
      <c r="U1081" s="228"/>
      <c r="V1081" s="222"/>
      <c r="W1081" s="229"/>
      <c r="X1081" s="227"/>
      <c r="Y1081" s="229"/>
      <c r="Z1081" s="236"/>
      <c r="AA1081" s="237"/>
      <c r="AB1081" s="238"/>
      <c r="AC1081" s="223"/>
      <c r="AD1081" s="222"/>
    </row>
    <row r="1082" spans="1:30" x14ac:dyDescent="0.4">
      <c r="A1082" s="230">
        <v>218</v>
      </c>
      <c r="B1082" s="8">
        <v>218</v>
      </c>
      <c r="C1082" s="14">
        <f t="shared" ca="1" si="607"/>
        <v>0.28000000000000003</v>
      </c>
      <c r="D1082" s="20">
        <f t="shared" ca="1" si="617"/>
        <v>0.33600000000000002</v>
      </c>
      <c r="E1082" s="224" t="str">
        <f ca="1">INDIRECT("'Закуп'!D" &amp; A1082)</f>
        <v>У</v>
      </c>
      <c r="F1082" s="231" t="str">
        <f t="shared" ref="F1082" ca="1" si="631">INDIRECT("'Закуп'!E" &amp; B1082)</f>
        <v>120х120х180</v>
      </c>
      <c r="G1082" s="172" t="str">
        <f t="shared" ca="1" si="601"/>
        <v/>
      </c>
      <c r="H1082" s="93" t="str">
        <f t="shared" ca="1" si="602"/>
        <v/>
      </c>
      <c r="I1082" s="21">
        <v>50</v>
      </c>
      <c r="J1082" s="68">
        <f t="shared" si="603"/>
        <v>0.98333333333333328</v>
      </c>
      <c r="K1082" s="70">
        <v>1.18</v>
      </c>
      <c r="L1082" s="72">
        <f t="shared" ca="1" si="598"/>
        <v>0.56266666666666665</v>
      </c>
      <c r="M1082" s="73">
        <f t="shared" ca="1" si="599"/>
        <v>28.133333333333333</v>
      </c>
      <c r="N1082" s="12" t="s">
        <v>40</v>
      </c>
      <c r="O1082" s="47" t="s">
        <v>45</v>
      </c>
      <c r="P1082" s="13">
        <f t="shared" si="624"/>
        <v>1.18</v>
      </c>
      <c r="Q1082" s="1" t="str">
        <f t="shared" si="626"/>
        <v>50-90 шт - 1,18 руб / шт с НДС</v>
      </c>
      <c r="R1082" s="235" t="str">
        <f ca="1">INDIRECT("'Закуп'!k" &amp; A1082)</f>
        <v>K217</v>
      </c>
      <c r="S1082" s="239">
        <f ca="1">INDIRECT("'Закуп'!o" &amp; A1082)</f>
        <v>2.59</v>
      </c>
      <c r="T1082" s="226" t="str">
        <f ca="1">INDIRECT("'Закуп'!p" &amp; A1082)</f>
        <v>2-2,9 литра</v>
      </c>
      <c r="U1082" s="228" t="str">
        <f ca="1">INDIRECT("'Закуп'!v" &amp; A1082)</f>
        <v/>
      </c>
      <c r="V1082" s="222" t="str">
        <f ca="1">INDIRECT("'Закуп'!w" &amp; A1082)</f>
        <v/>
      </c>
      <c r="W1082" s="229" t="str">
        <f ca="1">INDIRECT("'Закуп'!H" &amp; A1082)</f>
        <v>0201</v>
      </c>
      <c r="X1082" s="227" t="str">
        <f t="shared" ref="X1082" ca="1" si="632">INDIRECT("'Закуп'!g" &amp; A1082)</f>
        <v>Ч</v>
      </c>
      <c r="Y1082" s="229" t="str">
        <f ca="1">INDIRECT("'Закуп'!i" &amp; A1082)</f>
        <v>В</v>
      </c>
      <c r="Z1082" s="236" t="str">
        <f ca="1">INDIRECT("'Закуп'!x" &amp; A1082)</f>
        <v>100-199 мм</v>
      </c>
      <c r="AA1082" s="237" t="str">
        <f ca="1">INDIRECT("'Закуп'!y" &amp; A1082)</f>
        <v>100-199 мм</v>
      </c>
      <c r="AB1082" s="238" t="str">
        <f ca="1">INDIRECT("'Закуп'!z" &amp; A1082)</f>
        <v>100-199 мм</v>
      </c>
      <c r="AC1082" s="223" t="str">
        <f t="shared" ca="1" si="630"/>
        <v>120x120x180</v>
      </c>
      <c r="AD1082" s="222" t="str">
        <f t="shared" ca="1" si="616"/>
        <v>120x120x180 - 120*120*180 мм</v>
      </c>
    </row>
    <row r="1083" spans="1:30" x14ac:dyDescent="0.4">
      <c r="A1083" s="230"/>
      <c r="B1083" s="8">
        <v>218</v>
      </c>
      <c r="C1083" s="14">
        <f t="shared" ca="1" si="607"/>
        <v>0.28000000000000003</v>
      </c>
      <c r="D1083" s="20">
        <f t="shared" ca="1" si="617"/>
        <v>0.33600000000000002</v>
      </c>
      <c r="E1083" s="225"/>
      <c r="F1083" s="231"/>
      <c r="G1083" s="172" t="str">
        <f t="shared" ca="1" si="601"/>
        <v/>
      </c>
      <c r="H1083" s="93" t="str">
        <f t="shared" ca="1" si="602"/>
        <v/>
      </c>
      <c r="I1083" s="21">
        <v>100</v>
      </c>
      <c r="J1083" s="68">
        <f t="shared" si="603"/>
        <v>0.89166666666666672</v>
      </c>
      <c r="K1083" s="70">
        <v>1.07</v>
      </c>
      <c r="L1083" s="72">
        <f t="shared" ca="1" si="598"/>
        <v>0.48933333333333334</v>
      </c>
      <c r="M1083" s="73">
        <f t="shared" ca="1" si="599"/>
        <v>48.933333333333337</v>
      </c>
      <c r="N1083" s="12" t="s">
        <v>41</v>
      </c>
      <c r="O1083" s="47" t="s">
        <v>45</v>
      </c>
      <c r="P1083" s="13">
        <f t="shared" si="624"/>
        <v>1.07</v>
      </c>
      <c r="Q1083" s="1" t="str">
        <f t="shared" si="626"/>
        <v>100-290 шт - 1,07 руб / шт с НДС</v>
      </c>
      <c r="R1083" s="235"/>
      <c r="S1083" s="239"/>
      <c r="T1083" s="226"/>
      <c r="U1083" s="228"/>
      <c r="V1083" s="222"/>
      <c r="W1083" s="229"/>
      <c r="X1083" s="227"/>
      <c r="Y1083" s="229"/>
      <c r="Z1083" s="236"/>
      <c r="AA1083" s="237"/>
      <c r="AB1083" s="238"/>
      <c r="AC1083" s="223"/>
      <c r="AD1083" s="222"/>
    </row>
    <row r="1084" spans="1:30" x14ac:dyDescent="0.4">
      <c r="A1084" s="230"/>
      <c r="B1084" s="8">
        <v>218</v>
      </c>
      <c r="C1084" s="14">
        <f t="shared" ca="1" si="607"/>
        <v>0.28000000000000003</v>
      </c>
      <c r="D1084" s="20">
        <f t="shared" ca="1" si="617"/>
        <v>0.33600000000000002</v>
      </c>
      <c r="E1084" s="225"/>
      <c r="F1084" s="231"/>
      <c r="G1084" s="172" t="str">
        <f t="shared" ca="1" si="601"/>
        <v/>
      </c>
      <c r="H1084" s="93" t="str">
        <f t="shared" ca="1" si="602"/>
        <v/>
      </c>
      <c r="I1084" s="21">
        <v>300</v>
      </c>
      <c r="J1084" s="68">
        <f t="shared" si="603"/>
        <v>0.8</v>
      </c>
      <c r="K1084" s="70">
        <v>0.96</v>
      </c>
      <c r="L1084" s="72">
        <f t="shared" ca="1" si="598"/>
        <v>0.41600000000000004</v>
      </c>
      <c r="M1084" s="73">
        <f t="shared" ca="1" si="599"/>
        <v>124.80000000000001</v>
      </c>
      <c r="N1084" s="12" t="s">
        <v>42</v>
      </c>
      <c r="O1084" s="47" t="s">
        <v>45</v>
      </c>
      <c r="P1084" s="13">
        <f t="shared" si="624"/>
        <v>0.96</v>
      </c>
      <c r="Q1084" s="1" t="str">
        <f t="shared" si="626"/>
        <v>300-490 шт - 0,96 руб / шт с НДС</v>
      </c>
      <c r="R1084" s="235"/>
      <c r="S1084" s="239"/>
      <c r="T1084" s="226"/>
      <c r="U1084" s="228"/>
      <c r="V1084" s="222"/>
      <c r="W1084" s="229"/>
      <c r="X1084" s="227"/>
      <c r="Y1084" s="229"/>
      <c r="Z1084" s="236"/>
      <c r="AA1084" s="237"/>
      <c r="AB1084" s="238"/>
      <c r="AC1084" s="223"/>
      <c r="AD1084" s="222"/>
    </row>
    <row r="1085" spans="1:30" x14ac:dyDescent="0.4">
      <c r="A1085" s="230"/>
      <c r="B1085" s="8">
        <v>218</v>
      </c>
      <c r="C1085" s="14">
        <f t="shared" ca="1" si="607"/>
        <v>0.28000000000000003</v>
      </c>
      <c r="D1085" s="20">
        <f t="shared" ca="1" si="617"/>
        <v>0.33600000000000002</v>
      </c>
      <c r="E1085" s="225"/>
      <c r="F1085" s="231"/>
      <c r="G1085" s="172" t="str">
        <f t="shared" ca="1" si="601"/>
        <v/>
      </c>
      <c r="H1085" s="93" t="str">
        <f t="shared" ca="1" si="602"/>
        <v/>
      </c>
      <c r="I1085" s="21">
        <v>500</v>
      </c>
      <c r="J1085" s="68">
        <f t="shared" si="603"/>
        <v>0.71666666666666667</v>
      </c>
      <c r="K1085" s="70">
        <v>0.86</v>
      </c>
      <c r="L1085" s="72">
        <f t="shared" ca="1" si="598"/>
        <v>0.34933333333333333</v>
      </c>
      <c r="M1085" s="73">
        <f t="shared" ca="1" si="599"/>
        <v>174.66666666666666</v>
      </c>
      <c r="N1085" s="12" t="s">
        <v>43</v>
      </c>
      <c r="O1085" s="47" t="s">
        <v>45</v>
      </c>
      <c r="P1085" s="13">
        <f t="shared" si="624"/>
        <v>0.86</v>
      </c>
      <c r="Q1085" s="1" t="str">
        <f t="shared" si="626"/>
        <v>500-990 шт - 0,86 руб / шт с НДС</v>
      </c>
      <c r="R1085" s="235"/>
      <c r="S1085" s="239"/>
      <c r="T1085" s="226"/>
      <c r="U1085" s="228"/>
      <c r="V1085" s="222"/>
      <c r="W1085" s="229"/>
      <c r="X1085" s="227"/>
      <c r="Y1085" s="229"/>
      <c r="Z1085" s="236"/>
      <c r="AA1085" s="237"/>
      <c r="AB1085" s="238"/>
      <c r="AC1085" s="223"/>
      <c r="AD1085" s="222"/>
    </row>
    <row r="1086" spans="1:30" x14ac:dyDescent="0.4">
      <c r="A1086" s="230"/>
      <c r="B1086" s="8">
        <v>218</v>
      </c>
      <c r="C1086" s="14">
        <f t="shared" ca="1" si="607"/>
        <v>0.28000000000000003</v>
      </c>
      <c r="D1086" s="20">
        <f t="shared" ca="1" si="617"/>
        <v>0.33600000000000002</v>
      </c>
      <c r="E1086" s="225"/>
      <c r="F1086" s="231"/>
      <c r="G1086" s="172" t="str">
        <f t="shared" ca="1" si="601"/>
        <v/>
      </c>
      <c r="H1086" s="93" t="str">
        <f t="shared" ca="1" si="602"/>
        <v/>
      </c>
      <c r="I1086" s="21">
        <v>1000</v>
      </c>
      <c r="J1086" s="68">
        <f t="shared" si="603"/>
        <v>0.625</v>
      </c>
      <c r="K1086" s="70">
        <v>0.75</v>
      </c>
      <c r="L1086" s="72">
        <f t="shared" ca="1" si="598"/>
        <v>0.27599999999999997</v>
      </c>
      <c r="M1086" s="73">
        <f t="shared" ca="1" si="599"/>
        <v>275.99999999999994</v>
      </c>
      <c r="N1086" s="12" t="s">
        <v>44</v>
      </c>
      <c r="O1086" s="47" t="s">
        <v>45</v>
      </c>
      <c r="P1086" s="13">
        <f t="shared" si="624"/>
        <v>0.75</v>
      </c>
      <c r="Q1086" s="1" t="str">
        <f t="shared" si="626"/>
        <v>1000 + шт - 0,75 руб / шт с НДС</v>
      </c>
      <c r="R1086" s="235"/>
      <c r="S1086" s="239"/>
      <c r="T1086" s="226"/>
      <c r="U1086" s="228"/>
      <c r="V1086" s="222"/>
      <c r="W1086" s="229"/>
      <c r="X1086" s="227"/>
      <c r="Y1086" s="229"/>
      <c r="Z1086" s="236"/>
      <c r="AA1086" s="237"/>
      <c r="AB1086" s="238"/>
      <c r="AC1086" s="223"/>
      <c r="AD1086" s="222"/>
    </row>
    <row r="1087" spans="1:30" x14ac:dyDescent="0.4">
      <c r="A1087" s="230">
        <v>219</v>
      </c>
      <c r="B1087" s="8">
        <v>219</v>
      </c>
      <c r="C1087" s="14">
        <f t="shared" ca="1" si="607"/>
        <v>2.6</v>
      </c>
      <c r="D1087" s="20">
        <f t="shared" ca="1" si="617"/>
        <v>3.12</v>
      </c>
      <c r="E1087" s="224" t="str">
        <f ca="1">INDIRECT("'Закуп'!D" &amp; A1087)</f>
        <v>У</v>
      </c>
      <c r="F1087" s="231" t="str">
        <f t="shared" ref="F1087" ca="1" si="633">INDIRECT("'Закуп'!E" &amp; B1087)</f>
        <v>730х415х200</v>
      </c>
      <c r="G1087" s="172" t="str">
        <f t="shared" ca="1" si="601"/>
        <v/>
      </c>
      <c r="H1087" s="93" t="str">
        <f t="shared" ca="1" si="602"/>
        <v/>
      </c>
      <c r="I1087" s="21">
        <v>50</v>
      </c>
      <c r="J1087" s="68">
        <f t="shared" si="603"/>
        <v>4.45</v>
      </c>
      <c r="K1087" s="70">
        <v>5.34</v>
      </c>
      <c r="L1087" s="72">
        <f t="shared" ca="1" si="598"/>
        <v>1.48</v>
      </c>
      <c r="M1087" s="73">
        <f t="shared" ca="1" si="599"/>
        <v>74</v>
      </c>
      <c r="N1087" s="12" t="s">
        <v>40</v>
      </c>
      <c r="O1087" s="47" t="s">
        <v>45</v>
      </c>
      <c r="P1087" s="13">
        <f t="shared" si="624"/>
        <v>5.34</v>
      </c>
      <c r="Q1087" s="1" t="str">
        <f t="shared" si="626"/>
        <v>50-90 шт - 5,34 руб / шт с НДС</v>
      </c>
      <c r="R1087" s="235" t="str">
        <f ca="1">INDIRECT("'Закуп'!k" &amp; A1087)</f>
        <v>K218</v>
      </c>
      <c r="S1087" s="239">
        <f ca="1">INDIRECT("'Закуп'!o" &amp; A1087)</f>
        <v>60.59</v>
      </c>
      <c r="T1087" s="226" t="str">
        <f ca="1">INDIRECT("'Закуп'!p" &amp; A1087)</f>
        <v>60-69 литров</v>
      </c>
      <c r="U1087" s="228" t="str">
        <f ca="1">INDIRECT("'Закуп'!v" &amp; A1087)</f>
        <v/>
      </c>
      <c r="V1087" s="222" t="str">
        <f ca="1">INDIRECT("'Закуп'!w" &amp; A1087)</f>
        <v>Плоские</v>
      </c>
      <c r="W1087" s="229" t="str">
        <f ca="1">INDIRECT("'Закуп'!H" &amp; A1087)</f>
        <v>0201</v>
      </c>
      <c r="X1087" s="227" t="str">
        <f t="shared" ref="X1087" ca="1" si="634">INDIRECT("'Закуп'!g" &amp; A1087)</f>
        <v>Ч</v>
      </c>
      <c r="Y1087" s="229" t="str">
        <f ca="1">INDIRECT("'Закуп'!i" &amp; A1087)</f>
        <v>В</v>
      </c>
      <c r="Z1087" s="236" t="str">
        <f ca="1">INDIRECT("'Закуп'!x" &amp; A1087)</f>
        <v>700-999 мм</v>
      </c>
      <c r="AA1087" s="237" t="str">
        <f ca="1">INDIRECT("'Закуп'!y" &amp; A1087)</f>
        <v>400-499 мм</v>
      </c>
      <c r="AB1087" s="238" t="str">
        <f ca="1">INDIRECT("'Закуп'!z" &amp; A1087)</f>
        <v>200-299 мм</v>
      </c>
      <c r="AC1087" s="223" t="str">
        <f t="shared" ca="1" si="630"/>
        <v>730x415x200</v>
      </c>
      <c r="AD1087" s="222" t="str">
        <f t="shared" ca="1" si="616"/>
        <v>730x415x200 - 730*415*200 мм</v>
      </c>
    </row>
    <row r="1088" spans="1:30" x14ac:dyDescent="0.4">
      <c r="A1088" s="230"/>
      <c r="B1088" s="8">
        <v>219</v>
      </c>
      <c r="C1088" s="14">
        <f t="shared" ca="1" si="607"/>
        <v>2.6</v>
      </c>
      <c r="D1088" s="20">
        <f t="shared" ca="1" si="617"/>
        <v>3.12</v>
      </c>
      <c r="E1088" s="225"/>
      <c r="F1088" s="231"/>
      <c r="G1088" s="172" t="str">
        <f t="shared" ca="1" si="601"/>
        <v/>
      </c>
      <c r="H1088" s="93" t="str">
        <f t="shared" ca="1" si="602"/>
        <v/>
      </c>
      <c r="I1088" s="21">
        <v>100</v>
      </c>
      <c r="J1088" s="68">
        <f t="shared" si="603"/>
        <v>4.1166666666666671</v>
      </c>
      <c r="K1088" s="70">
        <v>4.9400000000000004</v>
      </c>
      <c r="L1088" s="72">
        <f t="shared" ca="1" si="598"/>
        <v>1.2133333333333336</v>
      </c>
      <c r="M1088" s="73">
        <f t="shared" ca="1" si="599"/>
        <v>121.33333333333336</v>
      </c>
      <c r="N1088" s="12" t="s">
        <v>41</v>
      </c>
      <c r="O1088" s="47" t="s">
        <v>45</v>
      </c>
      <c r="P1088" s="13">
        <f t="shared" si="624"/>
        <v>4.9400000000000004</v>
      </c>
      <c r="Q1088" s="1" t="str">
        <f t="shared" si="626"/>
        <v>100-290 шт - 4,94 руб / шт с НДС</v>
      </c>
      <c r="R1088" s="235"/>
      <c r="S1088" s="239"/>
      <c r="T1088" s="226"/>
      <c r="U1088" s="228"/>
      <c r="V1088" s="222"/>
      <c r="W1088" s="229"/>
      <c r="X1088" s="227"/>
      <c r="Y1088" s="229"/>
      <c r="Z1088" s="236"/>
      <c r="AA1088" s="237"/>
      <c r="AB1088" s="238"/>
      <c r="AC1088" s="223"/>
      <c r="AD1088" s="222"/>
    </row>
    <row r="1089" spans="1:30" x14ac:dyDescent="0.4">
      <c r="A1089" s="230"/>
      <c r="B1089" s="8">
        <v>219</v>
      </c>
      <c r="C1089" s="14">
        <f t="shared" ca="1" si="607"/>
        <v>2.6</v>
      </c>
      <c r="D1089" s="20">
        <f t="shared" ca="1" si="617"/>
        <v>3.12</v>
      </c>
      <c r="E1089" s="225"/>
      <c r="F1089" s="231"/>
      <c r="G1089" s="172" t="str">
        <f t="shared" ca="1" si="601"/>
        <v/>
      </c>
      <c r="H1089" s="93" t="str">
        <f t="shared" ca="1" si="602"/>
        <v/>
      </c>
      <c r="I1089" s="21">
        <v>300</v>
      </c>
      <c r="J1089" s="68">
        <f t="shared" si="603"/>
        <v>3.5083333333333333</v>
      </c>
      <c r="K1089" s="70">
        <v>4.21</v>
      </c>
      <c r="L1089" s="72">
        <f t="shared" ca="1" si="598"/>
        <v>0.72666666666666657</v>
      </c>
      <c r="M1089" s="73">
        <f t="shared" ca="1" si="599"/>
        <v>217.99999999999997</v>
      </c>
      <c r="N1089" s="12" t="s">
        <v>42</v>
      </c>
      <c r="O1089" s="47" t="s">
        <v>45</v>
      </c>
      <c r="P1089" s="13">
        <f t="shared" si="624"/>
        <v>4.21</v>
      </c>
      <c r="Q1089" s="1" t="str">
        <f t="shared" si="626"/>
        <v>300-490 шт - 4,21 руб / шт с НДС</v>
      </c>
      <c r="R1089" s="235"/>
      <c r="S1089" s="239"/>
      <c r="T1089" s="226"/>
      <c r="U1089" s="228"/>
      <c r="V1089" s="222"/>
      <c r="W1089" s="229"/>
      <c r="X1089" s="227"/>
      <c r="Y1089" s="229"/>
      <c r="Z1089" s="236"/>
      <c r="AA1089" s="237"/>
      <c r="AB1089" s="238"/>
      <c r="AC1089" s="223"/>
      <c r="AD1089" s="222"/>
    </row>
    <row r="1090" spans="1:30" x14ac:dyDescent="0.4">
      <c r="A1090" s="230"/>
      <c r="B1090" s="8">
        <v>219</v>
      </c>
      <c r="C1090" s="14">
        <f t="shared" ca="1" si="607"/>
        <v>2.6</v>
      </c>
      <c r="D1090" s="20">
        <f t="shared" ca="1" si="617"/>
        <v>3.12</v>
      </c>
      <c r="E1090" s="225"/>
      <c r="F1090" s="231"/>
      <c r="G1090" s="172" t="str">
        <f t="shared" ca="1" si="601"/>
        <v/>
      </c>
      <c r="H1090" s="93" t="str">
        <f t="shared" ca="1" si="602"/>
        <v/>
      </c>
      <c r="I1090" s="21">
        <v>500</v>
      </c>
      <c r="J1090" s="68">
        <f t="shared" si="603"/>
        <v>3.4000000000000004</v>
      </c>
      <c r="K1090" s="70">
        <v>4.08</v>
      </c>
      <c r="L1090" s="72">
        <f t="shared" ref="L1090:L1153" ca="1" si="635">J1090-C1090-(J1090-C1090)*0.2</f>
        <v>0.64000000000000024</v>
      </c>
      <c r="M1090" s="73">
        <f t="shared" ref="M1090:M1153" ca="1" si="636">L1090*I1090</f>
        <v>320.00000000000011</v>
      </c>
      <c r="N1090" s="12" t="s">
        <v>43</v>
      </c>
      <c r="O1090" s="47" t="s">
        <v>45</v>
      </c>
      <c r="P1090" s="13">
        <f t="shared" si="624"/>
        <v>4.08</v>
      </c>
      <c r="Q1090" s="1" t="str">
        <f t="shared" si="626"/>
        <v>500-990 шт - 4,08 руб / шт с НДС</v>
      </c>
      <c r="R1090" s="235"/>
      <c r="S1090" s="239"/>
      <c r="T1090" s="226"/>
      <c r="U1090" s="228"/>
      <c r="V1090" s="222"/>
      <c r="W1090" s="229"/>
      <c r="X1090" s="227"/>
      <c r="Y1090" s="229"/>
      <c r="Z1090" s="236"/>
      <c r="AA1090" s="237"/>
      <c r="AB1090" s="238"/>
      <c r="AC1090" s="223"/>
      <c r="AD1090" s="222"/>
    </row>
    <row r="1091" spans="1:30" x14ac:dyDescent="0.4">
      <c r="A1091" s="230"/>
      <c r="B1091" s="8">
        <v>219</v>
      </c>
      <c r="C1091" s="14">
        <f t="shared" ca="1" si="607"/>
        <v>2.6</v>
      </c>
      <c r="D1091" s="20">
        <f t="shared" ca="1" si="617"/>
        <v>3.12</v>
      </c>
      <c r="E1091" s="225"/>
      <c r="F1091" s="231"/>
      <c r="G1091" s="172" t="str">
        <f t="shared" ref="G1091:G1154" ca="1" si="637">IF(INDIRECT("'Закуп'!L" &amp; B1091)="Sale","Sale","")</f>
        <v/>
      </c>
      <c r="H1091" s="93" t="str">
        <f t="shared" ref="H1091:H1154" ca="1" si="638">IF(INDIRECT("'Закуп'!F" &amp; B1091)=0,"",INDIRECT("'Закуп'!F" &amp; B1091))</f>
        <v/>
      </c>
      <c r="I1091" s="21">
        <v>1000</v>
      </c>
      <c r="J1091" s="68">
        <f t="shared" ref="J1091:J1154" si="639">K1091/1.2</f>
        <v>3.3333333333333335</v>
      </c>
      <c r="K1091" s="70">
        <v>4</v>
      </c>
      <c r="L1091" s="72">
        <f t="shared" ca="1" si="635"/>
        <v>0.58666666666666667</v>
      </c>
      <c r="M1091" s="73">
        <f t="shared" ca="1" si="636"/>
        <v>586.66666666666663</v>
      </c>
      <c r="N1091" s="12" t="s">
        <v>44</v>
      </c>
      <c r="O1091" s="47" t="s">
        <v>45</v>
      </c>
      <c r="P1091" s="13">
        <f t="shared" si="624"/>
        <v>4</v>
      </c>
      <c r="Q1091" s="1" t="str">
        <f t="shared" si="626"/>
        <v>1000 + шт - 4 руб / шт с НДС</v>
      </c>
      <c r="R1091" s="235"/>
      <c r="S1091" s="239"/>
      <c r="T1091" s="226"/>
      <c r="U1091" s="228"/>
      <c r="V1091" s="222"/>
      <c r="W1091" s="229"/>
      <c r="X1091" s="227"/>
      <c r="Y1091" s="229"/>
      <c r="Z1091" s="236"/>
      <c r="AA1091" s="237"/>
      <c r="AB1091" s="238"/>
      <c r="AC1091" s="223"/>
      <c r="AD1091" s="222"/>
    </row>
    <row r="1092" spans="1:30" x14ac:dyDescent="0.4">
      <c r="A1092" s="230">
        <v>220</v>
      </c>
      <c r="B1092" s="8">
        <v>220</v>
      </c>
      <c r="C1092" s="14">
        <f t="shared" ca="1" si="607"/>
        <v>0.16</v>
      </c>
      <c r="D1092" s="20">
        <f t="shared" ca="1" si="617"/>
        <v>0.192</v>
      </c>
      <c r="E1092" s="224" t="str">
        <f ca="1">INDIRECT("'Закуп'!D" &amp; A1092)</f>
        <v>У</v>
      </c>
      <c r="F1092" s="231" t="str">
        <f t="shared" ref="F1092" ca="1" si="640">INDIRECT("'Закуп'!E" &amp; B1092)</f>
        <v>50х50х210</v>
      </c>
      <c r="G1092" s="172" t="str">
        <f t="shared" ca="1" si="637"/>
        <v>Sale</v>
      </c>
      <c r="H1092" s="93" t="str">
        <f t="shared" ca="1" si="638"/>
        <v/>
      </c>
      <c r="I1092" s="21">
        <v>50</v>
      </c>
      <c r="J1092" s="68">
        <f t="shared" si="639"/>
        <v>0.45000000000000007</v>
      </c>
      <c r="K1092" s="70">
        <v>0.54</v>
      </c>
      <c r="L1092" s="72">
        <f t="shared" ca="1" si="635"/>
        <v>0.23200000000000004</v>
      </c>
      <c r="M1092" s="73">
        <f t="shared" ca="1" si="636"/>
        <v>11.600000000000001</v>
      </c>
      <c r="N1092" s="12" t="s">
        <v>40</v>
      </c>
      <c r="O1092" s="47" t="s">
        <v>45</v>
      </c>
      <c r="P1092" s="13">
        <f t="shared" si="624"/>
        <v>0.54</v>
      </c>
      <c r="Q1092" s="1" t="str">
        <f t="shared" si="626"/>
        <v>50-90 шт - 0,54 руб / шт с НДС</v>
      </c>
      <c r="R1092" s="235" t="str">
        <f ca="1">INDIRECT("'Закуп'!k" &amp; A1092)</f>
        <v>K219</v>
      </c>
      <c r="S1092" s="239">
        <f ca="1">INDIRECT("'Закуп'!o" &amp; A1092)</f>
        <v>0.53</v>
      </c>
      <c r="T1092" s="226" t="str">
        <f ca="1">INDIRECT("'Закуп'!p" &amp; A1092)</f>
        <v>0,1-0,9 литров</v>
      </c>
      <c r="U1092" s="228" t="str">
        <f ca="1">INDIRECT("'Закуп'!v" &amp; A1092)</f>
        <v>Длинные</v>
      </c>
      <c r="V1092" s="222" t="str">
        <f ca="1">INDIRECT("'Закуп'!w" &amp; A1092)</f>
        <v/>
      </c>
      <c r="W1092" s="229" t="str">
        <f ca="1">INDIRECT("'Закуп'!H" &amp; A1092)</f>
        <v>0215</v>
      </c>
      <c r="X1092" s="227" t="str">
        <f t="shared" ref="X1092" ca="1" si="641">INDIRECT("'Закуп'!g" &amp; A1092)</f>
        <v>С</v>
      </c>
      <c r="Y1092" s="229" t="str">
        <f ca="1">INDIRECT("'Закуп'!i" &amp; A1092)</f>
        <v>Е</v>
      </c>
      <c r="Z1092" s="236" t="str">
        <f ca="1">INDIRECT("'Закуп'!x" &amp; A1092)</f>
        <v>200-299 мм</v>
      </c>
      <c r="AA1092" s="237" t="str">
        <f ca="1">INDIRECT("'Закуп'!y" &amp; A1092)</f>
        <v>10-99 мм</v>
      </c>
      <c r="AB1092" s="238" t="str">
        <f ca="1">INDIRECT("'Закуп'!z" &amp; A1092)</f>
        <v>10-99 мм</v>
      </c>
      <c r="AC1092" s="223" t="str">
        <f t="shared" ca="1" si="630"/>
        <v>50x50x210</v>
      </c>
      <c r="AD1092" s="222" t="str">
        <f t="shared" ca="1" si="616"/>
        <v>50x50x210 - 50*50*210 мм</v>
      </c>
    </row>
    <row r="1093" spans="1:30" x14ac:dyDescent="0.4">
      <c r="A1093" s="230"/>
      <c r="B1093" s="8">
        <v>220</v>
      </c>
      <c r="C1093" s="14">
        <f t="shared" ca="1" si="607"/>
        <v>0.16</v>
      </c>
      <c r="D1093" s="20">
        <f t="shared" ca="1" si="617"/>
        <v>0.192</v>
      </c>
      <c r="E1093" s="225"/>
      <c r="F1093" s="231"/>
      <c r="G1093" s="172" t="str">
        <f t="shared" ca="1" si="637"/>
        <v>Sale</v>
      </c>
      <c r="H1093" s="93" t="str">
        <f t="shared" ca="1" si="638"/>
        <v/>
      </c>
      <c r="I1093" s="21">
        <v>100</v>
      </c>
      <c r="J1093" s="68">
        <f t="shared" si="639"/>
        <v>0.45000000000000007</v>
      </c>
      <c r="K1093" s="70">
        <v>0.54</v>
      </c>
      <c r="L1093" s="72">
        <f t="shared" ca="1" si="635"/>
        <v>0.23200000000000004</v>
      </c>
      <c r="M1093" s="73">
        <f t="shared" ca="1" si="636"/>
        <v>23.200000000000003</v>
      </c>
      <c r="N1093" s="12" t="s">
        <v>41</v>
      </c>
      <c r="O1093" s="47" t="s">
        <v>45</v>
      </c>
      <c r="P1093" s="13">
        <f t="shared" si="624"/>
        <v>0.54</v>
      </c>
      <c r="Q1093" s="1" t="str">
        <f t="shared" si="626"/>
        <v>100-290 шт - 0,54 руб / шт с НДС</v>
      </c>
      <c r="R1093" s="235"/>
      <c r="S1093" s="239"/>
      <c r="T1093" s="226"/>
      <c r="U1093" s="228"/>
      <c r="V1093" s="222"/>
      <c r="W1093" s="229"/>
      <c r="X1093" s="227"/>
      <c r="Y1093" s="229"/>
      <c r="Z1093" s="236"/>
      <c r="AA1093" s="237"/>
      <c r="AB1093" s="238"/>
      <c r="AC1093" s="223"/>
      <c r="AD1093" s="222"/>
    </row>
    <row r="1094" spans="1:30" x14ac:dyDescent="0.4">
      <c r="A1094" s="230"/>
      <c r="B1094" s="8">
        <v>220</v>
      </c>
      <c r="C1094" s="14">
        <f t="shared" ca="1" si="607"/>
        <v>0.16</v>
      </c>
      <c r="D1094" s="20">
        <f t="shared" ca="1" si="617"/>
        <v>0.192</v>
      </c>
      <c r="E1094" s="225"/>
      <c r="F1094" s="231"/>
      <c r="G1094" s="172" t="str">
        <f t="shared" ca="1" si="637"/>
        <v>Sale</v>
      </c>
      <c r="H1094" s="93" t="str">
        <f t="shared" ca="1" si="638"/>
        <v/>
      </c>
      <c r="I1094" s="21">
        <v>300</v>
      </c>
      <c r="J1094" s="68">
        <f t="shared" si="639"/>
        <v>0.45000000000000007</v>
      </c>
      <c r="K1094" s="70">
        <v>0.54</v>
      </c>
      <c r="L1094" s="72">
        <f t="shared" ca="1" si="635"/>
        <v>0.23200000000000004</v>
      </c>
      <c r="M1094" s="73">
        <f t="shared" ca="1" si="636"/>
        <v>69.600000000000009</v>
      </c>
      <c r="N1094" s="12" t="s">
        <v>42</v>
      </c>
      <c r="O1094" s="47" t="s">
        <v>45</v>
      </c>
      <c r="P1094" s="13">
        <f t="shared" si="624"/>
        <v>0.54</v>
      </c>
      <c r="Q1094" s="1" t="str">
        <f t="shared" si="626"/>
        <v>300-490 шт - 0,54 руб / шт с НДС</v>
      </c>
      <c r="R1094" s="235"/>
      <c r="S1094" s="239"/>
      <c r="T1094" s="226"/>
      <c r="U1094" s="228"/>
      <c r="V1094" s="222"/>
      <c r="W1094" s="229"/>
      <c r="X1094" s="227"/>
      <c r="Y1094" s="229"/>
      <c r="Z1094" s="236"/>
      <c r="AA1094" s="237"/>
      <c r="AB1094" s="238"/>
      <c r="AC1094" s="223"/>
      <c r="AD1094" s="222"/>
    </row>
    <row r="1095" spans="1:30" x14ac:dyDescent="0.4">
      <c r="A1095" s="230"/>
      <c r="B1095" s="8">
        <v>220</v>
      </c>
      <c r="C1095" s="14">
        <f t="shared" ca="1" si="607"/>
        <v>0.16</v>
      </c>
      <c r="D1095" s="20">
        <f t="shared" ca="1" si="617"/>
        <v>0.192</v>
      </c>
      <c r="E1095" s="225"/>
      <c r="F1095" s="231"/>
      <c r="G1095" s="172" t="str">
        <f t="shared" ca="1" si="637"/>
        <v>Sale</v>
      </c>
      <c r="H1095" s="93" t="str">
        <f t="shared" ca="1" si="638"/>
        <v/>
      </c>
      <c r="I1095" s="21">
        <v>500</v>
      </c>
      <c r="J1095" s="68">
        <f t="shared" si="639"/>
        <v>0.45000000000000007</v>
      </c>
      <c r="K1095" s="70">
        <v>0.54</v>
      </c>
      <c r="L1095" s="72">
        <f t="shared" ca="1" si="635"/>
        <v>0.23200000000000004</v>
      </c>
      <c r="M1095" s="73">
        <f t="shared" ca="1" si="636"/>
        <v>116.00000000000001</v>
      </c>
      <c r="N1095" s="12" t="s">
        <v>43</v>
      </c>
      <c r="O1095" s="47" t="s">
        <v>45</v>
      </c>
      <c r="P1095" s="13">
        <f t="shared" si="624"/>
        <v>0.54</v>
      </c>
      <c r="Q1095" s="1" t="str">
        <f t="shared" si="626"/>
        <v>500-990 шт - 0,54 руб / шт с НДС</v>
      </c>
      <c r="R1095" s="235"/>
      <c r="S1095" s="239"/>
      <c r="T1095" s="226"/>
      <c r="U1095" s="228"/>
      <c r="V1095" s="222"/>
      <c r="W1095" s="229"/>
      <c r="X1095" s="227"/>
      <c r="Y1095" s="229"/>
      <c r="Z1095" s="236"/>
      <c r="AA1095" s="237"/>
      <c r="AB1095" s="238"/>
      <c r="AC1095" s="223"/>
      <c r="AD1095" s="222"/>
    </row>
    <row r="1096" spans="1:30" x14ac:dyDescent="0.4">
      <c r="A1096" s="230"/>
      <c r="B1096" s="8">
        <v>220</v>
      </c>
      <c r="C1096" s="14">
        <f t="shared" ca="1" si="607"/>
        <v>0.16</v>
      </c>
      <c r="D1096" s="20">
        <f t="shared" ca="1" si="617"/>
        <v>0.192</v>
      </c>
      <c r="E1096" s="225"/>
      <c r="F1096" s="231"/>
      <c r="G1096" s="172" t="str">
        <f t="shared" ca="1" si="637"/>
        <v>Sale</v>
      </c>
      <c r="H1096" s="93" t="str">
        <f t="shared" ca="1" si="638"/>
        <v/>
      </c>
      <c r="I1096" s="21">
        <v>1000</v>
      </c>
      <c r="J1096" s="68">
        <f t="shared" si="639"/>
        <v>0.45000000000000007</v>
      </c>
      <c r="K1096" s="70">
        <v>0.54</v>
      </c>
      <c r="L1096" s="72">
        <f t="shared" ca="1" si="635"/>
        <v>0.23200000000000004</v>
      </c>
      <c r="M1096" s="73">
        <f t="shared" ca="1" si="636"/>
        <v>232.00000000000003</v>
      </c>
      <c r="N1096" s="12" t="s">
        <v>44</v>
      </c>
      <c r="O1096" s="47" t="s">
        <v>45</v>
      </c>
      <c r="P1096" s="13">
        <f t="shared" si="624"/>
        <v>0.54</v>
      </c>
      <c r="Q1096" s="1" t="str">
        <f t="shared" si="626"/>
        <v>1000 + шт - 0,54 руб / шт с НДС</v>
      </c>
      <c r="R1096" s="235"/>
      <c r="S1096" s="239"/>
      <c r="T1096" s="226"/>
      <c r="U1096" s="228"/>
      <c r="V1096" s="222"/>
      <c r="W1096" s="229"/>
      <c r="X1096" s="227"/>
      <c r="Y1096" s="229"/>
      <c r="Z1096" s="236"/>
      <c r="AA1096" s="237"/>
      <c r="AB1096" s="238"/>
      <c r="AC1096" s="223"/>
      <c r="AD1096" s="222"/>
    </row>
    <row r="1097" spans="1:30" x14ac:dyDescent="0.4">
      <c r="A1097" s="230">
        <v>221</v>
      </c>
      <c r="B1097" s="8">
        <v>221</v>
      </c>
      <c r="C1097" s="14">
        <f t="shared" ref="C1097:C1160" ca="1" si="642">INDIRECT("'Закуп'!A" &amp; B1097)</f>
        <v>0.24</v>
      </c>
      <c r="D1097" s="20">
        <f t="shared" ca="1" si="617"/>
        <v>0.28799999999999998</v>
      </c>
      <c r="E1097" s="224" t="str">
        <f ca="1">INDIRECT("'Закуп'!D" &amp; A1097)</f>
        <v>У</v>
      </c>
      <c r="F1097" s="231" t="str">
        <f t="shared" ref="F1097" ca="1" si="643">INDIRECT("'Закуп'!E" &amp; B1097)</f>
        <v>125х125х127</v>
      </c>
      <c r="G1097" s="172" t="str">
        <f t="shared" ca="1" si="637"/>
        <v/>
      </c>
      <c r="H1097" s="93" t="str">
        <f t="shared" ca="1" si="638"/>
        <v/>
      </c>
      <c r="I1097" s="21">
        <v>50</v>
      </c>
      <c r="J1097" s="68">
        <f t="shared" si="639"/>
        <v>0.98333333333333328</v>
      </c>
      <c r="K1097" s="70">
        <v>1.18</v>
      </c>
      <c r="L1097" s="72">
        <f t="shared" ca="1" si="635"/>
        <v>0.59466666666666668</v>
      </c>
      <c r="M1097" s="73">
        <f t="shared" ca="1" si="636"/>
        <v>29.733333333333334</v>
      </c>
      <c r="N1097" s="12" t="s">
        <v>40</v>
      </c>
      <c r="O1097" s="47" t="s">
        <v>45</v>
      </c>
      <c r="P1097" s="13">
        <f t="shared" si="624"/>
        <v>1.18</v>
      </c>
      <c r="Q1097" s="1" t="str">
        <f t="shared" si="626"/>
        <v>50-90 шт - 1,18 руб / шт с НДС</v>
      </c>
      <c r="R1097" s="235" t="str">
        <f ca="1">INDIRECT("'Закуп'!k" &amp; A1097)</f>
        <v>K220</v>
      </c>
      <c r="S1097" s="239">
        <f ca="1">INDIRECT("'Закуп'!o" &amp; A1097)</f>
        <v>1.98</v>
      </c>
      <c r="T1097" s="226" t="str">
        <f ca="1">INDIRECT("'Закуп'!p" &amp; A1097)</f>
        <v>1-1,9 литра</v>
      </c>
      <c r="U1097" s="228" t="str">
        <f ca="1">INDIRECT("'Закуп'!v" &amp; A1097)</f>
        <v/>
      </c>
      <c r="V1097" s="222" t="str">
        <f ca="1">INDIRECT("'Закуп'!w" &amp; A1097)</f>
        <v/>
      </c>
      <c r="W1097" s="229" t="str">
        <f ca="1">INDIRECT("'Закуп'!H" &amp; A1097)</f>
        <v>0201</v>
      </c>
      <c r="X1097" s="227" t="str">
        <f t="shared" ref="X1097" ca="1" si="644">INDIRECT("'Закуп'!g" &amp; A1097)</f>
        <v>Ч</v>
      </c>
      <c r="Y1097" s="229" t="str">
        <f ca="1">INDIRECT("'Закуп'!i" &amp; A1097)</f>
        <v>В</v>
      </c>
      <c r="Z1097" s="236" t="str">
        <f ca="1">INDIRECT("'Закуп'!x" &amp; A1097)</f>
        <v>100-199 мм</v>
      </c>
      <c r="AA1097" s="237" t="str">
        <f ca="1">INDIRECT("'Закуп'!y" &amp; A1097)</f>
        <v>100-199 мм</v>
      </c>
      <c r="AB1097" s="238" t="str">
        <f ca="1">INDIRECT("'Закуп'!z" &amp; A1097)</f>
        <v>100-199 мм</v>
      </c>
      <c r="AC1097" s="223" t="str">
        <f t="shared" ca="1" si="630"/>
        <v>125x125x127</v>
      </c>
      <c r="AD1097" s="222" t="str">
        <f t="shared" ca="1" si="616"/>
        <v>125x125x127 - 125*125*127 мм</v>
      </c>
    </row>
    <row r="1098" spans="1:30" x14ac:dyDescent="0.4">
      <c r="A1098" s="230"/>
      <c r="B1098" s="8">
        <v>221</v>
      </c>
      <c r="C1098" s="14">
        <f t="shared" ca="1" si="642"/>
        <v>0.24</v>
      </c>
      <c r="D1098" s="20">
        <f t="shared" ca="1" si="617"/>
        <v>0.28799999999999998</v>
      </c>
      <c r="E1098" s="225"/>
      <c r="F1098" s="231"/>
      <c r="G1098" s="172" t="str">
        <f t="shared" ca="1" si="637"/>
        <v/>
      </c>
      <c r="H1098" s="93" t="str">
        <f t="shared" ca="1" si="638"/>
        <v/>
      </c>
      <c r="I1098" s="21">
        <v>100</v>
      </c>
      <c r="J1098" s="68">
        <f t="shared" si="639"/>
        <v>0.89166666666666672</v>
      </c>
      <c r="K1098" s="70">
        <v>1.07</v>
      </c>
      <c r="L1098" s="72">
        <f t="shared" ca="1" si="635"/>
        <v>0.52133333333333343</v>
      </c>
      <c r="M1098" s="73">
        <f t="shared" ca="1" si="636"/>
        <v>52.13333333333334</v>
      </c>
      <c r="N1098" s="12" t="s">
        <v>41</v>
      </c>
      <c r="O1098" s="47" t="s">
        <v>45</v>
      </c>
      <c r="P1098" s="13">
        <f t="shared" si="624"/>
        <v>1.07</v>
      </c>
      <c r="Q1098" s="1" t="str">
        <f t="shared" si="626"/>
        <v>100-290 шт - 1,07 руб / шт с НДС</v>
      </c>
      <c r="R1098" s="235"/>
      <c r="S1098" s="239"/>
      <c r="T1098" s="226"/>
      <c r="U1098" s="228"/>
      <c r="V1098" s="222"/>
      <c r="W1098" s="229"/>
      <c r="X1098" s="227"/>
      <c r="Y1098" s="229"/>
      <c r="Z1098" s="236"/>
      <c r="AA1098" s="237"/>
      <c r="AB1098" s="238"/>
      <c r="AC1098" s="223"/>
      <c r="AD1098" s="222"/>
    </row>
    <row r="1099" spans="1:30" x14ac:dyDescent="0.4">
      <c r="A1099" s="230"/>
      <c r="B1099" s="8">
        <v>221</v>
      </c>
      <c r="C1099" s="14">
        <f t="shared" ca="1" si="642"/>
        <v>0.24</v>
      </c>
      <c r="D1099" s="20">
        <f t="shared" ca="1" si="617"/>
        <v>0.28799999999999998</v>
      </c>
      <c r="E1099" s="225"/>
      <c r="F1099" s="231"/>
      <c r="G1099" s="172" t="str">
        <f t="shared" ca="1" si="637"/>
        <v/>
      </c>
      <c r="H1099" s="93" t="str">
        <f t="shared" ca="1" si="638"/>
        <v/>
      </c>
      <c r="I1099" s="21">
        <v>300</v>
      </c>
      <c r="J1099" s="68">
        <f t="shared" si="639"/>
        <v>0.8</v>
      </c>
      <c r="K1099" s="70">
        <v>0.96</v>
      </c>
      <c r="L1099" s="72">
        <f t="shared" ca="1" si="635"/>
        <v>0.44800000000000006</v>
      </c>
      <c r="M1099" s="73">
        <f t="shared" ca="1" si="636"/>
        <v>134.4</v>
      </c>
      <c r="N1099" s="12" t="s">
        <v>42</v>
      </c>
      <c r="O1099" s="47" t="s">
        <v>45</v>
      </c>
      <c r="P1099" s="13">
        <f t="shared" si="624"/>
        <v>0.96</v>
      </c>
      <c r="Q1099" s="1" t="str">
        <f t="shared" si="626"/>
        <v>300-490 шт - 0,96 руб / шт с НДС</v>
      </c>
      <c r="R1099" s="235"/>
      <c r="S1099" s="239"/>
      <c r="T1099" s="226"/>
      <c r="U1099" s="228"/>
      <c r="V1099" s="222"/>
      <c r="W1099" s="229"/>
      <c r="X1099" s="227"/>
      <c r="Y1099" s="229"/>
      <c r="Z1099" s="236"/>
      <c r="AA1099" s="237"/>
      <c r="AB1099" s="238"/>
      <c r="AC1099" s="223"/>
      <c r="AD1099" s="222"/>
    </row>
    <row r="1100" spans="1:30" x14ac:dyDescent="0.4">
      <c r="A1100" s="230"/>
      <c r="B1100" s="8">
        <v>221</v>
      </c>
      <c r="C1100" s="14">
        <f t="shared" ca="1" si="642"/>
        <v>0.24</v>
      </c>
      <c r="D1100" s="20">
        <f t="shared" ca="1" si="617"/>
        <v>0.28799999999999998</v>
      </c>
      <c r="E1100" s="225"/>
      <c r="F1100" s="231"/>
      <c r="G1100" s="172" t="str">
        <f t="shared" ca="1" si="637"/>
        <v/>
      </c>
      <c r="H1100" s="93" t="str">
        <f t="shared" ca="1" si="638"/>
        <v/>
      </c>
      <c r="I1100" s="21">
        <v>500</v>
      </c>
      <c r="J1100" s="68">
        <f t="shared" si="639"/>
        <v>0.71666666666666667</v>
      </c>
      <c r="K1100" s="70">
        <v>0.86</v>
      </c>
      <c r="L1100" s="72">
        <f t="shared" ca="1" si="635"/>
        <v>0.38133333333333336</v>
      </c>
      <c r="M1100" s="73">
        <f t="shared" ca="1" si="636"/>
        <v>190.66666666666669</v>
      </c>
      <c r="N1100" s="12" t="s">
        <v>43</v>
      </c>
      <c r="O1100" s="47" t="s">
        <v>45</v>
      </c>
      <c r="P1100" s="13">
        <f t="shared" si="624"/>
        <v>0.86</v>
      </c>
      <c r="Q1100" s="1" t="str">
        <f t="shared" si="626"/>
        <v>500-990 шт - 0,86 руб / шт с НДС</v>
      </c>
      <c r="R1100" s="235"/>
      <c r="S1100" s="239"/>
      <c r="T1100" s="226"/>
      <c r="U1100" s="228"/>
      <c r="V1100" s="222"/>
      <c r="W1100" s="229"/>
      <c r="X1100" s="227"/>
      <c r="Y1100" s="229"/>
      <c r="Z1100" s="236"/>
      <c r="AA1100" s="237"/>
      <c r="AB1100" s="238"/>
      <c r="AC1100" s="223"/>
      <c r="AD1100" s="222"/>
    </row>
    <row r="1101" spans="1:30" x14ac:dyDescent="0.4">
      <c r="A1101" s="230"/>
      <c r="B1101" s="8">
        <v>221</v>
      </c>
      <c r="C1101" s="14">
        <f t="shared" ca="1" si="642"/>
        <v>0.24</v>
      </c>
      <c r="D1101" s="20">
        <f t="shared" ca="1" si="617"/>
        <v>0.28799999999999998</v>
      </c>
      <c r="E1101" s="225"/>
      <c r="F1101" s="231"/>
      <c r="G1101" s="172" t="str">
        <f t="shared" ca="1" si="637"/>
        <v/>
      </c>
      <c r="H1101" s="93" t="str">
        <f t="shared" ca="1" si="638"/>
        <v/>
      </c>
      <c r="I1101" s="21">
        <v>1000</v>
      </c>
      <c r="J1101" s="68">
        <f t="shared" si="639"/>
        <v>0.625</v>
      </c>
      <c r="K1101" s="70">
        <v>0.75</v>
      </c>
      <c r="L1101" s="72">
        <f t="shared" ca="1" si="635"/>
        <v>0.308</v>
      </c>
      <c r="M1101" s="73">
        <f t="shared" ca="1" si="636"/>
        <v>308</v>
      </c>
      <c r="N1101" s="12" t="s">
        <v>44</v>
      </c>
      <c r="O1101" s="47" t="s">
        <v>45</v>
      </c>
      <c r="P1101" s="13">
        <f t="shared" si="624"/>
        <v>0.75</v>
      </c>
      <c r="Q1101" s="1" t="str">
        <f t="shared" si="626"/>
        <v>1000 + шт - 0,75 руб / шт с НДС</v>
      </c>
      <c r="R1101" s="235"/>
      <c r="S1101" s="239"/>
      <c r="T1101" s="226"/>
      <c r="U1101" s="228"/>
      <c r="V1101" s="222"/>
      <c r="W1101" s="229"/>
      <c r="X1101" s="227"/>
      <c r="Y1101" s="229"/>
      <c r="Z1101" s="236"/>
      <c r="AA1101" s="237"/>
      <c r="AB1101" s="238"/>
      <c r="AC1101" s="223"/>
      <c r="AD1101" s="222"/>
    </row>
    <row r="1102" spans="1:30" x14ac:dyDescent="0.4">
      <c r="A1102" s="230">
        <v>222</v>
      </c>
      <c r="B1102" s="8">
        <v>222</v>
      </c>
      <c r="C1102" s="14">
        <f t="shared" ca="1" si="642"/>
        <v>0.83</v>
      </c>
      <c r="D1102" s="20">
        <f t="shared" ca="1" si="617"/>
        <v>0.99599999999999989</v>
      </c>
      <c r="E1102" s="225" t="str">
        <f ca="1">INDIRECT("'Закуп'!D" &amp; A1102)</f>
        <v>К</v>
      </c>
      <c r="F1102" s="231" t="str">
        <f t="shared" ref="F1102" ca="1" si="645">INDIRECT("'Закуп'!E" &amp; B1102)</f>
        <v>550х260х25</v>
      </c>
      <c r="G1102" s="172" t="str">
        <f t="shared" ca="1" si="637"/>
        <v/>
      </c>
      <c r="H1102" s="93" t="str">
        <f t="shared" ca="1" si="638"/>
        <v/>
      </c>
      <c r="I1102" s="21">
        <v>50</v>
      </c>
      <c r="J1102" s="68">
        <f t="shared" si="639"/>
        <v>1.95</v>
      </c>
      <c r="K1102" s="70">
        <v>2.34</v>
      </c>
      <c r="L1102" s="72">
        <f t="shared" ca="1" si="635"/>
        <v>0.89600000000000013</v>
      </c>
      <c r="M1102" s="73">
        <f t="shared" ca="1" si="636"/>
        <v>44.800000000000004</v>
      </c>
      <c r="N1102" s="12" t="s">
        <v>40</v>
      </c>
      <c r="O1102" s="47" t="s">
        <v>45</v>
      </c>
      <c r="P1102" s="13">
        <f t="shared" si="624"/>
        <v>2.34</v>
      </c>
      <c r="Q1102" s="1" t="str">
        <f t="shared" si="626"/>
        <v>50-90 шт - 2,34 руб / шт с НДС</v>
      </c>
      <c r="R1102" s="235" t="str">
        <f ca="1">INDIRECT("'Закуп'!k" &amp; A1102)</f>
        <v>K1004</v>
      </c>
      <c r="S1102" s="239">
        <f ca="1">INDIRECT("'Закуп'!o" &amp; A1102)</f>
        <v>3.58</v>
      </c>
      <c r="T1102" s="226" t="str">
        <f ca="1">INDIRECT("'Закуп'!p" &amp; A1102)</f>
        <v>3-3,9 литра</v>
      </c>
      <c r="U1102" s="228" t="str">
        <f ca="1">INDIRECT("'Закуп'!v" &amp; A1102)</f>
        <v>Длинные</v>
      </c>
      <c r="V1102" s="222" t="str">
        <f ca="1">INDIRECT("'Закуп'!w" &amp; A1102)</f>
        <v>Плоские</v>
      </c>
      <c r="W1102" s="229" t="str">
        <f ca="1">INDIRECT("'Закуп'!H" &amp; A1102)</f>
        <v>0426</v>
      </c>
      <c r="X1102" s="227" t="str">
        <f t="shared" ref="X1102" ca="1" si="646">INDIRECT("'Закуп'!g" &amp; A1102)</f>
        <v>С</v>
      </c>
      <c r="Y1102" s="229" t="str">
        <f ca="1">INDIRECT("'Закуп'!i" &amp; A1102)</f>
        <v>В</v>
      </c>
      <c r="Z1102" s="236" t="str">
        <f ca="1">INDIRECT("'Закуп'!x" &amp; A1102)</f>
        <v>500-599 мм</v>
      </c>
      <c r="AA1102" s="237" t="str">
        <f ca="1">INDIRECT("'Закуп'!y" &amp; A1102)</f>
        <v>200-299 мм</v>
      </c>
      <c r="AB1102" s="238" t="str">
        <f ca="1">INDIRECT("'Закуп'!z" &amp; A1102)</f>
        <v>10-99 мм</v>
      </c>
      <c r="AC1102" s="223" t="str">
        <f t="shared" ca="1" si="630"/>
        <v>550x260x25</v>
      </c>
      <c r="AD1102" s="222" t="str">
        <f t="shared" ca="1" si="616"/>
        <v>550x260x25 - 550*260*25 мм</v>
      </c>
    </row>
    <row r="1103" spans="1:30" x14ac:dyDescent="0.4">
      <c r="A1103" s="230"/>
      <c r="B1103" s="8">
        <v>222</v>
      </c>
      <c r="C1103" s="14">
        <f t="shared" ca="1" si="642"/>
        <v>0.83</v>
      </c>
      <c r="D1103" s="20">
        <f t="shared" ca="1" si="617"/>
        <v>0.99599999999999989</v>
      </c>
      <c r="E1103" s="225"/>
      <c r="F1103" s="231"/>
      <c r="G1103" s="172" t="str">
        <f t="shared" ca="1" si="637"/>
        <v/>
      </c>
      <c r="H1103" s="93" t="str">
        <f t="shared" ca="1" si="638"/>
        <v/>
      </c>
      <c r="I1103" s="21">
        <v>100</v>
      </c>
      <c r="J1103" s="68">
        <f t="shared" si="639"/>
        <v>1.7749999999999999</v>
      </c>
      <c r="K1103" s="70">
        <v>2.13</v>
      </c>
      <c r="L1103" s="72">
        <f t="shared" ca="1" si="635"/>
        <v>0.75600000000000001</v>
      </c>
      <c r="M1103" s="73">
        <f t="shared" ca="1" si="636"/>
        <v>75.599999999999994</v>
      </c>
      <c r="N1103" s="12" t="s">
        <v>41</v>
      </c>
      <c r="O1103" s="47" t="s">
        <v>45</v>
      </c>
      <c r="P1103" s="13">
        <f t="shared" si="624"/>
        <v>2.13</v>
      </c>
      <c r="Q1103" s="1" t="str">
        <f t="shared" si="626"/>
        <v>100-290 шт - 2,13 руб / шт с НДС</v>
      </c>
      <c r="R1103" s="235"/>
      <c r="S1103" s="239"/>
      <c r="T1103" s="226"/>
      <c r="U1103" s="228"/>
      <c r="V1103" s="222"/>
      <c r="W1103" s="229"/>
      <c r="X1103" s="227"/>
      <c r="Y1103" s="229"/>
      <c r="Z1103" s="236"/>
      <c r="AA1103" s="237"/>
      <c r="AB1103" s="238"/>
      <c r="AC1103" s="223"/>
      <c r="AD1103" s="222"/>
    </row>
    <row r="1104" spans="1:30" x14ac:dyDescent="0.4">
      <c r="A1104" s="230"/>
      <c r="B1104" s="8">
        <v>222</v>
      </c>
      <c r="C1104" s="14">
        <f t="shared" ca="1" si="642"/>
        <v>0.83</v>
      </c>
      <c r="D1104" s="20">
        <f t="shared" ca="1" si="617"/>
        <v>0.99599999999999989</v>
      </c>
      <c r="E1104" s="225"/>
      <c r="F1104" s="231"/>
      <c r="G1104" s="172" t="str">
        <f t="shared" ca="1" si="637"/>
        <v/>
      </c>
      <c r="H1104" s="93" t="str">
        <f t="shared" ca="1" si="638"/>
        <v/>
      </c>
      <c r="I1104" s="21">
        <v>300</v>
      </c>
      <c r="J1104" s="68">
        <f t="shared" si="639"/>
        <v>1.3833333333333333</v>
      </c>
      <c r="K1104" s="70">
        <v>1.66</v>
      </c>
      <c r="L1104" s="72">
        <f t="shared" ca="1" si="635"/>
        <v>0.44266666666666665</v>
      </c>
      <c r="M1104" s="73">
        <f t="shared" ca="1" si="636"/>
        <v>132.79999999999998</v>
      </c>
      <c r="N1104" s="12" t="s">
        <v>42</v>
      </c>
      <c r="O1104" s="47" t="s">
        <v>45</v>
      </c>
      <c r="P1104" s="13">
        <f t="shared" si="624"/>
        <v>1.66</v>
      </c>
      <c r="Q1104" s="1" t="str">
        <f t="shared" si="626"/>
        <v>300-490 шт - 1,66 руб / шт с НДС</v>
      </c>
      <c r="R1104" s="235"/>
      <c r="S1104" s="239"/>
      <c r="T1104" s="226"/>
      <c r="U1104" s="228"/>
      <c r="V1104" s="222"/>
      <c r="W1104" s="229"/>
      <c r="X1104" s="227"/>
      <c r="Y1104" s="229"/>
      <c r="Z1104" s="236"/>
      <c r="AA1104" s="237"/>
      <c r="AB1104" s="238"/>
      <c r="AC1104" s="223"/>
      <c r="AD1104" s="222"/>
    </row>
    <row r="1105" spans="1:30" x14ac:dyDescent="0.4">
      <c r="A1105" s="230"/>
      <c r="B1105" s="8">
        <v>222</v>
      </c>
      <c r="C1105" s="14">
        <f t="shared" ca="1" si="642"/>
        <v>0.83</v>
      </c>
      <c r="D1105" s="20">
        <f t="shared" ca="1" si="617"/>
        <v>0.99599999999999989</v>
      </c>
      <c r="E1105" s="225"/>
      <c r="F1105" s="231"/>
      <c r="G1105" s="172" t="str">
        <f t="shared" ca="1" si="637"/>
        <v/>
      </c>
      <c r="H1105" s="93" t="str">
        <f t="shared" ca="1" si="638"/>
        <v/>
      </c>
      <c r="I1105" s="21">
        <v>500</v>
      </c>
      <c r="J1105" s="68">
        <f t="shared" si="639"/>
        <v>1.1916666666666667</v>
      </c>
      <c r="K1105" s="70">
        <v>1.43</v>
      </c>
      <c r="L1105" s="72">
        <f t="shared" ca="1" si="635"/>
        <v>0.28933333333333333</v>
      </c>
      <c r="M1105" s="73">
        <f t="shared" ca="1" si="636"/>
        <v>144.66666666666666</v>
      </c>
      <c r="N1105" s="12" t="s">
        <v>43</v>
      </c>
      <c r="O1105" s="47" t="s">
        <v>45</v>
      </c>
      <c r="P1105" s="13">
        <f t="shared" si="624"/>
        <v>1.43</v>
      </c>
      <c r="Q1105" s="1" t="str">
        <f t="shared" si="626"/>
        <v>500-990 шт - 1,43 руб / шт с НДС</v>
      </c>
      <c r="R1105" s="235"/>
      <c r="S1105" s="239"/>
      <c r="T1105" s="226"/>
      <c r="U1105" s="228"/>
      <c r="V1105" s="222"/>
      <c r="W1105" s="229"/>
      <c r="X1105" s="227"/>
      <c r="Y1105" s="229"/>
      <c r="Z1105" s="236"/>
      <c r="AA1105" s="237"/>
      <c r="AB1105" s="238"/>
      <c r="AC1105" s="223"/>
      <c r="AD1105" s="222"/>
    </row>
    <row r="1106" spans="1:30" x14ac:dyDescent="0.4">
      <c r="A1106" s="230"/>
      <c r="B1106" s="8">
        <v>222</v>
      </c>
      <c r="C1106" s="14">
        <f t="shared" ca="1" si="642"/>
        <v>0.83</v>
      </c>
      <c r="D1106" s="20">
        <f t="shared" ca="1" si="617"/>
        <v>0.99599999999999989</v>
      </c>
      <c r="E1106" s="225"/>
      <c r="F1106" s="231"/>
      <c r="G1106" s="172" t="str">
        <f t="shared" ca="1" si="637"/>
        <v/>
      </c>
      <c r="H1106" s="93" t="str">
        <f t="shared" ca="1" si="638"/>
        <v/>
      </c>
      <c r="I1106" s="21">
        <v>1000</v>
      </c>
      <c r="J1106" s="68">
        <f t="shared" si="639"/>
        <v>1.1166666666666667</v>
      </c>
      <c r="K1106" s="70">
        <v>1.34</v>
      </c>
      <c r="L1106" s="72">
        <f t="shared" ca="1" si="635"/>
        <v>0.22933333333333339</v>
      </c>
      <c r="M1106" s="73">
        <f t="shared" ca="1" si="636"/>
        <v>229.3333333333334</v>
      </c>
      <c r="N1106" s="12" t="s">
        <v>44</v>
      </c>
      <c r="O1106" s="47" t="s">
        <v>45</v>
      </c>
      <c r="P1106" s="13">
        <f t="shared" si="624"/>
        <v>1.34</v>
      </c>
      <c r="Q1106" s="1" t="str">
        <f t="shared" si="626"/>
        <v>1000 + шт - 1,34 руб / шт с НДС</v>
      </c>
      <c r="R1106" s="235"/>
      <c r="S1106" s="239"/>
      <c r="T1106" s="226"/>
      <c r="U1106" s="228"/>
      <c r="V1106" s="222"/>
      <c r="W1106" s="229"/>
      <c r="X1106" s="227"/>
      <c r="Y1106" s="229"/>
      <c r="Z1106" s="236"/>
      <c r="AA1106" s="237"/>
      <c r="AB1106" s="238"/>
      <c r="AC1106" s="223"/>
      <c r="AD1106" s="222"/>
    </row>
    <row r="1107" spans="1:30" x14ac:dyDescent="0.4">
      <c r="A1107" s="230">
        <v>223</v>
      </c>
      <c r="B1107" s="8">
        <v>223</v>
      </c>
      <c r="C1107" s="14">
        <f t="shared" ca="1" si="642"/>
        <v>0.45</v>
      </c>
      <c r="D1107" s="20">
        <f t="shared" ca="1" si="617"/>
        <v>0.54</v>
      </c>
      <c r="E1107" s="224" t="str">
        <f ca="1">INDIRECT("'Закуп'!D" &amp; A1107)</f>
        <v>У</v>
      </c>
      <c r="F1107" s="231" t="str">
        <f t="shared" ref="F1107" ca="1" si="647">INDIRECT("'Закуп'!E" &amp; B1107)</f>
        <v>310х220х10</v>
      </c>
      <c r="G1107" s="172" t="str">
        <f t="shared" ca="1" si="637"/>
        <v/>
      </c>
      <c r="H1107" s="93" t="str">
        <f t="shared" ca="1" si="638"/>
        <v/>
      </c>
      <c r="I1107" s="21">
        <v>50</v>
      </c>
      <c r="J1107" s="68">
        <f t="shared" si="639"/>
        <v>1.1083333333333334</v>
      </c>
      <c r="K1107" s="70">
        <v>1.33</v>
      </c>
      <c r="L1107" s="72">
        <f t="shared" ca="1" si="635"/>
        <v>0.52666666666666673</v>
      </c>
      <c r="M1107" s="73">
        <f t="shared" ca="1" si="636"/>
        <v>26.333333333333336</v>
      </c>
      <c r="N1107" s="12" t="s">
        <v>40</v>
      </c>
      <c r="O1107" s="47" t="s">
        <v>45</v>
      </c>
      <c r="P1107" s="13">
        <f t="shared" si="624"/>
        <v>1.33</v>
      </c>
      <c r="Q1107" s="1" t="str">
        <f t="shared" si="626"/>
        <v>50-90 шт - 1,33 руб / шт с НДС</v>
      </c>
      <c r="R1107" s="235" t="str">
        <f ca="1">INDIRECT("'Закуп'!k" &amp; A1107)</f>
        <v>K221</v>
      </c>
      <c r="S1107" s="239">
        <f ca="1">INDIRECT("'Закуп'!o" &amp; A1107)</f>
        <v>0.68</v>
      </c>
      <c r="T1107" s="226" t="str">
        <f ca="1">INDIRECT("'Закуп'!p" &amp; A1107)</f>
        <v>0,1-0,9 литров</v>
      </c>
      <c r="U1107" s="228" t="str">
        <f ca="1">INDIRECT("'Закуп'!v" &amp; A1107)</f>
        <v/>
      </c>
      <c r="V1107" s="222" t="str">
        <f ca="1">INDIRECT("'Закуп'!w" &amp; A1107)</f>
        <v>Плоские</v>
      </c>
      <c r="W1107" s="229" t="str">
        <f ca="1">INDIRECT("'Закуп'!H" &amp; A1107)</f>
        <v>0409</v>
      </c>
      <c r="X1107" s="227" t="str">
        <f t="shared" ref="X1107" ca="1" si="648">INDIRECT("'Закуп'!g" &amp; A1107)</f>
        <v>С</v>
      </c>
      <c r="Y1107" s="229" t="str">
        <f ca="1">INDIRECT("'Закуп'!i" &amp; A1107)</f>
        <v>Е</v>
      </c>
      <c r="Z1107" s="236" t="str">
        <f ca="1">INDIRECT("'Закуп'!x" &amp; A1107)</f>
        <v>300-399 мм</v>
      </c>
      <c r="AA1107" s="237" t="str">
        <f ca="1">INDIRECT("'Закуп'!y" &amp; A1107)</f>
        <v>200-299 мм</v>
      </c>
      <c r="AB1107" s="238" t="str">
        <f ca="1">INDIRECT("'Закуп'!z" &amp; A1107)</f>
        <v>10-99 мм</v>
      </c>
      <c r="AC1107" s="223" t="str">
        <f t="shared" ca="1" si="630"/>
        <v>310x220x10</v>
      </c>
      <c r="AD1107" s="222" t="str">
        <f t="shared" ca="1" si="616"/>
        <v>310x220x10 - 310*220*10 мм</v>
      </c>
    </row>
    <row r="1108" spans="1:30" x14ac:dyDescent="0.4">
      <c r="A1108" s="230"/>
      <c r="B1108" s="8">
        <v>223</v>
      </c>
      <c r="C1108" s="14">
        <f t="shared" ca="1" si="642"/>
        <v>0.45</v>
      </c>
      <c r="D1108" s="20">
        <f t="shared" ca="1" si="617"/>
        <v>0.54</v>
      </c>
      <c r="E1108" s="225"/>
      <c r="F1108" s="231"/>
      <c r="G1108" s="172" t="str">
        <f t="shared" ca="1" si="637"/>
        <v/>
      </c>
      <c r="H1108" s="93" t="str">
        <f t="shared" ca="1" si="638"/>
        <v/>
      </c>
      <c r="I1108" s="21">
        <v>100</v>
      </c>
      <c r="J1108" s="68">
        <f t="shared" si="639"/>
        <v>0.96666666666666667</v>
      </c>
      <c r="K1108" s="70">
        <v>1.1599999999999999</v>
      </c>
      <c r="L1108" s="72">
        <f t="shared" ca="1" si="635"/>
        <v>0.41333333333333327</v>
      </c>
      <c r="M1108" s="73">
        <f t="shared" ca="1" si="636"/>
        <v>41.333333333333329</v>
      </c>
      <c r="N1108" s="12" t="s">
        <v>41</v>
      </c>
      <c r="O1108" s="47" t="s">
        <v>45</v>
      </c>
      <c r="P1108" s="13">
        <f t="shared" si="624"/>
        <v>1.1599999999999999</v>
      </c>
      <c r="Q1108" s="1" t="str">
        <f t="shared" si="626"/>
        <v>100-290 шт - 1,16 руб / шт с НДС</v>
      </c>
      <c r="R1108" s="235"/>
      <c r="S1108" s="239"/>
      <c r="T1108" s="226"/>
      <c r="U1108" s="228"/>
      <c r="V1108" s="222"/>
      <c r="W1108" s="229"/>
      <c r="X1108" s="227"/>
      <c r="Y1108" s="229"/>
      <c r="Z1108" s="236"/>
      <c r="AA1108" s="237"/>
      <c r="AB1108" s="238"/>
      <c r="AC1108" s="223"/>
      <c r="AD1108" s="222"/>
    </row>
    <row r="1109" spans="1:30" x14ac:dyDescent="0.4">
      <c r="A1109" s="230"/>
      <c r="B1109" s="8">
        <v>223</v>
      </c>
      <c r="C1109" s="14">
        <f t="shared" ca="1" si="642"/>
        <v>0.45</v>
      </c>
      <c r="D1109" s="20">
        <f t="shared" ca="1" si="617"/>
        <v>0.54</v>
      </c>
      <c r="E1109" s="225"/>
      <c r="F1109" s="231"/>
      <c r="G1109" s="172" t="str">
        <f t="shared" ca="1" si="637"/>
        <v/>
      </c>
      <c r="H1109" s="93" t="str">
        <f t="shared" ca="1" si="638"/>
        <v/>
      </c>
      <c r="I1109" s="21">
        <v>300</v>
      </c>
      <c r="J1109" s="68">
        <f t="shared" si="639"/>
        <v>0.81666666666666665</v>
      </c>
      <c r="K1109" s="70">
        <v>0.98</v>
      </c>
      <c r="L1109" s="72">
        <f t="shared" ca="1" si="635"/>
        <v>0.29333333333333333</v>
      </c>
      <c r="M1109" s="73">
        <f t="shared" ca="1" si="636"/>
        <v>88</v>
      </c>
      <c r="N1109" s="12" t="s">
        <v>42</v>
      </c>
      <c r="O1109" s="47" t="s">
        <v>45</v>
      </c>
      <c r="P1109" s="13">
        <f t="shared" si="624"/>
        <v>0.98</v>
      </c>
      <c r="Q1109" s="1" t="str">
        <f t="shared" si="626"/>
        <v>300-490 шт - 0,98 руб / шт с НДС</v>
      </c>
      <c r="R1109" s="235"/>
      <c r="S1109" s="239"/>
      <c r="T1109" s="226"/>
      <c r="U1109" s="228"/>
      <c r="V1109" s="222"/>
      <c r="W1109" s="229"/>
      <c r="X1109" s="227"/>
      <c r="Y1109" s="229"/>
      <c r="Z1109" s="236"/>
      <c r="AA1109" s="237"/>
      <c r="AB1109" s="238"/>
      <c r="AC1109" s="223"/>
      <c r="AD1109" s="222"/>
    </row>
    <row r="1110" spans="1:30" x14ac:dyDescent="0.4">
      <c r="A1110" s="230"/>
      <c r="B1110" s="8">
        <v>223</v>
      </c>
      <c r="C1110" s="14">
        <f t="shared" ca="1" si="642"/>
        <v>0.45</v>
      </c>
      <c r="D1110" s="20">
        <f t="shared" ca="1" si="617"/>
        <v>0.54</v>
      </c>
      <c r="E1110" s="225"/>
      <c r="F1110" s="231"/>
      <c r="G1110" s="172" t="str">
        <f t="shared" ca="1" si="637"/>
        <v/>
      </c>
      <c r="H1110" s="93" t="str">
        <f t="shared" ca="1" si="638"/>
        <v/>
      </c>
      <c r="I1110" s="21">
        <v>500</v>
      </c>
      <c r="J1110" s="68">
        <f t="shared" si="639"/>
        <v>0.76666666666666672</v>
      </c>
      <c r="K1110" s="70">
        <v>0.92</v>
      </c>
      <c r="L1110" s="72">
        <f t="shared" ca="1" si="635"/>
        <v>0.25333333333333335</v>
      </c>
      <c r="M1110" s="73">
        <f t="shared" ca="1" si="636"/>
        <v>126.66666666666667</v>
      </c>
      <c r="N1110" s="12" t="s">
        <v>43</v>
      </c>
      <c r="O1110" s="47" t="s">
        <v>45</v>
      </c>
      <c r="P1110" s="13">
        <f t="shared" si="624"/>
        <v>0.92</v>
      </c>
      <c r="Q1110" s="1" t="str">
        <f t="shared" si="626"/>
        <v>500-990 шт - 0,92 руб / шт с НДС</v>
      </c>
      <c r="R1110" s="235"/>
      <c r="S1110" s="239"/>
      <c r="T1110" s="226"/>
      <c r="U1110" s="228"/>
      <c r="V1110" s="222"/>
      <c r="W1110" s="229"/>
      <c r="X1110" s="227"/>
      <c r="Y1110" s="229"/>
      <c r="Z1110" s="236"/>
      <c r="AA1110" s="237"/>
      <c r="AB1110" s="238"/>
      <c r="AC1110" s="223"/>
      <c r="AD1110" s="222"/>
    </row>
    <row r="1111" spans="1:30" x14ac:dyDescent="0.4">
      <c r="A1111" s="230"/>
      <c r="B1111" s="8">
        <v>223</v>
      </c>
      <c r="C1111" s="14">
        <f t="shared" ca="1" si="642"/>
        <v>0.45</v>
      </c>
      <c r="D1111" s="20">
        <f t="shared" ca="1" si="617"/>
        <v>0.54</v>
      </c>
      <c r="E1111" s="225"/>
      <c r="F1111" s="231"/>
      <c r="G1111" s="172" t="str">
        <f t="shared" ca="1" si="637"/>
        <v/>
      </c>
      <c r="H1111" s="93" t="str">
        <f t="shared" ca="1" si="638"/>
        <v/>
      </c>
      <c r="I1111" s="21">
        <v>1000</v>
      </c>
      <c r="J1111" s="68">
        <f t="shared" si="639"/>
        <v>0.71666666666666667</v>
      </c>
      <c r="K1111" s="70">
        <v>0.86</v>
      </c>
      <c r="L1111" s="72">
        <f t="shared" ca="1" si="635"/>
        <v>0.21333333333333332</v>
      </c>
      <c r="M1111" s="73">
        <f t="shared" ca="1" si="636"/>
        <v>213.33333333333331</v>
      </c>
      <c r="N1111" s="12" t="s">
        <v>44</v>
      </c>
      <c r="O1111" s="47" t="s">
        <v>45</v>
      </c>
      <c r="P1111" s="13">
        <f t="shared" si="624"/>
        <v>0.86</v>
      </c>
      <c r="Q1111" s="1" t="str">
        <f t="shared" si="626"/>
        <v>1000 + шт - 0,86 руб / шт с НДС</v>
      </c>
      <c r="R1111" s="235"/>
      <c r="S1111" s="239"/>
      <c r="T1111" s="226"/>
      <c r="U1111" s="228"/>
      <c r="V1111" s="222"/>
      <c r="W1111" s="229"/>
      <c r="X1111" s="227"/>
      <c r="Y1111" s="229"/>
      <c r="Z1111" s="236"/>
      <c r="AA1111" s="237"/>
      <c r="AB1111" s="238"/>
      <c r="AC1111" s="223"/>
      <c r="AD1111" s="222"/>
    </row>
    <row r="1112" spans="1:30" x14ac:dyDescent="0.4">
      <c r="A1112" s="230">
        <v>224</v>
      </c>
      <c r="B1112" s="8">
        <v>224</v>
      </c>
      <c r="C1112" s="14">
        <f t="shared" ca="1" si="642"/>
        <v>10.67</v>
      </c>
      <c r="D1112" s="20">
        <f t="shared" ca="1" si="617"/>
        <v>12.804</v>
      </c>
      <c r="E1112" s="224" t="str">
        <f ca="1">INDIRECT("'Закуп'!D" &amp; A1112)</f>
        <v>У</v>
      </c>
      <c r="F1112" s="231" t="str">
        <f t="shared" ref="F1112" ca="1" si="649">INDIRECT("'Закуп'!E" &amp; B1112)</f>
        <v>1650х340х340</v>
      </c>
      <c r="G1112" s="172" t="str">
        <f t="shared" ca="1" si="637"/>
        <v/>
      </c>
      <c r="H1112" s="93" t="str">
        <f t="shared" ca="1" si="638"/>
        <v/>
      </c>
      <c r="I1112" s="21">
        <v>50</v>
      </c>
      <c r="J1112" s="68">
        <f t="shared" si="639"/>
        <v>11.666666666666668</v>
      </c>
      <c r="K1112" s="70">
        <v>14</v>
      </c>
      <c r="L1112" s="72">
        <f t="shared" ca="1" si="635"/>
        <v>0.79733333333333434</v>
      </c>
      <c r="M1112" s="73">
        <f t="shared" ca="1" si="636"/>
        <v>39.866666666666717</v>
      </c>
      <c r="N1112" s="12" t="s">
        <v>40</v>
      </c>
      <c r="O1112" s="47" t="s">
        <v>45</v>
      </c>
      <c r="P1112" s="13">
        <f t="shared" si="624"/>
        <v>14</v>
      </c>
      <c r="Q1112" s="1" t="str">
        <f t="shared" si="626"/>
        <v>50-90 шт - 14 руб / шт с НДС</v>
      </c>
      <c r="R1112" s="235" t="str">
        <f ca="1">INDIRECT("'Закуп'!k" &amp; A1112)</f>
        <v>K222</v>
      </c>
      <c r="S1112" s="239">
        <f ca="1">INDIRECT("'Закуп'!o" &amp; A1112)</f>
        <v>190.74</v>
      </c>
      <c r="T1112" s="226" t="str">
        <f ca="1">INDIRECT("'Закуп'!p" &amp; A1112)</f>
        <v>100-200 литров</v>
      </c>
      <c r="U1112" s="228" t="str">
        <f ca="1">INDIRECT("'Закуп'!v" &amp; A1112)</f>
        <v>Длинные</v>
      </c>
      <c r="V1112" s="222" t="str">
        <f ca="1">INDIRECT("'Закуп'!w" &amp; A1112)</f>
        <v/>
      </c>
      <c r="W1112" s="229" t="str">
        <f ca="1">INDIRECT("'Закуп'!H" &amp; A1112)</f>
        <v>0470</v>
      </c>
      <c r="X1112" s="227" t="str">
        <f t="shared" ref="X1112" ca="1" si="650">INDIRECT("'Закуп'!g" &amp; A1112)</f>
        <v>С</v>
      </c>
      <c r="Y1112" s="229" t="str">
        <f ca="1">INDIRECT("'Закуп'!i" &amp; A1112)</f>
        <v>ВС</v>
      </c>
      <c r="Z1112" s="236" t="str">
        <f ca="1">INDIRECT("'Закуп'!x" &amp; A1112)</f>
        <v>1000+ мм</v>
      </c>
      <c r="AA1112" s="237" t="str">
        <f ca="1">INDIRECT("'Закуп'!y" &amp; A1112)</f>
        <v>300-399 мм</v>
      </c>
      <c r="AB1112" s="238" t="str">
        <f ca="1">INDIRECT("'Закуп'!z" &amp; A1112)</f>
        <v>300-399 мм</v>
      </c>
      <c r="AC1112" s="223" t="str">
        <f t="shared" ca="1" si="630"/>
        <v>1650x340x340</v>
      </c>
      <c r="AD1112" s="222" t="str">
        <f t="shared" ca="1" si="616"/>
        <v>1650x340x340 - 1650*340*340 мм</v>
      </c>
    </row>
    <row r="1113" spans="1:30" x14ac:dyDescent="0.4">
      <c r="A1113" s="230"/>
      <c r="B1113" s="8">
        <v>224</v>
      </c>
      <c r="C1113" s="14">
        <f t="shared" ca="1" si="642"/>
        <v>10.67</v>
      </c>
      <c r="D1113" s="20">
        <f t="shared" ca="1" si="617"/>
        <v>12.804</v>
      </c>
      <c r="E1113" s="225"/>
      <c r="F1113" s="231"/>
      <c r="G1113" s="172" t="str">
        <f t="shared" ca="1" si="637"/>
        <v/>
      </c>
      <c r="H1113" s="93" t="str">
        <f t="shared" ca="1" si="638"/>
        <v/>
      </c>
      <c r="I1113" s="21">
        <v>100</v>
      </c>
      <c r="J1113" s="68">
        <f t="shared" si="639"/>
        <v>11.500000000000002</v>
      </c>
      <c r="K1113" s="70">
        <v>13.8</v>
      </c>
      <c r="L1113" s="72">
        <f t="shared" ca="1" si="635"/>
        <v>0.66400000000000148</v>
      </c>
      <c r="M1113" s="73">
        <f t="shared" ca="1" si="636"/>
        <v>66.400000000000148</v>
      </c>
      <c r="N1113" s="12" t="s">
        <v>41</v>
      </c>
      <c r="O1113" s="47" t="s">
        <v>45</v>
      </c>
      <c r="P1113" s="13">
        <f t="shared" si="624"/>
        <v>13.8</v>
      </c>
      <c r="Q1113" s="1" t="str">
        <f t="shared" si="626"/>
        <v>100-290 шт - 13,8 руб / шт с НДС</v>
      </c>
      <c r="R1113" s="235"/>
      <c r="S1113" s="239"/>
      <c r="T1113" s="226"/>
      <c r="U1113" s="228"/>
      <c r="V1113" s="222"/>
      <c r="W1113" s="229"/>
      <c r="X1113" s="227"/>
      <c r="Y1113" s="229"/>
      <c r="Z1113" s="236"/>
      <c r="AA1113" s="237"/>
      <c r="AB1113" s="238"/>
      <c r="AC1113" s="223"/>
      <c r="AD1113" s="222"/>
    </row>
    <row r="1114" spans="1:30" x14ac:dyDescent="0.4">
      <c r="A1114" s="230"/>
      <c r="B1114" s="8">
        <v>224</v>
      </c>
      <c r="C1114" s="14">
        <f t="shared" ca="1" si="642"/>
        <v>10.67</v>
      </c>
      <c r="D1114" s="20">
        <f t="shared" ca="1" si="617"/>
        <v>12.804</v>
      </c>
      <c r="E1114" s="225"/>
      <c r="F1114" s="231"/>
      <c r="G1114" s="172" t="str">
        <f t="shared" ca="1" si="637"/>
        <v/>
      </c>
      <c r="H1114" s="93" t="str">
        <f t="shared" ca="1" si="638"/>
        <v/>
      </c>
      <c r="I1114" s="21">
        <v>300</v>
      </c>
      <c r="J1114" s="68">
        <f t="shared" si="639"/>
        <v>11.333333333333334</v>
      </c>
      <c r="K1114" s="70">
        <v>13.6</v>
      </c>
      <c r="L1114" s="72">
        <f t="shared" ca="1" si="635"/>
        <v>0.53066666666666718</v>
      </c>
      <c r="M1114" s="73">
        <f t="shared" ca="1" si="636"/>
        <v>159.20000000000016</v>
      </c>
      <c r="N1114" s="12" t="s">
        <v>42</v>
      </c>
      <c r="O1114" s="47" t="s">
        <v>45</v>
      </c>
      <c r="P1114" s="13">
        <f t="shared" si="624"/>
        <v>13.6</v>
      </c>
      <c r="Q1114" s="1" t="str">
        <f t="shared" si="626"/>
        <v>300-490 шт - 13,6 руб / шт с НДС</v>
      </c>
      <c r="R1114" s="235"/>
      <c r="S1114" s="239"/>
      <c r="T1114" s="226"/>
      <c r="U1114" s="228"/>
      <c r="V1114" s="222"/>
      <c r="W1114" s="229"/>
      <c r="X1114" s="227"/>
      <c r="Y1114" s="229"/>
      <c r="Z1114" s="236"/>
      <c r="AA1114" s="237"/>
      <c r="AB1114" s="238"/>
      <c r="AC1114" s="223"/>
      <c r="AD1114" s="222"/>
    </row>
    <row r="1115" spans="1:30" x14ac:dyDescent="0.4">
      <c r="A1115" s="230"/>
      <c r="B1115" s="8">
        <v>224</v>
      </c>
      <c r="C1115" s="14">
        <f t="shared" ca="1" si="642"/>
        <v>10.67</v>
      </c>
      <c r="D1115" s="20">
        <f t="shared" ca="1" si="617"/>
        <v>12.804</v>
      </c>
      <c r="E1115" s="225"/>
      <c r="F1115" s="231"/>
      <c r="G1115" s="172" t="str">
        <f t="shared" ca="1" si="637"/>
        <v/>
      </c>
      <c r="H1115" s="93" t="str">
        <f t="shared" ca="1" si="638"/>
        <v/>
      </c>
      <c r="I1115" s="21">
        <v>500</v>
      </c>
      <c r="J1115" s="68">
        <f t="shared" si="639"/>
        <v>11.25</v>
      </c>
      <c r="K1115" s="70">
        <v>13.5</v>
      </c>
      <c r="L1115" s="72">
        <f t="shared" ca="1" si="635"/>
        <v>0.46400000000000008</v>
      </c>
      <c r="M1115" s="73">
        <f t="shared" ca="1" si="636"/>
        <v>232.00000000000003</v>
      </c>
      <c r="N1115" s="12" t="s">
        <v>43</v>
      </c>
      <c r="O1115" s="47" t="s">
        <v>45</v>
      </c>
      <c r="P1115" s="13">
        <f t="shared" si="624"/>
        <v>13.5</v>
      </c>
      <c r="Q1115" s="1" t="str">
        <f t="shared" si="626"/>
        <v>500-990 шт - 13,5 руб / шт с НДС</v>
      </c>
      <c r="R1115" s="235"/>
      <c r="S1115" s="239"/>
      <c r="T1115" s="226"/>
      <c r="U1115" s="228"/>
      <c r="V1115" s="222"/>
      <c r="W1115" s="229"/>
      <c r="X1115" s="227"/>
      <c r="Y1115" s="229"/>
      <c r="Z1115" s="236"/>
      <c r="AA1115" s="237"/>
      <c r="AB1115" s="238"/>
      <c r="AC1115" s="223"/>
      <c r="AD1115" s="222"/>
    </row>
    <row r="1116" spans="1:30" x14ac:dyDescent="0.4">
      <c r="A1116" s="230"/>
      <c r="B1116" s="8">
        <v>224</v>
      </c>
      <c r="C1116" s="14">
        <f t="shared" ca="1" si="642"/>
        <v>10.67</v>
      </c>
      <c r="D1116" s="20">
        <f t="shared" ca="1" si="617"/>
        <v>12.804</v>
      </c>
      <c r="E1116" s="225"/>
      <c r="F1116" s="231"/>
      <c r="G1116" s="172" t="str">
        <f t="shared" ca="1" si="637"/>
        <v/>
      </c>
      <c r="H1116" s="93" t="str">
        <f t="shared" ca="1" si="638"/>
        <v/>
      </c>
      <c r="I1116" s="21">
        <v>1000</v>
      </c>
      <c r="J1116" s="68">
        <f t="shared" si="639"/>
        <v>11.166666666666668</v>
      </c>
      <c r="K1116" s="70">
        <v>13.4</v>
      </c>
      <c r="L1116" s="72">
        <f t="shared" ca="1" si="635"/>
        <v>0.39733333333333432</v>
      </c>
      <c r="M1116" s="73">
        <f t="shared" ca="1" si="636"/>
        <v>397.33333333333434</v>
      </c>
      <c r="N1116" s="12" t="s">
        <v>44</v>
      </c>
      <c r="O1116" s="47" t="s">
        <v>45</v>
      </c>
      <c r="P1116" s="13">
        <f t="shared" si="624"/>
        <v>13.4</v>
      </c>
      <c r="Q1116" s="1" t="str">
        <f t="shared" si="626"/>
        <v>1000 + шт - 13,4 руб / шт с НДС</v>
      </c>
      <c r="R1116" s="235"/>
      <c r="S1116" s="239"/>
      <c r="T1116" s="226"/>
      <c r="U1116" s="228"/>
      <c r="V1116" s="222"/>
      <c r="W1116" s="229"/>
      <c r="X1116" s="227"/>
      <c r="Y1116" s="229"/>
      <c r="Z1116" s="236"/>
      <c r="AA1116" s="237"/>
      <c r="AB1116" s="238"/>
      <c r="AC1116" s="223"/>
      <c r="AD1116" s="222"/>
    </row>
    <row r="1117" spans="1:30" x14ac:dyDescent="0.4">
      <c r="A1117" s="230">
        <v>225</v>
      </c>
      <c r="B1117" s="8">
        <v>225</v>
      </c>
      <c r="C1117" s="14">
        <f t="shared" ca="1" si="642"/>
        <v>0.21</v>
      </c>
      <c r="D1117" s="20">
        <f t="shared" ca="1" si="617"/>
        <v>0.252</v>
      </c>
      <c r="E1117" s="225" t="str">
        <f ca="1">INDIRECT("'Закуп'!D" &amp; A1117)</f>
        <v>ТМ-
SALE</v>
      </c>
      <c r="F1117" s="231" t="str">
        <f t="shared" ref="F1117" ca="1" si="651">INDIRECT("'Закуп'!E" &amp; B1117)</f>
        <v>100х70х50</v>
      </c>
      <c r="G1117" s="172" t="str">
        <f t="shared" ca="1" si="637"/>
        <v>Sale</v>
      </c>
      <c r="H1117" s="93" t="str">
        <f t="shared" ca="1" si="638"/>
        <v/>
      </c>
      <c r="I1117" s="21">
        <v>50</v>
      </c>
      <c r="J1117" s="68">
        <f t="shared" si="639"/>
        <v>0.41666666666666669</v>
      </c>
      <c r="K1117" s="70">
        <v>0.5</v>
      </c>
      <c r="L1117" s="72">
        <f t="shared" ca="1" si="635"/>
        <v>0.16533333333333336</v>
      </c>
      <c r="M1117" s="73">
        <f t="shared" ca="1" si="636"/>
        <v>8.2666666666666675</v>
      </c>
      <c r="N1117" s="12" t="s">
        <v>40</v>
      </c>
      <c r="O1117" s="47" t="s">
        <v>45</v>
      </c>
      <c r="P1117" s="13">
        <f t="shared" si="624"/>
        <v>0.5</v>
      </c>
      <c r="Q1117" s="1" t="str">
        <f t="shared" si="626"/>
        <v>50-90 шт - 0,5 руб / шт с НДС</v>
      </c>
      <c r="R1117" s="235" t="str">
        <f ca="1">INDIRECT("'Закуп'!k" &amp; A1117)</f>
        <v>K1006</v>
      </c>
      <c r="S1117" s="239">
        <f ca="1">INDIRECT("'Закуп'!o" &amp; A1117)</f>
        <v>0.35</v>
      </c>
      <c r="T1117" s="226" t="str">
        <f ca="1">INDIRECT("'Закуп'!p" &amp; A1117)</f>
        <v>0,1-0,9 литров</v>
      </c>
      <c r="U1117" s="228" t="str">
        <f ca="1">INDIRECT("'Закуп'!v" &amp; A1117)</f>
        <v/>
      </c>
      <c r="V1117" s="222" t="str">
        <f ca="1">INDIRECT("'Закуп'!w" &amp; A1117)</f>
        <v/>
      </c>
      <c r="W1117" s="229" t="str">
        <f ca="1">INDIRECT("'Закуп'!H" &amp; A1117)</f>
        <v>0427</v>
      </c>
      <c r="X1117" s="227" t="str">
        <f t="shared" ref="X1117" ca="1" si="652">INDIRECT("'Закуп'!g" &amp; A1117)</f>
        <v>С</v>
      </c>
      <c r="Y1117" s="229" t="str">
        <f ca="1">INDIRECT("'Закуп'!i" &amp; A1117)</f>
        <v>В</v>
      </c>
      <c r="Z1117" s="236" t="str">
        <f ca="1">INDIRECT("'Закуп'!x" &amp; A1117)</f>
        <v>100-199 мм</v>
      </c>
      <c r="AA1117" s="237" t="str">
        <f ca="1">INDIRECT("'Закуп'!y" &amp; A1117)</f>
        <v>10-99 мм</v>
      </c>
      <c r="AB1117" s="238" t="str">
        <f ca="1">INDIRECT("'Закуп'!z" &amp; A1117)</f>
        <v>10-99 мм</v>
      </c>
      <c r="AC1117" s="223" t="str">
        <f t="shared" ca="1" si="630"/>
        <v>100x70x50</v>
      </c>
      <c r="AD1117" s="222" t="str">
        <f t="shared" ref="AD1117:AD1177" ca="1" si="653">SUBSTITUTE(INDEX(F:F, ROUNDUP((ROW(A1116))/5,0)*5 - 3), "х", "x") &amp; " - " &amp; SUBSTITUTE(SUBSTITUTE(INDEX(F:F, ROUNDUP((ROW(A1116))/5,0)*5 - 3), "х", "*"), "x", "*") &amp; " мм"</f>
        <v>100x70x50 - 100*70*50 мм</v>
      </c>
    </row>
    <row r="1118" spans="1:30" x14ac:dyDescent="0.4">
      <c r="A1118" s="230"/>
      <c r="B1118" s="8">
        <v>225</v>
      </c>
      <c r="C1118" s="14">
        <f t="shared" ca="1" si="642"/>
        <v>0.21</v>
      </c>
      <c r="D1118" s="20">
        <f t="shared" ca="1" si="617"/>
        <v>0.252</v>
      </c>
      <c r="E1118" s="225"/>
      <c r="F1118" s="231"/>
      <c r="G1118" s="172" t="str">
        <f t="shared" ca="1" si="637"/>
        <v>Sale</v>
      </c>
      <c r="H1118" s="93" t="str">
        <f t="shared" ca="1" si="638"/>
        <v/>
      </c>
      <c r="I1118" s="21">
        <v>100</v>
      </c>
      <c r="J1118" s="68">
        <f t="shared" si="639"/>
        <v>0.41666666666666669</v>
      </c>
      <c r="K1118" s="70">
        <v>0.5</v>
      </c>
      <c r="L1118" s="72">
        <f t="shared" ca="1" si="635"/>
        <v>0.16533333333333336</v>
      </c>
      <c r="M1118" s="73">
        <f t="shared" ca="1" si="636"/>
        <v>16.533333333333335</v>
      </c>
      <c r="N1118" s="12" t="s">
        <v>41</v>
      </c>
      <c r="O1118" s="47" t="s">
        <v>45</v>
      </c>
      <c r="P1118" s="13">
        <f t="shared" si="624"/>
        <v>0.5</v>
      </c>
      <c r="Q1118" s="1" t="str">
        <f t="shared" si="626"/>
        <v>100-290 шт - 0,5 руб / шт с НДС</v>
      </c>
      <c r="R1118" s="235"/>
      <c r="S1118" s="239"/>
      <c r="T1118" s="226"/>
      <c r="U1118" s="228"/>
      <c r="V1118" s="222"/>
      <c r="W1118" s="229"/>
      <c r="X1118" s="227"/>
      <c r="Y1118" s="229"/>
      <c r="Z1118" s="236"/>
      <c r="AA1118" s="237"/>
      <c r="AB1118" s="238"/>
      <c r="AC1118" s="223"/>
      <c r="AD1118" s="222"/>
    </row>
    <row r="1119" spans="1:30" x14ac:dyDescent="0.4">
      <c r="A1119" s="230"/>
      <c r="B1119" s="8">
        <v>225</v>
      </c>
      <c r="C1119" s="14">
        <f t="shared" ca="1" si="642"/>
        <v>0.21</v>
      </c>
      <c r="D1119" s="20">
        <f t="shared" ca="1" si="617"/>
        <v>0.252</v>
      </c>
      <c r="E1119" s="225"/>
      <c r="F1119" s="231"/>
      <c r="G1119" s="172" t="str">
        <f t="shared" ca="1" si="637"/>
        <v>Sale</v>
      </c>
      <c r="H1119" s="93" t="str">
        <f t="shared" ca="1" si="638"/>
        <v/>
      </c>
      <c r="I1119" s="21">
        <v>300</v>
      </c>
      <c r="J1119" s="68">
        <f t="shared" si="639"/>
        <v>0.41666666666666669</v>
      </c>
      <c r="K1119" s="70">
        <v>0.5</v>
      </c>
      <c r="L1119" s="72">
        <f t="shared" ca="1" si="635"/>
        <v>0.16533333333333336</v>
      </c>
      <c r="M1119" s="73">
        <f t="shared" ca="1" si="636"/>
        <v>49.600000000000009</v>
      </c>
      <c r="N1119" s="12" t="s">
        <v>42</v>
      </c>
      <c r="O1119" s="47" t="s">
        <v>45</v>
      </c>
      <c r="P1119" s="13">
        <f t="shared" si="624"/>
        <v>0.5</v>
      </c>
      <c r="Q1119" s="1" t="str">
        <f t="shared" si="626"/>
        <v>300-490 шт - 0,5 руб / шт с НДС</v>
      </c>
      <c r="R1119" s="235"/>
      <c r="S1119" s="239"/>
      <c r="T1119" s="226"/>
      <c r="U1119" s="228"/>
      <c r="V1119" s="222"/>
      <c r="W1119" s="229"/>
      <c r="X1119" s="227"/>
      <c r="Y1119" s="229"/>
      <c r="Z1119" s="236"/>
      <c r="AA1119" s="237"/>
      <c r="AB1119" s="238"/>
      <c r="AC1119" s="223"/>
      <c r="AD1119" s="222"/>
    </row>
    <row r="1120" spans="1:30" x14ac:dyDescent="0.4">
      <c r="A1120" s="230"/>
      <c r="B1120" s="8">
        <v>225</v>
      </c>
      <c r="C1120" s="14">
        <f t="shared" ca="1" si="642"/>
        <v>0.21</v>
      </c>
      <c r="D1120" s="20">
        <f t="shared" ca="1" si="617"/>
        <v>0.252</v>
      </c>
      <c r="E1120" s="225"/>
      <c r="F1120" s="231"/>
      <c r="G1120" s="172" t="str">
        <f t="shared" ca="1" si="637"/>
        <v>Sale</v>
      </c>
      <c r="H1120" s="93" t="str">
        <f t="shared" ca="1" si="638"/>
        <v/>
      </c>
      <c r="I1120" s="21">
        <v>500</v>
      </c>
      <c r="J1120" s="68">
        <f t="shared" si="639"/>
        <v>0.41666666666666669</v>
      </c>
      <c r="K1120" s="70">
        <v>0.5</v>
      </c>
      <c r="L1120" s="72">
        <f t="shared" ca="1" si="635"/>
        <v>0.16533333333333336</v>
      </c>
      <c r="M1120" s="73">
        <f t="shared" ca="1" si="636"/>
        <v>82.666666666666686</v>
      </c>
      <c r="N1120" s="12" t="s">
        <v>43</v>
      </c>
      <c r="O1120" s="47" t="s">
        <v>45</v>
      </c>
      <c r="P1120" s="13">
        <f t="shared" si="624"/>
        <v>0.5</v>
      </c>
      <c r="Q1120" s="1" t="str">
        <f t="shared" si="626"/>
        <v>500-990 шт - 0,5 руб / шт с НДС</v>
      </c>
      <c r="R1120" s="235"/>
      <c r="S1120" s="239"/>
      <c r="T1120" s="226"/>
      <c r="U1120" s="228"/>
      <c r="V1120" s="222"/>
      <c r="W1120" s="229"/>
      <c r="X1120" s="227"/>
      <c r="Y1120" s="229"/>
      <c r="Z1120" s="236"/>
      <c r="AA1120" s="237"/>
      <c r="AB1120" s="238"/>
      <c r="AC1120" s="223"/>
      <c r="AD1120" s="222"/>
    </row>
    <row r="1121" spans="1:30" x14ac:dyDescent="0.4">
      <c r="A1121" s="230"/>
      <c r="B1121" s="8">
        <v>225</v>
      </c>
      <c r="C1121" s="14">
        <f t="shared" ca="1" si="642"/>
        <v>0.21</v>
      </c>
      <c r="D1121" s="20">
        <f t="shared" ref="D1121:D1184" ca="1" si="654">C1121*1.2</f>
        <v>0.252</v>
      </c>
      <c r="E1121" s="225"/>
      <c r="F1121" s="231"/>
      <c r="G1121" s="172" t="str">
        <f t="shared" ca="1" si="637"/>
        <v>Sale</v>
      </c>
      <c r="H1121" s="93" t="str">
        <f t="shared" ca="1" si="638"/>
        <v/>
      </c>
      <c r="I1121" s="21">
        <v>1000</v>
      </c>
      <c r="J1121" s="68">
        <f t="shared" si="639"/>
        <v>0.41666666666666669</v>
      </c>
      <c r="K1121" s="70">
        <v>0.5</v>
      </c>
      <c r="L1121" s="72">
        <f t="shared" ca="1" si="635"/>
        <v>0.16533333333333336</v>
      </c>
      <c r="M1121" s="73">
        <f t="shared" ca="1" si="636"/>
        <v>165.33333333333337</v>
      </c>
      <c r="N1121" s="12" t="s">
        <v>44</v>
      </c>
      <c r="O1121" s="47" t="s">
        <v>45</v>
      </c>
      <c r="P1121" s="13">
        <f t="shared" si="624"/>
        <v>0.5</v>
      </c>
      <c r="Q1121" s="1" t="str">
        <f t="shared" si="626"/>
        <v>1000 + шт - 0,5 руб / шт с НДС</v>
      </c>
      <c r="R1121" s="235"/>
      <c r="S1121" s="239"/>
      <c r="T1121" s="226"/>
      <c r="U1121" s="228"/>
      <c r="V1121" s="222"/>
      <c r="W1121" s="229"/>
      <c r="X1121" s="227"/>
      <c r="Y1121" s="229"/>
      <c r="Z1121" s="236"/>
      <c r="AA1121" s="237"/>
      <c r="AB1121" s="238"/>
      <c r="AC1121" s="223"/>
      <c r="AD1121" s="222"/>
    </row>
    <row r="1122" spans="1:30" x14ac:dyDescent="0.4">
      <c r="A1122" s="230">
        <v>226</v>
      </c>
      <c r="B1122" s="8">
        <v>226</v>
      </c>
      <c r="C1122" s="14">
        <f t="shared" ca="1" si="642"/>
        <v>0.2</v>
      </c>
      <c r="D1122" s="20">
        <f t="shared" ca="1" si="654"/>
        <v>0.24</v>
      </c>
      <c r="E1122" s="224" t="str">
        <f ca="1">INDIRECT("'Закуп'!D" &amp; A1122)</f>
        <v>У</v>
      </c>
      <c r="F1122" s="231" t="str">
        <f t="shared" ref="F1122" ca="1" si="655">INDIRECT("'Закуп'!E" &amp; B1122)</f>
        <v>100х85х50</v>
      </c>
      <c r="G1122" s="172" t="str">
        <f t="shared" ca="1" si="637"/>
        <v/>
      </c>
      <c r="H1122" s="93" t="str">
        <f t="shared" ca="1" si="638"/>
        <v/>
      </c>
      <c r="I1122" s="21">
        <v>50</v>
      </c>
      <c r="J1122" s="68">
        <f t="shared" si="639"/>
        <v>0.89166666666666672</v>
      </c>
      <c r="K1122" s="70">
        <v>1.07</v>
      </c>
      <c r="L1122" s="72">
        <f t="shared" ca="1" si="635"/>
        <v>0.55333333333333334</v>
      </c>
      <c r="M1122" s="73">
        <f t="shared" ca="1" si="636"/>
        <v>27.666666666666668</v>
      </c>
      <c r="N1122" s="12" t="s">
        <v>40</v>
      </c>
      <c r="O1122" s="47" t="s">
        <v>45</v>
      </c>
      <c r="P1122" s="13">
        <f t="shared" si="624"/>
        <v>1.07</v>
      </c>
      <c r="Q1122" s="1" t="str">
        <f t="shared" si="626"/>
        <v>50-90 шт - 1,07 руб / шт с НДС</v>
      </c>
      <c r="R1122" s="235" t="str">
        <f ca="1">INDIRECT("'Закуп'!k" &amp; A1122)</f>
        <v>K223</v>
      </c>
      <c r="S1122" s="239">
        <f ca="1">INDIRECT("'Закуп'!o" &amp; A1122)</f>
        <v>0.43</v>
      </c>
      <c r="T1122" s="226" t="str">
        <f ca="1">INDIRECT("'Закуп'!p" &amp; A1122)</f>
        <v>0,1-0,9 литров</v>
      </c>
      <c r="U1122" s="228" t="str">
        <f ca="1">INDIRECT("'Закуп'!v" &amp; A1122)</f>
        <v/>
      </c>
      <c r="V1122" s="222" t="str">
        <f ca="1">INDIRECT("'Закуп'!w" &amp; A1122)</f>
        <v/>
      </c>
      <c r="W1122" s="229" t="str">
        <f ca="1">INDIRECT("'Закуп'!H" &amp; A1122)</f>
        <v>0421</v>
      </c>
      <c r="X1122" s="227" t="str">
        <f t="shared" ref="X1122" ca="1" si="656">INDIRECT("'Закуп'!g" &amp; A1122)</f>
        <v>С</v>
      </c>
      <c r="Y1122" s="229" t="str">
        <f ca="1">INDIRECT("'Закуп'!i" &amp; A1122)</f>
        <v>В</v>
      </c>
      <c r="Z1122" s="236" t="str">
        <f ca="1">INDIRECT("'Закуп'!x" &amp; A1122)</f>
        <v>100-199 мм</v>
      </c>
      <c r="AA1122" s="237" t="str">
        <f ca="1">INDIRECT("'Закуп'!y" &amp; A1122)</f>
        <v>10-99 мм</v>
      </c>
      <c r="AB1122" s="238" t="str">
        <f ca="1">INDIRECT("'Закуп'!z" &amp; A1122)</f>
        <v>10-99 мм</v>
      </c>
      <c r="AC1122" s="223" t="str">
        <f t="shared" ca="1" si="630"/>
        <v>100x85x50</v>
      </c>
      <c r="AD1122" s="222" t="str">
        <f t="shared" ca="1" si="653"/>
        <v>100x85x50 - 100*85*50 мм</v>
      </c>
    </row>
    <row r="1123" spans="1:30" x14ac:dyDescent="0.4">
      <c r="A1123" s="230"/>
      <c r="B1123" s="8">
        <v>226</v>
      </c>
      <c r="C1123" s="14">
        <f t="shared" ca="1" si="642"/>
        <v>0.2</v>
      </c>
      <c r="D1123" s="20">
        <f t="shared" ca="1" si="654"/>
        <v>0.24</v>
      </c>
      <c r="E1123" s="225"/>
      <c r="F1123" s="231"/>
      <c r="G1123" s="172" t="str">
        <f t="shared" ca="1" si="637"/>
        <v/>
      </c>
      <c r="H1123" s="93" t="str">
        <f t="shared" ca="1" si="638"/>
        <v/>
      </c>
      <c r="I1123" s="21">
        <v>100</v>
      </c>
      <c r="J1123" s="68">
        <f t="shared" si="639"/>
        <v>0.75833333333333341</v>
      </c>
      <c r="K1123" s="70">
        <v>0.91</v>
      </c>
      <c r="L1123" s="72">
        <f t="shared" ca="1" si="635"/>
        <v>0.44666666666666666</v>
      </c>
      <c r="M1123" s="73">
        <f t="shared" ca="1" si="636"/>
        <v>44.666666666666664</v>
      </c>
      <c r="N1123" s="12" t="s">
        <v>41</v>
      </c>
      <c r="O1123" s="47" t="s">
        <v>45</v>
      </c>
      <c r="P1123" s="13">
        <f t="shared" si="624"/>
        <v>0.91</v>
      </c>
      <c r="Q1123" s="1" t="str">
        <f t="shared" si="626"/>
        <v>100-290 шт - 0,91 руб / шт с НДС</v>
      </c>
      <c r="R1123" s="235"/>
      <c r="S1123" s="239"/>
      <c r="T1123" s="226"/>
      <c r="U1123" s="228"/>
      <c r="V1123" s="222"/>
      <c r="W1123" s="229"/>
      <c r="X1123" s="227"/>
      <c r="Y1123" s="229"/>
      <c r="Z1123" s="236"/>
      <c r="AA1123" s="237"/>
      <c r="AB1123" s="238"/>
      <c r="AC1123" s="223"/>
      <c r="AD1123" s="222"/>
    </row>
    <row r="1124" spans="1:30" x14ac:dyDescent="0.4">
      <c r="A1124" s="230"/>
      <c r="B1124" s="8">
        <v>226</v>
      </c>
      <c r="C1124" s="14">
        <f t="shared" ca="1" si="642"/>
        <v>0.2</v>
      </c>
      <c r="D1124" s="20">
        <f t="shared" ca="1" si="654"/>
        <v>0.24</v>
      </c>
      <c r="E1124" s="225"/>
      <c r="F1124" s="231"/>
      <c r="G1124" s="172" t="str">
        <f t="shared" ca="1" si="637"/>
        <v/>
      </c>
      <c r="H1124" s="93" t="str">
        <f t="shared" ca="1" si="638"/>
        <v/>
      </c>
      <c r="I1124" s="21">
        <v>300</v>
      </c>
      <c r="J1124" s="68">
        <f t="shared" si="639"/>
        <v>0.625</v>
      </c>
      <c r="K1124" s="70">
        <v>0.75</v>
      </c>
      <c r="L1124" s="72">
        <f t="shared" ca="1" si="635"/>
        <v>0.33999999999999997</v>
      </c>
      <c r="M1124" s="73">
        <f t="shared" ca="1" si="636"/>
        <v>101.99999999999999</v>
      </c>
      <c r="N1124" s="12" t="s">
        <v>42</v>
      </c>
      <c r="O1124" s="47" t="s">
        <v>45</v>
      </c>
      <c r="P1124" s="13">
        <f t="shared" si="624"/>
        <v>0.75</v>
      </c>
      <c r="Q1124" s="1" t="str">
        <f t="shared" si="626"/>
        <v>300-490 шт - 0,75 руб / шт с НДС</v>
      </c>
      <c r="R1124" s="235"/>
      <c r="S1124" s="239"/>
      <c r="T1124" s="226"/>
      <c r="U1124" s="228"/>
      <c r="V1124" s="222"/>
      <c r="W1124" s="229"/>
      <c r="X1124" s="227"/>
      <c r="Y1124" s="229"/>
      <c r="Z1124" s="236"/>
      <c r="AA1124" s="237"/>
      <c r="AB1124" s="238"/>
      <c r="AC1124" s="223"/>
      <c r="AD1124" s="222"/>
    </row>
    <row r="1125" spans="1:30" x14ac:dyDescent="0.4">
      <c r="A1125" s="230"/>
      <c r="B1125" s="8">
        <v>226</v>
      </c>
      <c r="C1125" s="14">
        <f t="shared" ca="1" si="642"/>
        <v>0.2</v>
      </c>
      <c r="D1125" s="20">
        <f t="shared" ca="1" si="654"/>
        <v>0.24</v>
      </c>
      <c r="E1125" s="225"/>
      <c r="F1125" s="231"/>
      <c r="G1125" s="172" t="str">
        <f t="shared" ca="1" si="637"/>
        <v/>
      </c>
      <c r="H1125" s="93" t="str">
        <f t="shared" ca="1" si="638"/>
        <v/>
      </c>
      <c r="I1125" s="21">
        <v>500</v>
      </c>
      <c r="J1125" s="68">
        <f t="shared" si="639"/>
        <v>0.53333333333333333</v>
      </c>
      <c r="K1125" s="70">
        <v>0.64</v>
      </c>
      <c r="L1125" s="72">
        <f t="shared" ca="1" si="635"/>
        <v>0.26666666666666666</v>
      </c>
      <c r="M1125" s="73">
        <f t="shared" ca="1" si="636"/>
        <v>133.33333333333334</v>
      </c>
      <c r="N1125" s="12" t="s">
        <v>43</v>
      </c>
      <c r="O1125" s="47" t="s">
        <v>45</v>
      </c>
      <c r="P1125" s="13">
        <f t="shared" si="624"/>
        <v>0.64</v>
      </c>
      <c r="Q1125" s="1" t="str">
        <f t="shared" si="626"/>
        <v>500-990 шт - 0,64 руб / шт с НДС</v>
      </c>
      <c r="R1125" s="235"/>
      <c r="S1125" s="239"/>
      <c r="T1125" s="226"/>
      <c r="U1125" s="228"/>
      <c r="V1125" s="222"/>
      <c r="W1125" s="229"/>
      <c r="X1125" s="227"/>
      <c r="Y1125" s="229"/>
      <c r="Z1125" s="236"/>
      <c r="AA1125" s="237"/>
      <c r="AB1125" s="238"/>
      <c r="AC1125" s="223"/>
      <c r="AD1125" s="222"/>
    </row>
    <row r="1126" spans="1:30" x14ac:dyDescent="0.4">
      <c r="A1126" s="230"/>
      <c r="B1126" s="8">
        <v>226</v>
      </c>
      <c r="C1126" s="14">
        <f t="shared" ca="1" si="642"/>
        <v>0.2</v>
      </c>
      <c r="D1126" s="20">
        <f t="shared" ca="1" si="654"/>
        <v>0.24</v>
      </c>
      <c r="E1126" s="225"/>
      <c r="F1126" s="231"/>
      <c r="G1126" s="172" t="str">
        <f t="shared" ca="1" si="637"/>
        <v/>
      </c>
      <c r="H1126" s="93" t="str">
        <f t="shared" ca="1" si="638"/>
        <v/>
      </c>
      <c r="I1126" s="21">
        <v>1000</v>
      </c>
      <c r="J1126" s="68">
        <f t="shared" si="639"/>
        <v>0.45000000000000007</v>
      </c>
      <c r="K1126" s="70">
        <v>0.54</v>
      </c>
      <c r="L1126" s="72">
        <f t="shared" ca="1" si="635"/>
        <v>0.20000000000000004</v>
      </c>
      <c r="M1126" s="73">
        <f t="shared" ca="1" si="636"/>
        <v>200.00000000000003</v>
      </c>
      <c r="N1126" s="12" t="s">
        <v>44</v>
      </c>
      <c r="O1126" s="47" t="s">
        <v>45</v>
      </c>
      <c r="P1126" s="13">
        <f t="shared" si="624"/>
        <v>0.54</v>
      </c>
      <c r="Q1126" s="1" t="str">
        <f t="shared" si="626"/>
        <v>1000 + шт - 0,54 руб / шт с НДС</v>
      </c>
      <c r="R1126" s="235"/>
      <c r="S1126" s="239"/>
      <c r="T1126" s="226"/>
      <c r="U1126" s="228"/>
      <c r="V1126" s="222"/>
      <c r="W1126" s="229"/>
      <c r="X1126" s="227"/>
      <c r="Y1126" s="229"/>
      <c r="Z1126" s="236"/>
      <c r="AA1126" s="237"/>
      <c r="AB1126" s="238"/>
      <c r="AC1126" s="223"/>
      <c r="AD1126" s="222"/>
    </row>
    <row r="1127" spans="1:30" x14ac:dyDescent="0.4">
      <c r="A1127" s="230">
        <v>227</v>
      </c>
      <c r="B1127" s="8">
        <v>227</v>
      </c>
      <c r="C1127" s="14">
        <f t="shared" ca="1" si="642"/>
        <v>0.13</v>
      </c>
      <c r="D1127" s="20">
        <f t="shared" ca="1" si="654"/>
        <v>0.156</v>
      </c>
      <c r="E1127" s="225" t="str">
        <f ca="1">INDIRECT("'Закуп'!D" &amp; A1127)</f>
        <v>ТМ-
SALE</v>
      </c>
      <c r="F1127" s="231" t="str">
        <f t="shared" ref="F1127" ca="1" si="657">INDIRECT("'Закуп'!E" &amp; B1127)</f>
        <v>110х60х30</v>
      </c>
      <c r="G1127" s="172" t="str">
        <f t="shared" ca="1" si="637"/>
        <v>Sale</v>
      </c>
      <c r="H1127" s="93" t="str">
        <f t="shared" ca="1" si="638"/>
        <v/>
      </c>
      <c r="I1127" s="21">
        <v>50</v>
      </c>
      <c r="J1127" s="68">
        <f t="shared" si="639"/>
        <v>0.41666666666666669</v>
      </c>
      <c r="K1127" s="70">
        <v>0.5</v>
      </c>
      <c r="L1127" s="72">
        <f t="shared" ca="1" si="635"/>
        <v>0.22933333333333333</v>
      </c>
      <c r="M1127" s="73">
        <f t="shared" ca="1" si="636"/>
        <v>11.466666666666667</v>
      </c>
      <c r="N1127" s="12" t="s">
        <v>40</v>
      </c>
      <c r="O1127" s="47" t="s">
        <v>45</v>
      </c>
      <c r="P1127" s="13">
        <f t="shared" si="624"/>
        <v>0.5</v>
      </c>
      <c r="Q1127" s="1" t="str">
        <f t="shared" si="626"/>
        <v>50-90 шт - 0,5 руб / шт с НДС</v>
      </c>
      <c r="R1127" s="235" t="str">
        <f ca="1">INDIRECT("'Закуп'!k" &amp; A1127)</f>
        <v>K1007</v>
      </c>
      <c r="S1127" s="239">
        <f ca="1">INDIRECT("'Закуп'!o" &amp; A1127)</f>
        <v>0.2</v>
      </c>
      <c r="T1127" s="226" t="str">
        <f ca="1">INDIRECT("'Закуп'!p" &amp; A1127)</f>
        <v>0,1-0,9 литров</v>
      </c>
      <c r="U1127" s="228" t="str">
        <f ca="1">INDIRECT("'Закуп'!v" &amp; A1127)</f>
        <v/>
      </c>
      <c r="V1127" s="222" t="str">
        <f ca="1">INDIRECT("'Закуп'!w" &amp; A1127)</f>
        <v>Плоские</v>
      </c>
      <c r="W1127" s="229" t="str">
        <f ca="1">INDIRECT("'Закуп'!H" &amp; A1127)</f>
        <v>0427</v>
      </c>
      <c r="X1127" s="227" t="str">
        <f t="shared" ref="X1127" ca="1" si="658">INDIRECT("'Закуп'!g" &amp; A1127)</f>
        <v>С</v>
      </c>
      <c r="Y1127" s="229" t="str">
        <f ca="1">INDIRECT("'Закуп'!i" &amp; A1127)</f>
        <v>Е</v>
      </c>
      <c r="Z1127" s="236" t="str">
        <f ca="1">INDIRECT("'Закуп'!x" &amp; A1127)</f>
        <v>100-199 мм</v>
      </c>
      <c r="AA1127" s="237" t="str">
        <f ca="1">INDIRECT("'Закуп'!y" &amp; A1127)</f>
        <v>10-99 мм</v>
      </c>
      <c r="AB1127" s="238" t="str">
        <f ca="1">INDIRECT("'Закуп'!z" &amp; A1127)</f>
        <v>10-99 мм</v>
      </c>
      <c r="AC1127" s="223" t="str">
        <f t="shared" ca="1" si="630"/>
        <v>110x60x30</v>
      </c>
      <c r="AD1127" s="222" t="str">
        <f t="shared" ca="1" si="653"/>
        <v>110x60x30 - 110*60*30 мм</v>
      </c>
    </row>
    <row r="1128" spans="1:30" x14ac:dyDescent="0.4">
      <c r="A1128" s="230"/>
      <c r="B1128" s="8">
        <v>227</v>
      </c>
      <c r="C1128" s="14">
        <f t="shared" ca="1" si="642"/>
        <v>0.13</v>
      </c>
      <c r="D1128" s="20">
        <f t="shared" ca="1" si="654"/>
        <v>0.156</v>
      </c>
      <c r="E1128" s="225"/>
      <c r="F1128" s="231"/>
      <c r="G1128" s="172" t="str">
        <f t="shared" ca="1" si="637"/>
        <v>Sale</v>
      </c>
      <c r="H1128" s="93" t="str">
        <f t="shared" ca="1" si="638"/>
        <v/>
      </c>
      <c r="I1128" s="21">
        <v>100</v>
      </c>
      <c r="J1128" s="68">
        <f t="shared" si="639"/>
        <v>0.41666666666666669</v>
      </c>
      <c r="K1128" s="70">
        <v>0.5</v>
      </c>
      <c r="L1128" s="72">
        <f t="shared" ca="1" si="635"/>
        <v>0.22933333333333333</v>
      </c>
      <c r="M1128" s="73">
        <f t="shared" ca="1" si="636"/>
        <v>22.933333333333334</v>
      </c>
      <c r="N1128" s="12" t="s">
        <v>41</v>
      </c>
      <c r="O1128" s="47" t="s">
        <v>45</v>
      </c>
      <c r="P1128" s="13">
        <f t="shared" si="624"/>
        <v>0.5</v>
      </c>
      <c r="Q1128" s="1" t="str">
        <f t="shared" si="626"/>
        <v>100-290 шт - 0,5 руб / шт с НДС</v>
      </c>
      <c r="R1128" s="235"/>
      <c r="S1128" s="239"/>
      <c r="T1128" s="226"/>
      <c r="U1128" s="228"/>
      <c r="V1128" s="222"/>
      <c r="W1128" s="229"/>
      <c r="X1128" s="227"/>
      <c r="Y1128" s="229"/>
      <c r="Z1128" s="236"/>
      <c r="AA1128" s="237"/>
      <c r="AB1128" s="238"/>
      <c r="AC1128" s="223"/>
      <c r="AD1128" s="222"/>
    </row>
    <row r="1129" spans="1:30" x14ac:dyDescent="0.4">
      <c r="A1129" s="230"/>
      <c r="B1129" s="8">
        <v>227</v>
      </c>
      <c r="C1129" s="14">
        <f t="shared" ca="1" si="642"/>
        <v>0.13</v>
      </c>
      <c r="D1129" s="20">
        <f t="shared" ca="1" si="654"/>
        <v>0.156</v>
      </c>
      <c r="E1129" s="225"/>
      <c r="F1129" s="231"/>
      <c r="G1129" s="172" t="str">
        <f t="shared" ca="1" si="637"/>
        <v>Sale</v>
      </c>
      <c r="H1129" s="93" t="str">
        <f t="shared" ca="1" si="638"/>
        <v/>
      </c>
      <c r="I1129" s="21">
        <v>300</v>
      </c>
      <c r="J1129" s="68">
        <f t="shared" si="639"/>
        <v>0.41666666666666669</v>
      </c>
      <c r="K1129" s="70">
        <v>0.5</v>
      </c>
      <c r="L1129" s="72">
        <f t="shared" ca="1" si="635"/>
        <v>0.22933333333333333</v>
      </c>
      <c r="M1129" s="73">
        <f t="shared" ca="1" si="636"/>
        <v>68.8</v>
      </c>
      <c r="N1129" s="12" t="s">
        <v>42</v>
      </c>
      <c r="O1129" s="47" t="s">
        <v>45</v>
      </c>
      <c r="P1129" s="13">
        <f t="shared" si="624"/>
        <v>0.5</v>
      </c>
      <c r="Q1129" s="1" t="str">
        <f t="shared" si="626"/>
        <v>300-490 шт - 0,5 руб / шт с НДС</v>
      </c>
      <c r="R1129" s="235"/>
      <c r="S1129" s="239"/>
      <c r="T1129" s="226"/>
      <c r="U1129" s="228"/>
      <c r="V1129" s="222"/>
      <c r="W1129" s="229"/>
      <c r="X1129" s="227"/>
      <c r="Y1129" s="229"/>
      <c r="Z1129" s="236"/>
      <c r="AA1129" s="237"/>
      <c r="AB1129" s="238"/>
      <c r="AC1129" s="223"/>
      <c r="AD1129" s="222"/>
    </row>
    <row r="1130" spans="1:30" x14ac:dyDescent="0.4">
      <c r="A1130" s="230"/>
      <c r="B1130" s="8">
        <v>227</v>
      </c>
      <c r="C1130" s="14">
        <f t="shared" ca="1" si="642"/>
        <v>0.13</v>
      </c>
      <c r="D1130" s="20">
        <f t="shared" ca="1" si="654"/>
        <v>0.156</v>
      </c>
      <c r="E1130" s="225"/>
      <c r="F1130" s="231"/>
      <c r="G1130" s="172" t="str">
        <f t="shared" ca="1" si="637"/>
        <v>Sale</v>
      </c>
      <c r="H1130" s="93" t="str">
        <f t="shared" ca="1" si="638"/>
        <v/>
      </c>
      <c r="I1130" s="21">
        <v>500</v>
      </c>
      <c r="J1130" s="68">
        <f t="shared" si="639"/>
        <v>0.41666666666666669</v>
      </c>
      <c r="K1130" s="70">
        <v>0.5</v>
      </c>
      <c r="L1130" s="72">
        <f t="shared" ca="1" si="635"/>
        <v>0.22933333333333333</v>
      </c>
      <c r="M1130" s="73">
        <f t="shared" ca="1" si="636"/>
        <v>114.66666666666667</v>
      </c>
      <c r="N1130" s="12" t="s">
        <v>43</v>
      </c>
      <c r="O1130" s="47" t="s">
        <v>45</v>
      </c>
      <c r="P1130" s="13">
        <f t="shared" si="624"/>
        <v>0.5</v>
      </c>
      <c r="Q1130" s="1" t="str">
        <f t="shared" si="626"/>
        <v>500-990 шт - 0,5 руб / шт с НДС</v>
      </c>
      <c r="R1130" s="235"/>
      <c r="S1130" s="239"/>
      <c r="T1130" s="226"/>
      <c r="U1130" s="228"/>
      <c r="V1130" s="222"/>
      <c r="W1130" s="229"/>
      <c r="X1130" s="227"/>
      <c r="Y1130" s="229"/>
      <c r="Z1130" s="236"/>
      <c r="AA1130" s="237"/>
      <c r="AB1130" s="238"/>
      <c r="AC1130" s="223"/>
      <c r="AD1130" s="222"/>
    </row>
    <row r="1131" spans="1:30" x14ac:dyDescent="0.4">
      <c r="A1131" s="230"/>
      <c r="B1131" s="8">
        <v>227</v>
      </c>
      <c r="C1131" s="14">
        <f t="shared" ca="1" si="642"/>
        <v>0.13</v>
      </c>
      <c r="D1131" s="20">
        <f t="shared" ca="1" si="654"/>
        <v>0.156</v>
      </c>
      <c r="E1131" s="225"/>
      <c r="F1131" s="231"/>
      <c r="G1131" s="172" t="str">
        <f t="shared" ca="1" si="637"/>
        <v>Sale</v>
      </c>
      <c r="H1131" s="93" t="str">
        <f t="shared" ca="1" si="638"/>
        <v/>
      </c>
      <c r="I1131" s="21">
        <v>1000</v>
      </c>
      <c r="J1131" s="68">
        <f t="shared" si="639"/>
        <v>0.41666666666666669</v>
      </c>
      <c r="K1131" s="70">
        <v>0.5</v>
      </c>
      <c r="L1131" s="72">
        <f t="shared" ca="1" si="635"/>
        <v>0.22933333333333333</v>
      </c>
      <c r="M1131" s="73">
        <f t="shared" ca="1" si="636"/>
        <v>229.33333333333334</v>
      </c>
      <c r="N1131" s="12" t="s">
        <v>44</v>
      </c>
      <c r="O1131" s="47" t="s">
        <v>45</v>
      </c>
      <c r="P1131" s="13">
        <f t="shared" si="624"/>
        <v>0.5</v>
      </c>
      <c r="Q1131" s="1" t="str">
        <f t="shared" si="626"/>
        <v>1000 + шт - 0,5 руб / шт с НДС</v>
      </c>
      <c r="R1131" s="235"/>
      <c r="S1131" s="239"/>
      <c r="T1131" s="226"/>
      <c r="U1131" s="228"/>
      <c r="V1131" s="222"/>
      <c r="W1131" s="229"/>
      <c r="X1131" s="227"/>
      <c r="Y1131" s="229"/>
      <c r="Z1131" s="236"/>
      <c r="AA1131" s="237"/>
      <c r="AB1131" s="238"/>
      <c r="AC1131" s="223"/>
      <c r="AD1131" s="222"/>
    </row>
    <row r="1132" spans="1:30" x14ac:dyDescent="0.4">
      <c r="A1132" s="230">
        <v>228</v>
      </c>
      <c r="B1132" s="8">
        <v>228</v>
      </c>
      <c r="C1132" s="14">
        <f t="shared" ca="1" si="642"/>
        <v>0.15</v>
      </c>
      <c r="D1132" s="20">
        <f t="shared" ca="1" si="654"/>
        <v>0.18</v>
      </c>
      <c r="E1132" s="225" t="str">
        <f ca="1">INDIRECT("'Закуп'!D" &amp; A1132)</f>
        <v>0-ТМ</v>
      </c>
      <c r="F1132" s="231" t="str">
        <f t="shared" ref="F1132" ca="1" si="659">INDIRECT("'Закуп'!E" &amp; B1132)</f>
        <v>120х90х25</v>
      </c>
      <c r="G1132" s="172" t="str">
        <f t="shared" ca="1" si="637"/>
        <v>Sale</v>
      </c>
      <c r="H1132" s="93" t="str">
        <f t="shared" ca="1" si="638"/>
        <v/>
      </c>
      <c r="I1132" s="21">
        <v>50</v>
      </c>
      <c r="J1132" s="68">
        <f t="shared" si="639"/>
        <v>0.41666666666666669</v>
      </c>
      <c r="K1132" s="70">
        <v>0.5</v>
      </c>
      <c r="L1132" s="72">
        <f t="shared" ca="1" si="635"/>
        <v>0.21333333333333337</v>
      </c>
      <c r="M1132" s="73">
        <f t="shared" ca="1" si="636"/>
        <v>10.666666666666668</v>
      </c>
      <c r="N1132" s="12" t="s">
        <v>40</v>
      </c>
      <c r="O1132" s="47" t="s">
        <v>45</v>
      </c>
      <c r="P1132" s="13">
        <f t="shared" si="624"/>
        <v>0.5</v>
      </c>
      <c r="Q1132" s="1" t="str">
        <f t="shared" si="626"/>
        <v>50-90 шт - 0,5 руб / шт с НДС</v>
      </c>
      <c r="R1132" s="235" t="str">
        <f ca="1">INDIRECT("'Закуп'!k" &amp; A1132)</f>
        <v>K1008</v>
      </c>
      <c r="S1132" s="239">
        <f ca="1">INDIRECT("'Закуп'!o" &amp; A1132)</f>
        <v>0.27</v>
      </c>
      <c r="T1132" s="226" t="str">
        <f ca="1">INDIRECT("'Закуп'!p" &amp; A1132)</f>
        <v>0,1-0,9 литров</v>
      </c>
      <c r="U1132" s="228" t="str">
        <f ca="1">INDIRECT("'Закуп'!v" &amp; A1132)</f>
        <v/>
      </c>
      <c r="V1132" s="222" t="str">
        <f ca="1">INDIRECT("'Закуп'!w" &amp; A1132)</f>
        <v>Плоские</v>
      </c>
      <c r="W1132" s="229" t="str">
        <f ca="1">INDIRECT("'Закуп'!H" &amp; A1132)</f>
        <v>0427</v>
      </c>
      <c r="X1132" s="227" t="str">
        <f t="shared" ref="X1132" ca="1" si="660">INDIRECT("'Закуп'!g" &amp; A1132)</f>
        <v>С</v>
      </c>
      <c r="Y1132" s="229" t="str">
        <f ca="1">INDIRECT("'Закуп'!i" &amp; A1132)</f>
        <v>Е</v>
      </c>
      <c r="Z1132" s="236" t="str">
        <f ca="1">INDIRECT("'Закуп'!x" &amp; A1132)</f>
        <v>100-199 мм</v>
      </c>
      <c r="AA1132" s="237" t="str">
        <f ca="1">INDIRECT("'Закуп'!y" &amp; A1132)</f>
        <v>10-99 мм</v>
      </c>
      <c r="AB1132" s="238" t="str">
        <f ca="1">INDIRECT("'Закуп'!z" &amp; A1132)</f>
        <v>10-99 мм</v>
      </c>
      <c r="AC1132" s="223" t="str">
        <f t="shared" ca="1" si="630"/>
        <v>120x90x25</v>
      </c>
      <c r="AD1132" s="222" t="str">
        <f t="shared" ca="1" si="653"/>
        <v>120x90x25 - 120*90*25 мм</v>
      </c>
    </row>
    <row r="1133" spans="1:30" x14ac:dyDescent="0.4">
      <c r="A1133" s="230"/>
      <c r="B1133" s="8">
        <v>228</v>
      </c>
      <c r="C1133" s="14">
        <f t="shared" ca="1" si="642"/>
        <v>0.15</v>
      </c>
      <c r="D1133" s="20">
        <f t="shared" ca="1" si="654"/>
        <v>0.18</v>
      </c>
      <c r="E1133" s="225"/>
      <c r="F1133" s="231"/>
      <c r="G1133" s="172" t="str">
        <f t="shared" ca="1" si="637"/>
        <v>Sale</v>
      </c>
      <c r="H1133" s="93" t="str">
        <f t="shared" ca="1" si="638"/>
        <v/>
      </c>
      <c r="I1133" s="21">
        <v>100</v>
      </c>
      <c r="J1133" s="68">
        <f t="shared" si="639"/>
        <v>0.41666666666666669</v>
      </c>
      <c r="K1133" s="70">
        <v>0.5</v>
      </c>
      <c r="L1133" s="72">
        <f t="shared" ca="1" si="635"/>
        <v>0.21333333333333337</v>
      </c>
      <c r="M1133" s="73">
        <f t="shared" ca="1" si="636"/>
        <v>21.333333333333336</v>
      </c>
      <c r="N1133" s="12" t="s">
        <v>41</v>
      </c>
      <c r="O1133" s="47" t="s">
        <v>45</v>
      </c>
      <c r="P1133" s="13">
        <f t="shared" si="624"/>
        <v>0.5</v>
      </c>
      <c r="Q1133" s="1" t="str">
        <f t="shared" si="626"/>
        <v>100-290 шт - 0,5 руб / шт с НДС</v>
      </c>
      <c r="R1133" s="235"/>
      <c r="S1133" s="239"/>
      <c r="T1133" s="226"/>
      <c r="U1133" s="228"/>
      <c r="V1133" s="222"/>
      <c r="W1133" s="229"/>
      <c r="X1133" s="227"/>
      <c r="Y1133" s="229"/>
      <c r="Z1133" s="236"/>
      <c r="AA1133" s="237"/>
      <c r="AB1133" s="238"/>
      <c r="AC1133" s="223"/>
      <c r="AD1133" s="222"/>
    </row>
    <row r="1134" spans="1:30" x14ac:dyDescent="0.4">
      <c r="A1134" s="230"/>
      <c r="B1134" s="8">
        <v>228</v>
      </c>
      <c r="C1134" s="14">
        <f t="shared" ca="1" si="642"/>
        <v>0.15</v>
      </c>
      <c r="D1134" s="20">
        <f t="shared" ca="1" si="654"/>
        <v>0.18</v>
      </c>
      <c r="E1134" s="225"/>
      <c r="F1134" s="231"/>
      <c r="G1134" s="172" t="str">
        <f t="shared" ca="1" si="637"/>
        <v>Sale</v>
      </c>
      <c r="H1134" s="93" t="str">
        <f t="shared" ca="1" si="638"/>
        <v/>
      </c>
      <c r="I1134" s="21">
        <v>300</v>
      </c>
      <c r="J1134" s="68">
        <f t="shared" si="639"/>
        <v>0.41666666666666669</v>
      </c>
      <c r="K1134" s="70">
        <v>0.5</v>
      </c>
      <c r="L1134" s="72">
        <f t="shared" ca="1" si="635"/>
        <v>0.21333333333333337</v>
      </c>
      <c r="M1134" s="73">
        <f t="shared" ca="1" si="636"/>
        <v>64.000000000000014</v>
      </c>
      <c r="N1134" s="12" t="s">
        <v>42</v>
      </c>
      <c r="O1134" s="47" t="s">
        <v>45</v>
      </c>
      <c r="P1134" s="13">
        <f t="shared" si="624"/>
        <v>0.5</v>
      </c>
      <c r="Q1134" s="1" t="str">
        <f t="shared" si="626"/>
        <v>300-490 шт - 0,5 руб / шт с НДС</v>
      </c>
      <c r="R1134" s="235"/>
      <c r="S1134" s="239"/>
      <c r="T1134" s="226"/>
      <c r="U1134" s="228"/>
      <c r="V1134" s="222"/>
      <c r="W1134" s="229"/>
      <c r="X1134" s="227"/>
      <c r="Y1134" s="229"/>
      <c r="Z1134" s="236"/>
      <c r="AA1134" s="237"/>
      <c r="AB1134" s="238"/>
      <c r="AC1134" s="223"/>
      <c r="AD1134" s="222"/>
    </row>
    <row r="1135" spans="1:30" x14ac:dyDescent="0.4">
      <c r="A1135" s="230"/>
      <c r="B1135" s="8">
        <v>228</v>
      </c>
      <c r="C1135" s="14">
        <f t="shared" ca="1" si="642"/>
        <v>0.15</v>
      </c>
      <c r="D1135" s="20">
        <f t="shared" ca="1" si="654"/>
        <v>0.18</v>
      </c>
      <c r="E1135" s="225"/>
      <c r="F1135" s="231"/>
      <c r="G1135" s="172" t="str">
        <f t="shared" ca="1" si="637"/>
        <v>Sale</v>
      </c>
      <c r="H1135" s="93" t="str">
        <f t="shared" ca="1" si="638"/>
        <v/>
      </c>
      <c r="I1135" s="21">
        <v>500</v>
      </c>
      <c r="J1135" s="68">
        <f t="shared" si="639"/>
        <v>0.41666666666666669</v>
      </c>
      <c r="K1135" s="70">
        <v>0.5</v>
      </c>
      <c r="L1135" s="72">
        <f t="shared" ca="1" si="635"/>
        <v>0.21333333333333337</v>
      </c>
      <c r="M1135" s="73">
        <f t="shared" ca="1" si="636"/>
        <v>106.66666666666669</v>
      </c>
      <c r="N1135" s="12" t="s">
        <v>43</v>
      </c>
      <c r="O1135" s="47" t="s">
        <v>45</v>
      </c>
      <c r="P1135" s="13">
        <f t="shared" ref="P1135:P1198" si="661">ROUND(K1135,2)</f>
        <v>0.5</v>
      </c>
      <c r="Q1135" s="1" t="str">
        <f t="shared" si="626"/>
        <v>500-990 шт - 0,5 руб / шт с НДС</v>
      </c>
      <c r="R1135" s="235"/>
      <c r="S1135" s="239"/>
      <c r="T1135" s="226"/>
      <c r="U1135" s="228"/>
      <c r="V1135" s="222"/>
      <c r="W1135" s="229"/>
      <c r="X1135" s="227"/>
      <c r="Y1135" s="229"/>
      <c r="Z1135" s="236"/>
      <c r="AA1135" s="237"/>
      <c r="AB1135" s="238"/>
      <c r="AC1135" s="223"/>
      <c r="AD1135" s="222"/>
    </row>
    <row r="1136" spans="1:30" x14ac:dyDescent="0.4">
      <c r="A1136" s="230"/>
      <c r="B1136" s="8">
        <v>228</v>
      </c>
      <c r="C1136" s="14">
        <f t="shared" ca="1" si="642"/>
        <v>0.15</v>
      </c>
      <c r="D1136" s="20">
        <f t="shared" ca="1" si="654"/>
        <v>0.18</v>
      </c>
      <c r="E1136" s="225"/>
      <c r="F1136" s="231"/>
      <c r="G1136" s="172" t="str">
        <f t="shared" ca="1" si="637"/>
        <v>Sale</v>
      </c>
      <c r="H1136" s="93" t="str">
        <f t="shared" ca="1" si="638"/>
        <v/>
      </c>
      <c r="I1136" s="21">
        <v>1000</v>
      </c>
      <c r="J1136" s="68">
        <f t="shared" si="639"/>
        <v>0.41666666666666669</v>
      </c>
      <c r="K1136" s="70">
        <v>0.5</v>
      </c>
      <c r="L1136" s="72">
        <f t="shared" ca="1" si="635"/>
        <v>0.21333333333333337</v>
      </c>
      <c r="M1136" s="73">
        <f t="shared" ca="1" si="636"/>
        <v>213.33333333333337</v>
      </c>
      <c r="N1136" s="12" t="s">
        <v>44</v>
      </c>
      <c r="O1136" s="47" t="s">
        <v>45</v>
      </c>
      <c r="P1136" s="13">
        <f t="shared" si="661"/>
        <v>0.5</v>
      </c>
      <c r="Q1136" s="1" t="str">
        <f t="shared" ref="Q1136:Q1199" si="662">CONCATENATE(N1136,P1136,O1136,)</f>
        <v>1000 + шт - 0,5 руб / шт с НДС</v>
      </c>
      <c r="R1136" s="235"/>
      <c r="S1136" s="239"/>
      <c r="T1136" s="226"/>
      <c r="U1136" s="228"/>
      <c r="V1136" s="222"/>
      <c r="W1136" s="229"/>
      <c r="X1136" s="227"/>
      <c r="Y1136" s="229"/>
      <c r="Z1136" s="236"/>
      <c r="AA1136" s="237"/>
      <c r="AB1136" s="238"/>
      <c r="AC1136" s="223"/>
      <c r="AD1136" s="222"/>
    </row>
    <row r="1137" spans="1:30" x14ac:dyDescent="0.4">
      <c r="A1137" s="230">
        <v>229</v>
      </c>
      <c r="B1137" s="8">
        <v>229</v>
      </c>
      <c r="C1137" s="14">
        <f t="shared" ca="1" si="642"/>
        <v>0.55000000000000004</v>
      </c>
      <c r="D1137" s="20">
        <f t="shared" ca="1" si="654"/>
        <v>0.66</v>
      </c>
      <c r="E1137" s="225" t="str">
        <f ca="1">INDIRECT("'Закуп'!D" &amp; A1137)</f>
        <v>0-ТМ</v>
      </c>
      <c r="F1137" s="231" t="str">
        <f t="shared" ref="F1137" ca="1" si="663">INDIRECT("'Закуп'!E" &amp; B1137)</f>
        <v>180х125х125</v>
      </c>
      <c r="G1137" s="172" t="str">
        <f t="shared" ca="1" si="637"/>
        <v>Sale</v>
      </c>
      <c r="H1137" s="93" t="str">
        <f t="shared" ca="1" si="638"/>
        <v/>
      </c>
      <c r="I1137" s="21">
        <v>50</v>
      </c>
      <c r="J1137" s="68">
        <f t="shared" si="639"/>
        <v>0.625</v>
      </c>
      <c r="K1137" s="70">
        <v>0.75</v>
      </c>
      <c r="L1137" s="72">
        <f t="shared" ca="1" si="635"/>
        <v>5.9999999999999963E-2</v>
      </c>
      <c r="M1137" s="73">
        <f t="shared" ca="1" si="636"/>
        <v>2.9999999999999982</v>
      </c>
      <c r="N1137" s="12" t="s">
        <v>40</v>
      </c>
      <c r="O1137" s="47" t="s">
        <v>45</v>
      </c>
      <c r="P1137" s="13">
        <f t="shared" si="661"/>
        <v>0.75</v>
      </c>
      <c r="Q1137" s="1" t="str">
        <f t="shared" si="662"/>
        <v>50-90 шт - 0,75 руб / шт с НДС</v>
      </c>
      <c r="R1137" s="235" t="str">
        <f ca="1">INDIRECT("'Закуп'!k" &amp; A1137)</f>
        <v>K1010</v>
      </c>
      <c r="S1137" s="239">
        <f ca="1">INDIRECT("'Закуп'!o" &amp; A1137)</f>
        <v>2.81</v>
      </c>
      <c r="T1137" s="226" t="str">
        <f ca="1">INDIRECT("'Закуп'!p" &amp; A1137)</f>
        <v>2-2,9 литра</v>
      </c>
      <c r="U1137" s="228" t="str">
        <f ca="1">INDIRECT("'Закуп'!v" &amp; A1137)</f>
        <v/>
      </c>
      <c r="V1137" s="222" t="str">
        <f ca="1">INDIRECT("'Закуп'!w" &amp; A1137)</f>
        <v/>
      </c>
      <c r="W1137" s="229" t="str">
        <f ca="1">INDIRECT("'Закуп'!H" &amp; A1137)</f>
        <v>0471</v>
      </c>
      <c r="X1137" s="227" t="str">
        <f t="shared" ref="X1137" ca="1" si="664">INDIRECT("'Закуп'!g" &amp; A1137)</f>
        <v>С</v>
      </c>
      <c r="Y1137" s="229" t="str">
        <f ca="1">INDIRECT("'Закуп'!i" &amp; A1137)</f>
        <v>В</v>
      </c>
      <c r="Z1137" s="236" t="str">
        <f ca="1">INDIRECT("'Закуп'!x" &amp; A1137)</f>
        <v>100-199 мм</v>
      </c>
      <c r="AA1137" s="237" t="str">
        <f ca="1">INDIRECT("'Закуп'!y" &amp; A1137)</f>
        <v>100-199 мм</v>
      </c>
      <c r="AB1137" s="238" t="str">
        <f ca="1">INDIRECT("'Закуп'!z" &amp; A1137)</f>
        <v>100-199 мм</v>
      </c>
      <c r="AC1137" s="223" t="str">
        <f t="shared" ca="1" si="630"/>
        <v>180x125x125</v>
      </c>
      <c r="AD1137" s="222" t="str">
        <f t="shared" ca="1" si="653"/>
        <v>180x125x125 - 180*125*125 мм</v>
      </c>
    </row>
    <row r="1138" spans="1:30" x14ac:dyDescent="0.4">
      <c r="A1138" s="230"/>
      <c r="B1138" s="8">
        <v>229</v>
      </c>
      <c r="C1138" s="14">
        <f t="shared" ca="1" si="642"/>
        <v>0.55000000000000004</v>
      </c>
      <c r="D1138" s="20">
        <f t="shared" ca="1" si="654"/>
        <v>0.66</v>
      </c>
      <c r="E1138" s="225"/>
      <c r="F1138" s="231"/>
      <c r="G1138" s="172" t="str">
        <f t="shared" ca="1" si="637"/>
        <v>Sale</v>
      </c>
      <c r="H1138" s="93" t="str">
        <f t="shared" ca="1" si="638"/>
        <v/>
      </c>
      <c r="I1138" s="21">
        <v>100</v>
      </c>
      <c r="J1138" s="68">
        <f t="shared" si="639"/>
        <v>0.625</v>
      </c>
      <c r="K1138" s="70">
        <v>0.75</v>
      </c>
      <c r="L1138" s="72">
        <f t="shared" ca="1" si="635"/>
        <v>5.9999999999999963E-2</v>
      </c>
      <c r="M1138" s="73">
        <f t="shared" ca="1" si="636"/>
        <v>5.9999999999999964</v>
      </c>
      <c r="N1138" s="12" t="s">
        <v>41</v>
      </c>
      <c r="O1138" s="47" t="s">
        <v>45</v>
      </c>
      <c r="P1138" s="13">
        <f t="shared" si="661"/>
        <v>0.75</v>
      </c>
      <c r="Q1138" s="1" t="str">
        <f t="shared" si="662"/>
        <v>100-290 шт - 0,75 руб / шт с НДС</v>
      </c>
      <c r="R1138" s="235"/>
      <c r="S1138" s="239"/>
      <c r="T1138" s="226"/>
      <c r="U1138" s="228"/>
      <c r="V1138" s="222"/>
      <c r="W1138" s="229"/>
      <c r="X1138" s="227"/>
      <c r="Y1138" s="229"/>
      <c r="Z1138" s="236"/>
      <c r="AA1138" s="237"/>
      <c r="AB1138" s="238"/>
      <c r="AC1138" s="223"/>
      <c r="AD1138" s="222"/>
    </row>
    <row r="1139" spans="1:30" x14ac:dyDescent="0.4">
      <c r="A1139" s="230"/>
      <c r="B1139" s="8">
        <v>229</v>
      </c>
      <c r="C1139" s="14">
        <f t="shared" ca="1" si="642"/>
        <v>0.55000000000000004</v>
      </c>
      <c r="D1139" s="20">
        <f t="shared" ca="1" si="654"/>
        <v>0.66</v>
      </c>
      <c r="E1139" s="225"/>
      <c r="F1139" s="231"/>
      <c r="G1139" s="172" t="str">
        <f t="shared" ca="1" si="637"/>
        <v>Sale</v>
      </c>
      <c r="H1139" s="93" t="str">
        <f t="shared" ca="1" si="638"/>
        <v/>
      </c>
      <c r="I1139" s="21">
        <v>300</v>
      </c>
      <c r="J1139" s="68">
        <f t="shared" si="639"/>
        <v>0.625</v>
      </c>
      <c r="K1139" s="70">
        <v>0.75</v>
      </c>
      <c r="L1139" s="72">
        <f t="shared" ca="1" si="635"/>
        <v>5.9999999999999963E-2</v>
      </c>
      <c r="M1139" s="73">
        <f t="shared" ca="1" si="636"/>
        <v>17.999999999999989</v>
      </c>
      <c r="N1139" s="12" t="s">
        <v>42</v>
      </c>
      <c r="O1139" s="47" t="s">
        <v>45</v>
      </c>
      <c r="P1139" s="13">
        <f t="shared" si="661"/>
        <v>0.75</v>
      </c>
      <c r="Q1139" s="1" t="str">
        <f t="shared" si="662"/>
        <v>300-490 шт - 0,75 руб / шт с НДС</v>
      </c>
      <c r="R1139" s="235"/>
      <c r="S1139" s="239"/>
      <c r="T1139" s="226"/>
      <c r="U1139" s="228"/>
      <c r="V1139" s="222"/>
      <c r="W1139" s="229"/>
      <c r="X1139" s="227"/>
      <c r="Y1139" s="229"/>
      <c r="Z1139" s="236"/>
      <c r="AA1139" s="237"/>
      <c r="AB1139" s="238"/>
      <c r="AC1139" s="223"/>
      <c r="AD1139" s="222"/>
    </row>
    <row r="1140" spans="1:30" x14ac:dyDescent="0.4">
      <c r="A1140" s="230"/>
      <c r="B1140" s="8">
        <v>229</v>
      </c>
      <c r="C1140" s="14">
        <f t="shared" ca="1" si="642"/>
        <v>0.55000000000000004</v>
      </c>
      <c r="D1140" s="20">
        <f t="shared" ca="1" si="654"/>
        <v>0.66</v>
      </c>
      <c r="E1140" s="225"/>
      <c r="F1140" s="231"/>
      <c r="G1140" s="172" t="str">
        <f t="shared" ca="1" si="637"/>
        <v>Sale</v>
      </c>
      <c r="H1140" s="93" t="str">
        <f t="shared" ca="1" si="638"/>
        <v/>
      </c>
      <c r="I1140" s="21">
        <v>500</v>
      </c>
      <c r="J1140" s="68">
        <f t="shared" si="639"/>
        <v>0.625</v>
      </c>
      <c r="K1140" s="70">
        <v>0.75</v>
      </c>
      <c r="L1140" s="72">
        <f t="shared" ca="1" si="635"/>
        <v>5.9999999999999963E-2</v>
      </c>
      <c r="M1140" s="73">
        <f t="shared" ca="1" si="636"/>
        <v>29.999999999999982</v>
      </c>
      <c r="N1140" s="12" t="s">
        <v>43</v>
      </c>
      <c r="O1140" s="47" t="s">
        <v>45</v>
      </c>
      <c r="P1140" s="13">
        <f t="shared" si="661"/>
        <v>0.75</v>
      </c>
      <c r="Q1140" s="1" t="str">
        <f t="shared" si="662"/>
        <v>500-990 шт - 0,75 руб / шт с НДС</v>
      </c>
      <c r="R1140" s="235"/>
      <c r="S1140" s="239"/>
      <c r="T1140" s="226"/>
      <c r="U1140" s="228"/>
      <c r="V1140" s="222"/>
      <c r="W1140" s="229"/>
      <c r="X1140" s="227"/>
      <c r="Y1140" s="229"/>
      <c r="Z1140" s="236"/>
      <c r="AA1140" s="237"/>
      <c r="AB1140" s="238"/>
      <c r="AC1140" s="223"/>
      <c r="AD1140" s="222"/>
    </row>
    <row r="1141" spans="1:30" x14ac:dyDescent="0.4">
      <c r="A1141" s="230"/>
      <c r="B1141" s="8">
        <v>229</v>
      </c>
      <c r="C1141" s="14">
        <f t="shared" ca="1" si="642"/>
        <v>0.55000000000000004</v>
      </c>
      <c r="D1141" s="20">
        <f t="shared" ca="1" si="654"/>
        <v>0.66</v>
      </c>
      <c r="E1141" s="225"/>
      <c r="F1141" s="231"/>
      <c r="G1141" s="172" t="str">
        <f t="shared" ca="1" si="637"/>
        <v>Sale</v>
      </c>
      <c r="H1141" s="93" t="str">
        <f t="shared" ca="1" si="638"/>
        <v/>
      </c>
      <c r="I1141" s="21">
        <v>1000</v>
      </c>
      <c r="J1141" s="68">
        <f t="shared" si="639"/>
        <v>0.625</v>
      </c>
      <c r="K1141" s="70">
        <v>0.75</v>
      </c>
      <c r="L1141" s="72">
        <f t="shared" ca="1" si="635"/>
        <v>5.9999999999999963E-2</v>
      </c>
      <c r="M1141" s="73">
        <f t="shared" ca="1" si="636"/>
        <v>59.999999999999964</v>
      </c>
      <c r="N1141" s="12" t="s">
        <v>44</v>
      </c>
      <c r="O1141" s="47" t="s">
        <v>45</v>
      </c>
      <c r="P1141" s="13">
        <f t="shared" si="661"/>
        <v>0.75</v>
      </c>
      <c r="Q1141" s="1" t="str">
        <f t="shared" si="662"/>
        <v>1000 + шт - 0,75 руб / шт с НДС</v>
      </c>
      <c r="R1141" s="235"/>
      <c r="S1141" s="239"/>
      <c r="T1141" s="226"/>
      <c r="U1141" s="228"/>
      <c r="V1141" s="222"/>
      <c r="W1141" s="229"/>
      <c r="X1141" s="227"/>
      <c r="Y1141" s="229"/>
      <c r="Z1141" s="236"/>
      <c r="AA1141" s="237"/>
      <c r="AB1141" s="238"/>
      <c r="AC1141" s="223"/>
      <c r="AD1141" s="222"/>
    </row>
    <row r="1142" spans="1:30" x14ac:dyDescent="0.4">
      <c r="A1142" s="230">
        <v>230</v>
      </c>
      <c r="B1142" s="8">
        <v>230</v>
      </c>
      <c r="C1142" s="14">
        <f t="shared" ca="1" si="642"/>
        <v>0.28000000000000003</v>
      </c>
      <c r="D1142" s="20">
        <f t="shared" ca="1" si="654"/>
        <v>0.33600000000000002</v>
      </c>
      <c r="E1142" s="224" t="str">
        <f ca="1">INDIRECT("'Закуп'!D" &amp; A1142)</f>
        <v>У</v>
      </c>
      <c r="F1142" s="231" t="str">
        <f t="shared" ref="F1142" ca="1" si="665">INDIRECT("'Закуп'!E" &amp; B1142)</f>
        <v>190х130х35</v>
      </c>
      <c r="G1142" s="172" t="str">
        <f t="shared" ca="1" si="637"/>
        <v/>
      </c>
      <c r="H1142" s="93" t="str">
        <f t="shared" ca="1" si="638"/>
        <v/>
      </c>
      <c r="I1142" s="21">
        <v>50</v>
      </c>
      <c r="J1142" s="68">
        <f t="shared" si="639"/>
        <v>0.89166666666666672</v>
      </c>
      <c r="K1142" s="70">
        <v>1.07</v>
      </c>
      <c r="L1142" s="72">
        <f t="shared" ca="1" si="635"/>
        <v>0.48933333333333334</v>
      </c>
      <c r="M1142" s="73">
        <f t="shared" ca="1" si="636"/>
        <v>24.466666666666669</v>
      </c>
      <c r="N1142" s="12" t="s">
        <v>40</v>
      </c>
      <c r="O1142" s="47" t="s">
        <v>45</v>
      </c>
      <c r="P1142" s="13">
        <f t="shared" si="661"/>
        <v>1.07</v>
      </c>
      <c r="Q1142" s="1" t="str">
        <f t="shared" si="662"/>
        <v>50-90 шт - 1,07 руб / шт с НДС</v>
      </c>
      <c r="R1142" s="235" t="str">
        <f ca="1">INDIRECT("'Закуп'!k" &amp; A1142)</f>
        <v>K224</v>
      </c>
      <c r="S1142" s="239">
        <f ca="1">INDIRECT("'Закуп'!o" &amp; A1142)</f>
        <v>0.86</v>
      </c>
      <c r="T1142" s="226" t="str">
        <f ca="1">INDIRECT("'Закуп'!p" &amp; A1142)</f>
        <v>0,1-0,9 литров</v>
      </c>
      <c r="U1142" s="228" t="str">
        <f ca="1">INDIRECT("'Закуп'!v" &amp; A1142)</f>
        <v/>
      </c>
      <c r="V1142" s="222" t="str">
        <f ca="1">INDIRECT("'Закуп'!w" &amp; A1142)</f>
        <v>Плоские</v>
      </c>
      <c r="W1142" s="229" t="str">
        <f ca="1">INDIRECT("'Закуп'!H" &amp; A1142)</f>
        <v>0427</v>
      </c>
      <c r="X1142" s="227" t="str">
        <f t="shared" ref="X1142" ca="1" si="666">INDIRECT("'Закуп'!g" &amp; A1142)</f>
        <v>С</v>
      </c>
      <c r="Y1142" s="229" t="str">
        <f ca="1">INDIRECT("'Закуп'!i" &amp; A1142)</f>
        <v>В</v>
      </c>
      <c r="Z1142" s="236" t="str">
        <f ca="1">INDIRECT("'Закуп'!x" &amp; A1142)</f>
        <v>100-199 мм</v>
      </c>
      <c r="AA1142" s="237" t="str">
        <f ca="1">INDIRECT("'Закуп'!y" &amp; A1142)</f>
        <v>100-199 мм</v>
      </c>
      <c r="AB1142" s="238" t="str">
        <f ca="1">INDIRECT("'Закуп'!z" &amp; A1142)</f>
        <v>10-99 мм</v>
      </c>
      <c r="AC1142" s="223" t="str">
        <f t="shared" ref="AC1142:AC1202" ca="1" si="667">SUBSTITUTE(INDEX(F:F, ROUNDUP((ROW(A1141))/5,0)*5 - 3), "х", "x")</f>
        <v>190x130x35</v>
      </c>
      <c r="AD1142" s="222" t="str">
        <f t="shared" ca="1" si="653"/>
        <v>190x130x35 - 190*130*35 мм</v>
      </c>
    </row>
    <row r="1143" spans="1:30" x14ac:dyDescent="0.4">
      <c r="A1143" s="230"/>
      <c r="B1143" s="8">
        <v>230</v>
      </c>
      <c r="C1143" s="14">
        <f t="shared" ca="1" si="642"/>
        <v>0.28000000000000003</v>
      </c>
      <c r="D1143" s="20">
        <f t="shared" ca="1" si="654"/>
        <v>0.33600000000000002</v>
      </c>
      <c r="E1143" s="225"/>
      <c r="F1143" s="231"/>
      <c r="G1143" s="172" t="str">
        <f t="shared" ca="1" si="637"/>
        <v/>
      </c>
      <c r="H1143" s="93" t="str">
        <f t="shared" ca="1" si="638"/>
        <v/>
      </c>
      <c r="I1143" s="21">
        <v>100</v>
      </c>
      <c r="J1143" s="68">
        <f t="shared" si="639"/>
        <v>0.75833333333333341</v>
      </c>
      <c r="K1143" s="70">
        <v>0.91</v>
      </c>
      <c r="L1143" s="72">
        <f t="shared" ca="1" si="635"/>
        <v>0.38266666666666671</v>
      </c>
      <c r="M1143" s="73">
        <f t="shared" ca="1" si="636"/>
        <v>38.266666666666673</v>
      </c>
      <c r="N1143" s="12" t="s">
        <v>41</v>
      </c>
      <c r="O1143" s="47" t="s">
        <v>45</v>
      </c>
      <c r="P1143" s="13">
        <f t="shared" si="661"/>
        <v>0.91</v>
      </c>
      <c r="Q1143" s="1" t="str">
        <f t="shared" si="662"/>
        <v>100-290 шт - 0,91 руб / шт с НДС</v>
      </c>
      <c r="R1143" s="235"/>
      <c r="S1143" s="239"/>
      <c r="T1143" s="226"/>
      <c r="U1143" s="228"/>
      <c r="V1143" s="222"/>
      <c r="W1143" s="229"/>
      <c r="X1143" s="227"/>
      <c r="Y1143" s="229"/>
      <c r="Z1143" s="236"/>
      <c r="AA1143" s="237"/>
      <c r="AB1143" s="238"/>
      <c r="AC1143" s="223"/>
      <c r="AD1143" s="222"/>
    </row>
    <row r="1144" spans="1:30" x14ac:dyDescent="0.4">
      <c r="A1144" s="230"/>
      <c r="B1144" s="8">
        <v>230</v>
      </c>
      <c r="C1144" s="14">
        <f t="shared" ca="1" si="642"/>
        <v>0.28000000000000003</v>
      </c>
      <c r="D1144" s="20">
        <f t="shared" ca="1" si="654"/>
        <v>0.33600000000000002</v>
      </c>
      <c r="E1144" s="225"/>
      <c r="F1144" s="231"/>
      <c r="G1144" s="172" t="str">
        <f t="shared" ca="1" si="637"/>
        <v/>
      </c>
      <c r="H1144" s="93" t="str">
        <f t="shared" ca="1" si="638"/>
        <v/>
      </c>
      <c r="I1144" s="21">
        <v>300</v>
      </c>
      <c r="J1144" s="68">
        <f t="shared" si="639"/>
        <v>0.625</v>
      </c>
      <c r="K1144" s="70">
        <v>0.75</v>
      </c>
      <c r="L1144" s="72">
        <f t="shared" ca="1" si="635"/>
        <v>0.27599999999999997</v>
      </c>
      <c r="M1144" s="73">
        <f t="shared" ca="1" si="636"/>
        <v>82.8</v>
      </c>
      <c r="N1144" s="12" t="s">
        <v>42</v>
      </c>
      <c r="O1144" s="47" t="s">
        <v>45</v>
      </c>
      <c r="P1144" s="13">
        <f t="shared" si="661"/>
        <v>0.75</v>
      </c>
      <c r="Q1144" s="1" t="str">
        <f t="shared" si="662"/>
        <v>300-490 шт - 0,75 руб / шт с НДС</v>
      </c>
      <c r="R1144" s="235"/>
      <c r="S1144" s="239"/>
      <c r="T1144" s="226"/>
      <c r="U1144" s="228"/>
      <c r="V1144" s="222"/>
      <c r="W1144" s="229"/>
      <c r="X1144" s="227"/>
      <c r="Y1144" s="229"/>
      <c r="Z1144" s="236"/>
      <c r="AA1144" s="237"/>
      <c r="AB1144" s="238"/>
      <c r="AC1144" s="223"/>
      <c r="AD1144" s="222"/>
    </row>
    <row r="1145" spans="1:30" x14ac:dyDescent="0.4">
      <c r="A1145" s="230"/>
      <c r="B1145" s="8">
        <v>230</v>
      </c>
      <c r="C1145" s="14">
        <f t="shared" ca="1" si="642"/>
        <v>0.28000000000000003</v>
      </c>
      <c r="D1145" s="20">
        <f t="shared" ca="1" si="654"/>
        <v>0.33600000000000002</v>
      </c>
      <c r="E1145" s="225"/>
      <c r="F1145" s="231"/>
      <c r="G1145" s="172" t="str">
        <f t="shared" ca="1" si="637"/>
        <v/>
      </c>
      <c r="H1145" s="93" t="str">
        <f t="shared" ca="1" si="638"/>
        <v/>
      </c>
      <c r="I1145" s="21">
        <v>500</v>
      </c>
      <c r="J1145" s="68">
        <f t="shared" si="639"/>
        <v>0.53333333333333333</v>
      </c>
      <c r="K1145" s="70">
        <v>0.64</v>
      </c>
      <c r="L1145" s="72">
        <f t="shared" ca="1" si="635"/>
        <v>0.20266666666666663</v>
      </c>
      <c r="M1145" s="73">
        <f t="shared" ca="1" si="636"/>
        <v>101.33333333333331</v>
      </c>
      <c r="N1145" s="12" t="s">
        <v>43</v>
      </c>
      <c r="O1145" s="47" t="s">
        <v>45</v>
      </c>
      <c r="P1145" s="13">
        <f t="shared" si="661"/>
        <v>0.64</v>
      </c>
      <c r="Q1145" s="1" t="str">
        <f t="shared" si="662"/>
        <v>500-990 шт - 0,64 руб / шт с НДС</v>
      </c>
      <c r="R1145" s="235"/>
      <c r="S1145" s="239"/>
      <c r="T1145" s="226"/>
      <c r="U1145" s="228"/>
      <c r="V1145" s="222"/>
      <c r="W1145" s="229"/>
      <c r="X1145" s="227"/>
      <c r="Y1145" s="229"/>
      <c r="Z1145" s="236"/>
      <c r="AA1145" s="237"/>
      <c r="AB1145" s="238"/>
      <c r="AC1145" s="223"/>
      <c r="AD1145" s="222"/>
    </row>
    <row r="1146" spans="1:30" x14ac:dyDescent="0.4">
      <c r="A1146" s="230"/>
      <c r="B1146" s="8">
        <v>230</v>
      </c>
      <c r="C1146" s="14">
        <f t="shared" ca="1" si="642"/>
        <v>0.28000000000000003</v>
      </c>
      <c r="D1146" s="20">
        <f t="shared" ca="1" si="654"/>
        <v>0.33600000000000002</v>
      </c>
      <c r="E1146" s="225"/>
      <c r="F1146" s="231"/>
      <c r="G1146" s="172" t="str">
        <f t="shared" ca="1" si="637"/>
        <v/>
      </c>
      <c r="H1146" s="93" t="str">
        <f t="shared" ca="1" si="638"/>
        <v/>
      </c>
      <c r="I1146" s="21">
        <v>1000</v>
      </c>
      <c r="J1146" s="68">
        <f t="shared" si="639"/>
        <v>0.45000000000000007</v>
      </c>
      <c r="K1146" s="70">
        <v>0.54</v>
      </c>
      <c r="L1146" s="72">
        <f t="shared" ca="1" si="635"/>
        <v>0.13600000000000004</v>
      </c>
      <c r="M1146" s="73">
        <f t="shared" ca="1" si="636"/>
        <v>136.00000000000003</v>
      </c>
      <c r="N1146" s="12" t="s">
        <v>44</v>
      </c>
      <c r="O1146" s="47" t="s">
        <v>45</v>
      </c>
      <c r="P1146" s="13">
        <f t="shared" si="661"/>
        <v>0.54</v>
      </c>
      <c r="Q1146" s="1" t="str">
        <f t="shared" si="662"/>
        <v>1000 + шт - 0,54 руб / шт с НДС</v>
      </c>
      <c r="R1146" s="235"/>
      <c r="S1146" s="239"/>
      <c r="T1146" s="226"/>
      <c r="U1146" s="228"/>
      <c r="V1146" s="222"/>
      <c r="W1146" s="229"/>
      <c r="X1146" s="227"/>
      <c r="Y1146" s="229"/>
      <c r="Z1146" s="236"/>
      <c r="AA1146" s="237"/>
      <c r="AB1146" s="238"/>
      <c r="AC1146" s="223"/>
      <c r="AD1146" s="222"/>
    </row>
    <row r="1147" spans="1:30" x14ac:dyDescent="0.4">
      <c r="A1147" s="230">
        <v>231</v>
      </c>
      <c r="B1147" s="8">
        <v>231</v>
      </c>
      <c r="C1147" s="14">
        <f t="shared" ca="1" si="642"/>
        <v>0.48</v>
      </c>
      <c r="D1147" s="20">
        <f t="shared" ca="1" si="654"/>
        <v>0.57599999999999996</v>
      </c>
      <c r="E1147" s="224" t="str">
        <f ca="1">INDIRECT("'Закуп'!D" &amp; A1147)</f>
        <v>У</v>
      </c>
      <c r="F1147" s="231" t="str">
        <f t="shared" ref="F1147" ca="1" si="668">INDIRECT("'Закуп'!E" &amp; B1147)</f>
        <v>200х150х65</v>
      </c>
      <c r="G1147" s="172" t="str">
        <f t="shared" ca="1" si="637"/>
        <v/>
      </c>
      <c r="H1147" s="93" t="str">
        <f t="shared" ca="1" si="638"/>
        <v/>
      </c>
      <c r="I1147" s="21">
        <v>50</v>
      </c>
      <c r="J1147" s="68">
        <f t="shared" si="639"/>
        <v>1.175</v>
      </c>
      <c r="K1147" s="70">
        <v>1.41</v>
      </c>
      <c r="L1147" s="72">
        <f t="shared" ca="1" si="635"/>
        <v>0.55600000000000005</v>
      </c>
      <c r="M1147" s="73">
        <f t="shared" ca="1" si="636"/>
        <v>27.800000000000004</v>
      </c>
      <c r="N1147" s="12" t="s">
        <v>40</v>
      </c>
      <c r="O1147" s="47" t="s">
        <v>45</v>
      </c>
      <c r="P1147" s="13">
        <f t="shared" si="661"/>
        <v>1.41</v>
      </c>
      <c r="Q1147" s="1" t="str">
        <f t="shared" si="662"/>
        <v>50-90 шт - 1,41 руб / шт с НДС</v>
      </c>
      <c r="R1147" s="235" t="str">
        <f ca="1">INDIRECT("'Закуп'!k" &amp; A1147)</f>
        <v>K225</v>
      </c>
      <c r="S1147" s="239">
        <f ca="1">INDIRECT("'Закуп'!o" &amp; A1147)</f>
        <v>1.95</v>
      </c>
      <c r="T1147" s="226" t="str">
        <f ca="1">INDIRECT("'Закуп'!p" &amp; A1147)</f>
        <v>1-1,9 литра</v>
      </c>
      <c r="U1147" s="228" t="str">
        <f ca="1">INDIRECT("'Закуп'!v" &amp; A1147)</f>
        <v/>
      </c>
      <c r="V1147" s="222" t="str">
        <f ca="1">INDIRECT("'Закуп'!w" &amp; A1147)</f>
        <v>Плоские</v>
      </c>
      <c r="W1147" s="229" t="str">
        <f ca="1">INDIRECT("'Закуп'!H" &amp; A1147)</f>
        <v>0427</v>
      </c>
      <c r="X1147" s="227" t="str">
        <f t="shared" ref="X1147" ca="1" si="669">INDIRECT("'Закуп'!g" &amp; A1147)</f>
        <v>С</v>
      </c>
      <c r="Y1147" s="229" t="str">
        <f ca="1">INDIRECT("'Закуп'!i" &amp; A1147)</f>
        <v>В</v>
      </c>
      <c r="Z1147" s="236" t="str">
        <f ca="1">INDIRECT("'Закуп'!x" &amp; A1147)</f>
        <v>200-299 мм</v>
      </c>
      <c r="AA1147" s="237" t="str">
        <f ca="1">INDIRECT("'Закуп'!y" &amp; A1147)</f>
        <v>100-199 мм</v>
      </c>
      <c r="AB1147" s="238" t="str">
        <f ca="1">INDIRECT("'Закуп'!z" &amp; A1147)</f>
        <v>10-99 мм</v>
      </c>
      <c r="AC1147" s="223" t="str">
        <f t="shared" ca="1" si="667"/>
        <v>200x150x65</v>
      </c>
      <c r="AD1147" s="222" t="str">
        <f t="shared" ca="1" si="653"/>
        <v>200x150x65 - 200*150*65 мм</v>
      </c>
    </row>
    <row r="1148" spans="1:30" x14ac:dyDescent="0.4">
      <c r="A1148" s="230"/>
      <c r="B1148" s="8">
        <v>231</v>
      </c>
      <c r="C1148" s="14">
        <f t="shared" ca="1" si="642"/>
        <v>0.48</v>
      </c>
      <c r="D1148" s="20">
        <f t="shared" ca="1" si="654"/>
        <v>0.57599999999999996</v>
      </c>
      <c r="E1148" s="225"/>
      <c r="F1148" s="231"/>
      <c r="G1148" s="172" t="str">
        <f t="shared" ca="1" si="637"/>
        <v/>
      </c>
      <c r="H1148" s="93" t="str">
        <f t="shared" ca="1" si="638"/>
        <v/>
      </c>
      <c r="I1148" s="21">
        <v>100</v>
      </c>
      <c r="J1148" s="68">
        <f t="shared" si="639"/>
        <v>1.0250000000000001</v>
      </c>
      <c r="K1148" s="70">
        <v>1.23</v>
      </c>
      <c r="L1148" s="72">
        <f t="shared" ca="1" si="635"/>
        <v>0.43600000000000011</v>
      </c>
      <c r="M1148" s="73">
        <f t="shared" ca="1" si="636"/>
        <v>43.600000000000009</v>
      </c>
      <c r="N1148" s="12" t="s">
        <v>41</v>
      </c>
      <c r="O1148" s="47" t="s">
        <v>45</v>
      </c>
      <c r="P1148" s="13">
        <f t="shared" si="661"/>
        <v>1.23</v>
      </c>
      <c r="Q1148" s="1" t="str">
        <f t="shared" si="662"/>
        <v>100-290 шт - 1,23 руб / шт с НДС</v>
      </c>
      <c r="R1148" s="235"/>
      <c r="S1148" s="239"/>
      <c r="T1148" s="226"/>
      <c r="U1148" s="228"/>
      <c r="V1148" s="222"/>
      <c r="W1148" s="229"/>
      <c r="X1148" s="227"/>
      <c r="Y1148" s="229"/>
      <c r="Z1148" s="236"/>
      <c r="AA1148" s="237"/>
      <c r="AB1148" s="238"/>
      <c r="AC1148" s="223"/>
      <c r="AD1148" s="222"/>
    </row>
    <row r="1149" spans="1:30" x14ac:dyDescent="0.4">
      <c r="A1149" s="230"/>
      <c r="B1149" s="8">
        <v>231</v>
      </c>
      <c r="C1149" s="14">
        <f t="shared" ca="1" si="642"/>
        <v>0.48</v>
      </c>
      <c r="D1149" s="20">
        <f t="shared" ca="1" si="654"/>
        <v>0.57599999999999996</v>
      </c>
      <c r="E1149" s="225"/>
      <c r="F1149" s="231"/>
      <c r="G1149" s="172" t="str">
        <f t="shared" ca="1" si="637"/>
        <v/>
      </c>
      <c r="H1149" s="93" t="str">
        <f t="shared" ca="1" si="638"/>
        <v/>
      </c>
      <c r="I1149" s="21">
        <v>300</v>
      </c>
      <c r="J1149" s="68">
        <f t="shared" si="639"/>
        <v>0.87500000000000011</v>
      </c>
      <c r="K1149" s="70">
        <v>1.05</v>
      </c>
      <c r="L1149" s="72">
        <f t="shared" ca="1" si="635"/>
        <v>0.31600000000000011</v>
      </c>
      <c r="M1149" s="73">
        <f t="shared" ca="1" si="636"/>
        <v>94.80000000000004</v>
      </c>
      <c r="N1149" s="12" t="s">
        <v>42</v>
      </c>
      <c r="O1149" s="47" t="s">
        <v>45</v>
      </c>
      <c r="P1149" s="13">
        <f t="shared" si="661"/>
        <v>1.05</v>
      </c>
      <c r="Q1149" s="1" t="str">
        <f t="shared" si="662"/>
        <v>300-490 шт - 1,05 руб / шт с НДС</v>
      </c>
      <c r="R1149" s="235"/>
      <c r="S1149" s="239"/>
      <c r="T1149" s="226"/>
      <c r="U1149" s="228"/>
      <c r="V1149" s="222"/>
      <c r="W1149" s="229"/>
      <c r="X1149" s="227"/>
      <c r="Y1149" s="229"/>
      <c r="Z1149" s="236"/>
      <c r="AA1149" s="237"/>
      <c r="AB1149" s="238"/>
      <c r="AC1149" s="223"/>
      <c r="AD1149" s="222"/>
    </row>
    <row r="1150" spans="1:30" x14ac:dyDescent="0.4">
      <c r="A1150" s="230"/>
      <c r="B1150" s="8">
        <v>231</v>
      </c>
      <c r="C1150" s="14">
        <f t="shared" ca="1" si="642"/>
        <v>0.48</v>
      </c>
      <c r="D1150" s="20">
        <f t="shared" ca="1" si="654"/>
        <v>0.57599999999999996</v>
      </c>
      <c r="E1150" s="225"/>
      <c r="F1150" s="231"/>
      <c r="G1150" s="172" t="str">
        <f t="shared" ca="1" si="637"/>
        <v/>
      </c>
      <c r="H1150" s="93" t="str">
        <f t="shared" ca="1" si="638"/>
        <v/>
      </c>
      <c r="I1150" s="21">
        <v>500</v>
      </c>
      <c r="J1150" s="68">
        <f t="shared" si="639"/>
        <v>0.81666666666666665</v>
      </c>
      <c r="K1150" s="70">
        <v>0.98</v>
      </c>
      <c r="L1150" s="72">
        <f t="shared" ca="1" si="635"/>
        <v>0.26933333333333331</v>
      </c>
      <c r="M1150" s="73">
        <f t="shared" ca="1" si="636"/>
        <v>134.66666666666666</v>
      </c>
      <c r="N1150" s="12" t="s">
        <v>43</v>
      </c>
      <c r="O1150" s="47" t="s">
        <v>45</v>
      </c>
      <c r="P1150" s="13">
        <f t="shared" si="661"/>
        <v>0.98</v>
      </c>
      <c r="Q1150" s="1" t="str">
        <f t="shared" si="662"/>
        <v>500-990 шт - 0,98 руб / шт с НДС</v>
      </c>
      <c r="R1150" s="235"/>
      <c r="S1150" s="239"/>
      <c r="T1150" s="226"/>
      <c r="U1150" s="228"/>
      <c r="V1150" s="222"/>
      <c r="W1150" s="229"/>
      <c r="X1150" s="227"/>
      <c r="Y1150" s="229"/>
      <c r="Z1150" s="236"/>
      <c r="AA1150" s="237"/>
      <c r="AB1150" s="238"/>
      <c r="AC1150" s="223"/>
      <c r="AD1150" s="222"/>
    </row>
    <row r="1151" spans="1:30" x14ac:dyDescent="0.4">
      <c r="A1151" s="230"/>
      <c r="B1151" s="8">
        <v>231</v>
      </c>
      <c r="C1151" s="14">
        <f t="shared" ca="1" si="642"/>
        <v>0.48</v>
      </c>
      <c r="D1151" s="20">
        <f t="shared" ca="1" si="654"/>
        <v>0.57599999999999996</v>
      </c>
      <c r="E1151" s="225"/>
      <c r="F1151" s="231"/>
      <c r="G1151" s="172" t="str">
        <f t="shared" ca="1" si="637"/>
        <v/>
      </c>
      <c r="H1151" s="93" t="str">
        <f t="shared" ca="1" si="638"/>
        <v/>
      </c>
      <c r="I1151" s="21">
        <v>1000</v>
      </c>
      <c r="J1151" s="68">
        <f t="shared" si="639"/>
        <v>0.76666666666666672</v>
      </c>
      <c r="K1151" s="70">
        <v>0.92</v>
      </c>
      <c r="L1151" s="72">
        <f t="shared" ca="1" si="635"/>
        <v>0.22933333333333339</v>
      </c>
      <c r="M1151" s="73">
        <f t="shared" ca="1" si="636"/>
        <v>229.3333333333334</v>
      </c>
      <c r="N1151" s="12" t="s">
        <v>44</v>
      </c>
      <c r="O1151" s="47" t="s">
        <v>45</v>
      </c>
      <c r="P1151" s="13">
        <f t="shared" si="661"/>
        <v>0.92</v>
      </c>
      <c r="Q1151" s="1" t="str">
        <f t="shared" si="662"/>
        <v>1000 + шт - 0,92 руб / шт с НДС</v>
      </c>
      <c r="R1151" s="235"/>
      <c r="S1151" s="239"/>
      <c r="T1151" s="226"/>
      <c r="U1151" s="228"/>
      <c r="V1151" s="222"/>
      <c r="W1151" s="229"/>
      <c r="X1151" s="227"/>
      <c r="Y1151" s="229"/>
      <c r="Z1151" s="236"/>
      <c r="AA1151" s="237"/>
      <c r="AB1151" s="238"/>
      <c r="AC1151" s="223"/>
      <c r="AD1151" s="222"/>
    </row>
    <row r="1152" spans="1:30" x14ac:dyDescent="0.4">
      <c r="A1152" s="230">
        <v>232</v>
      </c>
      <c r="B1152" s="8">
        <v>232</v>
      </c>
      <c r="C1152" s="14">
        <f t="shared" ca="1" si="642"/>
        <v>0.99</v>
      </c>
      <c r="D1152" s="20">
        <f t="shared" ca="1" si="654"/>
        <v>1.1879999999999999</v>
      </c>
      <c r="E1152" s="225" t="str">
        <f ca="1">INDIRECT("'Закуп'!D" &amp; A1152)</f>
        <v>ТМ-
SALE</v>
      </c>
      <c r="F1152" s="231" t="str">
        <f t="shared" ref="F1152" ca="1" si="670">INDIRECT("'Закуп'!E" &amp; B1152)</f>
        <v>210х160х125</v>
      </c>
      <c r="G1152" s="172" t="str">
        <f t="shared" ca="1" si="637"/>
        <v>Sale</v>
      </c>
      <c r="H1152" s="93" t="str">
        <f t="shared" ca="1" si="638"/>
        <v/>
      </c>
      <c r="I1152" s="21">
        <v>50</v>
      </c>
      <c r="J1152" s="68">
        <f t="shared" si="639"/>
        <v>1.0833333333333335</v>
      </c>
      <c r="K1152" s="70">
        <v>1.3</v>
      </c>
      <c r="L1152" s="72">
        <f t="shared" ca="1" si="635"/>
        <v>7.4666666666666798E-2</v>
      </c>
      <c r="M1152" s="73">
        <f t="shared" ca="1" si="636"/>
        <v>3.7333333333333401</v>
      </c>
      <c r="N1152" s="12" t="s">
        <v>40</v>
      </c>
      <c r="O1152" s="47" t="s">
        <v>45</v>
      </c>
      <c r="P1152" s="13">
        <f t="shared" si="661"/>
        <v>1.3</v>
      </c>
      <c r="Q1152" s="1" t="str">
        <f t="shared" si="662"/>
        <v>50-90 шт - 1,3 руб / шт с НДС</v>
      </c>
      <c r="R1152" s="235" t="str">
        <f ca="1">INDIRECT("'Закуп'!k" &amp; A1152)</f>
        <v>K1011</v>
      </c>
      <c r="S1152" s="239">
        <f ca="1">INDIRECT("'Закуп'!o" &amp; A1152)</f>
        <v>4.2</v>
      </c>
      <c r="T1152" s="226" t="str">
        <f ca="1">INDIRECT("'Закуп'!p" &amp; A1152)</f>
        <v>4-5,9 литра</v>
      </c>
      <c r="U1152" s="228" t="str">
        <f ca="1">INDIRECT("'Закуп'!v" &amp; A1152)</f>
        <v/>
      </c>
      <c r="V1152" s="222" t="str">
        <f ca="1">INDIRECT("'Закуп'!w" &amp; A1152)</f>
        <v/>
      </c>
      <c r="W1152" s="229" t="str">
        <f ca="1">INDIRECT("'Закуп'!H" &amp; A1152)</f>
        <v>0427</v>
      </c>
      <c r="X1152" s="227" t="str">
        <f t="shared" ref="X1152" ca="1" si="671">INDIRECT("'Закуп'!g" &amp; A1152)</f>
        <v>С</v>
      </c>
      <c r="Y1152" s="229" t="str">
        <f ca="1">INDIRECT("'Закуп'!i" &amp; A1152)</f>
        <v>В</v>
      </c>
      <c r="Z1152" s="236" t="str">
        <f ca="1">INDIRECT("'Закуп'!x" &amp; A1152)</f>
        <v>200-299 мм</v>
      </c>
      <c r="AA1152" s="237" t="str">
        <f ca="1">INDIRECT("'Закуп'!y" &amp; A1152)</f>
        <v>100-199 мм</v>
      </c>
      <c r="AB1152" s="238" t="str">
        <f ca="1">INDIRECT("'Закуп'!z" &amp; A1152)</f>
        <v>100-199 мм</v>
      </c>
      <c r="AC1152" s="223" t="str">
        <f t="shared" ca="1" si="667"/>
        <v>210x160x125</v>
      </c>
      <c r="AD1152" s="222" t="str">
        <f t="shared" ca="1" si="653"/>
        <v>210x160x125 - 210*160*125 мм</v>
      </c>
    </row>
    <row r="1153" spans="1:30" x14ac:dyDescent="0.4">
      <c r="A1153" s="230"/>
      <c r="B1153" s="8">
        <v>232</v>
      </c>
      <c r="C1153" s="14">
        <f t="shared" ca="1" si="642"/>
        <v>0.99</v>
      </c>
      <c r="D1153" s="20">
        <f t="shared" ca="1" si="654"/>
        <v>1.1879999999999999</v>
      </c>
      <c r="E1153" s="225"/>
      <c r="F1153" s="231"/>
      <c r="G1153" s="172" t="str">
        <f t="shared" ca="1" si="637"/>
        <v>Sale</v>
      </c>
      <c r="H1153" s="93" t="str">
        <f t="shared" ca="1" si="638"/>
        <v/>
      </c>
      <c r="I1153" s="21">
        <v>100</v>
      </c>
      <c r="J1153" s="68">
        <f t="shared" si="639"/>
        <v>1.0833333333333335</v>
      </c>
      <c r="K1153" s="70">
        <v>1.3</v>
      </c>
      <c r="L1153" s="72">
        <f t="shared" ca="1" si="635"/>
        <v>7.4666666666666798E-2</v>
      </c>
      <c r="M1153" s="73">
        <f t="shared" ca="1" si="636"/>
        <v>7.4666666666666801</v>
      </c>
      <c r="N1153" s="12" t="s">
        <v>41</v>
      </c>
      <c r="O1153" s="47" t="s">
        <v>45</v>
      </c>
      <c r="P1153" s="13">
        <f t="shared" si="661"/>
        <v>1.3</v>
      </c>
      <c r="Q1153" s="1" t="str">
        <f t="shared" si="662"/>
        <v>100-290 шт - 1,3 руб / шт с НДС</v>
      </c>
      <c r="R1153" s="235"/>
      <c r="S1153" s="239"/>
      <c r="T1153" s="226"/>
      <c r="U1153" s="228"/>
      <c r="V1153" s="222"/>
      <c r="W1153" s="229"/>
      <c r="X1153" s="227"/>
      <c r="Y1153" s="229"/>
      <c r="Z1153" s="236"/>
      <c r="AA1153" s="237"/>
      <c r="AB1153" s="238"/>
      <c r="AC1153" s="223"/>
      <c r="AD1153" s="222"/>
    </row>
    <row r="1154" spans="1:30" x14ac:dyDescent="0.4">
      <c r="A1154" s="230"/>
      <c r="B1154" s="8">
        <v>232</v>
      </c>
      <c r="C1154" s="14">
        <f t="shared" ca="1" si="642"/>
        <v>0.99</v>
      </c>
      <c r="D1154" s="20">
        <f t="shared" ca="1" si="654"/>
        <v>1.1879999999999999</v>
      </c>
      <c r="E1154" s="225"/>
      <c r="F1154" s="231"/>
      <c r="G1154" s="172" t="str">
        <f t="shared" ca="1" si="637"/>
        <v>Sale</v>
      </c>
      <c r="H1154" s="93" t="str">
        <f t="shared" ca="1" si="638"/>
        <v/>
      </c>
      <c r="I1154" s="21">
        <v>300</v>
      </c>
      <c r="J1154" s="68">
        <f t="shared" si="639"/>
        <v>1.0833333333333335</v>
      </c>
      <c r="K1154" s="70">
        <v>1.3</v>
      </c>
      <c r="L1154" s="72">
        <f t="shared" ref="L1154:L1217" ca="1" si="672">J1154-C1154-(J1154-C1154)*0.2</f>
        <v>7.4666666666666798E-2</v>
      </c>
      <c r="M1154" s="73">
        <f t="shared" ref="M1154:M1217" ca="1" si="673">L1154*I1154</f>
        <v>22.400000000000038</v>
      </c>
      <c r="N1154" s="12" t="s">
        <v>42</v>
      </c>
      <c r="O1154" s="47" t="s">
        <v>45</v>
      </c>
      <c r="P1154" s="13">
        <f t="shared" si="661"/>
        <v>1.3</v>
      </c>
      <c r="Q1154" s="1" t="str">
        <f t="shared" si="662"/>
        <v>300-490 шт - 1,3 руб / шт с НДС</v>
      </c>
      <c r="R1154" s="235"/>
      <c r="S1154" s="239"/>
      <c r="T1154" s="226"/>
      <c r="U1154" s="228"/>
      <c r="V1154" s="222"/>
      <c r="W1154" s="229"/>
      <c r="X1154" s="227"/>
      <c r="Y1154" s="229"/>
      <c r="Z1154" s="236"/>
      <c r="AA1154" s="237"/>
      <c r="AB1154" s="238"/>
      <c r="AC1154" s="223"/>
      <c r="AD1154" s="222"/>
    </row>
    <row r="1155" spans="1:30" x14ac:dyDescent="0.4">
      <c r="A1155" s="230"/>
      <c r="B1155" s="8">
        <v>232</v>
      </c>
      <c r="C1155" s="14">
        <f t="shared" ca="1" si="642"/>
        <v>0.99</v>
      </c>
      <c r="D1155" s="20">
        <f t="shared" ca="1" si="654"/>
        <v>1.1879999999999999</v>
      </c>
      <c r="E1155" s="225"/>
      <c r="F1155" s="231"/>
      <c r="G1155" s="172" t="str">
        <f t="shared" ref="G1155:G1218" ca="1" si="674">IF(INDIRECT("'Закуп'!L" &amp; B1155)="Sale","Sale","")</f>
        <v>Sale</v>
      </c>
      <c r="H1155" s="93" t="str">
        <f t="shared" ref="H1155:H1218" ca="1" si="675">IF(INDIRECT("'Закуп'!F" &amp; B1155)=0,"",INDIRECT("'Закуп'!F" &amp; B1155))</f>
        <v/>
      </c>
      <c r="I1155" s="21">
        <v>500</v>
      </c>
      <c r="J1155" s="68">
        <f t="shared" ref="J1155:J1218" si="676">K1155/1.2</f>
        <v>1.0833333333333335</v>
      </c>
      <c r="K1155" s="70">
        <v>1.3</v>
      </c>
      <c r="L1155" s="72">
        <f t="shared" ca="1" si="672"/>
        <v>7.4666666666666798E-2</v>
      </c>
      <c r="M1155" s="73">
        <f t="shared" ca="1" si="673"/>
        <v>37.3333333333334</v>
      </c>
      <c r="N1155" s="12" t="s">
        <v>43</v>
      </c>
      <c r="O1155" s="47" t="s">
        <v>45</v>
      </c>
      <c r="P1155" s="13">
        <f t="shared" si="661"/>
        <v>1.3</v>
      </c>
      <c r="Q1155" s="1" t="str">
        <f t="shared" si="662"/>
        <v>500-990 шт - 1,3 руб / шт с НДС</v>
      </c>
      <c r="R1155" s="235"/>
      <c r="S1155" s="239"/>
      <c r="T1155" s="226"/>
      <c r="U1155" s="228"/>
      <c r="V1155" s="222"/>
      <c r="W1155" s="229"/>
      <c r="X1155" s="227"/>
      <c r="Y1155" s="229"/>
      <c r="Z1155" s="236"/>
      <c r="AA1155" s="237"/>
      <c r="AB1155" s="238"/>
      <c r="AC1155" s="223"/>
      <c r="AD1155" s="222"/>
    </row>
    <row r="1156" spans="1:30" x14ac:dyDescent="0.4">
      <c r="A1156" s="230"/>
      <c r="B1156" s="8">
        <v>232</v>
      </c>
      <c r="C1156" s="14">
        <f t="shared" ca="1" si="642"/>
        <v>0.99</v>
      </c>
      <c r="D1156" s="20">
        <f t="shared" ca="1" si="654"/>
        <v>1.1879999999999999</v>
      </c>
      <c r="E1156" s="225"/>
      <c r="F1156" s="231"/>
      <c r="G1156" s="172" t="str">
        <f t="shared" ca="1" si="674"/>
        <v>Sale</v>
      </c>
      <c r="H1156" s="93" t="str">
        <f t="shared" ca="1" si="675"/>
        <v/>
      </c>
      <c r="I1156" s="21">
        <v>1000</v>
      </c>
      <c r="J1156" s="68">
        <f t="shared" si="676"/>
        <v>1.0833333333333335</v>
      </c>
      <c r="K1156" s="70">
        <v>1.3</v>
      </c>
      <c r="L1156" s="72">
        <f t="shared" ca="1" si="672"/>
        <v>7.4666666666666798E-2</v>
      </c>
      <c r="M1156" s="73">
        <f t="shared" ca="1" si="673"/>
        <v>74.666666666666799</v>
      </c>
      <c r="N1156" s="12" t="s">
        <v>44</v>
      </c>
      <c r="O1156" s="47" t="s">
        <v>45</v>
      </c>
      <c r="P1156" s="13">
        <f t="shared" si="661"/>
        <v>1.3</v>
      </c>
      <c r="Q1156" s="1" t="str">
        <f t="shared" si="662"/>
        <v>1000 + шт - 1,3 руб / шт с НДС</v>
      </c>
      <c r="R1156" s="235"/>
      <c r="S1156" s="239"/>
      <c r="T1156" s="226"/>
      <c r="U1156" s="228"/>
      <c r="V1156" s="222"/>
      <c r="W1156" s="229"/>
      <c r="X1156" s="227"/>
      <c r="Y1156" s="229"/>
      <c r="Z1156" s="236"/>
      <c r="AA1156" s="237"/>
      <c r="AB1156" s="238"/>
      <c r="AC1156" s="223"/>
      <c r="AD1156" s="222"/>
    </row>
    <row r="1157" spans="1:30" x14ac:dyDescent="0.4">
      <c r="A1157" s="230">
        <v>233</v>
      </c>
      <c r="B1157" s="8">
        <v>233</v>
      </c>
      <c r="C1157" s="14">
        <f t="shared" ca="1" si="642"/>
        <v>1.02</v>
      </c>
      <c r="D1157" s="20">
        <f t="shared" ca="1" si="654"/>
        <v>1.224</v>
      </c>
      <c r="E1157" s="225" t="str">
        <f ca="1">INDIRECT("'Закуп'!D" &amp; A1157)</f>
        <v>ТМ-
SALE</v>
      </c>
      <c r="F1157" s="231" t="str">
        <f t="shared" ref="F1157" ca="1" si="677">INDIRECT("'Закуп'!E" &amp; B1157)</f>
        <v>214х186х175</v>
      </c>
      <c r="G1157" s="172" t="str">
        <f t="shared" ca="1" si="674"/>
        <v>Sale</v>
      </c>
      <c r="H1157" s="93" t="str">
        <f t="shared" ca="1" si="675"/>
        <v/>
      </c>
      <c r="I1157" s="21">
        <v>50</v>
      </c>
      <c r="J1157" s="68">
        <f t="shared" si="676"/>
        <v>1.1250000000000002</v>
      </c>
      <c r="K1157" s="70">
        <v>1.35</v>
      </c>
      <c r="L1157" s="72">
        <f t="shared" ca="1" si="672"/>
        <v>8.4000000000000158E-2</v>
      </c>
      <c r="M1157" s="73">
        <f t="shared" ca="1" si="673"/>
        <v>4.2000000000000082</v>
      </c>
      <c r="N1157" s="12" t="s">
        <v>40</v>
      </c>
      <c r="O1157" s="47" t="s">
        <v>45</v>
      </c>
      <c r="P1157" s="13">
        <f t="shared" si="661"/>
        <v>1.35</v>
      </c>
      <c r="Q1157" s="1" t="str">
        <f t="shared" si="662"/>
        <v>50-90 шт - 1,35 руб / шт с НДС</v>
      </c>
      <c r="R1157" s="235" t="str">
        <f ca="1">INDIRECT("'Закуп'!k" &amp; A1157)</f>
        <v>K1012</v>
      </c>
      <c r="S1157" s="239">
        <f ca="1">INDIRECT("'Закуп'!o" &amp; A1157)</f>
        <v>6.97</v>
      </c>
      <c r="T1157" s="226" t="str">
        <f ca="1">INDIRECT("'Закуп'!p" &amp; A1157)</f>
        <v>6-7,9 литра</v>
      </c>
      <c r="U1157" s="228" t="str">
        <f ca="1">INDIRECT("'Закуп'!v" &amp; A1157)</f>
        <v/>
      </c>
      <c r="V1157" s="222" t="str">
        <f ca="1">INDIRECT("'Закуп'!w" &amp; A1157)</f>
        <v/>
      </c>
      <c r="W1157" s="229" t="str">
        <f ca="1">INDIRECT("'Закуп'!H" &amp; A1157)</f>
        <v>0471</v>
      </c>
      <c r="X1157" s="227" t="str">
        <f t="shared" ref="X1157" ca="1" si="678">INDIRECT("'Закуп'!g" &amp; A1157)</f>
        <v>С</v>
      </c>
      <c r="Y1157" s="229" t="str">
        <f ca="1">INDIRECT("'Закуп'!i" &amp; A1157)</f>
        <v>В</v>
      </c>
      <c r="Z1157" s="236" t="str">
        <f ca="1">INDIRECT("'Закуп'!x" &amp; A1157)</f>
        <v>200-299 мм</v>
      </c>
      <c r="AA1157" s="237" t="str">
        <f ca="1">INDIRECT("'Закуп'!y" &amp; A1157)</f>
        <v>100-199 мм</v>
      </c>
      <c r="AB1157" s="238" t="str">
        <f ca="1">INDIRECT("'Закуп'!z" &amp; A1157)</f>
        <v>100-199 мм</v>
      </c>
      <c r="AC1157" s="223" t="str">
        <f t="shared" ca="1" si="667"/>
        <v>214x186x175</v>
      </c>
      <c r="AD1157" s="222" t="str">
        <f t="shared" ca="1" si="653"/>
        <v>214x186x175 - 214*186*175 мм</v>
      </c>
    </row>
    <row r="1158" spans="1:30" x14ac:dyDescent="0.4">
      <c r="A1158" s="230"/>
      <c r="B1158" s="8">
        <v>233</v>
      </c>
      <c r="C1158" s="14">
        <f t="shared" ca="1" si="642"/>
        <v>1.02</v>
      </c>
      <c r="D1158" s="20">
        <f t="shared" ca="1" si="654"/>
        <v>1.224</v>
      </c>
      <c r="E1158" s="225"/>
      <c r="F1158" s="231"/>
      <c r="G1158" s="172" t="str">
        <f t="shared" ca="1" si="674"/>
        <v>Sale</v>
      </c>
      <c r="H1158" s="93" t="str">
        <f t="shared" ca="1" si="675"/>
        <v/>
      </c>
      <c r="I1158" s="21">
        <v>100</v>
      </c>
      <c r="J1158" s="68">
        <f t="shared" si="676"/>
        <v>1.1250000000000002</v>
      </c>
      <c r="K1158" s="70">
        <v>1.35</v>
      </c>
      <c r="L1158" s="72">
        <f t="shared" ca="1" si="672"/>
        <v>8.4000000000000158E-2</v>
      </c>
      <c r="M1158" s="73">
        <f t="shared" ca="1" si="673"/>
        <v>8.4000000000000163</v>
      </c>
      <c r="N1158" s="12" t="s">
        <v>41</v>
      </c>
      <c r="O1158" s="47" t="s">
        <v>45</v>
      </c>
      <c r="P1158" s="13">
        <f t="shared" si="661"/>
        <v>1.35</v>
      </c>
      <c r="Q1158" s="1" t="str">
        <f t="shared" si="662"/>
        <v>100-290 шт - 1,35 руб / шт с НДС</v>
      </c>
      <c r="R1158" s="235"/>
      <c r="S1158" s="239"/>
      <c r="T1158" s="226"/>
      <c r="U1158" s="228"/>
      <c r="V1158" s="222"/>
      <c r="W1158" s="229"/>
      <c r="X1158" s="227"/>
      <c r="Y1158" s="229"/>
      <c r="Z1158" s="236"/>
      <c r="AA1158" s="237"/>
      <c r="AB1158" s="238"/>
      <c r="AC1158" s="223"/>
      <c r="AD1158" s="222"/>
    </row>
    <row r="1159" spans="1:30" x14ac:dyDescent="0.4">
      <c r="A1159" s="230"/>
      <c r="B1159" s="8">
        <v>233</v>
      </c>
      <c r="C1159" s="14">
        <f t="shared" ca="1" si="642"/>
        <v>1.02</v>
      </c>
      <c r="D1159" s="20">
        <f t="shared" ca="1" si="654"/>
        <v>1.224</v>
      </c>
      <c r="E1159" s="225"/>
      <c r="F1159" s="231"/>
      <c r="G1159" s="172" t="str">
        <f t="shared" ca="1" si="674"/>
        <v>Sale</v>
      </c>
      <c r="H1159" s="93" t="str">
        <f t="shared" ca="1" si="675"/>
        <v/>
      </c>
      <c r="I1159" s="21">
        <v>300</v>
      </c>
      <c r="J1159" s="68">
        <f t="shared" si="676"/>
        <v>1.1250000000000002</v>
      </c>
      <c r="K1159" s="70">
        <v>1.35</v>
      </c>
      <c r="L1159" s="72">
        <f t="shared" ca="1" si="672"/>
        <v>8.4000000000000158E-2</v>
      </c>
      <c r="M1159" s="73">
        <f t="shared" ca="1" si="673"/>
        <v>25.200000000000049</v>
      </c>
      <c r="N1159" s="12" t="s">
        <v>42</v>
      </c>
      <c r="O1159" s="47" t="s">
        <v>45</v>
      </c>
      <c r="P1159" s="13">
        <f t="shared" si="661"/>
        <v>1.35</v>
      </c>
      <c r="Q1159" s="1" t="str">
        <f t="shared" si="662"/>
        <v>300-490 шт - 1,35 руб / шт с НДС</v>
      </c>
      <c r="R1159" s="235"/>
      <c r="S1159" s="239"/>
      <c r="T1159" s="226"/>
      <c r="U1159" s="228"/>
      <c r="V1159" s="222"/>
      <c r="W1159" s="229"/>
      <c r="X1159" s="227"/>
      <c r="Y1159" s="229"/>
      <c r="Z1159" s="236"/>
      <c r="AA1159" s="237"/>
      <c r="AB1159" s="238"/>
      <c r="AC1159" s="223"/>
      <c r="AD1159" s="222"/>
    </row>
    <row r="1160" spans="1:30" x14ac:dyDescent="0.4">
      <c r="A1160" s="230"/>
      <c r="B1160" s="8">
        <v>233</v>
      </c>
      <c r="C1160" s="14">
        <f t="shared" ca="1" si="642"/>
        <v>1.02</v>
      </c>
      <c r="D1160" s="20">
        <f t="shared" ca="1" si="654"/>
        <v>1.224</v>
      </c>
      <c r="E1160" s="225"/>
      <c r="F1160" s="231"/>
      <c r="G1160" s="172" t="str">
        <f t="shared" ca="1" si="674"/>
        <v>Sale</v>
      </c>
      <c r="H1160" s="93" t="str">
        <f t="shared" ca="1" si="675"/>
        <v/>
      </c>
      <c r="I1160" s="21">
        <v>500</v>
      </c>
      <c r="J1160" s="68">
        <f t="shared" si="676"/>
        <v>1.1250000000000002</v>
      </c>
      <c r="K1160" s="70">
        <v>1.35</v>
      </c>
      <c r="L1160" s="72">
        <f t="shared" ca="1" si="672"/>
        <v>8.4000000000000158E-2</v>
      </c>
      <c r="M1160" s="73">
        <f t="shared" ca="1" si="673"/>
        <v>42.000000000000078</v>
      </c>
      <c r="N1160" s="12" t="s">
        <v>43</v>
      </c>
      <c r="O1160" s="47" t="s">
        <v>45</v>
      </c>
      <c r="P1160" s="13">
        <f t="shared" si="661"/>
        <v>1.35</v>
      </c>
      <c r="Q1160" s="1" t="str">
        <f t="shared" si="662"/>
        <v>500-990 шт - 1,35 руб / шт с НДС</v>
      </c>
      <c r="R1160" s="235"/>
      <c r="S1160" s="239"/>
      <c r="T1160" s="226"/>
      <c r="U1160" s="228"/>
      <c r="V1160" s="222"/>
      <c r="W1160" s="229"/>
      <c r="X1160" s="227"/>
      <c r="Y1160" s="229"/>
      <c r="Z1160" s="236"/>
      <c r="AA1160" s="237"/>
      <c r="AB1160" s="238"/>
      <c r="AC1160" s="223"/>
      <c r="AD1160" s="222"/>
    </row>
    <row r="1161" spans="1:30" x14ac:dyDescent="0.4">
      <c r="A1161" s="230"/>
      <c r="B1161" s="8">
        <v>233</v>
      </c>
      <c r="C1161" s="14">
        <f t="shared" ref="C1161:C1224" ca="1" si="679">INDIRECT("'Закуп'!A" &amp; B1161)</f>
        <v>1.02</v>
      </c>
      <c r="D1161" s="20">
        <f t="shared" ca="1" si="654"/>
        <v>1.224</v>
      </c>
      <c r="E1161" s="225"/>
      <c r="F1161" s="231"/>
      <c r="G1161" s="172" t="str">
        <f t="shared" ca="1" si="674"/>
        <v>Sale</v>
      </c>
      <c r="H1161" s="93" t="str">
        <f t="shared" ca="1" si="675"/>
        <v/>
      </c>
      <c r="I1161" s="21">
        <v>1000</v>
      </c>
      <c r="J1161" s="68">
        <f t="shared" si="676"/>
        <v>1.1250000000000002</v>
      </c>
      <c r="K1161" s="70">
        <v>1.35</v>
      </c>
      <c r="L1161" s="72">
        <f t="shared" ca="1" si="672"/>
        <v>8.4000000000000158E-2</v>
      </c>
      <c r="M1161" s="73">
        <f t="shared" ca="1" si="673"/>
        <v>84.000000000000156</v>
      </c>
      <c r="N1161" s="12" t="s">
        <v>44</v>
      </c>
      <c r="O1161" s="47" t="s">
        <v>45</v>
      </c>
      <c r="P1161" s="13">
        <f t="shared" si="661"/>
        <v>1.35</v>
      </c>
      <c r="Q1161" s="1" t="str">
        <f t="shared" si="662"/>
        <v>1000 + шт - 1,35 руб / шт с НДС</v>
      </c>
      <c r="R1161" s="235"/>
      <c r="S1161" s="239"/>
      <c r="T1161" s="226"/>
      <c r="U1161" s="228"/>
      <c r="V1161" s="222"/>
      <c r="W1161" s="229"/>
      <c r="X1161" s="227"/>
      <c r="Y1161" s="229"/>
      <c r="Z1161" s="236"/>
      <c r="AA1161" s="237"/>
      <c r="AB1161" s="238"/>
      <c r="AC1161" s="223"/>
      <c r="AD1161" s="222"/>
    </row>
    <row r="1162" spans="1:30" ht="21.45" x14ac:dyDescent="0.4">
      <c r="A1162" s="230">
        <v>234</v>
      </c>
      <c r="B1162" s="8">
        <v>234</v>
      </c>
      <c r="C1162" s="14">
        <f t="shared" ca="1" si="679"/>
        <v>0.52</v>
      </c>
      <c r="D1162" s="20">
        <f t="shared" ca="1" si="654"/>
        <v>0.624</v>
      </c>
      <c r="E1162" s="225" t="str">
        <f ca="1">INDIRECT("'Закуп'!D" &amp; A1162)</f>
        <v>0-ТМ</v>
      </c>
      <c r="F1162" s="231">
        <f t="shared" ref="F1162" ca="1" si="680">INDIRECT("'Закуп'!E" &amp; B1162)</f>
        <v>0</v>
      </c>
      <c r="G1162" s="172" t="str">
        <f t="shared" ca="1" si="674"/>
        <v>Sale</v>
      </c>
      <c r="H1162" s="93" t="str">
        <f t="shared" ca="1" si="675"/>
        <v>225х111х117</v>
      </c>
      <c r="I1162" s="21">
        <v>50</v>
      </c>
      <c r="J1162" s="68">
        <f t="shared" si="676"/>
        <v>0.625</v>
      </c>
      <c r="K1162" s="70">
        <v>0.75</v>
      </c>
      <c r="L1162" s="72">
        <f t="shared" ca="1" si="672"/>
        <v>8.3999999999999991E-2</v>
      </c>
      <c r="M1162" s="73">
        <f t="shared" ca="1" si="673"/>
        <v>4.1999999999999993</v>
      </c>
      <c r="N1162" s="12" t="s">
        <v>40</v>
      </c>
      <c r="O1162" s="47" t="s">
        <v>45</v>
      </c>
      <c r="P1162" s="13">
        <f t="shared" si="661"/>
        <v>0.75</v>
      </c>
      <c r="Q1162" s="1" t="str">
        <f t="shared" si="662"/>
        <v>50-90 шт - 0,75 руб / шт с НДС</v>
      </c>
      <c r="R1162" s="235" t="str">
        <f ca="1">INDIRECT("'Закуп'!k" &amp; A1162)</f>
        <v>K1013</v>
      </c>
      <c r="S1162" s="239" t="e">
        <f ca="1">INDIRECT("'Закуп'!o" &amp; A1162)</f>
        <v>#VALUE!</v>
      </c>
      <c r="T1162" s="226" t="e">
        <f ca="1">INDIRECT("'Закуп'!p" &amp; A1162)</f>
        <v>#VALUE!</v>
      </c>
      <c r="U1162" s="228" t="e">
        <f ca="1">INDIRECT("'Закуп'!v" &amp; A1162)</f>
        <v>#VALUE!</v>
      </c>
      <c r="V1162" s="222" t="e">
        <f ca="1">INDIRECT("'Закуп'!w" &amp; A1162)</f>
        <v>#VALUE!</v>
      </c>
      <c r="W1162" s="229" t="str">
        <f ca="1">INDIRECT("'Закуп'!H" &amp; A1162)</f>
        <v>0471</v>
      </c>
      <c r="X1162" s="227" t="str">
        <f t="shared" ref="X1162" ca="1" si="681">INDIRECT("'Закуп'!g" &amp; A1162)</f>
        <v>С</v>
      </c>
      <c r="Y1162" s="229" t="str">
        <f ca="1">INDIRECT("'Закуп'!i" &amp; A1162)</f>
        <v>В</v>
      </c>
      <c r="Z1162" s="236" t="e">
        <f ca="1">INDIRECT("'Закуп'!x" &amp; A1162)</f>
        <v>#NUM!</v>
      </c>
      <c r="AA1162" s="237" t="e">
        <f ca="1">INDIRECT("'Закуп'!y" &amp; A1162)</f>
        <v>#NUM!</v>
      </c>
      <c r="AB1162" s="238" t="e">
        <f ca="1">INDIRECT("'Закуп'!z" &amp; A1162)</f>
        <v>#NUM!</v>
      </c>
      <c r="AC1162" s="223" t="str">
        <f t="shared" ca="1" si="667"/>
        <v>0</v>
      </c>
      <c r="AD1162" s="222" t="str">
        <f t="shared" ca="1" si="653"/>
        <v>0 - 0 мм</v>
      </c>
    </row>
    <row r="1163" spans="1:30" ht="21.45" x14ac:dyDescent="0.4">
      <c r="A1163" s="230"/>
      <c r="B1163" s="8">
        <v>234</v>
      </c>
      <c r="C1163" s="14">
        <f t="shared" ca="1" si="679"/>
        <v>0.52</v>
      </c>
      <c r="D1163" s="20">
        <f t="shared" ca="1" si="654"/>
        <v>0.624</v>
      </c>
      <c r="E1163" s="225"/>
      <c r="F1163" s="231"/>
      <c r="G1163" s="172" t="str">
        <f t="shared" ca="1" si="674"/>
        <v>Sale</v>
      </c>
      <c r="H1163" s="93" t="str">
        <f t="shared" ca="1" si="675"/>
        <v>225х111х117</v>
      </c>
      <c r="I1163" s="21">
        <v>100</v>
      </c>
      <c r="J1163" s="68">
        <f t="shared" si="676"/>
        <v>0.625</v>
      </c>
      <c r="K1163" s="70">
        <v>0.75</v>
      </c>
      <c r="L1163" s="72">
        <f t="shared" ca="1" si="672"/>
        <v>8.3999999999999991E-2</v>
      </c>
      <c r="M1163" s="73">
        <f t="shared" ca="1" si="673"/>
        <v>8.3999999999999986</v>
      </c>
      <c r="N1163" s="12" t="s">
        <v>41</v>
      </c>
      <c r="O1163" s="47" t="s">
        <v>45</v>
      </c>
      <c r="P1163" s="13">
        <f t="shared" si="661"/>
        <v>0.75</v>
      </c>
      <c r="Q1163" s="1" t="str">
        <f t="shared" si="662"/>
        <v>100-290 шт - 0,75 руб / шт с НДС</v>
      </c>
      <c r="R1163" s="235"/>
      <c r="S1163" s="239"/>
      <c r="T1163" s="226"/>
      <c r="U1163" s="228"/>
      <c r="V1163" s="222"/>
      <c r="W1163" s="229"/>
      <c r="X1163" s="227"/>
      <c r="Y1163" s="229"/>
      <c r="Z1163" s="236"/>
      <c r="AA1163" s="237"/>
      <c r="AB1163" s="238"/>
      <c r="AC1163" s="223"/>
      <c r="AD1163" s="222"/>
    </row>
    <row r="1164" spans="1:30" ht="21.45" x14ac:dyDescent="0.4">
      <c r="A1164" s="230"/>
      <c r="B1164" s="8">
        <v>234</v>
      </c>
      <c r="C1164" s="14">
        <f t="shared" ca="1" si="679"/>
        <v>0.52</v>
      </c>
      <c r="D1164" s="20">
        <f t="shared" ca="1" si="654"/>
        <v>0.624</v>
      </c>
      <c r="E1164" s="225"/>
      <c r="F1164" s="231"/>
      <c r="G1164" s="172" t="str">
        <f t="shared" ca="1" si="674"/>
        <v>Sale</v>
      </c>
      <c r="H1164" s="93" t="str">
        <f t="shared" ca="1" si="675"/>
        <v>225х111х117</v>
      </c>
      <c r="I1164" s="21">
        <v>300</v>
      </c>
      <c r="J1164" s="68">
        <f t="shared" si="676"/>
        <v>0.625</v>
      </c>
      <c r="K1164" s="70">
        <v>0.75</v>
      </c>
      <c r="L1164" s="72">
        <f t="shared" ca="1" si="672"/>
        <v>8.3999999999999991E-2</v>
      </c>
      <c r="M1164" s="73">
        <f t="shared" ca="1" si="673"/>
        <v>25.199999999999996</v>
      </c>
      <c r="N1164" s="12" t="s">
        <v>42</v>
      </c>
      <c r="O1164" s="47" t="s">
        <v>45</v>
      </c>
      <c r="P1164" s="13">
        <f t="shared" si="661"/>
        <v>0.75</v>
      </c>
      <c r="Q1164" s="1" t="str">
        <f t="shared" si="662"/>
        <v>300-490 шт - 0,75 руб / шт с НДС</v>
      </c>
      <c r="R1164" s="235"/>
      <c r="S1164" s="239"/>
      <c r="T1164" s="226"/>
      <c r="U1164" s="228"/>
      <c r="V1164" s="222"/>
      <c r="W1164" s="229"/>
      <c r="X1164" s="227"/>
      <c r="Y1164" s="229"/>
      <c r="Z1164" s="236"/>
      <c r="AA1164" s="237"/>
      <c r="AB1164" s="238"/>
      <c r="AC1164" s="223"/>
      <c r="AD1164" s="222"/>
    </row>
    <row r="1165" spans="1:30" ht="21.45" x14ac:dyDescent="0.4">
      <c r="A1165" s="230"/>
      <c r="B1165" s="8">
        <v>234</v>
      </c>
      <c r="C1165" s="14">
        <f t="shared" ca="1" si="679"/>
        <v>0.52</v>
      </c>
      <c r="D1165" s="20">
        <f t="shared" ca="1" si="654"/>
        <v>0.624</v>
      </c>
      <c r="E1165" s="225"/>
      <c r="F1165" s="231"/>
      <c r="G1165" s="172" t="str">
        <f t="shared" ca="1" si="674"/>
        <v>Sale</v>
      </c>
      <c r="H1165" s="93" t="str">
        <f t="shared" ca="1" si="675"/>
        <v>225х111х117</v>
      </c>
      <c r="I1165" s="21">
        <v>500</v>
      </c>
      <c r="J1165" s="68">
        <f t="shared" si="676"/>
        <v>0.625</v>
      </c>
      <c r="K1165" s="70">
        <v>0.75</v>
      </c>
      <c r="L1165" s="72">
        <f t="shared" ca="1" si="672"/>
        <v>8.3999999999999991E-2</v>
      </c>
      <c r="M1165" s="73">
        <f t="shared" ca="1" si="673"/>
        <v>41.999999999999993</v>
      </c>
      <c r="N1165" s="12" t="s">
        <v>43</v>
      </c>
      <c r="O1165" s="47" t="s">
        <v>45</v>
      </c>
      <c r="P1165" s="13">
        <f t="shared" si="661"/>
        <v>0.75</v>
      </c>
      <c r="Q1165" s="1" t="str">
        <f t="shared" si="662"/>
        <v>500-990 шт - 0,75 руб / шт с НДС</v>
      </c>
      <c r="R1165" s="235"/>
      <c r="S1165" s="239"/>
      <c r="T1165" s="226"/>
      <c r="U1165" s="228"/>
      <c r="V1165" s="222"/>
      <c r="W1165" s="229"/>
      <c r="X1165" s="227"/>
      <c r="Y1165" s="229"/>
      <c r="Z1165" s="236"/>
      <c r="AA1165" s="237"/>
      <c r="AB1165" s="238"/>
      <c r="AC1165" s="223"/>
      <c r="AD1165" s="222"/>
    </row>
    <row r="1166" spans="1:30" ht="21.45" x14ac:dyDescent="0.4">
      <c r="A1166" s="230"/>
      <c r="B1166" s="8">
        <v>234</v>
      </c>
      <c r="C1166" s="14">
        <f t="shared" ca="1" si="679"/>
        <v>0.52</v>
      </c>
      <c r="D1166" s="20">
        <f t="shared" ca="1" si="654"/>
        <v>0.624</v>
      </c>
      <c r="E1166" s="225"/>
      <c r="F1166" s="231"/>
      <c r="G1166" s="172" t="str">
        <f t="shared" ca="1" si="674"/>
        <v>Sale</v>
      </c>
      <c r="H1166" s="93" t="str">
        <f t="shared" ca="1" si="675"/>
        <v>225х111х117</v>
      </c>
      <c r="I1166" s="21">
        <v>1000</v>
      </c>
      <c r="J1166" s="68">
        <f t="shared" si="676"/>
        <v>0.625</v>
      </c>
      <c r="K1166" s="70">
        <v>0.75</v>
      </c>
      <c r="L1166" s="72">
        <f t="shared" ca="1" si="672"/>
        <v>8.3999999999999991E-2</v>
      </c>
      <c r="M1166" s="73">
        <f t="shared" ca="1" si="673"/>
        <v>83.999999999999986</v>
      </c>
      <c r="N1166" s="12" t="s">
        <v>44</v>
      </c>
      <c r="O1166" s="47" t="s">
        <v>45</v>
      </c>
      <c r="P1166" s="13">
        <f t="shared" si="661"/>
        <v>0.75</v>
      </c>
      <c r="Q1166" s="1" t="str">
        <f t="shared" si="662"/>
        <v>1000 + шт - 0,75 руб / шт с НДС</v>
      </c>
      <c r="R1166" s="235"/>
      <c r="S1166" s="239"/>
      <c r="T1166" s="226"/>
      <c r="U1166" s="228"/>
      <c r="V1166" s="222"/>
      <c r="W1166" s="229"/>
      <c r="X1166" s="227"/>
      <c r="Y1166" s="229"/>
      <c r="Z1166" s="236"/>
      <c r="AA1166" s="237"/>
      <c r="AB1166" s="238"/>
      <c r="AC1166" s="223"/>
      <c r="AD1166" s="222"/>
    </row>
    <row r="1167" spans="1:30" ht="21.45" x14ac:dyDescent="0.4">
      <c r="A1167" s="230">
        <v>235</v>
      </c>
      <c r="B1167" s="8">
        <v>235</v>
      </c>
      <c r="C1167" s="14">
        <f t="shared" ca="1" si="679"/>
        <v>0.23</v>
      </c>
      <c r="D1167" s="20">
        <f t="shared" ca="1" si="654"/>
        <v>0.27600000000000002</v>
      </c>
      <c r="E1167" s="224" t="str">
        <f ca="1">INDIRECT("'Закуп'!D" &amp; A1167)</f>
        <v>У</v>
      </c>
      <c r="F1167" s="231" t="str">
        <f t="shared" ref="F1167" ca="1" si="682">INDIRECT("'Закуп'!E" &amp; B1167)</f>
        <v>230х65х50</v>
      </c>
      <c r="G1167" s="172" t="str">
        <f t="shared" ca="1" si="674"/>
        <v/>
      </c>
      <c r="H1167" s="93" t="str">
        <f t="shared" ca="1" si="675"/>
        <v>230х65х45 ТМ была</v>
      </c>
      <c r="I1167" s="21">
        <v>50</v>
      </c>
      <c r="J1167" s="68">
        <f t="shared" si="676"/>
        <v>0.89166666666666672</v>
      </c>
      <c r="K1167" s="70">
        <v>1.07</v>
      </c>
      <c r="L1167" s="72">
        <f t="shared" ca="1" si="672"/>
        <v>0.52933333333333343</v>
      </c>
      <c r="M1167" s="73">
        <f t="shared" ca="1" si="673"/>
        <v>26.466666666666672</v>
      </c>
      <c r="N1167" s="12" t="s">
        <v>40</v>
      </c>
      <c r="O1167" s="47" t="s">
        <v>45</v>
      </c>
      <c r="P1167" s="13">
        <f t="shared" si="661"/>
        <v>1.07</v>
      </c>
      <c r="Q1167" s="1" t="str">
        <f t="shared" si="662"/>
        <v>50-90 шт - 1,07 руб / шт с НДС</v>
      </c>
      <c r="R1167" s="235" t="str">
        <f ca="1">INDIRECT("'Закуп'!k" &amp; A1167)</f>
        <v>K226</v>
      </c>
      <c r="S1167" s="239">
        <f ca="1">INDIRECT("'Закуп'!o" &amp; A1167)</f>
        <v>0.75</v>
      </c>
      <c r="T1167" s="226" t="str">
        <f ca="1">INDIRECT("'Закуп'!p" &amp; A1167)</f>
        <v>0,1-0,9 литров</v>
      </c>
      <c r="U1167" s="228" t="str">
        <f ca="1">INDIRECT("'Закуп'!v" &amp; A1167)</f>
        <v>Длинные</v>
      </c>
      <c r="V1167" s="222" t="str">
        <f ca="1">INDIRECT("'Закуп'!w" &amp; A1167)</f>
        <v/>
      </c>
      <c r="W1167" s="229" t="str">
        <f ca="1">INDIRECT("'Закуп'!H" &amp; A1167)</f>
        <v>0427</v>
      </c>
      <c r="X1167" s="227" t="str">
        <f t="shared" ref="X1167" ca="1" si="683">INDIRECT("'Закуп'!g" &amp; A1167)</f>
        <v>С</v>
      </c>
      <c r="Y1167" s="229" t="str">
        <f ca="1">INDIRECT("'Закуп'!i" &amp; A1167)</f>
        <v>В</v>
      </c>
      <c r="Z1167" s="236" t="str">
        <f ca="1">INDIRECT("'Закуп'!x" &amp; A1167)</f>
        <v>200-299 мм</v>
      </c>
      <c r="AA1167" s="237" t="str">
        <f ca="1">INDIRECT("'Закуп'!y" &amp; A1167)</f>
        <v>10-99 мм</v>
      </c>
      <c r="AB1167" s="238" t="str">
        <f ca="1">INDIRECT("'Закуп'!z" &amp; A1167)</f>
        <v>10-99 мм</v>
      </c>
      <c r="AC1167" s="223" t="str">
        <f t="shared" ca="1" si="667"/>
        <v>230x65x50</v>
      </c>
      <c r="AD1167" s="222" t="str">
        <f t="shared" ca="1" si="653"/>
        <v>230x65x50 - 230*65*50 мм</v>
      </c>
    </row>
    <row r="1168" spans="1:30" ht="21.45" x14ac:dyDescent="0.4">
      <c r="A1168" s="230"/>
      <c r="B1168" s="8">
        <v>235</v>
      </c>
      <c r="C1168" s="14">
        <f t="shared" ca="1" si="679"/>
        <v>0.23</v>
      </c>
      <c r="D1168" s="20">
        <f t="shared" ca="1" si="654"/>
        <v>0.27600000000000002</v>
      </c>
      <c r="E1168" s="225"/>
      <c r="F1168" s="231"/>
      <c r="G1168" s="172" t="str">
        <f t="shared" ca="1" si="674"/>
        <v/>
      </c>
      <c r="H1168" s="93" t="str">
        <f t="shared" ca="1" si="675"/>
        <v>230х65х45 ТМ была</v>
      </c>
      <c r="I1168" s="21">
        <v>100</v>
      </c>
      <c r="J1168" s="68">
        <f t="shared" si="676"/>
        <v>0.75833333333333341</v>
      </c>
      <c r="K1168" s="70">
        <v>0.91</v>
      </c>
      <c r="L1168" s="72">
        <f t="shared" ca="1" si="672"/>
        <v>0.42266666666666675</v>
      </c>
      <c r="M1168" s="73">
        <f t="shared" ca="1" si="673"/>
        <v>42.266666666666673</v>
      </c>
      <c r="N1168" s="12" t="s">
        <v>41</v>
      </c>
      <c r="O1168" s="47" t="s">
        <v>45</v>
      </c>
      <c r="P1168" s="13">
        <f t="shared" si="661"/>
        <v>0.91</v>
      </c>
      <c r="Q1168" s="1" t="str">
        <f t="shared" si="662"/>
        <v>100-290 шт - 0,91 руб / шт с НДС</v>
      </c>
      <c r="R1168" s="235"/>
      <c r="S1168" s="239"/>
      <c r="T1168" s="226"/>
      <c r="U1168" s="228"/>
      <c r="V1168" s="222"/>
      <c r="W1168" s="229"/>
      <c r="X1168" s="227"/>
      <c r="Y1168" s="229"/>
      <c r="Z1168" s="236"/>
      <c r="AA1168" s="237"/>
      <c r="AB1168" s="238"/>
      <c r="AC1168" s="223"/>
      <c r="AD1168" s="222"/>
    </row>
    <row r="1169" spans="1:30" ht="21.45" x14ac:dyDescent="0.4">
      <c r="A1169" s="230"/>
      <c r="B1169" s="8">
        <v>235</v>
      </c>
      <c r="C1169" s="14">
        <f t="shared" ca="1" si="679"/>
        <v>0.23</v>
      </c>
      <c r="D1169" s="20">
        <f t="shared" ca="1" si="654"/>
        <v>0.27600000000000002</v>
      </c>
      <c r="E1169" s="225"/>
      <c r="F1169" s="231"/>
      <c r="G1169" s="172" t="str">
        <f t="shared" ca="1" si="674"/>
        <v/>
      </c>
      <c r="H1169" s="93" t="str">
        <f t="shared" ca="1" si="675"/>
        <v>230х65х45 ТМ была</v>
      </c>
      <c r="I1169" s="21">
        <v>300</v>
      </c>
      <c r="J1169" s="68">
        <f t="shared" si="676"/>
        <v>0.625</v>
      </c>
      <c r="K1169" s="70">
        <v>0.75</v>
      </c>
      <c r="L1169" s="72">
        <f t="shared" ca="1" si="672"/>
        <v>0.316</v>
      </c>
      <c r="M1169" s="73">
        <f t="shared" ca="1" si="673"/>
        <v>94.8</v>
      </c>
      <c r="N1169" s="12" t="s">
        <v>42</v>
      </c>
      <c r="O1169" s="47" t="s">
        <v>45</v>
      </c>
      <c r="P1169" s="13">
        <f t="shared" si="661"/>
        <v>0.75</v>
      </c>
      <c r="Q1169" s="1" t="str">
        <f t="shared" si="662"/>
        <v>300-490 шт - 0,75 руб / шт с НДС</v>
      </c>
      <c r="R1169" s="235"/>
      <c r="S1169" s="239"/>
      <c r="T1169" s="226"/>
      <c r="U1169" s="228"/>
      <c r="V1169" s="222"/>
      <c r="W1169" s="229"/>
      <c r="X1169" s="227"/>
      <c r="Y1169" s="229"/>
      <c r="Z1169" s="236"/>
      <c r="AA1169" s="237"/>
      <c r="AB1169" s="238"/>
      <c r="AC1169" s="223"/>
      <c r="AD1169" s="222"/>
    </row>
    <row r="1170" spans="1:30" ht="21.45" x14ac:dyDescent="0.4">
      <c r="A1170" s="230"/>
      <c r="B1170" s="8">
        <v>235</v>
      </c>
      <c r="C1170" s="14">
        <f t="shared" ca="1" si="679"/>
        <v>0.23</v>
      </c>
      <c r="D1170" s="20">
        <f t="shared" ca="1" si="654"/>
        <v>0.27600000000000002</v>
      </c>
      <c r="E1170" s="225"/>
      <c r="F1170" s="231"/>
      <c r="G1170" s="172" t="str">
        <f t="shared" ca="1" si="674"/>
        <v/>
      </c>
      <c r="H1170" s="93" t="str">
        <f t="shared" ca="1" si="675"/>
        <v>230х65х45 ТМ была</v>
      </c>
      <c r="I1170" s="21">
        <v>500</v>
      </c>
      <c r="J1170" s="68">
        <f t="shared" si="676"/>
        <v>0.53333333333333333</v>
      </c>
      <c r="K1170" s="70">
        <v>0.64</v>
      </c>
      <c r="L1170" s="72">
        <f t="shared" ca="1" si="672"/>
        <v>0.24266666666666667</v>
      </c>
      <c r="M1170" s="73">
        <f t="shared" ca="1" si="673"/>
        <v>121.33333333333333</v>
      </c>
      <c r="N1170" s="12" t="s">
        <v>43</v>
      </c>
      <c r="O1170" s="47" t="s">
        <v>45</v>
      </c>
      <c r="P1170" s="13">
        <f t="shared" si="661"/>
        <v>0.64</v>
      </c>
      <c r="Q1170" s="1" t="str">
        <f t="shared" si="662"/>
        <v>500-990 шт - 0,64 руб / шт с НДС</v>
      </c>
      <c r="R1170" s="235"/>
      <c r="S1170" s="239"/>
      <c r="T1170" s="226"/>
      <c r="U1170" s="228"/>
      <c r="V1170" s="222"/>
      <c r="W1170" s="229"/>
      <c r="X1170" s="227"/>
      <c r="Y1170" s="229"/>
      <c r="Z1170" s="236"/>
      <c r="AA1170" s="237"/>
      <c r="AB1170" s="238"/>
      <c r="AC1170" s="223"/>
      <c r="AD1170" s="222"/>
    </row>
    <row r="1171" spans="1:30" ht="21.45" x14ac:dyDescent="0.4">
      <c r="A1171" s="230"/>
      <c r="B1171" s="8">
        <v>235</v>
      </c>
      <c r="C1171" s="14">
        <f t="shared" ca="1" si="679"/>
        <v>0.23</v>
      </c>
      <c r="D1171" s="20">
        <f t="shared" ca="1" si="654"/>
        <v>0.27600000000000002</v>
      </c>
      <c r="E1171" s="225"/>
      <c r="F1171" s="231"/>
      <c r="G1171" s="172" t="str">
        <f t="shared" ca="1" si="674"/>
        <v/>
      </c>
      <c r="H1171" s="93" t="str">
        <f t="shared" ca="1" si="675"/>
        <v>230х65х45 ТМ была</v>
      </c>
      <c r="I1171" s="21">
        <v>1000</v>
      </c>
      <c r="J1171" s="68">
        <f t="shared" si="676"/>
        <v>0.47499999999999998</v>
      </c>
      <c r="K1171" s="70">
        <v>0.56999999999999995</v>
      </c>
      <c r="L1171" s="72">
        <f t="shared" ca="1" si="672"/>
        <v>0.19599999999999998</v>
      </c>
      <c r="M1171" s="73">
        <f t="shared" ca="1" si="673"/>
        <v>195.99999999999997</v>
      </c>
      <c r="N1171" s="12" t="s">
        <v>44</v>
      </c>
      <c r="O1171" s="47" t="s">
        <v>45</v>
      </c>
      <c r="P1171" s="13">
        <f t="shared" si="661"/>
        <v>0.56999999999999995</v>
      </c>
      <c r="Q1171" s="1" t="str">
        <f t="shared" si="662"/>
        <v>1000 + шт - 0,57 руб / шт с НДС</v>
      </c>
      <c r="R1171" s="235"/>
      <c r="S1171" s="239"/>
      <c r="T1171" s="226"/>
      <c r="U1171" s="228"/>
      <c r="V1171" s="222"/>
      <c r="W1171" s="229"/>
      <c r="X1171" s="227"/>
      <c r="Y1171" s="229"/>
      <c r="Z1171" s="236"/>
      <c r="AA1171" s="237"/>
      <c r="AB1171" s="238"/>
      <c r="AC1171" s="223"/>
      <c r="AD1171" s="222"/>
    </row>
    <row r="1172" spans="1:30" x14ac:dyDescent="0.4">
      <c r="A1172" s="230">
        <v>236</v>
      </c>
      <c r="B1172" s="8">
        <v>236</v>
      </c>
      <c r="C1172" s="14">
        <f t="shared" ca="1" si="679"/>
        <v>0.87</v>
      </c>
      <c r="D1172" s="20">
        <f t="shared" ca="1" si="654"/>
        <v>1.044</v>
      </c>
      <c r="E1172" s="225" t="str">
        <f ca="1">INDIRECT("'Закуп'!D" &amp; A1172)</f>
        <v>ТМ-
SALE</v>
      </c>
      <c r="F1172" s="231" t="str">
        <f t="shared" ref="F1172" ca="1" si="684">INDIRECT("'Закуп'!E" &amp; B1172)</f>
        <v>245х210х83</v>
      </c>
      <c r="G1172" s="172" t="str">
        <f t="shared" ca="1" si="674"/>
        <v>Sale</v>
      </c>
      <c r="H1172" s="93" t="str">
        <f t="shared" ca="1" si="675"/>
        <v/>
      </c>
      <c r="I1172" s="21">
        <v>50</v>
      </c>
      <c r="J1172" s="68">
        <f t="shared" si="676"/>
        <v>0.95833333333333326</v>
      </c>
      <c r="K1172" s="70">
        <v>1.1499999999999999</v>
      </c>
      <c r="L1172" s="72">
        <f t="shared" ca="1" si="672"/>
        <v>7.0666666666666614E-2</v>
      </c>
      <c r="M1172" s="73">
        <f t="shared" ca="1" si="673"/>
        <v>3.5333333333333306</v>
      </c>
      <c r="N1172" s="12" t="s">
        <v>40</v>
      </c>
      <c r="O1172" s="47" t="s">
        <v>45</v>
      </c>
      <c r="P1172" s="13">
        <f t="shared" si="661"/>
        <v>1.1499999999999999</v>
      </c>
      <c r="Q1172" s="1" t="str">
        <f t="shared" si="662"/>
        <v>50-90 шт - 1,15 руб / шт с НДС</v>
      </c>
      <c r="R1172" s="235" t="str">
        <f ca="1">INDIRECT("'Закуп'!k" &amp; A1172)</f>
        <v>K1014</v>
      </c>
      <c r="S1172" s="239">
        <f ca="1">INDIRECT("'Закуп'!o" &amp; A1172)</f>
        <v>4.2699999999999996</v>
      </c>
      <c r="T1172" s="226" t="str">
        <f ca="1">INDIRECT("'Закуп'!p" &amp; A1172)</f>
        <v>4-5,9 литра</v>
      </c>
      <c r="U1172" s="228" t="str">
        <f ca="1">INDIRECT("'Закуп'!v" &amp; A1172)</f>
        <v/>
      </c>
      <c r="V1172" s="222" t="str">
        <f ca="1">INDIRECT("'Закуп'!w" &amp; A1172)</f>
        <v>Плоские</v>
      </c>
      <c r="W1172" s="229" t="str">
        <f ca="1">INDIRECT("'Закуп'!H" &amp; A1172)</f>
        <v>0471</v>
      </c>
      <c r="X1172" s="227" t="str">
        <f t="shared" ref="X1172" ca="1" si="685">INDIRECT("'Закуп'!g" &amp; A1172)</f>
        <v>С</v>
      </c>
      <c r="Y1172" s="229" t="str">
        <f ca="1">INDIRECT("'Закуп'!i" &amp; A1172)</f>
        <v>В</v>
      </c>
      <c r="Z1172" s="236" t="str">
        <f ca="1">INDIRECT("'Закуп'!x" &amp; A1172)</f>
        <v>200-299 мм</v>
      </c>
      <c r="AA1172" s="237" t="str">
        <f ca="1">INDIRECT("'Закуп'!y" &amp; A1172)</f>
        <v>200-299 мм</v>
      </c>
      <c r="AB1172" s="238" t="str">
        <f ca="1">INDIRECT("'Закуп'!z" &amp; A1172)</f>
        <v>10-99 мм</v>
      </c>
      <c r="AC1172" s="223" t="str">
        <f t="shared" ca="1" si="667"/>
        <v>245x210x83</v>
      </c>
      <c r="AD1172" s="222" t="str">
        <f t="shared" ca="1" si="653"/>
        <v>245x210x83 - 245*210*83 мм</v>
      </c>
    </row>
    <row r="1173" spans="1:30" x14ac:dyDescent="0.4">
      <c r="A1173" s="230"/>
      <c r="B1173" s="8">
        <v>236</v>
      </c>
      <c r="C1173" s="14">
        <f t="shared" ca="1" si="679"/>
        <v>0.87</v>
      </c>
      <c r="D1173" s="20">
        <f t="shared" ca="1" si="654"/>
        <v>1.044</v>
      </c>
      <c r="E1173" s="225"/>
      <c r="F1173" s="231"/>
      <c r="G1173" s="172" t="str">
        <f t="shared" ca="1" si="674"/>
        <v>Sale</v>
      </c>
      <c r="H1173" s="93" t="str">
        <f t="shared" ca="1" si="675"/>
        <v/>
      </c>
      <c r="I1173" s="21">
        <v>100</v>
      </c>
      <c r="J1173" s="68">
        <f t="shared" si="676"/>
        <v>0.95833333333333326</v>
      </c>
      <c r="K1173" s="70">
        <v>1.1499999999999999</v>
      </c>
      <c r="L1173" s="72">
        <f t="shared" ca="1" si="672"/>
        <v>7.0666666666666614E-2</v>
      </c>
      <c r="M1173" s="73">
        <f t="shared" ca="1" si="673"/>
        <v>7.0666666666666611</v>
      </c>
      <c r="N1173" s="12" t="s">
        <v>41</v>
      </c>
      <c r="O1173" s="47" t="s">
        <v>45</v>
      </c>
      <c r="P1173" s="13">
        <f t="shared" si="661"/>
        <v>1.1499999999999999</v>
      </c>
      <c r="Q1173" s="1" t="str">
        <f t="shared" si="662"/>
        <v>100-290 шт - 1,15 руб / шт с НДС</v>
      </c>
      <c r="R1173" s="235"/>
      <c r="S1173" s="239"/>
      <c r="T1173" s="226"/>
      <c r="U1173" s="228"/>
      <c r="V1173" s="222"/>
      <c r="W1173" s="229"/>
      <c r="X1173" s="227"/>
      <c r="Y1173" s="229"/>
      <c r="Z1173" s="236"/>
      <c r="AA1173" s="237"/>
      <c r="AB1173" s="238"/>
      <c r="AC1173" s="223"/>
      <c r="AD1173" s="222"/>
    </row>
    <row r="1174" spans="1:30" x14ac:dyDescent="0.4">
      <c r="A1174" s="230"/>
      <c r="B1174" s="8">
        <v>236</v>
      </c>
      <c r="C1174" s="14">
        <f t="shared" ca="1" si="679"/>
        <v>0.87</v>
      </c>
      <c r="D1174" s="20">
        <f t="shared" ca="1" si="654"/>
        <v>1.044</v>
      </c>
      <c r="E1174" s="225"/>
      <c r="F1174" s="231"/>
      <c r="G1174" s="172" t="str">
        <f t="shared" ca="1" si="674"/>
        <v>Sale</v>
      </c>
      <c r="H1174" s="93" t="str">
        <f t="shared" ca="1" si="675"/>
        <v/>
      </c>
      <c r="I1174" s="21">
        <v>300</v>
      </c>
      <c r="J1174" s="68">
        <f t="shared" si="676"/>
        <v>0.95833333333333326</v>
      </c>
      <c r="K1174" s="70">
        <v>1.1499999999999999</v>
      </c>
      <c r="L1174" s="72">
        <f t="shared" ca="1" si="672"/>
        <v>7.0666666666666614E-2</v>
      </c>
      <c r="M1174" s="73">
        <f t="shared" ca="1" si="673"/>
        <v>21.199999999999985</v>
      </c>
      <c r="N1174" s="12" t="s">
        <v>42</v>
      </c>
      <c r="O1174" s="47" t="s">
        <v>45</v>
      </c>
      <c r="P1174" s="13">
        <f t="shared" si="661"/>
        <v>1.1499999999999999</v>
      </c>
      <c r="Q1174" s="1" t="str">
        <f t="shared" si="662"/>
        <v>300-490 шт - 1,15 руб / шт с НДС</v>
      </c>
      <c r="R1174" s="235"/>
      <c r="S1174" s="239"/>
      <c r="T1174" s="226"/>
      <c r="U1174" s="228"/>
      <c r="V1174" s="222"/>
      <c r="W1174" s="229"/>
      <c r="X1174" s="227"/>
      <c r="Y1174" s="229"/>
      <c r="Z1174" s="236"/>
      <c r="AA1174" s="237"/>
      <c r="AB1174" s="238"/>
      <c r="AC1174" s="223"/>
      <c r="AD1174" s="222"/>
    </row>
    <row r="1175" spans="1:30" x14ac:dyDescent="0.4">
      <c r="A1175" s="230"/>
      <c r="B1175" s="8">
        <v>236</v>
      </c>
      <c r="C1175" s="14">
        <f t="shared" ca="1" si="679"/>
        <v>0.87</v>
      </c>
      <c r="D1175" s="20">
        <f t="shared" ca="1" si="654"/>
        <v>1.044</v>
      </c>
      <c r="E1175" s="225"/>
      <c r="F1175" s="231"/>
      <c r="G1175" s="172" t="str">
        <f t="shared" ca="1" si="674"/>
        <v>Sale</v>
      </c>
      <c r="H1175" s="93" t="str">
        <f t="shared" ca="1" si="675"/>
        <v/>
      </c>
      <c r="I1175" s="21">
        <v>500</v>
      </c>
      <c r="J1175" s="68">
        <f t="shared" si="676"/>
        <v>0.95833333333333326</v>
      </c>
      <c r="K1175" s="70">
        <v>1.1499999999999999</v>
      </c>
      <c r="L1175" s="72">
        <f t="shared" ca="1" si="672"/>
        <v>7.0666666666666614E-2</v>
      </c>
      <c r="M1175" s="73">
        <f t="shared" ca="1" si="673"/>
        <v>35.333333333333307</v>
      </c>
      <c r="N1175" s="12" t="s">
        <v>43</v>
      </c>
      <c r="O1175" s="47" t="s">
        <v>45</v>
      </c>
      <c r="P1175" s="13">
        <f t="shared" si="661"/>
        <v>1.1499999999999999</v>
      </c>
      <c r="Q1175" s="1" t="str">
        <f t="shared" si="662"/>
        <v>500-990 шт - 1,15 руб / шт с НДС</v>
      </c>
      <c r="R1175" s="235"/>
      <c r="S1175" s="239"/>
      <c r="T1175" s="226"/>
      <c r="U1175" s="228"/>
      <c r="V1175" s="222"/>
      <c r="W1175" s="229"/>
      <c r="X1175" s="227"/>
      <c r="Y1175" s="229"/>
      <c r="Z1175" s="236"/>
      <c r="AA1175" s="237"/>
      <c r="AB1175" s="238"/>
      <c r="AC1175" s="223"/>
      <c r="AD1175" s="222"/>
    </row>
    <row r="1176" spans="1:30" x14ac:dyDescent="0.4">
      <c r="A1176" s="230"/>
      <c r="B1176" s="8">
        <v>236</v>
      </c>
      <c r="C1176" s="14">
        <f t="shared" ca="1" si="679"/>
        <v>0.87</v>
      </c>
      <c r="D1176" s="20">
        <f t="shared" ca="1" si="654"/>
        <v>1.044</v>
      </c>
      <c r="E1176" s="225"/>
      <c r="F1176" s="231"/>
      <c r="G1176" s="172" t="str">
        <f t="shared" ca="1" si="674"/>
        <v>Sale</v>
      </c>
      <c r="H1176" s="93" t="str">
        <f t="shared" ca="1" si="675"/>
        <v/>
      </c>
      <c r="I1176" s="21">
        <v>1000</v>
      </c>
      <c r="J1176" s="68">
        <f t="shared" si="676"/>
        <v>0.95833333333333326</v>
      </c>
      <c r="K1176" s="70">
        <v>1.1499999999999999</v>
      </c>
      <c r="L1176" s="72">
        <f t="shared" ca="1" si="672"/>
        <v>7.0666666666666614E-2</v>
      </c>
      <c r="M1176" s="73">
        <f t="shared" ca="1" si="673"/>
        <v>70.666666666666615</v>
      </c>
      <c r="N1176" s="12" t="s">
        <v>44</v>
      </c>
      <c r="O1176" s="47" t="s">
        <v>45</v>
      </c>
      <c r="P1176" s="13">
        <f t="shared" si="661"/>
        <v>1.1499999999999999</v>
      </c>
      <c r="Q1176" s="1" t="str">
        <f t="shared" si="662"/>
        <v>1000 + шт - 1,15 руб / шт с НДС</v>
      </c>
      <c r="R1176" s="235"/>
      <c r="S1176" s="239"/>
      <c r="T1176" s="226"/>
      <c r="U1176" s="228"/>
      <c r="V1176" s="222"/>
      <c r="W1176" s="229"/>
      <c r="X1176" s="227"/>
      <c r="Y1176" s="229"/>
      <c r="Z1176" s="236"/>
      <c r="AA1176" s="237"/>
      <c r="AB1176" s="238"/>
      <c r="AC1176" s="223"/>
      <c r="AD1176" s="222"/>
    </row>
    <row r="1177" spans="1:30" x14ac:dyDescent="0.4">
      <c r="A1177" s="230">
        <v>237</v>
      </c>
      <c r="B1177" s="8">
        <v>237</v>
      </c>
      <c r="C1177" s="14">
        <f t="shared" ca="1" si="679"/>
        <v>0.55000000000000004</v>
      </c>
      <c r="D1177" s="20">
        <f t="shared" ca="1" si="654"/>
        <v>0.66</v>
      </c>
      <c r="E1177" s="225" t="str">
        <f ca="1">INDIRECT("'Закуп'!D" &amp; A1177)</f>
        <v>ТМ-
SALE</v>
      </c>
      <c r="F1177" s="231" t="str">
        <f t="shared" ref="F1177" ca="1" si="686">INDIRECT("'Закуп'!E" &amp; B1177)</f>
        <v>251х111х117</v>
      </c>
      <c r="G1177" s="172" t="str">
        <f t="shared" ca="1" si="674"/>
        <v>Sale</v>
      </c>
      <c r="H1177" s="93" t="str">
        <f t="shared" ca="1" si="675"/>
        <v/>
      </c>
      <c r="I1177" s="21">
        <v>50</v>
      </c>
      <c r="J1177" s="68">
        <f t="shared" si="676"/>
        <v>0.66666666666666674</v>
      </c>
      <c r="K1177" s="70">
        <v>0.8</v>
      </c>
      <c r="L1177" s="72">
        <f t="shared" ca="1" si="672"/>
        <v>9.3333333333333351E-2</v>
      </c>
      <c r="M1177" s="73">
        <f t="shared" ca="1" si="673"/>
        <v>4.6666666666666679</v>
      </c>
      <c r="N1177" s="12" t="s">
        <v>40</v>
      </c>
      <c r="O1177" s="47" t="s">
        <v>45</v>
      </c>
      <c r="P1177" s="13">
        <f t="shared" si="661"/>
        <v>0.8</v>
      </c>
      <c r="Q1177" s="1" t="str">
        <f t="shared" si="662"/>
        <v>50-90 шт - 0,8 руб / шт с НДС</v>
      </c>
      <c r="R1177" s="235" t="str">
        <f ca="1">INDIRECT("'Закуп'!k" &amp; A1177)</f>
        <v>K1015</v>
      </c>
      <c r="S1177" s="239">
        <f ca="1">INDIRECT("'Закуп'!o" &amp; A1177)</f>
        <v>3.26</v>
      </c>
      <c r="T1177" s="226" t="str">
        <f ca="1">INDIRECT("'Закуп'!p" &amp; A1177)</f>
        <v>3-3,9 литра</v>
      </c>
      <c r="U1177" s="228" t="str">
        <f ca="1">INDIRECT("'Закуп'!v" &amp; A1177)</f>
        <v>Длинные</v>
      </c>
      <c r="V1177" s="222" t="str">
        <f ca="1">INDIRECT("'Закуп'!w" &amp; A1177)</f>
        <v/>
      </c>
      <c r="W1177" s="229" t="str">
        <f ca="1">INDIRECT("'Закуп'!H" &amp; A1177)</f>
        <v>0471</v>
      </c>
      <c r="X1177" s="227" t="str">
        <f t="shared" ref="X1177" ca="1" si="687">INDIRECT("'Закуп'!g" &amp; A1177)</f>
        <v>С</v>
      </c>
      <c r="Y1177" s="229" t="str">
        <f ca="1">INDIRECT("'Закуп'!i" &amp; A1177)</f>
        <v>В</v>
      </c>
      <c r="Z1177" s="236" t="str">
        <f ca="1">INDIRECT("'Закуп'!x" &amp; A1177)</f>
        <v>200-299 мм</v>
      </c>
      <c r="AA1177" s="237" t="str">
        <f ca="1">INDIRECT("'Закуп'!y" &amp; A1177)</f>
        <v>100-199 мм</v>
      </c>
      <c r="AB1177" s="238" t="str">
        <f ca="1">INDIRECT("'Закуп'!z" &amp; A1177)</f>
        <v>100-199 мм</v>
      </c>
      <c r="AC1177" s="223" t="str">
        <f t="shared" ca="1" si="667"/>
        <v>251x111x117</v>
      </c>
      <c r="AD1177" s="222" t="str">
        <f t="shared" ca="1" si="653"/>
        <v>251x111x117 - 251*111*117 мм</v>
      </c>
    </row>
    <row r="1178" spans="1:30" x14ac:dyDescent="0.4">
      <c r="A1178" s="230"/>
      <c r="B1178" s="8">
        <v>237</v>
      </c>
      <c r="C1178" s="14">
        <f t="shared" ca="1" si="679"/>
        <v>0.55000000000000004</v>
      </c>
      <c r="D1178" s="20">
        <f t="shared" ca="1" si="654"/>
        <v>0.66</v>
      </c>
      <c r="E1178" s="225"/>
      <c r="F1178" s="231"/>
      <c r="G1178" s="172" t="str">
        <f t="shared" ca="1" si="674"/>
        <v>Sale</v>
      </c>
      <c r="H1178" s="93" t="str">
        <f t="shared" ca="1" si="675"/>
        <v/>
      </c>
      <c r="I1178" s="21">
        <v>100</v>
      </c>
      <c r="J1178" s="68">
        <f t="shared" si="676"/>
        <v>0.66666666666666674</v>
      </c>
      <c r="K1178" s="70">
        <v>0.8</v>
      </c>
      <c r="L1178" s="72">
        <f t="shared" ca="1" si="672"/>
        <v>9.3333333333333351E-2</v>
      </c>
      <c r="M1178" s="73">
        <f t="shared" ca="1" si="673"/>
        <v>9.3333333333333357</v>
      </c>
      <c r="N1178" s="12" t="s">
        <v>41</v>
      </c>
      <c r="O1178" s="47" t="s">
        <v>45</v>
      </c>
      <c r="P1178" s="13">
        <f t="shared" si="661"/>
        <v>0.8</v>
      </c>
      <c r="Q1178" s="1" t="str">
        <f t="shared" si="662"/>
        <v>100-290 шт - 0,8 руб / шт с НДС</v>
      </c>
      <c r="R1178" s="235"/>
      <c r="S1178" s="239"/>
      <c r="T1178" s="226"/>
      <c r="U1178" s="228"/>
      <c r="V1178" s="222"/>
      <c r="W1178" s="229"/>
      <c r="X1178" s="227"/>
      <c r="Y1178" s="229"/>
      <c r="Z1178" s="236"/>
      <c r="AA1178" s="237"/>
      <c r="AB1178" s="238"/>
      <c r="AC1178" s="223"/>
      <c r="AD1178" s="222"/>
    </row>
    <row r="1179" spans="1:30" x14ac:dyDescent="0.4">
      <c r="A1179" s="230"/>
      <c r="B1179" s="8">
        <v>237</v>
      </c>
      <c r="C1179" s="14">
        <f t="shared" ca="1" si="679"/>
        <v>0.55000000000000004</v>
      </c>
      <c r="D1179" s="20">
        <f t="shared" ca="1" si="654"/>
        <v>0.66</v>
      </c>
      <c r="E1179" s="225"/>
      <c r="F1179" s="231"/>
      <c r="G1179" s="172" t="str">
        <f t="shared" ca="1" si="674"/>
        <v>Sale</v>
      </c>
      <c r="H1179" s="93" t="str">
        <f t="shared" ca="1" si="675"/>
        <v/>
      </c>
      <c r="I1179" s="21">
        <v>300</v>
      </c>
      <c r="J1179" s="68">
        <f t="shared" si="676"/>
        <v>0.66666666666666674</v>
      </c>
      <c r="K1179" s="70">
        <v>0.8</v>
      </c>
      <c r="L1179" s="72">
        <f t="shared" ca="1" si="672"/>
        <v>9.3333333333333351E-2</v>
      </c>
      <c r="M1179" s="73">
        <f t="shared" ca="1" si="673"/>
        <v>28.000000000000007</v>
      </c>
      <c r="N1179" s="12" t="s">
        <v>42</v>
      </c>
      <c r="O1179" s="47" t="s">
        <v>45</v>
      </c>
      <c r="P1179" s="13">
        <f t="shared" si="661"/>
        <v>0.8</v>
      </c>
      <c r="Q1179" s="1" t="str">
        <f t="shared" si="662"/>
        <v>300-490 шт - 0,8 руб / шт с НДС</v>
      </c>
      <c r="R1179" s="235"/>
      <c r="S1179" s="239"/>
      <c r="T1179" s="226"/>
      <c r="U1179" s="228"/>
      <c r="V1179" s="222"/>
      <c r="W1179" s="229"/>
      <c r="X1179" s="227"/>
      <c r="Y1179" s="229"/>
      <c r="Z1179" s="236"/>
      <c r="AA1179" s="237"/>
      <c r="AB1179" s="238"/>
      <c r="AC1179" s="223"/>
      <c r="AD1179" s="222"/>
    </row>
    <row r="1180" spans="1:30" x14ac:dyDescent="0.4">
      <c r="A1180" s="230"/>
      <c r="B1180" s="8">
        <v>237</v>
      </c>
      <c r="C1180" s="14">
        <f t="shared" ca="1" si="679"/>
        <v>0.55000000000000004</v>
      </c>
      <c r="D1180" s="20">
        <f t="shared" ca="1" si="654"/>
        <v>0.66</v>
      </c>
      <c r="E1180" s="225"/>
      <c r="F1180" s="231"/>
      <c r="G1180" s="172" t="str">
        <f t="shared" ca="1" si="674"/>
        <v>Sale</v>
      </c>
      <c r="H1180" s="93" t="str">
        <f t="shared" ca="1" si="675"/>
        <v/>
      </c>
      <c r="I1180" s="21">
        <v>500</v>
      </c>
      <c r="J1180" s="68">
        <f t="shared" si="676"/>
        <v>0.66666666666666674</v>
      </c>
      <c r="K1180" s="70">
        <v>0.8</v>
      </c>
      <c r="L1180" s="72">
        <f t="shared" ca="1" si="672"/>
        <v>9.3333333333333351E-2</v>
      </c>
      <c r="M1180" s="73">
        <f t="shared" ca="1" si="673"/>
        <v>46.666666666666679</v>
      </c>
      <c r="N1180" s="12" t="s">
        <v>43</v>
      </c>
      <c r="O1180" s="47" t="s">
        <v>45</v>
      </c>
      <c r="P1180" s="13">
        <f t="shared" si="661"/>
        <v>0.8</v>
      </c>
      <c r="Q1180" s="1" t="str">
        <f t="shared" si="662"/>
        <v>500-990 шт - 0,8 руб / шт с НДС</v>
      </c>
      <c r="R1180" s="235"/>
      <c r="S1180" s="239"/>
      <c r="T1180" s="226"/>
      <c r="U1180" s="228"/>
      <c r="V1180" s="222"/>
      <c r="W1180" s="229"/>
      <c r="X1180" s="227"/>
      <c r="Y1180" s="229"/>
      <c r="Z1180" s="236"/>
      <c r="AA1180" s="237"/>
      <c r="AB1180" s="238"/>
      <c r="AC1180" s="223"/>
      <c r="AD1180" s="222"/>
    </row>
    <row r="1181" spans="1:30" x14ac:dyDescent="0.4">
      <c r="A1181" s="230"/>
      <c r="B1181" s="8">
        <v>237</v>
      </c>
      <c r="C1181" s="14">
        <f t="shared" ca="1" si="679"/>
        <v>0.55000000000000004</v>
      </c>
      <c r="D1181" s="20">
        <f t="shared" ca="1" si="654"/>
        <v>0.66</v>
      </c>
      <c r="E1181" s="225"/>
      <c r="F1181" s="231"/>
      <c r="G1181" s="172" t="str">
        <f t="shared" ca="1" si="674"/>
        <v>Sale</v>
      </c>
      <c r="H1181" s="93" t="str">
        <f t="shared" ca="1" si="675"/>
        <v/>
      </c>
      <c r="I1181" s="21">
        <v>1000</v>
      </c>
      <c r="J1181" s="68">
        <f t="shared" si="676"/>
        <v>0.66666666666666674</v>
      </c>
      <c r="K1181" s="70">
        <v>0.8</v>
      </c>
      <c r="L1181" s="72">
        <f t="shared" ca="1" si="672"/>
        <v>9.3333333333333351E-2</v>
      </c>
      <c r="M1181" s="73">
        <f t="shared" ca="1" si="673"/>
        <v>93.333333333333357</v>
      </c>
      <c r="N1181" s="12" t="s">
        <v>44</v>
      </c>
      <c r="O1181" s="47" t="s">
        <v>45</v>
      </c>
      <c r="P1181" s="13">
        <f t="shared" si="661"/>
        <v>0.8</v>
      </c>
      <c r="Q1181" s="1" t="str">
        <f t="shared" si="662"/>
        <v>1000 + шт - 0,8 руб / шт с НДС</v>
      </c>
      <c r="R1181" s="235"/>
      <c r="S1181" s="239"/>
      <c r="T1181" s="226"/>
      <c r="U1181" s="228"/>
      <c r="V1181" s="222"/>
      <c r="W1181" s="229"/>
      <c r="X1181" s="227"/>
      <c r="Y1181" s="229"/>
      <c r="Z1181" s="236"/>
      <c r="AA1181" s="237"/>
      <c r="AB1181" s="238"/>
      <c r="AC1181" s="223"/>
      <c r="AD1181" s="222"/>
    </row>
    <row r="1182" spans="1:30" x14ac:dyDescent="0.4">
      <c r="A1182" s="230">
        <v>238</v>
      </c>
      <c r="B1182" s="8">
        <v>238</v>
      </c>
      <c r="C1182" s="14">
        <f t="shared" ca="1" si="679"/>
        <v>0.42</v>
      </c>
      <c r="D1182" s="20">
        <f t="shared" ca="1" si="654"/>
        <v>0.504</v>
      </c>
      <c r="E1182" s="225" t="str">
        <f ca="1">INDIRECT("'Закуп'!D" &amp; A1182)</f>
        <v>0-ТМ</v>
      </c>
      <c r="F1182" s="231">
        <f t="shared" ref="F1182" ca="1" si="688">INDIRECT("'Закуп'!E" &amp; B1182)</f>
        <v>0</v>
      </c>
      <c r="G1182" s="172" t="str">
        <f t="shared" ca="1" si="674"/>
        <v>Sale</v>
      </c>
      <c r="H1182" s="93" t="str">
        <f t="shared" ca="1" si="675"/>
        <v>283х141х45</v>
      </c>
      <c r="I1182" s="21">
        <v>50</v>
      </c>
      <c r="J1182" s="68">
        <f t="shared" si="676"/>
        <v>0.54166666666666674</v>
      </c>
      <c r="K1182" s="70">
        <v>0.65</v>
      </c>
      <c r="L1182" s="72">
        <f t="shared" ca="1" si="672"/>
        <v>9.7333333333333411E-2</v>
      </c>
      <c r="M1182" s="73">
        <f t="shared" ca="1" si="673"/>
        <v>4.8666666666666707</v>
      </c>
      <c r="N1182" s="12" t="s">
        <v>40</v>
      </c>
      <c r="O1182" s="47" t="s">
        <v>45</v>
      </c>
      <c r="P1182" s="13">
        <f t="shared" si="661"/>
        <v>0.65</v>
      </c>
      <c r="Q1182" s="1" t="str">
        <f t="shared" si="662"/>
        <v>50-90 шт - 0,65 руб / шт с НДС</v>
      </c>
      <c r="R1182" s="235" t="str">
        <f ca="1">INDIRECT("'Закуп'!k" &amp; A1182)</f>
        <v>K1016</v>
      </c>
      <c r="S1182" s="239" t="e">
        <f ca="1">INDIRECT("'Закуп'!o" &amp; A1182)</f>
        <v>#VALUE!</v>
      </c>
      <c r="T1182" s="226" t="e">
        <f ca="1">INDIRECT("'Закуп'!p" &amp; A1182)</f>
        <v>#VALUE!</v>
      </c>
      <c r="U1182" s="228" t="e">
        <f ca="1">INDIRECT("'Закуп'!v" &amp; A1182)</f>
        <v>#VALUE!</v>
      </c>
      <c r="V1182" s="222" t="e">
        <f ca="1">INDIRECT("'Закуп'!w" &amp; A1182)</f>
        <v>#VALUE!</v>
      </c>
      <c r="W1182" s="229" t="str">
        <f ca="1">INDIRECT("'Закуп'!H" &amp; A1182)</f>
        <v>0427</v>
      </c>
      <c r="X1182" s="227" t="str">
        <f t="shared" ref="X1182" ca="1" si="689">INDIRECT("'Закуп'!g" &amp; A1182)</f>
        <v>С</v>
      </c>
      <c r="Y1182" s="229" t="str">
        <f ca="1">INDIRECT("'Закуп'!i" &amp; A1182)</f>
        <v>Е</v>
      </c>
      <c r="Z1182" s="236" t="e">
        <f ca="1">INDIRECT("'Закуп'!x" &amp; A1182)</f>
        <v>#NUM!</v>
      </c>
      <c r="AA1182" s="237" t="e">
        <f ca="1">INDIRECT("'Закуп'!y" &amp; A1182)</f>
        <v>#NUM!</v>
      </c>
      <c r="AB1182" s="238" t="e">
        <f ca="1">INDIRECT("'Закуп'!z" &amp; A1182)</f>
        <v>#NUM!</v>
      </c>
      <c r="AC1182" s="223" t="str">
        <f t="shared" ca="1" si="667"/>
        <v>0</v>
      </c>
      <c r="AD1182" s="222" t="str">
        <f t="shared" ref="AD1182:AD1242" ca="1" si="690">SUBSTITUTE(INDEX(F:F, ROUNDUP((ROW(A1181))/5,0)*5 - 3), "х", "x") &amp; " - " &amp; SUBSTITUTE(SUBSTITUTE(INDEX(F:F, ROUNDUP((ROW(A1181))/5,0)*5 - 3), "х", "*"), "x", "*") &amp; " мм"</f>
        <v>0 - 0 мм</v>
      </c>
    </row>
    <row r="1183" spans="1:30" x14ac:dyDescent="0.4">
      <c r="A1183" s="230"/>
      <c r="B1183" s="8">
        <v>238</v>
      </c>
      <c r="C1183" s="14">
        <f t="shared" ca="1" si="679"/>
        <v>0.42</v>
      </c>
      <c r="D1183" s="20">
        <f t="shared" ca="1" si="654"/>
        <v>0.504</v>
      </c>
      <c r="E1183" s="225"/>
      <c r="F1183" s="231"/>
      <c r="G1183" s="172" t="str">
        <f t="shared" ca="1" si="674"/>
        <v>Sale</v>
      </c>
      <c r="H1183" s="93" t="str">
        <f t="shared" ca="1" si="675"/>
        <v>283х141х45</v>
      </c>
      <c r="I1183" s="21">
        <v>100</v>
      </c>
      <c r="J1183" s="68">
        <f t="shared" si="676"/>
        <v>0.54166666666666674</v>
      </c>
      <c r="K1183" s="70">
        <v>0.65</v>
      </c>
      <c r="L1183" s="72">
        <f t="shared" ca="1" si="672"/>
        <v>9.7333333333333411E-2</v>
      </c>
      <c r="M1183" s="73">
        <f t="shared" ca="1" si="673"/>
        <v>9.7333333333333414</v>
      </c>
      <c r="N1183" s="12" t="s">
        <v>41</v>
      </c>
      <c r="O1183" s="47" t="s">
        <v>45</v>
      </c>
      <c r="P1183" s="13">
        <f t="shared" si="661"/>
        <v>0.65</v>
      </c>
      <c r="Q1183" s="1" t="str">
        <f t="shared" si="662"/>
        <v>100-290 шт - 0,65 руб / шт с НДС</v>
      </c>
      <c r="R1183" s="235"/>
      <c r="S1183" s="239"/>
      <c r="T1183" s="226"/>
      <c r="U1183" s="228"/>
      <c r="V1183" s="222"/>
      <c r="W1183" s="229"/>
      <c r="X1183" s="227"/>
      <c r="Y1183" s="229"/>
      <c r="Z1183" s="236"/>
      <c r="AA1183" s="237"/>
      <c r="AB1183" s="238"/>
      <c r="AC1183" s="223"/>
      <c r="AD1183" s="222"/>
    </row>
    <row r="1184" spans="1:30" x14ac:dyDescent="0.4">
      <c r="A1184" s="230"/>
      <c r="B1184" s="8">
        <v>238</v>
      </c>
      <c r="C1184" s="14">
        <f t="shared" ca="1" si="679"/>
        <v>0.42</v>
      </c>
      <c r="D1184" s="20">
        <f t="shared" ca="1" si="654"/>
        <v>0.504</v>
      </c>
      <c r="E1184" s="225"/>
      <c r="F1184" s="231"/>
      <c r="G1184" s="172" t="str">
        <f t="shared" ca="1" si="674"/>
        <v>Sale</v>
      </c>
      <c r="H1184" s="93" t="str">
        <f t="shared" ca="1" si="675"/>
        <v>283х141х45</v>
      </c>
      <c r="I1184" s="21">
        <v>300</v>
      </c>
      <c r="J1184" s="68">
        <f t="shared" si="676"/>
        <v>0.54166666666666674</v>
      </c>
      <c r="K1184" s="70">
        <v>0.65</v>
      </c>
      <c r="L1184" s="72">
        <f t="shared" ca="1" si="672"/>
        <v>9.7333333333333411E-2</v>
      </c>
      <c r="M1184" s="73">
        <f t="shared" ca="1" si="673"/>
        <v>29.200000000000024</v>
      </c>
      <c r="N1184" s="12" t="s">
        <v>42</v>
      </c>
      <c r="O1184" s="47" t="s">
        <v>45</v>
      </c>
      <c r="P1184" s="13">
        <f t="shared" si="661"/>
        <v>0.65</v>
      </c>
      <c r="Q1184" s="1" t="str">
        <f t="shared" si="662"/>
        <v>300-490 шт - 0,65 руб / шт с НДС</v>
      </c>
      <c r="R1184" s="235"/>
      <c r="S1184" s="239"/>
      <c r="T1184" s="226"/>
      <c r="U1184" s="228"/>
      <c r="V1184" s="222"/>
      <c r="W1184" s="229"/>
      <c r="X1184" s="227"/>
      <c r="Y1184" s="229"/>
      <c r="Z1184" s="236"/>
      <c r="AA1184" s="237"/>
      <c r="AB1184" s="238"/>
      <c r="AC1184" s="223"/>
      <c r="AD1184" s="222"/>
    </row>
    <row r="1185" spans="1:30" x14ac:dyDescent="0.4">
      <c r="A1185" s="230"/>
      <c r="B1185" s="8">
        <v>238</v>
      </c>
      <c r="C1185" s="14">
        <f t="shared" ca="1" si="679"/>
        <v>0.42</v>
      </c>
      <c r="D1185" s="20">
        <f t="shared" ref="D1185:D1248" ca="1" si="691">C1185*1.2</f>
        <v>0.504</v>
      </c>
      <c r="E1185" s="225"/>
      <c r="F1185" s="231"/>
      <c r="G1185" s="172" t="str">
        <f t="shared" ca="1" si="674"/>
        <v>Sale</v>
      </c>
      <c r="H1185" s="93" t="str">
        <f t="shared" ca="1" si="675"/>
        <v>283х141х45</v>
      </c>
      <c r="I1185" s="21">
        <v>500</v>
      </c>
      <c r="J1185" s="68">
        <f t="shared" si="676"/>
        <v>0.54166666666666674</v>
      </c>
      <c r="K1185" s="70">
        <v>0.65</v>
      </c>
      <c r="L1185" s="72">
        <f t="shared" ca="1" si="672"/>
        <v>9.7333333333333411E-2</v>
      </c>
      <c r="M1185" s="73">
        <f t="shared" ca="1" si="673"/>
        <v>48.666666666666707</v>
      </c>
      <c r="N1185" s="12" t="s">
        <v>43</v>
      </c>
      <c r="O1185" s="47" t="s">
        <v>45</v>
      </c>
      <c r="P1185" s="13">
        <f t="shared" si="661"/>
        <v>0.65</v>
      </c>
      <c r="Q1185" s="1" t="str">
        <f t="shared" si="662"/>
        <v>500-990 шт - 0,65 руб / шт с НДС</v>
      </c>
      <c r="R1185" s="235"/>
      <c r="S1185" s="239"/>
      <c r="T1185" s="226"/>
      <c r="U1185" s="228"/>
      <c r="V1185" s="222"/>
      <c r="W1185" s="229"/>
      <c r="X1185" s="227"/>
      <c r="Y1185" s="229"/>
      <c r="Z1185" s="236"/>
      <c r="AA1185" s="237"/>
      <c r="AB1185" s="238"/>
      <c r="AC1185" s="223"/>
      <c r="AD1185" s="222"/>
    </row>
    <row r="1186" spans="1:30" x14ac:dyDescent="0.4">
      <c r="A1186" s="230"/>
      <c r="B1186" s="8">
        <v>238</v>
      </c>
      <c r="C1186" s="14">
        <f t="shared" ca="1" si="679"/>
        <v>0.42</v>
      </c>
      <c r="D1186" s="20">
        <f t="shared" ca="1" si="691"/>
        <v>0.504</v>
      </c>
      <c r="E1186" s="225"/>
      <c r="F1186" s="231"/>
      <c r="G1186" s="172" t="str">
        <f t="shared" ca="1" si="674"/>
        <v>Sale</v>
      </c>
      <c r="H1186" s="93" t="str">
        <f t="shared" ca="1" si="675"/>
        <v>283х141х45</v>
      </c>
      <c r="I1186" s="21">
        <v>1000</v>
      </c>
      <c r="J1186" s="68">
        <f t="shared" si="676"/>
        <v>0.54166666666666674</v>
      </c>
      <c r="K1186" s="70">
        <v>0.65</v>
      </c>
      <c r="L1186" s="72">
        <f t="shared" ca="1" si="672"/>
        <v>9.7333333333333411E-2</v>
      </c>
      <c r="M1186" s="73">
        <f t="shared" ca="1" si="673"/>
        <v>97.333333333333414</v>
      </c>
      <c r="N1186" s="12" t="s">
        <v>44</v>
      </c>
      <c r="O1186" s="47" t="s">
        <v>45</v>
      </c>
      <c r="P1186" s="13">
        <f t="shared" si="661"/>
        <v>0.65</v>
      </c>
      <c r="Q1186" s="1" t="str">
        <f t="shared" si="662"/>
        <v>1000 + шт - 0,65 руб / шт с НДС</v>
      </c>
      <c r="R1186" s="235"/>
      <c r="S1186" s="239"/>
      <c r="T1186" s="226"/>
      <c r="U1186" s="228"/>
      <c r="V1186" s="222"/>
      <c r="W1186" s="229"/>
      <c r="X1186" s="227"/>
      <c r="Y1186" s="229"/>
      <c r="Z1186" s="236"/>
      <c r="AA1186" s="237"/>
      <c r="AB1186" s="238"/>
      <c r="AC1186" s="223"/>
      <c r="AD1186" s="222"/>
    </row>
    <row r="1187" spans="1:30" x14ac:dyDescent="0.4">
      <c r="A1187" s="230">
        <v>239</v>
      </c>
      <c r="B1187" s="8">
        <v>239</v>
      </c>
      <c r="C1187" s="14">
        <f t="shared" ca="1" si="679"/>
        <v>0.61</v>
      </c>
      <c r="D1187" s="20">
        <f t="shared" ca="1" si="691"/>
        <v>0.73199999999999998</v>
      </c>
      <c r="E1187" s="225" t="str">
        <f ca="1">INDIRECT("'Закуп'!D" &amp; A1187)</f>
        <v>ТМ-
SALE</v>
      </c>
      <c r="F1187" s="231" t="str">
        <f t="shared" ref="F1187" ca="1" si="692">INDIRECT("'Закуп'!E" &amp; B1187)</f>
        <v>290х120х110</v>
      </c>
      <c r="G1187" s="172" t="str">
        <f t="shared" ca="1" si="674"/>
        <v>Sale</v>
      </c>
      <c r="H1187" s="93" t="str">
        <f t="shared" ca="1" si="675"/>
        <v/>
      </c>
      <c r="I1187" s="21">
        <v>50</v>
      </c>
      <c r="J1187" s="68">
        <f t="shared" si="676"/>
        <v>0.70833333333333337</v>
      </c>
      <c r="K1187" s="70">
        <v>0.85</v>
      </c>
      <c r="L1187" s="72">
        <f t="shared" ca="1" si="672"/>
        <v>7.8666666666666704E-2</v>
      </c>
      <c r="M1187" s="73">
        <f t="shared" ca="1" si="673"/>
        <v>3.9333333333333353</v>
      </c>
      <c r="N1187" s="12" t="s">
        <v>40</v>
      </c>
      <c r="O1187" s="47" t="s">
        <v>45</v>
      </c>
      <c r="P1187" s="13">
        <f t="shared" si="661"/>
        <v>0.85</v>
      </c>
      <c r="Q1187" s="1" t="str">
        <f t="shared" si="662"/>
        <v>50-90 шт - 0,85 руб / шт с НДС</v>
      </c>
      <c r="R1187" s="235" t="str">
        <f ca="1">INDIRECT("'Закуп'!k" &amp; A1187)</f>
        <v>K1017</v>
      </c>
      <c r="S1187" s="239">
        <f ca="1">INDIRECT("'Закуп'!o" &amp; A1187)</f>
        <v>3.83</v>
      </c>
      <c r="T1187" s="226" t="str">
        <f ca="1">INDIRECT("'Закуп'!p" &amp; A1187)</f>
        <v>3-3,9 литра</v>
      </c>
      <c r="U1187" s="228" t="str">
        <f ca="1">INDIRECT("'Закуп'!v" &amp; A1187)</f>
        <v>Длинные</v>
      </c>
      <c r="V1187" s="222" t="str">
        <f ca="1">INDIRECT("'Закуп'!w" &amp; A1187)</f>
        <v/>
      </c>
      <c r="W1187" s="229" t="str">
        <f ca="1">INDIRECT("'Закуп'!H" &amp; A1187)</f>
        <v>0471</v>
      </c>
      <c r="X1187" s="227" t="str">
        <f t="shared" ref="X1187" ca="1" si="693">INDIRECT("'Закуп'!g" &amp; A1187)</f>
        <v>С</v>
      </c>
      <c r="Y1187" s="229" t="str">
        <f ca="1">INDIRECT("'Закуп'!i" &amp; A1187)</f>
        <v>В</v>
      </c>
      <c r="Z1187" s="236" t="str">
        <f ca="1">INDIRECT("'Закуп'!x" &amp; A1187)</f>
        <v>200-299 мм</v>
      </c>
      <c r="AA1187" s="237" t="str">
        <f ca="1">INDIRECT("'Закуп'!y" &amp; A1187)</f>
        <v>100-199 мм</v>
      </c>
      <c r="AB1187" s="238" t="str">
        <f ca="1">INDIRECT("'Закуп'!z" &amp; A1187)</f>
        <v>100-199 мм</v>
      </c>
      <c r="AC1187" s="223" t="str">
        <f t="shared" ca="1" si="667"/>
        <v>290x120x110</v>
      </c>
      <c r="AD1187" s="222" t="str">
        <f t="shared" ca="1" si="690"/>
        <v>290x120x110 - 290*120*110 мм</v>
      </c>
    </row>
    <row r="1188" spans="1:30" x14ac:dyDescent="0.4">
      <c r="A1188" s="230"/>
      <c r="B1188" s="8">
        <v>239</v>
      </c>
      <c r="C1188" s="14">
        <f t="shared" ca="1" si="679"/>
        <v>0.61</v>
      </c>
      <c r="D1188" s="20">
        <f t="shared" ca="1" si="691"/>
        <v>0.73199999999999998</v>
      </c>
      <c r="E1188" s="225"/>
      <c r="F1188" s="231"/>
      <c r="G1188" s="172" t="str">
        <f t="shared" ca="1" si="674"/>
        <v>Sale</v>
      </c>
      <c r="H1188" s="93" t="str">
        <f t="shared" ca="1" si="675"/>
        <v/>
      </c>
      <c r="I1188" s="21">
        <v>100</v>
      </c>
      <c r="J1188" s="68">
        <f t="shared" si="676"/>
        <v>0.70833333333333337</v>
      </c>
      <c r="K1188" s="70">
        <v>0.85</v>
      </c>
      <c r="L1188" s="72">
        <f t="shared" ca="1" si="672"/>
        <v>7.8666666666666704E-2</v>
      </c>
      <c r="M1188" s="73">
        <f t="shared" ca="1" si="673"/>
        <v>7.8666666666666707</v>
      </c>
      <c r="N1188" s="12" t="s">
        <v>41</v>
      </c>
      <c r="O1188" s="47" t="s">
        <v>45</v>
      </c>
      <c r="P1188" s="13">
        <f t="shared" si="661"/>
        <v>0.85</v>
      </c>
      <c r="Q1188" s="1" t="str">
        <f t="shared" si="662"/>
        <v>100-290 шт - 0,85 руб / шт с НДС</v>
      </c>
      <c r="R1188" s="235"/>
      <c r="S1188" s="239"/>
      <c r="T1188" s="226"/>
      <c r="U1188" s="228"/>
      <c r="V1188" s="222"/>
      <c r="W1188" s="229"/>
      <c r="X1188" s="227"/>
      <c r="Y1188" s="229"/>
      <c r="Z1188" s="236"/>
      <c r="AA1188" s="237"/>
      <c r="AB1188" s="238"/>
      <c r="AC1188" s="223"/>
      <c r="AD1188" s="222"/>
    </row>
    <row r="1189" spans="1:30" x14ac:dyDescent="0.4">
      <c r="A1189" s="230"/>
      <c r="B1189" s="8">
        <v>239</v>
      </c>
      <c r="C1189" s="14">
        <f t="shared" ca="1" si="679"/>
        <v>0.61</v>
      </c>
      <c r="D1189" s="20">
        <f t="shared" ca="1" si="691"/>
        <v>0.73199999999999998</v>
      </c>
      <c r="E1189" s="225"/>
      <c r="F1189" s="231"/>
      <c r="G1189" s="172" t="str">
        <f t="shared" ca="1" si="674"/>
        <v>Sale</v>
      </c>
      <c r="H1189" s="93" t="str">
        <f t="shared" ca="1" si="675"/>
        <v/>
      </c>
      <c r="I1189" s="21">
        <v>300</v>
      </c>
      <c r="J1189" s="68">
        <f t="shared" si="676"/>
        <v>0.70833333333333337</v>
      </c>
      <c r="K1189" s="70">
        <v>0.85</v>
      </c>
      <c r="L1189" s="72">
        <f t="shared" ca="1" si="672"/>
        <v>7.8666666666666704E-2</v>
      </c>
      <c r="M1189" s="73">
        <f t="shared" ca="1" si="673"/>
        <v>23.600000000000012</v>
      </c>
      <c r="N1189" s="12" t="s">
        <v>42</v>
      </c>
      <c r="O1189" s="47" t="s">
        <v>45</v>
      </c>
      <c r="P1189" s="13">
        <f t="shared" si="661"/>
        <v>0.85</v>
      </c>
      <c r="Q1189" s="1" t="str">
        <f t="shared" si="662"/>
        <v>300-490 шт - 0,85 руб / шт с НДС</v>
      </c>
      <c r="R1189" s="235"/>
      <c r="S1189" s="239"/>
      <c r="T1189" s="226"/>
      <c r="U1189" s="228"/>
      <c r="V1189" s="222"/>
      <c r="W1189" s="229"/>
      <c r="X1189" s="227"/>
      <c r="Y1189" s="229"/>
      <c r="Z1189" s="236"/>
      <c r="AA1189" s="237"/>
      <c r="AB1189" s="238"/>
      <c r="AC1189" s="223"/>
      <c r="AD1189" s="222"/>
    </row>
    <row r="1190" spans="1:30" x14ac:dyDescent="0.4">
      <c r="A1190" s="230"/>
      <c r="B1190" s="8">
        <v>239</v>
      </c>
      <c r="C1190" s="14">
        <f t="shared" ca="1" si="679"/>
        <v>0.61</v>
      </c>
      <c r="D1190" s="20">
        <f t="shared" ca="1" si="691"/>
        <v>0.73199999999999998</v>
      </c>
      <c r="E1190" s="225"/>
      <c r="F1190" s="231"/>
      <c r="G1190" s="172" t="str">
        <f t="shared" ca="1" si="674"/>
        <v>Sale</v>
      </c>
      <c r="H1190" s="93" t="str">
        <f t="shared" ca="1" si="675"/>
        <v/>
      </c>
      <c r="I1190" s="21">
        <v>500</v>
      </c>
      <c r="J1190" s="68">
        <f t="shared" si="676"/>
        <v>0.70833333333333337</v>
      </c>
      <c r="K1190" s="70">
        <v>0.85</v>
      </c>
      <c r="L1190" s="72">
        <f t="shared" ca="1" si="672"/>
        <v>7.8666666666666704E-2</v>
      </c>
      <c r="M1190" s="73">
        <f t="shared" ca="1" si="673"/>
        <v>39.33333333333335</v>
      </c>
      <c r="N1190" s="12" t="s">
        <v>43</v>
      </c>
      <c r="O1190" s="47" t="s">
        <v>45</v>
      </c>
      <c r="P1190" s="13">
        <f t="shared" si="661"/>
        <v>0.85</v>
      </c>
      <c r="Q1190" s="1" t="str">
        <f t="shared" si="662"/>
        <v>500-990 шт - 0,85 руб / шт с НДС</v>
      </c>
      <c r="R1190" s="235"/>
      <c r="S1190" s="239"/>
      <c r="T1190" s="226"/>
      <c r="U1190" s="228"/>
      <c r="V1190" s="222"/>
      <c r="W1190" s="229"/>
      <c r="X1190" s="227"/>
      <c r="Y1190" s="229"/>
      <c r="Z1190" s="236"/>
      <c r="AA1190" s="237"/>
      <c r="AB1190" s="238"/>
      <c r="AC1190" s="223"/>
      <c r="AD1190" s="222"/>
    </row>
    <row r="1191" spans="1:30" x14ac:dyDescent="0.4">
      <c r="A1191" s="230"/>
      <c r="B1191" s="8">
        <v>239</v>
      </c>
      <c r="C1191" s="14">
        <f t="shared" ca="1" si="679"/>
        <v>0.61</v>
      </c>
      <c r="D1191" s="20">
        <f t="shared" ca="1" si="691"/>
        <v>0.73199999999999998</v>
      </c>
      <c r="E1191" s="225"/>
      <c r="F1191" s="231"/>
      <c r="G1191" s="172" t="str">
        <f t="shared" ca="1" si="674"/>
        <v>Sale</v>
      </c>
      <c r="H1191" s="93" t="str">
        <f t="shared" ca="1" si="675"/>
        <v/>
      </c>
      <c r="I1191" s="21">
        <v>1000</v>
      </c>
      <c r="J1191" s="68">
        <f t="shared" si="676"/>
        <v>0.70833333333333337</v>
      </c>
      <c r="K1191" s="70">
        <v>0.85</v>
      </c>
      <c r="L1191" s="72">
        <f t="shared" ca="1" si="672"/>
        <v>7.8666666666666704E-2</v>
      </c>
      <c r="M1191" s="73">
        <f t="shared" ca="1" si="673"/>
        <v>78.6666666666667</v>
      </c>
      <c r="N1191" s="12" t="s">
        <v>44</v>
      </c>
      <c r="O1191" s="47" t="s">
        <v>45</v>
      </c>
      <c r="P1191" s="13">
        <f t="shared" si="661"/>
        <v>0.85</v>
      </c>
      <c r="Q1191" s="1" t="str">
        <f t="shared" si="662"/>
        <v>1000 + шт - 0,85 руб / шт с НДС</v>
      </c>
      <c r="R1191" s="235"/>
      <c r="S1191" s="239"/>
      <c r="T1191" s="226"/>
      <c r="U1191" s="228"/>
      <c r="V1191" s="222"/>
      <c r="W1191" s="229"/>
      <c r="X1191" s="227"/>
      <c r="Y1191" s="229"/>
      <c r="Z1191" s="236"/>
      <c r="AA1191" s="237"/>
      <c r="AB1191" s="238"/>
      <c r="AC1191" s="223"/>
      <c r="AD1191" s="222"/>
    </row>
    <row r="1192" spans="1:30" x14ac:dyDescent="0.4">
      <c r="A1192" s="230">
        <v>240</v>
      </c>
      <c r="B1192" s="8">
        <v>240</v>
      </c>
      <c r="C1192" s="14">
        <f t="shared" ca="1" si="679"/>
        <v>0.5</v>
      </c>
      <c r="D1192" s="20">
        <f t="shared" ca="1" si="691"/>
        <v>0.6</v>
      </c>
      <c r="E1192" s="225" t="str">
        <f ca="1">INDIRECT("'Закуп'!D" &amp; A1192)</f>
        <v>0-ТМ</v>
      </c>
      <c r="F1192" s="231" t="str">
        <f t="shared" ref="F1192" ca="1" si="694">INDIRECT("'Закуп'!E" &amp; B1192)</f>
        <v>320х230х40</v>
      </c>
      <c r="G1192" s="172" t="str">
        <f t="shared" ca="1" si="674"/>
        <v/>
      </c>
      <c r="H1192" s="93" t="str">
        <f t="shared" ca="1" si="675"/>
        <v/>
      </c>
      <c r="I1192" s="21">
        <v>50</v>
      </c>
      <c r="J1192" s="68">
        <f t="shared" si="676"/>
        <v>0.58333333333333337</v>
      </c>
      <c r="K1192" s="70">
        <v>0.7</v>
      </c>
      <c r="L1192" s="72">
        <f t="shared" ca="1" si="672"/>
        <v>6.6666666666666693E-2</v>
      </c>
      <c r="M1192" s="73">
        <f t="shared" ca="1" si="673"/>
        <v>3.3333333333333348</v>
      </c>
      <c r="N1192" s="12" t="s">
        <v>40</v>
      </c>
      <c r="O1192" s="47" t="s">
        <v>45</v>
      </c>
      <c r="P1192" s="13">
        <f t="shared" si="661"/>
        <v>0.7</v>
      </c>
      <c r="Q1192" s="1" t="str">
        <f t="shared" si="662"/>
        <v>50-90 шт - 0,7 руб / шт с НДС</v>
      </c>
      <c r="R1192" s="235" t="str">
        <f ca="1">INDIRECT("'Закуп'!k" &amp; A1192)</f>
        <v>K1018</v>
      </c>
      <c r="S1192" s="239">
        <f ca="1">INDIRECT("'Закуп'!o" &amp; A1192)</f>
        <v>2.94</v>
      </c>
      <c r="T1192" s="226" t="str">
        <f ca="1">INDIRECT("'Закуп'!p" &amp; A1192)</f>
        <v>2-2,9 литра</v>
      </c>
      <c r="U1192" s="228" t="str">
        <f ca="1">INDIRECT("'Закуп'!v" &amp; A1192)</f>
        <v/>
      </c>
      <c r="V1192" s="222" t="str">
        <f ca="1">INDIRECT("'Закуп'!w" &amp; A1192)</f>
        <v>Плоские</v>
      </c>
      <c r="W1192" s="229" t="str">
        <f ca="1">INDIRECT("'Закуп'!H" &amp; A1192)</f>
        <v>0426</v>
      </c>
      <c r="X1192" s="227" t="str">
        <f t="shared" ref="X1192" ca="1" si="695">INDIRECT("'Закуп'!g" &amp; A1192)</f>
        <v>С</v>
      </c>
      <c r="Y1192" s="229" t="str">
        <f ca="1">INDIRECT("'Закуп'!i" &amp; A1192)</f>
        <v>В</v>
      </c>
      <c r="Z1192" s="236" t="str">
        <f ca="1">INDIRECT("'Закуп'!x" &amp; A1192)</f>
        <v>300-399 мм</v>
      </c>
      <c r="AA1192" s="237" t="str">
        <f ca="1">INDIRECT("'Закуп'!y" &amp; A1192)</f>
        <v>200-299 мм</v>
      </c>
      <c r="AB1192" s="238" t="str">
        <f ca="1">INDIRECT("'Закуп'!z" &amp; A1192)</f>
        <v>10-99 мм</v>
      </c>
      <c r="AC1192" s="223" t="str">
        <f t="shared" ca="1" si="667"/>
        <v>320x230x40</v>
      </c>
      <c r="AD1192" s="222" t="str">
        <f t="shared" ca="1" si="690"/>
        <v>320x230x40 - 320*230*40 мм</v>
      </c>
    </row>
    <row r="1193" spans="1:30" x14ac:dyDescent="0.4">
      <c r="A1193" s="230"/>
      <c r="B1193" s="8">
        <v>240</v>
      </c>
      <c r="C1193" s="14">
        <f t="shared" ca="1" si="679"/>
        <v>0.5</v>
      </c>
      <c r="D1193" s="20">
        <f t="shared" ca="1" si="691"/>
        <v>0.6</v>
      </c>
      <c r="E1193" s="225"/>
      <c r="F1193" s="231"/>
      <c r="G1193" s="172" t="str">
        <f t="shared" ca="1" si="674"/>
        <v/>
      </c>
      <c r="H1193" s="93" t="str">
        <f t="shared" ca="1" si="675"/>
        <v/>
      </c>
      <c r="I1193" s="21">
        <v>100</v>
      </c>
      <c r="J1193" s="68">
        <f t="shared" si="676"/>
        <v>0.58333333333333337</v>
      </c>
      <c r="K1193" s="70">
        <v>0.7</v>
      </c>
      <c r="L1193" s="72">
        <f t="shared" ca="1" si="672"/>
        <v>6.6666666666666693E-2</v>
      </c>
      <c r="M1193" s="73">
        <f t="shared" ca="1" si="673"/>
        <v>6.6666666666666696</v>
      </c>
      <c r="N1193" s="12" t="s">
        <v>41</v>
      </c>
      <c r="O1193" s="47" t="s">
        <v>45</v>
      </c>
      <c r="P1193" s="13">
        <f t="shared" si="661"/>
        <v>0.7</v>
      </c>
      <c r="Q1193" s="1" t="str">
        <f t="shared" si="662"/>
        <v>100-290 шт - 0,7 руб / шт с НДС</v>
      </c>
      <c r="R1193" s="235"/>
      <c r="S1193" s="239"/>
      <c r="T1193" s="226"/>
      <c r="U1193" s="228"/>
      <c r="V1193" s="222"/>
      <c r="W1193" s="229"/>
      <c r="X1193" s="227"/>
      <c r="Y1193" s="229"/>
      <c r="Z1193" s="236"/>
      <c r="AA1193" s="237"/>
      <c r="AB1193" s="238"/>
      <c r="AC1193" s="223"/>
      <c r="AD1193" s="222"/>
    </row>
    <row r="1194" spans="1:30" x14ac:dyDescent="0.4">
      <c r="A1194" s="230"/>
      <c r="B1194" s="8">
        <v>240</v>
      </c>
      <c r="C1194" s="14">
        <f t="shared" ca="1" si="679"/>
        <v>0.5</v>
      </c>
      <c r="D1194" s="20">
        <f t="shared" ca="1" si="691"/>
        <v>0.6</v>
      </c>
      <c r="E1194" s="225"/>
      <c r="F1194" s="231"/>
      <c r="G1194" s="172" t="str">
        <f t="shared" ca="1" si="674"/>
        <v/>
      </c>
      <c r="H1194" s="93" t="str">
        <f t="shared" ca="1" si="675"/>
        <v/>
      </c>
      <c r="I1194" s="21">
        <v>300</v>
      </c>
      <c r="J1194" s="68">
        <f t="shared" si="676"/>
        <v>0.58333333333333337</v>
      </c>
      <c r="K1194" s="70">
        <v>0.7</v>
      </c>
      <c r="L1194" s="72">
        <f t="shared" ca="1" si="672"/>
        <v>6.6666666666666693E-2</v>
      </c>
      <c r="M1194" s="73">
        <f t="shared" ca="1" si="673"/>
        <v>20.000000000000007</v>
      </c>
      <c r="N1194" s="12" t="s">
        <v>42</v>
      </c>
      <c r="O1194" s="47" t="s">
        <v>45</v>
      </c>
      <c r="P1194" s="13">
        <f t="shared" si="661"/>
        <v>0.7</v>
      </c>
      <c r="Q1194" s="1" t="str">
        <f t="shared" si="662"/>
        <v>300-490 шт - 0,7 руб / шт с НДС</v>
      </c>
      <c r="R1194" s="235"/>
      <c r="S1194" s="239"/>
      <c r="T1194" s="226"/>
      <c r="U1194" s="228"/>
      <c r="V1194" s="222"/>
      <c r="W1194" s="229"/>
      <c r="X1194" s="227"/>
      <c r="Y1194" s="229"/>
      <c r="Z1194" s="236"/>
      <c r="AA1194" s="237"/>
      <c r="AB1194" s="238"/>
      <c r="AC1194" s="223"/>
      <c r="AD1194" s="222"/>
    </row>
    <row r="1195" spans="1:30" x14ac:dyDescent="0.4">
      <c r="A1195" s="230"/>
      <c r="B1195" s="8">
        <v>240</v>
      </c>
      <c r="C1195" s="14">
        <f t="shared" ca="1" si="679"/>
        <v>0.5</v>
      </c>
      <c r="D1195" s="20">
        <f t="shared" ca="1" si="691"/>
        <v>0.6</v>
      </c>
      <c r="E1195" s="225"/>
      <c r="F1195" s="231"/>
      <c r="G1195" s="172" t="str">
        <f t="shared" ca="1" si="674"/>
        <v/>
      </c>
      <c r="H1195" s="93" t="str">
        <f t="shared" ca="1" si="675"/>
        <v/>
      </c>
      <c r="I1195" s="21">
        <v>500</v>
      </c>
      <c r="J1195" s="68">
        <f t="shared" si="676"/>
        <v>0.58333333333333337</v>
      </c>
      <c r="K1195" s="70">
        <v>0.7</v>
      </c>
      <c r="L1195" s="72">
        <f t="shared" ca="1" si="672"/>
        <v>6.6666666666666693E-2</v>
      </c>
      <c r="M1195" s="73">
        <f t="shared" ca="1" si="673"/>
        <v>33.33333333333335</v>
      </c>
      <c r="N1195" s="12" t="s">
        <v>43</v>
      </c>
      <c r="O1195" s="47" t="s">
        <v>45</v>
      </c>
      <c r="P1195" s="13">
        <f t="shared" si="661"/>
        <v>0.7</v>
      </c>
      <c r="Q1195" s="1" t="str">
        <f t="shared" si="662"/>
        <v>500-990 шт - 0,7 руб / шт с НДС</v>
      </c>
      <c r="R1195" s="235"/>
      <c r="S1195" s="239"/>
      <c r="T1195" s="226"/>
      <c r="U1195" s="228"/>
      <c r="V1195" s="222"/>
      <c r="W1195" s="229"/>
      <c r="X1195" s="227"/>
      <c r="Y1195" s="229"/>
      <c r="Z1195" s="236"/>
      <c r="AA1195" s="237"/>
      <c r="AB1195" s="238"/>
      <c r="AC1195" s="223"/>
      <c r="AD1195" s="222"/>
    </row>
    <row r="1196" spans="1:30" x14ac:dyDescent="0.4">
      <c r="A1196" s="230"/>
      <c r="B1196" s="8">
        <v>240</v>
      </c>
      <c r="C1196" s="14">
        <f t="shared" ca="1" si="679"/>
        <v>0.5</v>
      </c>
      <c r="D1196" s="20">
        <f t="shared" ca="1" si="691"/>
        <v>0.6</v>
      </c>
      <c r="E1196" s="225"/>
      <c r="F1196" s="231"/>
      <c r="G1196" s="172" t="str">
        <f t="shared" ca="1" si="674"/>
        <v/>
      </c>
      <c r="H1196" s="93" t="str">
        <f t="shared" ca="1" si="675"/>
        <v/>
      </c>
      <c r="I1196" s="21">
        <v>1000</v>
      </c>
      <c r="J1196" s="68">
        <f t="shared" si="676"/>
        <v>0.58333333333333337</v>
      </c>
      <c r="K1196" s="70">
        <v>0.7</v>
      </c>
      <c r="L1196" s="72">
        <f t="shared" ca="1" si="672"/>
        <v>6.6666666666666693E-2</v>
      </c>
      <c r="M1196" s="73">
        <f t="shared" ca="1" si="673"/>
        <v>66.6666666666667</v>
      </c>
      <c r="N1196" s="12" t="s">
        <v>44</v>
      </c>
      <c r="O1196" s="47" t="s">
        <v>45</v>
      </c>
      <c r="P1196" s="13">
        <f t="shared" si="661"/>
        <v>0.7</v>
      </c>
      <c r="Q1196" s="1" t="str">
        <f t="shared" si="662"/>
        <v>1000 + шт - 0,7 руб / шт с НДС</v>
      </c>
      <c r="R1196" s="235"/>
      <c r="S1196" s="239"/>
      <c r="T1196" s="226"/>
      <c r="U1196" s="228"/>
      <c r="V1196" s="222"/>
      <c r="W1196" s="229"/>
      <c r="X1196" s="227"/>
      <c r="Y1196" s="229"/>
      <c r="Z1196" s="236"/>
      <c r="AA1196" s="237"/>
      <c r="AB1196" s="238"/>
      <c r="AC1196" s="223"/>
      <c r="AD1196" s="222"/>
    </row>
    <row r="1197" spans="1:30" x14ac:dyDescent="0.4">
      <c r="A1197" s="230">
        <v>241</v>
      </c>
      <c r="B1197" s="8">
        <v>241</v>
      </c>
      <c r="C1197" s="14">
        <f t="shared" ca="1" si="679"/>
        <v>0.31</v>
      </c>
      <c r="D1197" s="20">
        <f t="shared" ca="1" si="691"/>
        <v>0.372</v>
      </c>
      <c r="E1197" s="224" t="str">
        <f ca="1">INDIRECT("'Закуп'!D" &amp; A1197)</f>
        <v>У</v>
      </c>
      <c r="F1197" s="231" t="str">
        <f t="shared" ref="F1197" ca="1" si="696">INDIRECT("'Закуп'!E" &amp; B1197)</f>
        <v>100х100х55</v>
      </c>
      <c r="G1197" s="172" t="str">
        <f t="shared" ca="1" si="674"/>
        <v/>
      </c>
      <c r="H1197" s="93" t="str">
        <f t="shared" ca="1" si="675"/>
        <v/>
      </c>
      <c r="I1197" s="21">
        <v>50</v>
      </c>
      <c r="J1197" s="68">
        <f t="shared" si="676"/>
        <v>0.89166666666666672</v>
      </c>
      <c r="K1197" s="70">
        <v>1.07</v>
      </c>
      <c r="L1197" s="72">
        <f t="shared" ca="1" si="672"/>
        <v>0.46533333333333343</v>
      </c>
      <c r="M1197" s="73">
        <f t="shared" ca="1" si="673"/>
        <v>23.266666666666673</v>
      </c>
      <c r="N1197" s="12" t="s">
        <v>40</v>
      </c>
      <c r="O1197" s="47" t="s">
        <v>45</v>
      </c>
      <c r="P1197" s="13">
        <f t="shared" si="661"/>
        <v>1.07</v>
      </c>
      <c r="Q1197" s="1" t="str">
        <f t="shared" si="662"/>
        <v>50-90 шт - 1,07 руб / шт с НДС</v>
      </c>
      <c r="R1197" s="235" t="str">
        <f ca="1">INDIRECT("'Закуп'!k" &amp; A1197)</f>
        <v>K227</v>
      </c>
      <c r="S1197" s="239">
        <f ca="1">INDIRECT("'Закуп'!o" &amp; A1197)</f>
        <v>0.55000000000000004</v>
      </c>
      <c r="T1197" s="226" t="str">
        <f ca="1">INDIRECT("'Закуп'!p" &amp; A1197)</f>
        <v>0,1-0,9 литров</v>
      </c>
      <c r="U1197" s="228" t="str">
        <f ca="1">INDIRECT("'Закуп'!v" &amp; A1197)</f>
        <v/>
      </c>
      <c r="V1197" s="222" t="str">
        <f ca="1">INDIRECT("'Закуп'!w" &amp; A1197)</f>
        <v/>
      </c>
      <c r="W1197" s="229" t="str">
        <f ca="1">INDIRECT("'Закуп'!H" &amp; A1197)</f>
        <v>0427</v>
      </c>
      <c r="X1197" s="227" t="str">
        <f t="shared" ref="X1197" ca="1" si="697">INDIRECT("'Закуп'!g" &amp; A1197)</f>
        <v>С</v>
      </c>
      <c r="Y1197" s="229" t="str">
        <f ca="1">INDIRECT("'Закуп'!i" &amp; A1197)</f>
        <v>Е</v>
      </c>
      <c r="Z1197" s="236" t="str">
        <f ca="1">INDIRECT("'Закуп'!x" &amp; A1197)</f>
        <v>100-199 мм</v>
      </c>
      <c r="AA1197" s="237" t="str">
        <f ca="1">INDIRECT("'Закуп'!y" &amp; A1197)</f>
        <v>100-199 мм</v>
      </c>
      <c r="AB1197" s="238" t="str">
        <f ca="1">INDIRECT("'Закуп'!z" &amp; A1197)</f>
        <v>10-99 мм</v>
      </c>
      <c r="AC1197" s="223" t="str">
        <f t="shared" ca="1" si="667"/>
        <v>100x100x55</v>
      </c>
      <c r="AD1197" s="222" t="str">
        <f t="shared" ca="1" si="690"/>
        <v>100x100x55 - 100*100*55 мм</v>
      </c>
    </row>
    <row r="1198" spans="1:30" x14ac:dyDescent="0.4">
      <c r="A1198" s="230"/>
      <c r="B1198" s="8">
        <v>241</v>
      </c>
      <c r="C1198" s="14">
        <f t="shared" ca="1" si="679"/>
        <v>0.31</v>
      </c>
      <c r="D1198" s="20">
        <f t="shared" ca="1" si="691"/>
        <v>0.372</v>
      </c>
      <c r="E1198" s="225"/>
      <c r="F1198" s="231"/>
      <c r="G1198" s="172" t="str">
        <f t="shared" ca="1" si="674"/>
        <v/>
      </c>
      <c r="H1198" s="93" t="str">
        <f t="shared" ca="1" si="675"/>
        <v/>
      </c>
      <c r="I1198" s="21">
        <v>100</v>
      </c>
      <c r="J1198" s="68">
        <f t="shared" si="676"/>
        <v>0.8</v>
      </c>
      <c r="K1198" s="70">
        <v>0.96</v>
      </c>
      <c r="L1198" s="72">
        <f t="shared" ca="1" si="672"/>
        <v>0.39200000000000002</v>
      </c>
      <c r="M1198" s="73">
        <f t="shared" ca="1" si="673"/>
        <v>39.200000000000003</v>
      </c>
      <c r="N1198" s="12" t="s">
        <v>41</v>
      </c>
      <c r="O1198" s="47" t="s">
        <v>45</v>
      </c>
      <c r="P1198" s="13">
        <f t="shared" si="661"/>
        <v>0.96</v>
      </c>
      <c r="Q1198" s="1" t="str">
        <f t="shared" si="662"/>
        <v>100-290 шт - 0,96 руб / шт с НДС</v>
      </c>
      <c r="R1198" s="235"/>
      <c r="S1198" s="239"/>
      <c r="T1198" s="226"/>
      <c r="U1198" s="228"/>
      <c r="V1198" s="222"/>
      <c r="W1198" s="229"/>
      <c r="X1198" s="227"/>
      <c r="Y1198" s="229"/>
      <c r="Z1198" s="236"/>
      <c r="AA1198" s="237"/>
      <c r="AB1198" s="238"/>
      <c r="AC1198" s="223"/>
      <c r="AD1198" s="222"/>
    </row>
    <row r="1199" spans="1:30" x14ac:dyDescent="0.4">
      <c r="A1199" s="230"/>
      <c r="B1199" s="8">
        <v>241</v>
      </c>
      <c r="C1199" s="14">
        <f t="shared" ca="1" si="679"/>
        <v>0.31</v>
      </c>
      <c r="D1199" s="20">
        <f t="shared" ca="1" si="691"/>
        <v>0.372</v>
      </c>
      <c r="E1199" s="225"/>
      <c r="F1199" s="231"/>
      <c r="G1199" s="172" t="str">
        <f t="shared" ca="1" si="674"/>
        <v/>
      </c>
      <c r="H1199" s="93" t="str">
        <f t="shared" ca="1" si="675"/>
        <v/>
      </c>
      <c r="I1199" s="21">
        <v>300</v>
      </c>
      <c r="J1199" s="68">
        <f t="shared" si="676"/>
        <v>0.71666666666666667</v>
      </c>
      <c r="K1199" s="70">
        <v>0.86</v>
      </c>
      <c r="L1199" s="72">
        <f t="shared" ca="1" si="672"/>
        <v>0.32533333333333336</v>
      </c>
      <c r="M1199" s="73">
        <f t="shared" ca="1" si="673"/>
        <v>97.600000000000009</v>
      </c>
      <c r="N1199" s="12" t="s">
        <v>42</v>
      </c>
      <c r="O1199" s="47" t="s">
        <v>45</v>
      </c>
      <c r="P1199" s="13">
        <f t="shared" ref="P1199:P1262" si="698">ROUND(K1199,2)</f>
        <v>0.86</v>
      </c>
      <c r="Q1199" s="1" t="str">
        <f t="shared" si="662"/>
        <v>300-490 шт - 0,86 руб / шт с НДС</v>
      </c>
      <c r="R1199" s="235"/>
      <c r="S1199" s="239"/>
      <c r="T1199" s="226"/>
      <c r="U1199" s="228"/>
      <c r="V1199" s="222"/>
      <c r="W1199" s="229"/>
      <c r="X1199" s="227"/>
      <c r="Y1199" s="229"/>
      <c r="Z1199" s="236"/>
      <c r="AA1199" s="237"/>
      <c r="AB1199" s="238"/>
      <c r="AC1199" s="223"/>
      <c r="AD1199" s="222"/>
    </row>
    <row r="1200" spans="1:30" x14ac:dyDescent="0.4">
      <c r="A1200" s="230"/>
      <c r="B1200" s="8">
        <v>241</v>
      </c>
      <c r="C1200" s="14">
        <f t="shared" ca="1" si="679"/>
        <v>0.31</v>
      </c>
      <c r="D1200" s="20">
        <f t="shared" ca="1" si="691"/>
        <v>0.372</v>
      </c>
      <c r="E1200" s="225"/>
      <c r="F1200" s="231"/>
      <c r="G1200" s="172" t="str">
        <f t="shared" ca="1" si="674"/>
        <v/>
      </c>
      <c r="H1200" s="93" t="str">
        <f t="shared" ca="1" si="675"/>
        <v/>
      </c>
      <c r="I1200" s="21">
        <v>500</v>
      </c>
      <c r="J1200" s="68">
        <f t="shared" si="676"/>
        <v>0.625</v>
      </c>
      <c r="K1200" s="70">
        <v>0.75</v>
      </c>
      <c r="L1200" s="72">
        <f t="shared" ca="1" si="672"/>
        <v>0.252</v>
      </c>
      <c r="M1200" s="73">
        <f t="shared" ca="1" si="673"/>
        <v>126</v>
      </c>
      <c r="N1200" s="12" t="s">
        <v>43</v>
      </c>
      <c r="O1200" s="47" t="s">
        <v>45</v>
      </c>
      <c r="P1200" s="13">
        <f t="shared" si="698"/>
        <v>0.75</v>
      </c>
      <c r="Q1200" s="1" t="str">
        <f t="shared" ref="Q1200:Q1263" si="699">CONCATENATE(N1200,P1200,O1200,)</f>
        <v>500-990 шт - 0,75 руб / шт с НДС</v>
      </c>
      <c r="R1200" s="235"/>
      <c r="S1200" s="239"/>
      <c r="T1200" s="226"/>
      <c r="U1200" s="228"/>
      <c r="V1200" s="222"/>
      <c r="W1200" s="229"/>
      <c r="X1200" s="227"/>
      <c r="Y1200" s="229"/>
      <c r="Z1200" s="236"/>
      <c r="AA1200" s="237"/>
      <c r="AB1200" s="238"/>
      <c r="AC1200" s="223"/>
      <c r="AD1200" s="222"/>
    </row>
    <row r="1201" spans="1:30" x14ac:dyDescent="0.4">
      <c r="A1201" s="230"/>
      <c r="B1201" s="8">
        <v>241</v>
      </c>
      <c r="C1201" s="14">
        <f t="shared" ca="1" si="679"/>
        <v>0.31</v>
      </c>
      <c r="D1201" s="20">
        <f t="shared" ca="1" si="691"/>
        <v>0.372</v>
      </c>
      <c r="E1201" s="225"/>
      <c r="F1201" s="231"/>
      <c r="G1201" s="172" t="str">
        <f t="shared" ca="1" si="674"/>
        <v/>
      </c>
      <c r="H1201" s="93" t="str">
        <f t="shared" ca="1" si="675"/>
        <v/>
      </c>
      <c r="I1201" s="21">
        <v>1000</v>
      </c>
      <c r="J1201" s="68">
        <f t="shared" si="676"/>
        <v>0.53333333333333333</v>
      </c>
      <c r="K1201" s="70">
        <v>0.64</v>
      </c>
      <c r="L1201" s="72">
        <f t="shared" ca="1" si="672"/>
        <v>0.17866666666666667</v>
      </c>
      <c r="M1201" s="73">
        <f t="shared" ca="1" si="673"/>
        <v>178.66666666666666</v>
      </c>
      <c r="N1201" s="12" t="s">
        <v>44</v>
      </c>
      <c r="O1201" s="47" t="s">
        <v>45</v>
      </c>
      <c r="P1201" s="13">
        <f t="shared" si="698"/>
        <v>0.64</v>
      </c>
      <c r="Q1201" s="1" t="str">
        <f t="shared" si="699"/>
        <v>1000 + шт - 0,64 руб / шт с НДС</v>
      </c>
      <c r="R1201" s="235"/>
      <c r="S1201" s="239"/>
      <c r="T1201" s="226"/>
      <c r="U1201" s="228"/>
      <c r="V1201" s="222"/>
      <c r="W1201" s="229"/>
      <c r="X1201" s="227"/>
      <c r="Y1201" s="229"/>
      <c r="Z1201" s="236"/>
      <c r="AA1201" s="237"/>
      <c r="AB1201" s="238"/>
      <c r="AC1201" s="223"/>
      <c r="AD1201" s="222"/>
    </row>
    <row r="1202" spans="1:30" x14ac:dyDescent="0.4">
      <c r="A1202" s="230">
        <v>242</v>
      </c>
      <c r="B1202" s="8">
        <v>242</v>
      </c>
      <c r="C1202" s="14">
        <f t="shared" ca="1" si="679"/>
        <v>1.62</v>
      </c>
      <c r="D1202" s="20">
        <f t="shared" ca="1" si="691"/>
        <v>1.944</v>
      </c>
      <c r="E1202" s="225" t="str">
        <f ca="1">INDIRECT("'Закуп'!D" &amp; A1202)</f>
        <v>ГТ</v>
      </c>
      <c r="F1202" s="231" t="str">
        <f t="shared" ref="F1202" ca="1" si="700">INDIRECT("'Закуп'!E" &amp; B1202)</f>
        <v>600х400х400</v>
      </c>
      <c r="G1202" s="172" t="str">
        <f t="shared" ca="1" si="674"/>
        <v>Sale</v>
      </c>
      <c r="H1202" s="93" t="str">
        <f t="shared" ca="1" si="675"/>
        <v xml:space="preserve"> Т22В</v>
      </c>
      <c r="I1202" s="21">
        <v>50</v>
      </c>
      <c r="J1202" s="68">
        <f t="shared" si="676"/>
        <v>2.666666666666667</v>
      </c>
      <c r="K1202" s="70">
        <v>3.2</v>
      </c>
      <c r="L1202" s="72">
        <f t="shared" ca="1" si="672"/>
        <v>0.83733333333333348</v>
      </c>
      <c r="M1202" s="73">
        <f t="shared" ca="1" si="673"/>
        <v>41.866666666666674</v>
      </c>
      <c r="N1202" s="12" t="s">
        <v>40</v>
      </c>
      <c r="O1202" s="47" t="s">
        <v>45</v>
      </c>
      <c r="P1202" s="13">
        <f t="shared" si="698"/>
        <v>3.2</v>
      </c>
      <c r="Q1202" s="1" t="str">
        <f t="shared" si="699"/>
        <v>50-90 шт - 3,2 руб / шт с НДС</v>
      </c>
      <c r="R1202" s="235" t="str">
        <f ca="1">INDIRECT("'Закуп'!k" &amp; A1202)</f>
        <v>K1020</v>
      </c>
      <c r="S1202" s="239">
        <f ca="1">INDIRECT("'Закуп'!o" &amp; A1202)</f>
        <v>96</v>
      </c>
      <c r="T1202" s="226" t="str">
        <f ca="1">INDIRECT("'Закуп'!p" &amp; A1202)</f>
        <v>90-99 литров</v>
      </c>
      <c r="U1202" s="228" t="str">
        <f ca="1">INDIRECT("'Закуп'!v" &amp; A1202)</f>
        <v/>
      </c>
      <c r="V1202" s="222" t="str">
        <f ca="1">INDIRECT("'Закуп'!w" &amp; A1202)</f>
        <v/>
      </c>
      <c r="W1202" s="229" t="str">
        <f ca="1">INDIRECT("'Закуп'!H" &amp; A1202)</f>
        <v>0201</v>
      </c>
      <c r="X1202" s="227" t="str">
        <f t="shared" ref="X1202" ca="1" si="701">INDIRECT("'Закуп'!g" &amp; A1202)</f>
        <v>Ч</v>
      </c>
      <c r="Y1202" s="229" t="str">
        <f ca="1">INDIRECT("'Закуп'!i" &amp; A1202)</f>
        <v>В</v>
      </c>
      <c r="Z1202" s="236" t="str">
        <f ca="1">INDIRECT("'Закуп'!x" &amp; A1202)</f>
        <v>600-699 мм</v>
      </c>
      <c r="AA1202" s="237" t="str">
        <f ca="1">INDIRECT("'Закуп'!y" &amp; A1202)</f>
        <v>400-499 мм</v>
      </c>
      <c r="AB1202" s="238" t="str">
        <f ca="1">INDIRECT("'Закуп'!z" &amp; A1202)</f>
        <v>400-499 мм</v>
      </c>
      <c r="AC1202" s="223" t="str">
        <f t="shared" ca="1" si="667"/>
        <v>600x400x400</v>
      </c>
      <c r="AD1202" s="222" t="str">
        <f t="shared" ca="1" si="690"/>
        <v>600x400x400 - 600*400*400 мм</v>
      </c>
    </row>
    <row r="1203" spans="1:30" x14ac:dyDescent="0.4">
      <c r="A1203" s="230"/>
      <c r="B1203" s="8">
        <v>242</v>
      </c>
      <c r="C1203" s="14">
        <f t="shared" ca="1" si="679"/>
        <v>1.62</v>
      </c>
      <c r="D1203" s="20">
        <f t="shared" ca="1" si="691"/>
        <v>1.944</v>
      </c>
      <c r="E1203" s="225"/>
      <c r="F1203" s="231"/>
      <c r="G1203" s="172" t="str">
        <f t="shared" ca="1" si="674"/>
        <v>Sale</v>
      </c>
      <c r="H1203" s="93" t="str">
        <f t="shared" ca="1" si="675"/>
        <v xml:space="preserve"> Т22В</v>
      </c>
      <c r="I1203" s="21">
        <v>100</v>
      </c>
      <c r="J1203" s="68">
        <f t="shared" si="676"/>
        <v>2.5</v>
      </c>
      <c r="K1203" s="70">
        <v>3</v>
      </c>
      <c r="L1203" s="72">
        <f t="shared" ca="1" si="672"/>
        <v>0.70399999999999996</v>
      </c>
      <c r="M1203" s="73">
        <f t="shared" ca="1" si="673"/>
        <v>70.399999999999991</v>
      </c>
      <c r="N1203" s="12" t="s">
        <v>41</v>
      </c>
      <c r="O1203" s="47" t="s">
        <v>45</v>
      </c>
      <c r="P1203" s="13">
        <f t="shared" si="698"/>
        <v>3</v>
      </c>
      <c r="Q1203" s="1" t="str">
        <f t="shared" si="699"/>
        <v>100-290 шт - 3 руб / шт с НДС</v>
      </c>
      <c r="R1203" s="235"/>
      <c r="S1203" s="239"/>
      <c r="T1203" s="226"/>
      <c r="U1203" s="228"/>
      <c r="V1203" s="222"/>
      <c r="W1203" s="229"/>
      <c r="X1203" s="227"/>
      <c r="Y1203" s="229"/>
      <c r="Z1203" s="236"/>
      <c r="AA1203" s="237"/>
      <c r="AB1203" s="238"/>
      <c r="AC1203" s="223"/>
      <c r="AD1203" s="222"/>
    </row>
    <row r="1204" spans="1:30" x14ac:dyDescent="0.4">
      <c r="A1204" s="230"/>
      <c r="B1204" s="8">
        <v>242</v>
      </c>
      <c r="C1204" s="14">
        <f t="shared" ca="1" si="679"/>
        <v>1.62</v>
      </c>
      <c r="D1204" s="20">
        <f t="shared" ca="1" si="691"/>
        <v>1.944</v>
      </c>
      <c r="E1204" s="225"/>
      <c r="F1204" s="231"/>
      <c r="G1204" s="172" t="str">
        <f t="shared" ca="1" si="674"/>
        <v>Sale</v>
      </c>
      <c r="H1204" s="93" t="str">
        <f t="shared" ca="1" si="675"/>
        <v xml:space="preserve"> Т22В</v>
      </c>
      <c r="I1204" s="21">
        <v>300</v>
      </c>
      <c r="J1204" s="68">
        <f t="shared" si="676"/>
        <v>2.291666666666667</v>
      </c>
      <c r="K1204" s="70">
        <v>2.75</v>
      </c>
      <c r="L1204" s="72">
        <f t="shared" ca="1" si="672"/>
        <v>0.53733333333333344</v>
      </c>
      <c r="M1204" s="73">
        <f t="shared" ca="1" si="673"/>
        <v>161.20000000000005</v>
      </c>
      <c r="N1204" s="12" t="s">
        <v>42</v>
      </c>
      <c r="O1204" s="47" t="s">
        <v>45</v>
      </c>
      <c r="P1204" s="13">
        <f t="shared" si="698"/>
        <v>2.75</v>
      </c>
      <c r="Q1204" s="1" t="str">
        <f t="shared" si="699"/>
        <v>300-490 шт - 2,75 руб / шт с НДС</v>
      </c>
      <c r="R1204" s="235"/>
      <c r="S1204" s="239"/>
      <c r="T1204" s="226"/>
      <c r="U1204" s="228"/>
      <c r="V1204" s="222"/>
      <c r="W1204" s="229"/>
      <c r="X1204" s="227"/>
      <c r="Y1204" s="229"/>
      <c r="Z1204" s="236"/>
      <c r="AA1204" s="237"/>
      <c r="AB1204" s="238"/>
      <c r="AC1204" s="223"/>
      <c r="AD1204" s="222"/>
    </row>
    <row r="1205" spans="1:30" x14ac:dyDescent="0.4">
      <c r="A1205" s="230"/>
      <c r="B1205" s="8">
        <v>242</v>
      </c>
      <c r="C1205" s="14">
        <f t="shared" ca="1" si="679"/>
        <v>1.62</v>
      </c>
      <c r="D1205" s="20">
        <f t="shared" ca="1" si="691"/>
        <v>1.944</v>
      </c>
      <c r="E1205" s="225"/>
      <c r="F1205" s="231"/>
      <c r="G1205" s="172" t="str">
        <f t="shared" ca="1" si="674"/>
        <v>Sale</v>
      </c>
      <c r="H1205" s="93" t="str">
        <f t="shared" ca="1" si="675"/>
        <v xml:space="preserve"> Т22В</v>
      </c>
      <c r="I1205" s="21">
        <v>500</v>
      </c>
      <c r="J1205" s="68">
        <f t="shared" si="676"/>
        <v>2.0833333333333335</v>
      </c>
      <c r="K1205" s="70">
        <v>2.5</v>
      </c>
      <c r="L1205" s="72">
        <f t="shared" ca="1" si="672"/>
        <v>0.3706666666666667</v>
      </c>
      <c r="M1205" s="73">
        <f t="shared" ca="1" si="673"/>
        <v>185.33333333333334</v>
      </c>
      <c r="N1205" s="12" t="s">
        <v>43</v>
      </c>
      <c r="O1205" s="47" t="s">
        <v>45</v>
      </c>
      <c r="P1205" s="13">
        <f t="shared" si="698"/>
        <v>2.5</v>
      </c>
      <c r="Q1205" s="1" t="str">
        <f t="shared" si="699"/>
        <v>500-990 шт - 2,5 руб / шт с НДС</v>
      </c>
      <c r="R1205" s="235"/>
      <c r="S1205" s="239"/>
      <c r="T1205" s="226"/>
      <c r="U1205" s="228"/>
      <c r="V1205" s="222"/>
      <c r="W1205" s="229"/>
      <c r="X1205" s="227"/>
      <c r="Y1205" s="229"/>
      <c r="Z1205" s="236"/>
      <c r="AA1205" s="237"/>
      <c r="AB1205" s="238"/>
      <c r="AC1205" s="223"/>
      <c r="AD1205" s="222"/>
    </row>
    <row r="1206" spans="1:30" x14ac:dyDescent="0.4">
      <c r="A1206" s="230"/>
      <c r="B1206" s="8">
        <v>242</v>
      </c>
      <c r="C1206" s="14">
        <f t="shared" ca="1" si="679"/>
        <v>1.62</v>
      </c>
      <c r="D1206" s="20">
        <f t="shared" ca="1" si="691"/>
        <v>1.944</v>
      </c>
      <c r="E1206" s="225"/>
      <c r="F1206" s="231"/>
      <c r="G1206" s="172" t="str">
        <f t="shared" ca="1" si="674"/>
        <v>Sale</v>
      </c>
      <c r="H1206" s="93" t="str">
        <f t="shared" ca="1" si="675"/>
        <v xml:space="preserve"> Т22В</v>
      </c>
      <c r="I1206" s="21">
        <v>1000</v>
      </c>
      <c r="J1206" s="68">
        <f t="shared" si="676"/>
        <v>1.9166666666666665</v>
      </c>
      <c r="K1206" s="70">
        <v>2.2999999999999998</v>
      </c>
      <c r="L1206" s="72">
        <f t="shared" ca="1" si="672"/>
        <v>0.23733333333333312</v>
      </c>
      <c r="M1206" s="73">
        <f t="shared" ca="1" si="673"/>
        <v>237.33333333333312</v>
      </c>
      <c r="N1206" s="12" t="s">
        <v>44</v>
      </c>
      <c r="O1206" s="47" t="s">
        <v>45</v>
      </c>
      <c r="P1206" s="13">
        <f t="shared" si="698"/>
        <v>2.2999999999999998</v>
      </c>
      <c r="Q1206" s="1" t="str">
        <f t="shared" si="699"/>
        <v>1000 + шт - 2,3 руб / шт с НДС</v>
      </c>
      <c r="R1206" s="235"/>
      <c r="S1206" s="239"/>
      <c r="T1206" s="226"/>
      <c r="U1206" s="228"/>
      <c r="V1206" s="222"/>
      <c r="W1206" s="229"/>
      <c r="X1206" s="227"/>
      <c r="Y1206" s="229"/>
      <c r="Z1206" s="236"/>
      <c r="AA1206" s="237"/>
      <c r="AB1206" s="238"/>
      <c r="AC1206" s="223"/>
      <c r="AD1206" s="222"/>
    </row>
    <row r="1207" spans="1:30" x14ac:dyDescent="0.4">
      <c r="A1207" s="230">
        <v>243</v>
      </c>
      <c r="B1207" s="8">
        <v>243</v>
      </c>
      <c r="C1207" s="14">
        <f t="shared" ca="1" si="679"/>
        <v>1.86</v>
      </c>
      <c r="D1207" s="20">
        <f t="shared" ca="1" si="691"/>
        <v>2.2320000000000002</v>
      </c>
      <c r="E1207" s="225" t="str">
        <f ca="1">INDIRECT("'Закуп'!D" &amp; A1207)</f>
        <v>ГТ</v>
      </c>
      <c r="F1207" s="231" t="str">
        <f t="shared" ref="F1207" ca="1" si="702">INDIRECT("'Закуп'!E" &amp; B1207)</f>
        <v>600х400х400</v>
      </c>
      <c r="G1207" s="172" t="str">
        <f t="shared" ca="1" si="674"/>
        <v>Sale</v>
      </c>
      <c r="H1207" s="93" t="str">
        <f t="shared" ca="1" si="675"/>
        <v>Т23С</v>
      </c>
      <c r="I1207" s="21">
        <v>50</v>
      </c>
      <c r="J1207" s="68">
        <f t="shared" si="676"/>
        <v>3.0416666666666665</v>
      </c>
      <c r="K1207" s="70">
        <v>3.65</v>
      </c>
      <c r="L1207" s="72">
        <f t="shared" ca="1" si="672"/>
        <v>0.94533333333333314</v>
      </c>
      <c r="M1207" s="73">
        <f t="shared" ca="1" si="673"/>
        <v>47.266666666666659</v>
      </c>
      <c r="N1207" s="12" t="s">
        <v>40</v>
      </c>
      <c r="O1207" s="47" t="s">
        <v>45</v>
      </c>
      <c r="P1207" s="13">
        <f t="shared" si="698"/>
        <v>3.65</v>
      </c>
      <c r="Q1207" s="1" t="str">
        <f t="shared" si="699"/>
        <v>50-90 шт - 3,65 руб / шт с НДС</v>
      </c>
      <c r="R1207" s="235" t="str">
        <f ca="1">INDIRECT("'Закуп'!k" &amp; A1207)</f>
        <v>K1021</v>
      </c>
      <c r="S1207" s="239">
        <f ca="1">INDIRECT("'Закуп'!o" &amp; A1207)</f>
        <v>96</v>
      </c>
      <c r="T1207" s="226" t="str">
        <f ca="1">INDIRECT("'Закуп'!p" &amp; A1207)</f>
        <v>90-99 литров</v>
      </c>
      <c r="U1207" s="228" t="str">
        <f ca="1">INDIRECT("'Закуп'!v" &amp; A1207)</f>
        <v/>
      </c>
      <c r="V1207" s="222" t="str">
        <f ca="1">INDIRECT("'Закуп'!w" &amp; A1207)</f>
        <v/>
      </c>
      <c r="W1207" s="229" t="str">
        <f ca="1">INDIRECT("'Закуп'!H" &amp; A1207)</f>
        <v>0201</v>
      </c>
      <c r="X1207" s="227" t="str">
        <f t="shared" ref="X1207" ca="1" si="703">INDIRECT("'Закуп'!g" &amp; A1207)</f>
        <v>Ч</v>
      </c>
      <c r="Y1207" s="229" t="str">
        <f ca="1">INDIRECT("'Закуп'!i" &amp; A1207)</f>
        <v>С</v>
      </c>
      <c r="Z1207" s="236" t="str">
        <f ca="1">INDIRECT("'Закуп'!x" &amp; A1207)</f>
        <v>600-699 мм</v>
      </c>
      <c r="AA1207" s="237" t="str">
        <f ca="1">INDIRECT("'Закуп'!y" &amp; A1207)</f>
        <v>400-499 мм</v>
      </c>
      <c r="AB1207" s="238" t="str">
        <f ca="1">INDIRECT("'Закуп'!z" &amp; A1207)</f>
        <v>400-499 мм</v>
      </c>
      <c r="AC1207" s="223" t="str">
        <f t="shared" ref="AC1207:AC1267" ca="1" si="704">SUBSTITUTE(INDEX(F:F, ROUNDUP((ROW(A1206))/5,0)*5 - 3), "х", "x")</f>
        <v>600x400x400</v>
      </c>
      <c r="AD1207" s="222" t="str">
        <f t="shared" ca="1" si="690"/>
        <v>600x400x400 - 600*400*400 мм</v>
      </c>
    </row>
    <row r="1208" spans="1:30" x14ac:dyDescent="0.4">
      <c r="A1208" s="230"/>
      <c r="B1208" s="8">
        <v>243</v>
      </c>
      <c r="C1208" s="14">
        <f t="shared" ca="1" si="679"/>
        <v>1.86</v>
      </c>
      <c r="D1208" s="20">
        <f t="shared" ca="1" si="691"/>
        <v>2.2320000000000002</v>
      </c>
      <c r="E1208" s="225"/>
      <c r="F1208" s="231"/>
      <c r="G1208" s="172" t="str">
        <f t="shared" ca="1" si="674"/>
        <v>Sale</v>
      </c>
      <c r="H1208" s="93" t="str">
        <f t="shared" ca="1" si="675"/>
        <v>Т23С</v>
      </c>
      <c r="I1208" s="21">
        <v>100</v>
      </c>
      <c r="J1208" s="68">
        <f t="shared" si="676"/>
        <v>2.8333333333333335</v>
      </c>
      <c r="K1208" s="70">
        <v>3.4</v>
      </c>
      <c r="L1208" s="72">
        <f t="shared" ca="1" si="672"/>
        <v>0.77866666666666673</v>
      </c>
      <c r="M1208" s="73">
        <f t="shared" ca="1" si="673"/>
        <v>77.866666666666674</v>
      </c>
      <c r="N1208" s="12" t="s">
        <v>41</v>
      </c>
      <c r="O1208" s="47" t="s">
        <v>45</v>
      </c>
      <c r="P1208" s="13">
        <f t="shared" si="698"/>
        <v>3.4</v>
      </c>
      <c r="Q1208" s="1" t="str">
        <f t="shared" si="699"/>
        <v>100-290 шт - 3,4 руб / шт с НДС</v>
      </c>
      <c r="R1208" s="235"/>
      <c r="S1208" s="239"/>
      <c r="T1208" s="226"/>
      <c r="U1208" s="228"/>
      <c r="V1208" s="222"/>
      <c r="W1208" s="229"/>
      <c r="X1208" s="227"/>
      <c r="Y1208" s="229"/>
      <c r="Z1208" s="236"/>
      <c r="AA1208" s="237"/>
      <c r="AB1208" s="238"/>
      <c r="AC1208" s="223"/>
      <c r="AD1208" s="222"/>
    </row>
    <row r="1209" spans="1:30" x14ac:dyDescent="0.4">
      <c r="A1209" s="230"/>
      <c r="B1209" s="8">
        <v>243</v>
      </c>
      <c r="C1209" s="14">
        <f t="shared" ca="1" si="679"/>
        <v>1.86</v>
      </c>
      <c r="D1209" s="20">
        <f t="shared" ca="1" si="691"/>
        <v>2.2320000000000002</v>
      </c>
      <c r="E1209" s="225"/>
      <c r="F1209" s="231"/>
      <c r="G1209" s="172" t="str">
        <f t="shared" ca="1" si="674"/>
        <v>Sale</v>
      </c>
      <c r="H1209" s="93" t="str">
        <f t="shared" ca="1" si="675"/>
        <v>Т23С</v>
      </c>
      <c r="I1209" s="21">
        <v>300</v>
      </c>
      <c r="J1209" s="68">
        <f t="shared" si="676"/>
        <v>2.5833333333333335</v>
      </c>
      <c r="K1209" s="70">
        <v>3.1</v>
      </c>
      <c r="L1209" s="72">
        <f t="shared" ca="1" si="672"/>
        <v>0.57866666666666666</v>
      </c>
      <c r="M1209" s="73">
        <f t="shared" ca="1" si="673"/>
        <v>173.6</v>
      </c>
      <c r="N1209" s="12" t="s">
        <v>42</v>
      </c>
      <c r="O1209" s="47" t="s">
        <v>45</v>
      </c>
      <c r="P1209" s="13">
        <f t="shared" si="698"/>
        <v>3.1</v>
      </c>
      <c r="Q1209" s="1" t="str">
        <f t="shared" si="699"/>
        <v>300-490 шт - 3,1 руб / шт с НДС</v>
      </c>
      <c r="R1209" s="235"/>
      <c r="S1209" s="239"/>
      <c r="T1209" s="226"/>
      <c r="U1209" s="228"/>
      <c r="V1209" s="222"/>
      <c r="W1209" s="229"/>
      <c r="X1209" s="227"/>
      <c r="Y1209" s="229"/>
      <c r="Z1209" s="236"/>
      <c r="AA1209" s="237"/>
      <c r="AB1209" s="238"/>
      <c r="AC1209" s="223"/>
      <c r="AD1209" s="222"/>
    </row>
    <row r="1210" spans="1:30" x14ac:dyDescent="0.4">
      <c r="A1210" s="230"/>
      <c r="B1210" s="8">
        <v>243</v>
      </c>
      <c r="C1210" s="14">
        <f t="shared" ca="1" si="679"/>
        <v>1.86</v>
      </c>
      <c r="D1210" s="20">
        <f t="shared" ca="1" si="691"/>
        <v>2.2320000000000002</v>
      </c>
      <c r="E1210" s="225"/>
      <c r="F1210" s="231"/>
      <c r="G1210" s="172" t="str">
        <f t="shared" ca="1" si="674"/>
        <v>Sale</v>
      </c>
      <c r="H1210" s="93" t="str">
        <f t="shared" ca="1" si="675"/>
        <v>Т23С</v>
      </c>
      <c r="I1210" s="21">
        <v>500</v>
      </c>
      <c r="J1210" s="68">
        <f t="shared" si="676"/>
        <v>2.4166666666666665</v>
      </c>
      <c r="K1210" s="70">
        <v>2.9</v>
      </c>
      <c r="L1210" s="72">
        <f t="shared" ca="1" si="672"/>
        <v>0.44533333333333314</v>
      </c>
      <c r="M1210" s="73">
        <f t="shared" ca="1" si="673"/>
        <v>222.66666666666657</v>
      </c>
      <c r="N1210" s="12" t="s">
        <v>43</v>
      </c>
      <c r="O1210" s="47" t="s">
        <v>45</v>
      </c>
      <c r="P1210" s="13">
        <f t="shared" si="698"/>
        <v>2.9</v>
      </c>
      <c r="Q1210" s="1" t="str">
        <f t="shared" si="699"/>
        <v>500-990 шт - 2,9 руб / шт с НДС</v>
      </c>
      <c r="R1210" s="235"/>
      <c r="S1210" s="239"/>
      <c r="T1210" s="226"/>
      <c r="U1210" s="228"/>
      <c r="V1210" s="222"/>
      <c r="W1210" s="229"/>
      <c r="X1210" s="227"/>
      <c r="Y1210" s="229"/>
      <c r="Z1210" s="236"/>
      <c r="AA1210" s="237"/>
      <c r="AB1210" s="238"/>
      <c r="AC1210" s="223"/>
      <c r="AD1210" s="222"/>
    </row>
    <row r="1211" spans="1:30" x14ac:dyDescent="0.4">
      <c r="A1211" s="230"/>
      <c r="B1211" s="8">
        <v>243</v>
      </c>
      <c r="C1211" s="14">
        <f t="shared" ca="1" si="679"/>
        <v>1.86</v>
      </c>
      <c r="D1211" s="20">
        <f t="shared" ca="1" si="691"/>
        <v>2.2320000000000002</v>
      </c>
      <c r="E1211" s="225"/>
      <c r="F1211" s="231"/>
      <c r="G1211" s="172" t="str">
        <f t="shared" ca="1" si="674"/>
        <v>Sale</v>
      </c>
      <c r="H1211" s="93" t="str">
        <f t="shared" ca="1" si="675"/>
        <v>Т23С</v>
      </c>
      <c r="I1211" s="21">
        <v>1000</v>
      </c>
      <c r="J1211" s="68">
        <f t="shared" si="676"/>
        <v>2.2500000000000004</v>
      </c>
      <c r="K1211" s="70">
        <v>2.7</v>
      </c>
      <c r="L1211" s="72">
        <f t="shared" ca="1" si="672"/>
        <v>0.31200000000000028</v>
      </c>
      <c r="M1211" s="73">
        <f t="shared" ca="1" si="673"/>
        <v>312.00000000000028</v>
      </c>
      <c r="N1211" s="12" t="s">
        <v>44</v>
      </c>
      <c r="O1211" s="47" t="s">
        <v>45</v>
      </c>
      <c r="P1211" s="13">
        <f t="shared" si="698"/>
        <v>2.7</v>
      </c>
      <c r="Q1211" s="1" t="str">
        <f t="shared" si="699"/>
        <v>1000 + шт - 2,7 руб / шт с НДС</v>
      </c>
      <c r="R1211" s="235"/>
      <c r="S1211" s="239"/>
      <c r="T1211" s="226"/>
      <c r="U1211" s="228"/>
      <c r="V1211" s="222"/>
      <c r="W1211" s="229"/>
      <c r="X1211" s="227"/>
      <c r="Y1211" s="229"/>
      <c r="Z1211" s="236"/>
      <c r="AA1211" s="237"/>
      <c r="AB1211" s="238"/>
      <c r="AC1211" s="223"/>
      <c r="AD1211" s="222"/>
    </row>
    <row r="1212" spans="1:30" x14ac:dyDescent="0.4">
      <c r="A1212" s="230">
        <v>244</v>
      </c>
      <c r="B1212" s="8">
        <v>244</v>
      </c>
      <c r="C1212" s="14">
        <f t="shared" ca="1" si="679"/>
        <v>2.83</v>
      </c>
      <c r="D1212" s="20">
        <f t="shared" ca="1" si="691"/>
        <v>3.3959999999999999</v>
      </c>
      <c r="E1212" s="225" t="str">
        <f ca="1">INDIRECT("'Закуп'!D" &amp; A1212)</f>
        <v>Э (АП)</v>
      </c>
      <c r="F1212" s="231" t="str">
        <f t="shared" ref="F1212" ca="1" si="705">INDIRECT("'Закуп'!E" &amp; B1212)</f>
        <v>600х400х400</v>
      </c>
      <c r="G1212" s="172" t="str">
        <f t="shared" ca="1" si="674"/>
        <v>Sale</v>
      </c>
      <c r="H1212" s="93" t="str">
        <f t="shared" ca="1" si="675"/>
        <v>П32ВС</v>
      </c>
      <c r="I1212" s="21">
        <v>50</v>
      </c>
      <c r="J1212" s="68">
        <f t="shared" si="676"/>
        <v>4.166666666666667</v>
      </c>
      <c r="K1212" s="70">
        <v>5</v>
      </c>
      <c r="L1212" s="72">
        <f t="shared" ca="1" si="672"/>
        <v>1.0693333333333335</v>
      </c>
      <c r="M1212" s="73">
        <f t="shared" ca="1" si="673"/>
        <v>53.466666666666676</v>
      </c>
      <c r="N1212" s="12" t="s">
        <v>40</v>
      </c>
      <c r="O1212" s="47" t="s">
        <v>45</v>
      </c>
      <c r="P1212" s="13">
        <f t="shared" si="698"/>
        <v>5</v>
      </c>
      <c r="Q1212" s="1" t="str">
        <f t="shared" si="699"/>
        <v>50-90 шт - 5 руб / шт с НДС</v>
      </c>
      <c r="R1212" s="235" t="str">
        <f ca="1">INDIRECT("'Закуп'!k" &amp; A1212)</f>
        <v>K1022</v>
      </c>
      <c r="S1212" s="239">
        <f ca="1">INDIRECT("'Закуп'!o" &amp; A1212)</f>
        <v>96</v>
      </c>
      <c r="T1212" s="226" t="str">
        <f ca="1">INDIRECT("'Закуп'!p" &amp; A1212)</f>
        <v>90-99 литров</v>
      </c>
      <c r="U1212" s="228" t="str">
        <f ca="1">INDIRECT("'Закуп'!v" &amp; A1212)</f>
        <v/>
      </c>
      <c r="V1212" s="222" t="str">
        <f ca="1">INDIRECT("'Закуп'!w" &amp; A1212)</f>
        <v/>
      </c>
      <c r="W1212" s="229" t="str">
        <f ca="1">INDIRECT("'Закуп'!H" &amp; A1212)</f>
        <v>0201</v>
      </c>
      <c r="X1212" s="227" t="str">
        <f t="shared" ref="X1212" ca="1" si="706">INDIRECT("'Закуп'!g" &amp; A1212)</f>
        <v>Ч</v>
      </c>
      <c r="Y1212" s="229" t="str">
        <f ca="1">INDIRECT("'Закуп'!i" &amp; A1212)</f>
        <v>ВС</v>
      </c>
      <c r="Z1212" s="236" t="str">
        <f ca="1">INDIRECT("'Закуп'!x" &amp; A1212)</f>
        <v>600-699 мм</v>
      </c>
      <c r="AA1212" s="237" t="str">
        <f ca="1">INDIRECT("'Закуп'!y" &amp; A1212)</f>
        <v>400-499 мм</v>
      </c>
      <c r="AB1212" s="238" t="str">
        <f ca="1">INDIRECT("'Закуп'!z" &amp; A1212)</f>
        <v>400-499 мм</v>
      </c>
      <c r="AC1212" s="223" t="str">
        <f t="shared" ca="1" si="704"/>
        <v>600x400x400</v>
      </c>
      <c r="AD1212" s="222" t="str">
        <f t="shared" ca="1" si="690"/>
        <v>600x400x400 - 600*400*400 мм</v>
      </c>
    </row>
    <row r="1213" spans="1:30" x14ac:dyDescent="0.4">
      <c r="A1213" s="230"/>
      <c r="B1213" s="8">
        <v>244</v>
      </c>
      <c r="C1213" s="14">
        <f t="shared" ca="1" si="679"/>
        <v>2.83</v>
      </c>
      <c r="D1213" s="20">
        <f t="shared" ca="1" si="691"/>
        <v>3.3959999999999999</v>
      </c>
      <c r="E1213" s="225"/>
      <c r="F1213" s="231"/>
      <c r="G1213" s="172" t="str">
        <f t="shared" ca="1" si="674"/>
        <v>Sale</v>
      </c>
      <c r="H1213" s="93" t="str">
        <f t="shared" ca="1" si="675"/>
        <v>П32ВС</v>
      </c>
      <c r="I1213" s="21">
        <v>100</v>
      </c>
      <c r="J1213" s="68">
        <f t="shared" si="676"/>
        <v>3.9583333333333335</v>
      </c>
      <c r="K1213" s="70">
        <v>4.75</v>
      </c>
      <c r="L1213" s="72">
        <f t="shared" ca="1" si="672"/>
        <v>0.90266666666666673</v>
      </c>
      <c r="M1213" s="73">
        <f t="shared" ca="1" si="673"/>
        <v>90.26666666666668</v>
      </c>
      <c r="N1213" s="12" t="s">
        <v>41</v>
      </c>
      <c r="O1213" s="47" t="s">
        <v>45</v>
      </c>
      <c r="P1213" s="13">
        <f t="shared" si="698"/>
        <v>4.75</v>
      </c>
      <c r="Q1213" s="1" t="str">
        <f t="shared" si="699"/>
        <v>100-290 шт - 4,75 руб / шт с НДС</v>
      </c>
      <c r="R1213" s="235"/>
      <c r="S1213" s="239"/>
      <c r="T1213" s="226"/>
      <c r="U1213" s="228"/>
      <c r="V1213" s="222"/>
      <c r="W1213" s="229"/>
      <c r="X1213" s="227"/>
      <c r="Y1213" s="229"/>
      <c r="Z1213" s="236"/>
      <c r="AA1213" s="237"/>
      <c r="AB1213" s="238"/>
      <c r="AC1213" s="223"/>
      <c r="AD1213" s="222"/>
    </row>
    <row r="1214" spans="1:30" x14ac:dyDescent="0.4">
      <c r="A1214" s="230"/>
      <c r="B1214" s="8">
        <v>244</v>
      </c>
      <c r="C1214" s="14">
        <f t="shared" ca="1" si="679"/>
        <v>2.83</v>
      </c>
      <c r="D1214" s="20">
        <f t="shared" ca="1" si="691"/>
        <v>3.3959999999999999</v>
      </c>
      <c r="E1214" s="225"/>
      <c r="F1214" s="231"/>
      <c r="G1214" s="172" t="str">
        <f t="shared" ca="1" si="674"/>
        <v>Sale</v>
      </c>
      <c r="H1214" s="93" t="str">
        <f t="shared" ca="1" si="675"/>
        <v>П32ВС</v>
      </c>
      <c r="I1214" s="21">
        <v>300</v>
      </c>
      <c r="J1214" s="68">
        <f t="shared" si="676"/>
        <v>3.833333333333333</v>
      </c>
      <c r="K1214" s="70">
        <v>4.5999999999999996</v>
      </c>
      <c r="L1214" s="72">
        <f t="shared" ca="1" si="672"/>
        <v>0.80266666666666642</v>
      </c>
      <c r="M1214" s="73">
        <f t="shared" ca="1" si="673"/>
        <v>240.79999999999993</v>
      </c>
      <c r="N1214" s="12" t="s">
        <v>42</v>
      </c>
      <c r="O1214" s="47" t="s">
        <v>45</v>
      </c>
      <c r="P1214" s="13">
        <f t="shared" si="698"/>
        <v>4.5999999999999996</v>
      </c>
      <c r="Q1214" s="1" t="str">
        <f t="shared" si="699"/>
        <v>300-490 шт - 4,6 руб / шт с НДС</v>
      </c>
      <c r="R1214" s="235"/>
      <c r="S1214" s="239"/>
      <c r="T1214" s="226"/>
      <c r="U1214" s="228"/>
      <c r="V1214" s="222"/>
      <c r="W1214" s="229"/>
      <c r="X1214" s="227"/>
      <c r="Y1214" s="229"/>
      <c r="Z1214" s="236"/>
      <c r="AA1214" s="237"/>
      <c r="AB1214" s="238"/>
      <c r="AC1214" s="223"/>
      <c r="AD1214" s="222"/>
    </row>
    <row r="1215" spans="1:30" x14ac:dyDescent="0.4">
      <c r="A1215" s="230"/>
      <c r="B1215" s="8">
        <v>244</v>
      </c>
      <c r="C1215" s="14">
        <f t="shared" ca="1" si="679"/>
        <v>2.83</v>
      </c>
      <c r="D1215" s="20">
        <f t="shared" ca="1" si="691"/>
        <v>3.3959999999999999</v>
      </c>
      <c r="E1215" s="225"/>
      <c r="F1215" s="231"/>
      <c r="G1215" s="172" t="str">
        <f t="shared" ca="1" si="674"/>
        <v>Sale</v>
      </c>
      <c r="H1215" s="93" t="str">
        <f t="shared" ca="1" si="675"/>
        <v>П32ВС</v>
      </c>
      <c r="I1215" s="21">
        <v>500</v>
      </c>
      <c r="J1215" s="68">
        <f t="shared" si="676"/>
        <v>3.7083333333333335</v>
      </c>
      <c r="K1215" s="70">
        <v>4.45</v>
      </c>
      <c r="L1215" s="72">
        <f t="shared" ca="1" si="672"/>
        <v>0.70266666666666677</v>
      </c>
      <c r="M1215" s="73">
        <f t="shared" ca="1" si="673"/>
        <v>351.33333333333337</v>
      </c>
      <c r="N1215" s="12" t="s">
        <v>43</v>
      </c>
      <c r="O1215" s="47" t="s">
        <v>45</v>
      </c>
      <c r="P1215" s="13">
        <f t="shared" si="698"/>
        <v>4.45</v>
      </c>
      <c r="Q1215" s="1" t="str">
        <f t="shared" si="699"/>
        <v>500-990 шт - 4,45 руб / шт с НДС</v>
      </c>
      <c r="R1215" s="235"/>
      <c r="S1215" s="239"/>
      <c r="T1215" s="226"/>
      <c r="U1215" s="228"/>
      <c r="V1215" s="222"/>
      <c r="W1215" s="229"/>
      <c r="X1215" s="227"/>
      <c r="Y1215" s="229"/>
      <c r="Z1215" s="236"/>
      <c r="AA1215" s="237"/>
      <c r="AB1215" s="238"/>
      <c r="AC1215" s="223"/>
      <c r="AD1215" s="222"/>
    </row>
    <row r="1216" spans="1:30" x14ac:dyDescent="0.4">
      <c r="A1216" s="230"/>
      <c r="B1216" s="8">
        <v>244</v>
      </c>
      <c r="C1216" s="14">
        <f t="shared" ca="1" si="679"/>
        <v>2.83</v>
      </c>
      <c r="D1216" s="20">
        <f t="shared" ca="1" si="691"/>
        <v>3.3959999999999999</v>
      </c>
      <c r="E1216" s="225"/>
      <c r="F1216" s="231"/>
      <c r="G1216" s="172" t="str">
        <f t="shared" ca="1" si="674"/>
        <v>Sale</v>
      </c>
      <c r="H1216" s="93" t="str">
        <f t="shared" ca="1" si="675"/>
        <v>П32ВС</v>
      </c>
      <c r="I1216" s="21">
        <v>1000</v>
      </c>
      <c r="J1216" s="68">
        <f t="shared" si="676"/>
        <v>3.5833333333333335</v>
      </c>
      <c r="K1216" s="70">
        <v>4.3</v>
      </c>
      <c r="L1216" s="72">
        <f t="shared" ca="1" si="672"/>
        <v>0.60266666666666668</v>
      </c>
      <c r="M1216" s="73">
        <f t="shared" ca="1" si="673"/>
        <v>602.66666666666663</v>
      </c>
      <c r="N1216" s="12" t="s">
        <v>44</v>
      </c>
      <c r="O1216" s="47" t="s">
        <v>45</v>
      </c>
      <c r="P1216" s="13">
        <f t="shared" si="698"/>
        <v>4.3</v>
      </c>
      <c r="Q1216" s="1" t="str">
        <f t="shared" si="699"/>
        <v>1000 + шт - 4,3 руб / шт с НДС</v>
      </c>
      <c r="R1216" s="235"/>
      <c r="S1216" s="239"/>
      <c r="T1216" s="226"/>
      <c r="U1216" s="228"/>
      <c r="V1216" s="222"/>
      <c r="W1216" s="229"/>
      <c r="X1216" s="227"/>
      <c r="Y1216" s="229"/>
      <c r="Z1216" s="236"/>
      <c r="AA1216" s="237"/>
      <c r="AB1216" s="238"/>
      <c r="AC1216" s="223"/>
      <c r="AD1216" s="222"/>
    </row>
    <row r="1217" spans="1:30" x14ac:dyDescent="0.4">
      <c r="A1217" s="230">
        <v>245</v>
      </c>
      <c r="B1217" s="8">
        <v>245</v>
      </c>
      <c r="C1217" s="14">
        <f t="shared" ca="1" si="679"/>
        <v>1.28</v>
      </c>
      <c r="D1217" s="20">
        <f t="shared" ca="1" si="691"/>
        <v>1.536</v>
      </c>
      <c r="E1217" s="225" t="str">
        <f ca="1">INDIRECT("'Закуп'!D" &amp; A1217)</f>
        <v>АГ (Нолес)</v>
      </c>
      <c r="F1217" s="231" t="str">
        <f t="shared" ref="F1217" ca="1" si="707">INDIRECT("'Закуп'!E" &amp; B1217)</f>
        <v>600х400х220</v>
      </c>
      <c r="G1217" s="172" t="str">
        <f t="shared" ca="1" si="674"/>
        <v/>
      </c>
      <c r="H1217" s="93" t="str">
        <f t="shared" ca="1" si="675"/>
        <v/>
      </c>
      <c r="I1217" s="21">
        <v>50</v>
      </c>
      <c r="J1217" s="68">
        <f t="shared" si="676"/>
        <v>2.4416666666666669</v>
      </c>
      <c r="K1217" s="70">
        <v>2.93</v>
      </c>
      <c r="L1217" s="72">
        <f t="shared" ca="1" si="672"/>
        <v>0.92933333333333346</v>
      </c>
      <c r="M1217" s="73">
        <f t="shared" ca="1" si="673"/>
        <v>46.466666666666676</v>
      </c>
      <c r="N1217" s="12" t="s">
        <v>40</v>
      </c>
      <c r="O1217" s="47" t="s">
        <v>45</v>
      </c>
      <c r="P1217" s="13">
        <f t="shared" si="698"/>
        <v>2.93</v>
      </c>
      <c r="Q1217" s="1" t="str">
        <f t="shared" si="699"/>
        <v>50-90 шт - 2,93 руб / шт с НДС</v>
      </c>
      <c r="R1217" s="235" t="str">
        <f ca="1">INDIRECT("'Закуп'!k" &amp; A1217)</f>
        <v>K1023</v>
      </c>
      <c r="S1217" s="239">
        <f ca="1">INDIRECT("'Закуп'!o" &amp; A1217)</f>
        <v>52.8</v>
      </c>
      <c r="T1217" s="226" t="str">
        <f ca="1">INDIRECT("'Закуп'!p" &amp; A1217)</f>
        <v>50-59 литров</v>
      </c>
      <c r="U1217" s="228" t="str">
        <f ca="1">INDIRECT("'Закуп'!v" &amp; A1217)</f>
        <v/>
      </c>
      <c r="V1217" s="222" t="str">
        <f ca="1">INDIRECT("'Закуп'!w" &amp; A1217)</f>
        <v/>
      </c>
      <c r="W1217" s="229" t="str">
        <f ca="1">INDIRECT("'Закуп'!H" &amp; A1217)</f>
        <v>0201</v>
      </c>
      <c r="X1217" s="227" t="str">
        <f t="shared" ref="X1217" ca="1" si="708">INDIRECT("'Закуп'!g" &amp; A1217)</f>
        <v>Ч</v>
      </c>
      <c r="Y1217" s="229" t="str">
        <f ca="1">INDIRECT("'Закуп'!i" &amp; A1217)</f>
        <v>В</v>
      </c>
      <c r="Z1217" s="236" t="str">
        <f ca="1">INDIRECT("'Закуп'!x" &amp; A1217)</f>
        <v>600-699 мм</v>
      </c>
      <c r="AA1217" s="237" t="str">
        <f ca="1">INDIRECT("'Закуп'!y" &amp; A1217)</f>
        <v>400-499 мм</v>
      </c>
      <c r="AB1217" s="238" t="str">
        <f ca="1">INDIRECT("'Закуп'!z" &amp; A1217)</f>
        <v>200-299 мм</v>
      </c>
      <c r="AC1217" s="223" t="str">
        <f t="shared" ca="1" si="704"/>
        <v>600x400x220</v>
      </c>
      <c r="AD1217" s="222" t="str">
        <f t="shared" ca="1" si="690"/>
        <v>600x400x220 - 600*400*220 мм</v>
      </c>
    </row>
    <row r="1218" spans="1:30" x14ac:dyDescent="0.4">
      <c r="A1218" s="230"/>
      <c r="B1218" s="8">
        <v>245</v>
      </c>
      <c r="C1218" s="14">
        <f t="shared" ca="1" si="679"/>
        <v>1.28</v>
      </c>
      <c r="D1218" s="20">
        <f t="shared" ca="1" si="691"/>
        <v>1.536</v>
      </c>
      <c r="E1218" s="225"/>
      <c r="F1218" s="231"/>
      <c r="G1218" s="172" t="str">
        <f t="shared" ca="1" si="674"/>
        <v/>
      </c>
      <c r="H1218" s="93" t="str">
        <f t="shared" ca="1" si="675"/>
        <v/>
      </c>
      <c r="I1218" s="21">
        <v>100</v>
      </c>
      <c r="J1218" s="68">
        <f t="shared" si="676"/>
        <v>1.95</v>
      </c>
      <c r="K1218" s="70">
        <v>2.34</v>
      </c>
      <c r="L1218" s="72">
        <f t="shared" ref="L1218:L1281" ca="1" si="709">J1218-C1218-(J1218-C1218)*0.2</f>
        <v>0.53599999999999992</v>
      </c>
      <c r="M1218" s="73">
        <f t="shared" ref="M1218:M1281" ca="1" si="710">L1218*I1218</f>
        <v>53.599999999999994</v>
      </c>
      <c r="N1218" s="12" t="s">
        <v>41</v>
      </c>
      <c r="O1218" s="47" t="s">
        <v>45</v>
      </c>
      <c r="P1218" s="13">
        <f t="shared" si="698"/>
        <v>2.34</v>
      </c>
      <c r="Q1218" s="1" t="str">
        <f t="shared" si="699"/>
        <v>100-290 шт - 2,34 руб / шт с НДС</v>
      </c>
      <c r="R1218" s="235"/>
      <c r="S1218" s="239"/>
      <c r="T1218" s="226"/>
      <c r="U1218" s="228"/>
      <c r="V1218" s="222"/>
      <c r="W1218" s="229"/>
      <c r="X1218" s="227"/>
      <c r="Y1218" s="229"/>
      <c r="Z1218" s="236"/>
      <c r="AA1218" s="237"/>
      <c r="AB1218" s="238"/>
      <c r="AC1218" s="223"/>
      <c r="AD1218" s="222"/>
    </row>
    <row r="1219" spans="1:30" x14ac:dyDescent="0.4">
      <c r="A1219" s="230"/>
      <c r="B1219" s="8">
        <v>245</v>
      </c>
      <c r="C1219" s="14">
        <f t="shared" ca="1" si="679"/>
        <v>1.28</v>
      </c>
      <c r="D1219" s="20">
        <f t="shared" ca="1" si="691"/>
        <v>1.536</v>
      </c>
      <c r="E1219" s="225"/>
      <c r="F1219" s="231"/>
      <c r="G1219" s="172" t="str">
        <f t="shared" ref="G1219:G1282" ca="1" si="711">IF(INDIRECT("'Закуп'!L" &amp; B1219)="Sale","Sale","")</f>
        <v/>
      </c>
      <c r="H1219" s="93" t="str">
        <f t="shared" ref="H1219:H1282" ca="1" si="712">IF(INDIRECT("'Закуп'!F" &amp; B1219)=0,"",INDIRECT("'Закуп'!F" &amp; B1219))</f>
        <v/>
      </c>
      <c r="I1219" s="21">
        <v>300</v>
      </c>
      <c r="J1219" s="68">
        <f t="shared" ref="J1219:J1282" si="713">K1219/1.2</f>
        <v>1.7583333333333333</v>
      </c>
      <c r="K1219" s="70">
        <v>2.11</v>
      </c>
      <c r="L1219" s="72">
        <f t="shared" ca="1" si="709"/>
        <v>0.3826666666666666</v>
      </c>
      <c r="M1219" s="73">
        <f t="shared" ca="1" si="710"/>
        <v>114.79999999999998</v>
      </c>
      <c r="N1219" s="12" t="s">
        <v>42</v>
      </c>
      <c r="O1219" s="47" t="s">
        <v>45</v>
      </c>
      <c r="P1219" s="13">
        <f t="shared" si="698"/>
        <v>2.11</v>
      </c>
      <c r="Q1219" s="1" t="str">
        <f t="shared" si="699"/>
        <v>300-490 шт - 2,11 руб / шт с НДС</v>
      </c>
      <c r="R1219" s="235"/>
      <c r="S1219" s="239"/>
      <c r="T1219" s="226"/>
      <c r="U1219" s="228"/>
      <c r="V1219" s="222"/>
      <c r="W1219" s="229"/>
      <c r="X1219" s="227"/>
      <c r="Y1219" s="229"/>
      <c r="Z1219" s="236"/>
      <c r="AA1219" s="237"/>
      <c r="AB1219" s="238"/>
      <c r="AC1219" s="223"/>
      <c r="AD1219" s="222"/>
    </row>
    <row r="1220" spans="1:30" x14ac:dyDescent="0.4">
      <c r="A1220" s="230"/>
      <c r="B1220" s="8">
        <v>245</v>
      </c>
      <c r="C1220" s="14">
        <f t="shared" ca="1" si="679"/>
        <v>1.28</v>
      </c>
      <c r="D1220" s="20">
        <f t="shared" ca="1" si="691"/>
        <v>1.536</v>
      </c>
      <c r="E1220" s="225"/>
      <c r="F1220" s="231"/>
      <c r="G1220" s="172" t="str">
        <f t="shared" ca="1" si="711"/>
        <v/>
      </c>
      <c r="H1220" s="93" t="str">
        <f t="shared" ca="1" si="712"/>
        <v/>
      </c>
      <c r="I1220" s="21">
        <v>500</v>
      </c>
      <c r="J1220" s="68">
        <f t="shared" si="713"/>
        <v>1.5833333333333333</v>
      </c>
      <c r="K1220" s="70">
        <v>1.9</v>
      </c>
      <c r="L1220" s="72">
        <f t="shared" ca="1" si="709"/>
        <v>0.24266666666666659</v>
      </c>
      <c r="M1220" s="73">
        <f t="shared" ca="1" si="710"/>
        <v>121.33333333333329</v>
      </c>
      <c r="N1220" s="12" t="s">
        <v>43</v>
      </c>
      <c r="O1220" s="47" t="s">
        <v>45</v>
      </c>
      <c r="P1220" s="13">
        <f t="shared" si="698"/>
        <v>1.9</v>
      </c>
      <c r="Q1220" s="1" t="str">
        <f t="shared" si="699"/>
        <v>500-990 шт - 1,9 руб / шт с НДС</v>
      </c>
      <c r="R1220" s="235"/>
      <c r="S1220" s="239"/>
      <c r="T1220" s="226"/>
      <c r="U1220" s="228"/>
      <c r="V1220" s="222"/>
      <c r="W1220" s="229"/>
      <c r="X1220" s="227"/>
      <c r="Y1220" s="229"/>
      <c r="Z1220" s="236"/>
      <c r="AA1220" s="237"/>
      <c r="AB1220" s="238"/>
      <c r="AC1220" s="223"/>
      <c r="AD1220" s="222"/>
    </row>
    <row r="1221" spans="1:30" x14ac:dyDescent="0.4">
      <c r="A1221" s="230"/>
      <c r="B1221" s="8">
        <v>245</v>
      </c>
      <c r="C1221" s="14">
        <f t="shared" ca="1" si="679"/>
        <v>1.28</v>
      </c>
      <c r="D1221" s="20">
        <f t="shared" ca="1" si="691"/>
        <v>1.536</v>
      </c>
      <c r="E1221" s="225"/>
      <c r="F1221" s="231"/>
      <c r="G1221" s="172" t="str">
        <f t="shared" ca="1" si="711"/>
        <v/>
      </c>
      <c r="H1221" s="93" t="str">
        <f t="shared" ca="1" si="712"/>
        <v/>
      </c>
      <c r="I1221" s="21">
        <v>1000</v>
      </c>
      <c r="J1221" s="68">
        <f t="shared" si="713"/>
        <v>1.5166666666666668</v>
      </c>
      <c r="K1221" s="70">
        <v>1.82</v>
      </c>
      <c r="L1221" s="72">
        <f t="shared" ca="1" si="709"/>
        <v>0.18933333333333344</v>
      </c>
      <c r="M1221" s="73">
        <f t="shared" ca="1" si="710"/>
        <v>189.33333333333343</v>
      </c>
      <c r="N1221" s="12" t="s">
        <v>44</v>
      </c>
      <c r="O1221" s="47" t="s">
        <v>45</v>
      </c>
      <c r="P1221" s="13">
        <f t="shared" si="698"/>
        <v>1.82</v>
      </c>
      <c r="Q1221" s="1" t="str">
        <f t="shared" si="699"/>
        <v>1000 + шт - 1,82 руб / шт с НДС</v>
      </c>
      <c r="R1221" s="235"/>
      <c r="S1221" s="239"/>
      <c r="T1221" s="226"/>
      <c r="U1221" s="228"/>
      <c r="V1221" s="222"/>
      <c r="W1221" s="229"/>
      <c r="X1221" s="227"/>
      <c r="Y1221" s="229"/>
      <c r="Z1221" s="236"/>
      <c r="AA1221" s="237"/>
      <c r="AB1221" s="238"/>
      <c r="AC1221" s="223"/>
      <c r="AD1221" s="222"/>
    </row>
    <row r="1222" spans="1:30" x14ac:dyDescent="0.4">
      <c r="A1222" s="230">
        <v>246</v>
      </c>
      <c r="B1222" s="8">
        <v>246</v>
      </c>
      <c r="C1222" s="14">
        <f t="shared" ca="1" si="679"/>
        <v>0.8</v>
      </c>
      <c r="D1222" s="20">
        <f t="shared" ca="1" si="691"/>
        <v>0.96</v>
      </c>
      <c r="E1222" s="224" t="str">
        <f ca="1">INDIRECT("'Закуп'!D" &amp; A1222)</f>
        <v>У</v>
      </c>
      <c r="F1222" s="231" t="str">
        <f t="shared" ref="F1222" ca="1" si="714">INDIRECT("'Закуп'!E" &amp; B1222)</f>
        <v xml:space="preserve">300х300х50 </v>
      </c>
      <c r="G1222" s="172" t="str">
        <f t="shared" ca="1" si="711"/>
        <v/>
      </c>
      <c r="H1222" s="93" t="str">
        <f t="shared" ca="1" si="712"/>
        <v/>
      </c>
      <c r="I1222" s="21">
        <v>50</v>
      </c>
      <c r="J1222" s="68">
        <f t="shared" si="713"/>
        <v>1.8833333333333333</v>
      </c>
      <c r="K1222" s="70">
        <v>2.2599999999999998</v>
      </c>
      <c r="L1222" s="72">
        <f t="shared" ca="1" si="709"/>
        <v>0.86666666666666659</v>
      </c>
      <c r="M1222" s="73">
        <f t="shared" ca="1" si="710"/>
        <v>43.333333333333329</v>
      </c>
      <c r="N1222" s="12" t="s">
        <v>40</v>
      </c>
      <c r="O1222" s="47" t="s">
        <v>45</v>
      </c>
      <c r="P1222" s="13">
        <f t="shared" si="698"/>
        <v>2.2599999999999998</v>
      </c>
      <c r="Q1222" s="1" t="str">
        <f t="shared" si="699"/>
        <v>50-90 шт - 2,26 руб / шт с НДС</v>
      </c>
      <c r="R1222" s="235" t="str">
        <f ca="1">INDIRECT("'Закуп'!k" &amp; A1222)</f>
        <v>K228</v>
      </c>
      <c r="S1222" s="239">
        <f ca="1">INDIRECT("'Закуп'!o" &amp; A1222)</f>
        <v>4.5</v>
      </c>
      <c r="T1222" s="226" t="str">
        <f ca="1">INDIRECT("'Закуп'!p" &amp; A1222)</f>
        <v>4-5,9 литра</v>
      </c>
      <c r="U1222" s="228" t="str">
        <f ca="1">INDIRECT("'Закуп'!v" &amp; A1222)</f>
        <v/>
      </c>
      <c r="V1222" s="222" t="str">
        <f ca="1">INDIRECT("'Закуп'!w" &amp; A1222)</f>
        <v>Плоские</v>
      </c>
      <c r="W1222" s="229" t="str">
        <f ca="1">INDIRECT("'Закуп'!H" &amp; A1222)</f>
        <v>0330</v>
      </c>
      <c r="X1222" s="227" t="str">
        <f t="shared" ref="X1222" ca="1" si="715">INDIRECT("'Закуп'!g" &amp; A1222)</f>
        <v>КД</v>
      </c>
      <c r="Y1222" s="229" t="str">
        <f ca="1">INDIRECT("'Закуп'!i" &amp; A1222)</f>
        <v>Е</v>
      </c>
      <c r="Z1222" s="236" t="str">
        <f ca="1">INDIRECT("'Закуп'!x" &amp; A1222)</f>
        <v>300-399 мм</v>
      </c>
      <c r="AA1222" s="237" t="str">
        <f ca="1">INDIRECT("'Закуп'!y" &amp; A1222)</f>
        <v>300-399 мм</v>
      </c>
      <c r="AB1222" s="238" t="str">
        <f ca="1">INDIRECT("'Закуп'!z" &amp; A1222)</f>
        <v>10-99 мм</v>
      </c>
      <c r="AC1222" s="223" t="str">
        <f t="shared" ca="1" si="704"/>
        <v xml:space="preserve">300x300x50 </v>
      </c>
      <c r="AD1222" s="222" t="str">
        <f t="shared" ca="1" si="690"/>
        <v>300x300x50  - 300*300*50  мм</v>
      </c>
    </row>
    <row r="1223" spans="1:30" x14ac:dyDescent="0.4">
      <c r="A1223" s="230"/>
      <c r="B1223" s="8">
        <v>246</v>
      </c>
      <c r="C1223" s="14">
        <f t="shared" ca="1" si="679"/>
        <v>0.8</v>
      </c>
      <c r="D1223" s="20">
        <f t="shared" ca="1" si="691"/>
        <v>0.96</v>
      </c>
      <c r="E1223" s="225"/>
      <c r="F1223" s="231"/>
      <c r="G1223" s="172" t="str">
        <f t="shared" ca="1" si="711"/>
        <v/>
      </c>
      <c r="H1223" s="93" t="str">
        <f t="shared" ca="1" si="712"/>
        <v/>
      </c>
      <c r="I1223" s="21">
        <v>100</v>
      </c>
      <c r="J1223" s="68">
        <f t="shared" si="713"/>
        <v>1.7083333333333333</v>
      </c>
      <c r="K1223" s="70">
        <v>2.0499999999999998</v>
      </c>
      <c r="L1223" s="72">
        <f t="shared" ca="1" si="709"/>
        <v>0.72666666666666657</v>
      </c>
      <c r="M1223" s="73">
        <f t="shared" ca="1" si="710"/>
        <v>72.666666666666657</v>
      </c>
      <c r="N1223" s="12" t="s">
        <v>41</v>
      </c>
      <c r="O1223" s="47" t="s">
        <v>45</v>
      </c>
      <c r="P1223" s="13">
        <f t="shared" si="698"/>
        <v>2.0499999999999998</v>
      </c>
      <c r="Q1223" s="1" t="str">
        <f t="shared" si="699"/>
        <v>100-290 шт - 2,05 руб / шт с НДС</v>
      </c>
      <c r="R1223" s="235"/>
      <c r="S1223" s="239"/>
      <c r="T1223" s="226"/>
      <c r="U1223" s="228"/>
      <c r="V1223" s="222"/>
      <c r="W1223" s="229"/>
      <c r="X1223" s="227"/>
      <c r="Y1223" s="229"/>
      <c r="Z1223" s="236"/>
      <c r="AA1223" s="237"/>
      <c r="AB1223" s="238"/>
      <c r="AC1223" s="223"/>
      <c r="AD1223" s="222"/>
    </row>
    <row r="1224" spans="1:30" x14ac:dyDescent="0.4">
      <c r="A1224" s="230"/>
      <c r="B1224" s="8">
        <v>246</v>
      </c>
      <c r="C1224" s="14">
        <f t="shared" ca="1" si="679"/>
        <v>0.8</v>
      </c>
      <c r="D1224" s="20">
        <f t="shared" ca="1" si="691"/>
        <v>0.96</v>
      </c>
      <c r="E1224" s="225"/>
      <c r="F1224" s="231"/>
      <c r="G1224" s="172" t="str">
        <f t="shared" ca="1" si="711"/>
        <v/>
      </c>
      <c r="H1224" s="93" t="str">
        <f t="shared" ca="1" si="712"/>
        <v/>
      </c>
      <c r="I1224" s="21">
        <v>300</v>
      </c>
      <c r="J1224" s="68">
        <f t="shared" si="713"/>
        <v>1.3416666666666668</v>
      </c>
      <c r="K1224" s="70">
        <v>1.61</v>
      </c>
      <c r="L1224" s="72">
        <f t="shared" ca="1" si="709"/>
        <v>0.4333333333333334</v>
      </c>
      <c r="M1224" s="73">
        <f t="shared" ca="1" si="710"/>
        <v>130.00000000000003</v>
      </c>
      <c r="N1224" s="12" t="s">
        <v>42</v>
      </c>
      <c r="O1224" s="47" t="s">
        <v>45</v>
      </c>
      <c r="P1224" s="13">
        <f t="shared" si="698"/>
        <v>1.61</v>
      </c>
      <c r="Q1224" s="1" t="str">
        <f t="shared" si="699"/>
        <v>300-490 шт - 1,61 руб / шт с НДС</v>
      </c>
      <c r="R1224" s="235"/>
      <c r="S1224" s="239"/>
      <c r="T1224" s="226"/>
      <c r="U1224" s="228"/>
      <c r="V1224" s="222"/>
      <c r="W1224" s="229"/>
      <c r="X1224" s="227"/>
      <c r="Y1224" s="229"/>
      <c r="Z1224" s="236"/>
      <c r="AA1224" s="237"/>
      <c r="AB1224" s="238"/>
      <c r="AC1224" s="223"/>
      <c r="AD1224" s="222"/>
    </row>
    <row r="1225" spans="1:30" x14ac:dyDescent="0.4">
      <c r="A1225" s="230"/>
      <c r="B1225" s="8">
        <v>246</v>
      </c>
      <c r="C1225" s="14">
        <f t="shared" ref="C1225:C1236" ca="1" si="716">INDIRECT("'Закуп'!A" &amp; B1225)</f>
        <v>0.8</v>
      </c>
      <c r="D1225" s="20">
        <f t="shared" ca="1" si="691"/>
        <v>0.96</v>
      </c>
      <c r="E1225" s="225"/>
      <c r="F1225" s="231"/>
      <c r="G1225" s="172" t="str">
        <f t="shared" ca="1" si="711"/>
        <v/>
      </c>
      <c r="H1225" s="93" t="str">
        <f t="shared" ca="1" si="712"/>
        <v/>
      </c>
      <c r="I1225" s="21">
        <v>500</v>
      </c>
      <c r="J1225" s="68">
        <f t="shared" si="713"/>
        <v>1.1583333333333332</v>
      </c>
      <c r="K1225" s="70">
        <v>1.39</v>
      </c>
      <c r="L1225" s="72">
        <f t="shared" ca="1" si="709"/>
        <v>0.28666666666666651</v>
      </c>
      <c r="M1225" s="73">
        <f t="shared" ca="1" si="710"/>
        <v>143.33333333333326</v>
      </c>
      <c r="N1225" s="12" t="s">
        <v>43</v>
      </c>
      <c r="O1225" s="47" t="s">
        <v>45</v>
      </c>
      <c r="P1225" s="13">
        <f t="shared" si="698"/>
        <v>1.39</v>
      </c>
      <c r="Q1225" s="1" t="str">
        <f t="shared" si="699"/>
        <v>500-990 шт - 1,39 руб / шт с НДС</v>
      </c>
      <c r="R1225" s="235"/>
      <c r="S1225" s="239"/>
      <c r="T1225" s="226"/>
      <c r="U1225" s="228"/>
      <c r="V1225" s="222"/>
      <c r="W1225" s="229"/>
      <c r="X1225" s="227"/>
      <c r="Y1225" s="229"/>
      <c r="Z1225" s="236"/>
      <c r="AA1225" s="237"/>
      <c r="AB1225" s="238"/>
      <c r="AC1225" s="223"/>
      <c r="AD1225" s="222"/>
    </row>
    <row r="1226" spans="1:30" x14ac:dyDescent="0.4">
      <c r="A1226" s="230"/>
      <c r="B1226" s="8">
        <v>246</v>
      </c>
      <c r="C1226" s="14">
        <f t="shared" ca="1" si="716"/>
        <v>0.8</v>
      </c>
      <c r="D1226" s="20">
        <f t="shared" ca="1" si="691"/>
        <v>0.96</v>
      </c>
      <c r="E1226" s="225"/>
      <c r="F1226" s="231"/>
      <c r="G1226" s="172" t="str">
        <f t="shared" ca="1" si="711"/>
        <v/>
      </c>
      <c r="H1226" s="93" t="str">
        <f t="shared" ca="1" si="712"/>
        <v/>
      </c>
      <c r="I1226" s="21">
        <v>1000</v>
      </c>
      <c r="J1226" s="68">
        <f t="shared" si="713"/>
        <v>1.0750000000000002</v>
      </c>
      <c r="K1226" s="70">
        <v>1.29</v>
      </c>
      <c r="L1226" s="72">
        <f t="shared" ca="1" si="709"/>
        <v>0.22000000000000011</v>
      </c>
      <c r="M1226" s="73">
        <f t="shared" ca="1" si="710"/>
        <v>220.00000000000011</v>
      </c>
      <c r="N1226" s="12" t="s">
        <v>44</v>
      </c>
      <c r="O1226" s="47" t="s">
        <v>45</v>
      </c>
      <c r="P1226" s="13">
        <f t="shared" si="698"/>
        <v>1.29</v>
      </c>
      <c r="Q1226" s="1" t="str">
        <f t="shared" si="699"/>
        <v>1000 + шт - 1,29 руб / шт с НДС</v>
      </c>
      <c r="R1226" s="235"/>
      <c r="S1226" s="239"/>
      <c r="T1226" s="226"/>
      <c r="U1226" s="228"/>
      <c r="V1226" s="222"/>
      <c r="W1226" s="229"/>
      <c r="X1226" s="227"/>
      <c r="Y1226" s="229"/>
      <c r="Z1226" s="236"/>
      <c r="AA1226" s="237"/>
      <c r="AB1226" s="238"/>
      <c r="AC1226" s="223"/>
      <c r="AD1226" s="222"/>
    </row>
    <row r="1227" spans="1:30" x14ac:dyDescent="0.4">
      <c r="A1227" s="230">
        <v>247</v>
      </c>
      <c r="B1227" s="8">
        <v>247</v>
      </c>
      <c r="C1227" s="14">
        <f t="shared" ca="1" si="716"/>
        <v>1.1599999999999999</v>
      </c>
      <c r="D1227" s="20">
        <f t="shared" ca="1" si="691"/>
        <v>1.3919999999999999</v>
      </c>
      <c r="E1227" s="224" t="str">
        <f ca="1">INDIRECT("'Закуп'!D" &amp; A1227)</f>
        <v>У</v>
      </c>
      <c r="F1227" s="231" t="str">
        <f t="shared" ref="F1227" ca="1" si="717">INDIRECT("'Закуп'!E" &amp; B1227)</f>
        <v>300х300х80</v>
      </c>
      <c r="G1227" s="172" t="str">
        <f t="shared" ca="1" si="711"/>
        <v/>
      </c>
      <c r="H1227" s="93" t="str">
        <f t="shared" ca="1" si="712"/>
        <v/>
      </c>
      <c r="I1227" s="21">
        <v>50</v>
      </c>
      <c r="J1227" s="68">
        <f t="shared" si="713"/>
        <v>2.4750000000000001</v>
      </c>
      <c r="K1227" s="70">
        <v>2.97</v>
      </c>
      <c r="L1227" s="72">
        <f t="shared" ca="1" si="709"/>
        <v>1.052</v>
      </c>
      <c r="M1227" s="73">
        <f t="shared" ca="1" si="710"/>
        <v>52.6</v>
      </c>
      <c r="N1227" s="12" t="s">
        <v>40</v>
      </c>
      <c r="O1227" s="47" t="s">
        <v>45</v>
      </c>
      <c r="P1227" s="13">
        <f t="shared" si="698"/>
        <v>2.97</v>
      </c>
      <c r="Q1227" s="1" t="str">
        <f t="shared" si="699"/>
        <v>50-90 шт - 2,97 руб / шт с НДС</v>
      </c>
      <c r="R1227" s="235" t="str">
        <f ca="1">INDIRECT("'Закуп'!k" &amp; A1227)</f>
        <v>K229</v>
      </c>
      <c r="S1227" s="239">
        <f ca="1">INDIRECT("'Закуп'!o" &amp; A1227)</f>
        <v>7.2</v>
      </c>
      <c r="T1227" s="226" t="str">
        <f ca="1">INDIRECT("'Закуп'!p" &amp; A1227)</f>
        <v>6-7,9 литра</v>
      </c>
      <c r="U1227" s="228" t="str">
        <f ca="1">INDIRECT("'Закуп'!v" &amp; A1227)</f>
        <v/>
      </c>
      <c r="V1227" s="222" t="str">
        <f ca="1">INDIRECT("'Закуп'!w" &amp; A1227)</f>
        <v>Плоские</v>
      </c>
      <c r="W1227" s="229" t="str">
        <f ca="1">INDIRECT("'Закуп'!H" &amp; A1227)</f>
        <v>0330</v>
      </c>
      <c r="X1227" s="227" t="str">
        <f t="shared" ref="X1227" ca="1" si="718">INDIRECT("'Закуп'!g" &amp; A1227)</f>
        <v>КД</v>
      </c>
      <c r="Y1227" s="229" t="str">
        <f ca="1">INDIRECT("'Закуп'!i" &amp; A1227)</f>
        <v>Е</v>
      </c>
      <c r="Z1227" s="236" t="str">
        <f ca="1">INDIRECT("'Закуп'!x" &amp; A1227)</f>
        <v>300-399 мм</v>
      </c>
      <c r="AA1227" s="237" t="str">
        <f ca="1">INDIRECT("'Закуп'!y" &amp; A1227)</f>
        <v>300-399 мм</v>
      </c>
      <c r="AB1227" s="238" t="str">
        <f ca="1">INDIRECT("'Закуп'!z" &amp; A1227)</f>
        <v>10-99 мм</v>
      </c>
      <c r="AC1227" s="223" t="str">
        <f t="shared" ca="1" si="704"/>
        <v>300x300x80</v>
      </c>
      <c r="AD1227" s="222" t="str">
        <f t="shared" ca="1" si="690"/>
        <v>300x300x80 - 300*300*80 мм</v>
      </c>
    </row>
    <row r="1228" spans="1:30" x14ac:dyDescent="0.4">
      <c r="A1228" s="230"/>
      <c r="B1228" s="8">
        <v>247</v>
      </c>
      <c r="C1228" s="14">
        <f t="shared" ca="1" si="716"/>
        <v>1.1599999999999999</v>
      </c>
      <c r="D1228" s="20">
        <f t="shared" ca="1" si="691"/>
        <v>1.3919999999999999</v>
      </c>
      <c r="E1228" s="225"/>
      <c r="F1228" s="231"/>
      <c r="G1228" s="172" t="str">
        <f t="shared" ca="1" si="711"/>
        <v/>
      </c>
      <c r="H1228" s="93" t="str">
        <f t="shared" ca="1" si="712"/>
        <v/>
      </c>
      <c r="I1228" s="21">
        <v>100</v>
      </c>
      <c r="J1228" s="68">
        <f t="shared" si="713"/>
        <v>1.9916666666666669</v>
      </c>
      <c r="K1228" s="70">
        <v>2.39</v>
      </c>
      <c r="L1228" s="72">
        <f t="shared" ca="1" si="709"/>
        <v>0.66533333333333355</v>
      </c>
      <c r="M1228" s="73">
        <f t="shared" ca="1" si="710"/>
        <v>66.53333333333336</v>
      </c>
      <c r="N1228" s="12" t="s">
        <v>41</v>
      </c>
      <c r="O1228" s="47" t="s">
        <v>45</v>
      </c>
      <c r="P1228" s="13">
        <f t="shared" si="698"/>
        <v>2.39</v>
      </c>
      <c r="Q1228" s="1" t="str">
        <f t="shared" si="699"/>
        <v>100-290 шт - 2,39 руб / шт с НДС</v>
      </c>
      <c r="R1228" s="235"/>
      <c r="S1228" s="239"/>
      <c r="T1228" s="226"/>
      <c r="U1228" s="228"/>
      <c r="V1228" s="222"/>
      <c r="W1228" s="229"/>
      <c r="X1228" s="227"/>
      <c r="Y1228" s="229"/>
      <c r="Z1228" s="236"/>
      <c r="AA1228" s="237"/>
      <c r="AB1228" s="238"/>
      <c r="AC1228" s="223"/>
      <c r="AD1228" s="222"/>
    </row>
    <row r="1229" spans="1:30" x14ac:dyDescent="0.4">
      <c r="A1229" s="230"/>
      <c r="B1229" s="8">
        <v>247</v>
      </c>
      <c r="C1229" s="14">
        <f t="shared" ca="1" si="716"/>
        <v>1.1599999999999999</v>
      </c>
      <c r="D1229" s="20">
        <f t="shared" ca="1" si="691"/>
        <v>1.3919999999999999</v>
      </c>
      <c r="E1229" s="225"/>
      <c r="F1229" s="231"/>
      <c r="G1229" s="172" t="str">
        <f t="shared" ca="1" si="711"/>
        <v/>
      </c>
      <c r="H1229" s="93" t="str">
        <f t="shared" ca="1" si="712"/>
        <v/>
      </c>
      <c r="I1229" s="21">
        <v>300</v>
      </c>
      <c r="J1229" s="68">
        <f t="shared" si="713"/>
        <v>1.8083333333333333</v>
      </c>
      <c r="K1229" s="70">
        <v>2.17</v>
      </c>
      <c r="L1229" s="72">
        <f t="shared" ca="1" si="709"/>
        <v>0.51866666666666672</v>
      </c>
      <c r="M1229" s="73">
        <f t="shared" ca="1" si="710"/>
        <v>155.60000000000002</v>
      </c>
      <c r="N1229" s="12" t="s">
        <v>42</v>
      </c>
      <c r="O1229" s="47" t="s">
        <v>45</v>
      </c>
      <c r="P1229" s="13">
        <f t="shared" si="698"/>
        <v>2.17</v>
      </c>
      <c r="Q1229" s="1" t="str">
        <f t="shared" si="699"/>
        <v>300-490 шт - 2,17 руб / шт с НДС</v>
      </c>
      <c r="R1229" s="235"/>
      <c r="S1229" s="239"/>
      <c r="T1229" s="226"/>
      <c r="U1229" s="228"/>
      <c r="V1229" s="222"/>
      <c r="W1229" s="229"/>
      <c r="X1229" s="227"/>
      <c r="Y1229" s="229"/>
      <c r="Z1229" s="236"/>
      <c r="AA1229" s="237"/>
      <c r="AB1229" s="238"/>
      <c r="AC1229" s="223"/>
      <c r="AD1229" s="222"/>
    </row>
    <row r="1230" spans="1:30" x14ac:dyDescent="0.4">
      <c r="A1230" s="230"/>
      <c r="B1230" s="8">
        <v>247</v>
      </c>
      <c r="C1230" s="14">
        <f t="shared" ca="1" si="716"/>
        <v>1.1599999999999999</v>
      </c>
      <c r="D1230" s="20">
        <f t="shared" ca="1" si="691"/>
        <v>1.3919999999999999</v>
      </c>
      <c r="E1230" s="225"/>
      <c r="F1230" s="231"/>
      <c r="G1230" s="172" t="str">
        <f t="shared" ca="1" si="711"/>
        <v/>
      </c>
      <c r="H1230" s="93" t="str">
        <f t="shared" ca="1" si="712"/>
        <v/>
      </c>
      <c r="I1230" s="21">
        <v>500</v>
      </c>
      <c r="J1230" s="68">
        <f t="shared" si="713"/>
        <v>1.6166666666666667</v>
      </c>
      <c r="K1230" s="70">
        <v>1.94</v>
      </c>
      <c r="L1230" s="72">
        <f t="shared" ca="1" si="709"/>
        <v>0.3653333333333334</v>
      </c>
      <c r="M1230" s="73">
        <f t="shared" ca="1" si="710"/>
        <v>182.66666666666669</v>
      </c>
      <c r="N1230" s="12" t="s">
        <v>43</v>
      </c>
      <c r="O1230" s="47" t="s">
        <v>45</v>
      </c>
      <c r="P1230" s="13">
        <f t="shared" si="698"/>
        <v>1.94</v>
      </c>
      <c r="Q1230" s="1" t="str">
        <f t="shared" si="699"/>
        <v>500-990 шт - 1,94 руб / шт с НДС</v>
      </c>
      <c r="R1230" s="235"/>
      <c r="S1230" s="239"/>
      <c r="T1230" s="226"/>
      <c r="U1230" s="228"/>
      <c r="V1230" s="222"/>
      <c r="W1230" s="229"/>
      <c r="X1230" s="227"/>
      <c r="Y1230" s="229"/>
      <c r="Z1230" s="236"/>
      <c r="AA1230" s="237"/>
      <c r="AB1230" s="238"/>
      <c r="AC1230" s="223"/>
      <c r="AD1230" s="222"/>
    </row>
    <row r="1231" spans="1:30" x14ac:dyDescent="0.4">
      <c r="A1231" s="230"/>
      <c r="B1231" s="8">
        <v>247</v>
      </c>
      <c r="C1231" s="14">
        <f t="shared" ca="1" si="716"/>
        <v>1.1599999999999999</v>
      </c>
      <c r="D1231" s="20">
        <f t="shared" ca="1" si="691"/>
        <v>1.3919999999999999</v>
      </c>
      <c r="E1231" s="225"/>
      <c r="F1231" s="231"/>
      <c r="G1231" s="172" t="str">
        <f t="shared" ca="1" si="711"/>
        <v/>
      </c>
      <c r="H1231" s="93" t="str">
        <f t="shared" ca="1" si="712"/>
        <v/>
      </c>
      <c r="I1231" s="21">
        <v>1000</v>
      </c>
      <c r="J1231" s="68">
        <f t="shared" si="713"/>
        <v>1.5416666666666667</v>
      </c>
      <c r="K1231" s="70">
        <v>1.85</v>
      </c>
      <c r="L1231" s="72">
        <f t="shared" ca="1" si="709"/>
        <v>0.30533333333333346</v>
      </c>
      <c r="M1231" s="73">
        <f t="shared" ca="1" si="710"/>
        <v>305.33333333333348</v>
      </c>
      <c r="N1231" s="12" t="s">
        <v>44</v>
      </c>
      <c r="O1231" s="47" t="s">
        <v>45</v>
      </c>
      <c r="P1231" s="13">
        <f t="shared" si="698"/>
        <v>1.85</v>
      </c>
      <c r="Q1231" s="1" t="str">
        <f t="shared" si="699"/>
        <v>1000 + шт - 1,85 руб / шт с НДС</v>
      </c>
      <c r="R1231" s="235"/>
      <c r="S1231" s="239"/>
      <c r="T1231" s="226"/>
      <c r="U1231" s="228"/>
      <c r="V1231" s="222"/>
      <c r="W1231" s="229"/>
      <c r="X1231" s="227"/>
      <c r="Y1231" s="229"/>
      <c r="Z1231" s="236"/>
      <c r="AA1231" s="237"/>
      <c r="AB1231" s="238"/>
      <c r="AC1231" s="223"/>
      <c r="AD1231" s="222"/>
    </row>
    <row r="1232" spans="1:30" x14ac:dyDescent="0.4">
      <c r="A1232" s="230">
        <v>248</v>
      </c>
      <c r="B1232" s="8">
        <v>248</v>
      </c>
      <c r="C1232" s="14">
        <f t="shared" ca="1" si="716"/>
        <v>0.9</v>
      </c>
      <c r="D1232" s="20">
        <f t="shared" ca="1" si="691"/>
        <v>1.08</v>
      </c>
      <c r="E1232" s="224" t="str">
        <f ca="1">INDIRECT("'Закуп'!D" &amp; A1232)</f>
        <v>У</v>
      </c>
      <c r="F1232" s="231" t="str">
        <f t="shared" ref="F1232" ca="1" si="719">INDIRECT("'Закуп'!E" &amp; B1232)</f>
        <v>250х250х80</v>
      </c>
      <c r="G1232" s="172" t="str">
        <f t="shared" ca="1" si="711"/>
        <v/>
      </c>
      <c r="H1232" s="93" t="str">
        <f t="shared" ca="1" si="712"/>
        <v/>
      </c>
      <c r="I1232" s="21">
        <v>50</v>
      </c>
      <c r="J1232" s="68">
        <f t="shared" si="713"/>
        <v>1.9583333333333335</v>
      </c>
      <c r="K1232" s="70">
        <v>2.35</v>
      </c>
      <c r="L1232" s="72">
        <f t="shared" ca="1" si="709"/>
        <v>0.8466666666666669</v>
      </c>
      <c r="M1232" s="73">
        <f t="shared" ca="1" si="710"/>
        <v>42.333333333333343</v>
      </c>
      <c r="N1232" s="12" t="s">
        <v>40</v>
      </c>
      <c r="O1232" s="47" t="s">
        <v>45</v>
      </c>
      <c r="P1232" s="13">
        <f t="shared" si="698"/>
        <v>2.35</v>
      </c>
      <c r="Q1232" s="1" t="str">
        <f t="shared" si="699"/>
        <v>50-90 шт - 2,35 руб / шт с НДС</v>
      </c>
      <c r="R1232" s="235" t="str">
        <f ca="1">INDIRECT("'Закуп'!k" &amp; A1232)</f>
        <v>K230</v>
      </c>
      <c r="S1232" s="239">
        <f ca="1">INDIRECT("'Закуп'!o" &amp; A1232)</f>
        <v>5</v>
      </c>
      <c r="T1232" s="226" t="str">
        <f ca="1">INDIRECT("'Закуп'!p" &amp; A1232)</f>
        <v>4-5,9 литра</v>
      </c>
      <c r="U1232" s="228" t="str">
        <f ca="1">INDIRECT("'Закуп'!v" &amp; A1232)</f>
        <v/>
      </c>
      <c r="V1232" s="222" t="str">
        <f ca="1">INDIRECT("'Закуп'!w" &amp; A1232)</f>
        <v>Плоские</v>
      </c>
      <c r="W1232" s="229" t="str">
        <f ca="1">INDIRECT("'Закуп'!H" &amp; A1232)</f>
        <v>0330</v>
      </c>
      <c r="X1232" s="227" t="str">
        <f t="shared" ref="X1232" ca="1" si="720">INDIRECT("'Закуп'!g" &amp; A1232)</f>
        <v>КД</v>
      </c>
      <c r="Y1232" s="229" t="str">
        <f ca="1">INDIRECT("'Закуп'!i" &amp; A1232)</f>
        <v>Е</v>
      </c>
      <c r="Z1232" s="236" t="str">
        <f ca="1">INDIRECT("'Закуп'!x" &amp; A1232)</f>
        <v>200-299 мм</v>
      </c>
      <c r="AA1232" s="237" t="str">
        <f ca="1">INDIRECT("'Закуп'!y" &amp; A1232)</f>
        <v>200-299 мм</v>
      </c>
      <c r="AB1232" s="238" t="str">
        <f ca="1">INDIRECT("'Закуп'!z" &amp; A1232)</f>
        <v>10-99 мм</v>
      </c>
      <c r="AC1232" s="223" t="str">
        <f t="shared" ca="1" si="704"/>
        <v>250x250x80</v>
      </c>
      <c r="AD1232" s="222" t="str">
        <f t="shared" ca="1" si="690"/>
        <v>250x250x80 - 250*250*80 мм</v>
      </c>
    </row>
    <row r="1233" spans="1:30" x14ac:dyDescent="0.4">
      <c r="A1233" s="230"/>
      <c r="B1233" s="8">
        <v>248</v>
      </c>
      <c r="C1233" s="14">
        <f t="shared" ca="1" si="716"/>
        <v>0.9</v>
      </c>
      <c r="D1233" s="20">
        <f t="shared" ca="1" si="691"/>
        <v>1.08</v>
      </c>
      <c r="E1233" s="225"/>
      <c r="F1233" s="231"/>
      <c r="G1233" s="172" t="str">
        <f t="shared" ca="1" si="711"/>
        <v/>
      </c>
      <c r="H1233" s="93" t="str">
        <f t="shared" ca="1" si="712"/>
        <v/>
      </c>
      <c r="I1233" s="21">
        <v>100</v>
      </c>
      <c r="J1233" s="68">
        <f t="shared" si="713"/>
        <v>1.6916666666666667</v>
      </c>
      <c r="K1233" s="70">
        <v>2.0299999999999998</v>
      </c>
      <c r="L1233" s="72">
        <f t="shared" ca="1" si="709"/>
        <v>0.6333333333333333</v>
      </c>
      <c r="M1233" s="73">
        <f t="shared" ca="1" si="710"/>
        <v>63.333333333333329</v>
      </c>
      <c r="N1233" s="12" t="s">
        <v>41</v>
      </c>
      <c r="O1233" s="47" t="s">
        <v>45</v>
      </c>
      <c r="P1233" s="13">
        <f t="shared" si="698"/>
        <v>2.0299999999999998</v>
      </c>
      <c r="Q1233" s="1" t="str">
        <f t="shared" si="699"/>
        <v>100-290 шт - 2,03 руб / шт с НДС</v>
      </c>
      <c r="R1233" s="235"/>
      <c r="S1233" s="239"/>
      <c r="T1233" s="226"/>
      <c r="U1233" s="228"/>
      <c r="V1233" s="222"/>
      <c r="W1233" s="229"/>
      <c r="X1233" s="227"/>
      <c r="Y1233" s="229"/>
      <c r="Z1233" s="236"/>
      <c r="AA1233" s="237"/>
      <c r="AB1233" s="238"/>
      <c r="AC1233" s="223"/>
      <c r="AD1233" s="222"/>
    </row>
    <row r="1234" spans="1:30" x14ac:dyDescent="0.4">
      <c r="A1234" s="230"/>
      <c r="B1234" s="8">
        <v>248</v>
      </c>
      <c r="C1234" s="14">
        <f t="shared" ca="1" si="716"/>
        <v>0.9</v>
      </c>
      <c r="D1234" s="20">
        <f t="shared" ca="1" si="691"/>
        <v>1.08</v>
      </c>
      <c r="E1234" s="225"/>
      <c r="F1234" s="231"/>
      <c r="G1234" s="172" t="str">
        <f t="shared" ca="1" si="711"/>
        <v/>
      </c>
      <c r="H1234" s="93" t="str">
        <f t="shared" ca="1" si="712"/>
        <v/>
      </c>
      <c r="I1234" s="21">
        <v>300</v>
      </c>
      <c r="J1234" s="68">
        <f t="shared" si="713"/>
        <v>1.5166666666666668</v>
      </c>
      <c r="K1234" s="70">
        <v>1.82</v>
      </c>
      <c r="L1234" s="72">
        <f t="shared" ca="1" si="709"/>
        <v>0.49333333333333346</v>
      </c>
      <c r="M1234" s="73">
        <f t="shared" ca="1" si="710"/>
        <v>148.00000000000003</v>
      </c>
      <c r="N1234" s="12" t="s">
        <v>42</v>
      </c>
      <c r="O1234" s="47" t="s">
        <v>45</v>
      </c>
      <c r="P1234" s="13">
        <f t="shared" si="698"/>
        <v>1.82</v>
      </c>
      <c r="Q1234" s="1" t="str">
        <f t="shared" si="699"/>
        <v>300-490 шт - 1,82 руб / шт с НДС</v>
      </c>
      <c r="R1234" s="235"/>
      <c r="S1234" s="239"/>
      <c r="T1234" s="226"/>
      <c r="U1234" s="228"/>
      <c r="V1234" s="222"/>
      <c r="W1234" s="229"/>
      <c r="X1234" s="227"/>
      <c r="Y1234" s="229"/>
      <c r="Z1234" s="236"/>
      <c r="AA1234" s="237"/>
      <c r="AB1234" s="238"/>
      <c r="AC1234" s="223"/>
      <c r="AD1234" s="222"/>
    </row>
    <row r="1235" spans="1:30" x14ac:dyDescent="0.4">
      <c r="A1235" s="230"/>
      <c r="B1235" s="8">
        <v>248</v>
      </c>
      <c r="C1235" s="14">
        <f t="shared" ca="1" si="716"/>
        <v>0.9</v>
      </c>
      <c r="D1235" s="20">
        <f t="shared" ca="1" si="691"/>
        <v>1.08</v>
      </c>
      <c r="E1235" s="225"/>
      <c r="F1235" s="231"/>
      <c r="G1235" s="172" t="str">
        <f t="shared" ca="1" si="711"/>
        <v/>
      </c>
      <c r="H1235" s="93" t="str">
        <f t="shared" ca="1" si="712"/>
        <v/>
      </c>
      <c r="I1235" s="21">
        <v>500</v>
      </c>
      <c r="J1235" s="68">
        <f t="shared" si="713"/>
        <v>1.425</v>
      </c>
      <c r="K1235" s="70">
        <v>1.71</v>
      </c>
      <c r="L1235" s="72">
        <f t="shared" ca="1" si="709"/>
        <v>0.42000000000000004</v>
      </c>
      <c r="M1235" s="73">
        <f t="shared" ca="1" si="710"/>
        <v>210.00000000000003</v>
      </c>
      <c r="N1235" s="12" t="s">
        <v>43</v>
      </c>
      <c r="O1235" s="47" t="s">
        <v>45</v>
      </c>
      <c r="P1235" s="13">
        <f t="shared" si="698"/>
        <v>1.71</v>
      </c>
      <c r="Q1235" s="1" t="str">
        <f t="shared" si="699"/>
        <v>500-990 шт - 1,71 руб / шт с НДС</v>
      </c>
      <c r="R1235" s="235"/>
      <c r="S1235" s="239"/>
      <c r="T1235" s="226"/>
      <c r="U1235" s="228"/>
      <c r="V1235" s="222"/>
      <c r="W1235" s="229"/>
      <c r="X1235" s="227"/>
      <c r="Y1235" s="229"/>
      <c r="Z1235" s="236"/>
      <c r="AA1235" s="237"/>
      <c r="AB1235" s="238"/>
      <c r="AC1235" s="223"/>
      <c r="AD1235" s="222"/>
    </row>
    <row r="1236" spans="1:30" x14ac:dyDescent="0.4">
      <c r="A1236" s="230"/>
      <c r="B1236" s="8">
        <v>248</v>
      </c>
      <c r="C1236" s="14">
        <f t="shared" ca="1" si="716"/>
        <v>0.9</v>
      </c>
      <c r="D1236" s="20">
        <f t="shared" ca="1" si="691"/>
        <v>1.08</v>
      </c>
      <c r="E1236" s="225"/>
      <c r="F1236" s="231"/>
      <c r="G1236" s="172" t="str">
        <f t="shared" ca="1" si="711"/>
        <v/>
      </c>
      <c r="H1236" s="93" t="str">
        <f t="shared" ca="1" si="712"/>
        <v/>
      </c>
      <c r="I1236" s="21">
        <v>1000</v>
      </c>
      <c r="J1236" s="68">
        <f t="shared" si="713"/>
        <v>1.3416666666666668</v>
      </c>
      <c r="K1236" s="70">
        <v>1.61</v>
      </c>
      <c r="L1236" s="72">
        <f t="shared" ca="1" si="709"/>
        <v>0.35333333333333339</v>
      </c>
      <c r="M1236" s="73">
        <f t="shared" ca="1" si="710"/>
        <v>353.33333333333337</v>
      </c>
      <c r="N1236" s="12" t="s">
        <v>44</v>
      </c>
      <c r="O1236" s="47" t="s">
        <v>45</v>
      </c>
      <c r="P1236" s="13">
        <f t="shared" si="698"/>
        <v>1.61</v>
      </c>
      <c r="Q1236" s="1" t="str">
        <f t="shared" si="699"/>
        <v>1000 + шт - 1,61 руб / шт с НДС</v>
      </c>
      <c r="R1236" s="235"/>
      <c r="S1236" s="239"/>
      <c r="T1236" s="226"/>
      <c r="U1236" s="228"/>
      <c r="V1236" s="222"/>
      <c r="W1236" s="229"/>
      <c r="X1236" s="227"/>
      <c r="Y1236" s="229"/>
      <c r="Z1236" s="236"/>
      <c r="AA1236" s="237"/>
      <c r="AB1236" s="238"/>
      <c r="AC1236" s="223"/>
      <c r="AD1236" s="222"/>
    </row>
    <row r="1237" spans="1:30" x14ac:dyDescent="0.4">
      <c r="A1237" s="230">
        <v>249</v>
      </c>
      <c r="B1237" s="8">
        <v>249</v>
      </c>
      <c r="C1237" s="14">
        <f ca="1">INDIRECT("'Закуп'!A" &amp; B1237)</f>
        <v>0.99</v>
      </c>
      <c r="D1237" s="20">
        <f t="shared" ca="1" si="691"/>
        <v>1.1879999999999999</v>
      </c>
      <c r="E1237" s="225" t="str">
        <f ca="1">INDIRECT("'Закуп'!D" &amp; A1237)</f>
        <v>К</v>
      </c>
      <c r="F1237" s="231" t="str">
        <f t="shared" ref="F1237" ca="1" si="721">INDIRECT("'Закуп'!E" &amp; B1237)</f>
        <v>400х300х250</v>
      </c>
      <c r="G1237" s="172" t="str">
        <f t="shared" ca="1" si="711"/>
        <v/>
      </c>
      <c r="H1237" s="93" t="str">
        <f t="shared" ca="1" si="712"/>
        <v/>
      </c>
      <c r="I1237" s="21">
        <v>50</v>
      </c>
      <c r="J1237" s="68">
        <f t="shared" si="713"/>
        <v>2.2500000000000004</v>
      </c>
      <c r="K1237" s="70">
        <v>2.7</v>
      </c>
      <c r="L1237" s="72">
        <f t="shared" ca="1" si="709"/>
        <v>1.0080000000000005</v>
      </c>
      <c r="M1237" s="73">
        <f t="shared" ca="1" si="710"/>
        <v>50.40000000000002</v>
      </c>
      <c r="N1237" s="12" t="s">
        <v>40</v>
      </c>
      <c r="O1237" s="47" t="s">
        <v>45</v>
      </c>
      <c r="P1237" s="13">
        <f t="shared" si="698"/>
        <v>2.7</v>
      </c>
      <c r="Q1237" s="1" t="str">
        <f t="shared" si="699"/>
        <v>50-90 шт - 2,7 руб / шт с НДС</v>
      </c>
      <c r="R1237" s="235" t="str">
        <f ca="1">INDIRECT("'Закуп'!k" &amp; A1237)</f>
        <v>K1024</v>
      </c>
      <c r="S1237" s="239">
        <f ca="1">INDIRECT("'Закуп'!o" &amp; A1237)</f>
        <v>30</v>
      </c>
      <c r="T1237" s="226" t="str">
        <f ca="1">INDIRECT("'Закуп'!p" &amp; A1237)</f>
        <v>30-49 литров</v>
      </c>
      <c r="U1237" s="228" t="str">
        <f ca="1">INDIRECT("'Закуп'!v" &amp; A1237)</f>
        <v/>
      </c>
      <c r="V1237" s="222" t="str">
        <f ca="1">INDIRECT("'Закуп'!w" &amp; A1237)</f>
        <v/>
      </c>
      <c r="W1237" s="229" t="str">
        <f ca="1">INDIRECT("'Закуп'!H" &amp; A1237)</f>
        <v>0201</v>
      </c>
      <c r="X1237" s="227" t="str">
        <f t="shared" ref="X1237" ca="1" si="722">INDIRECT("'Закуп'!g" &amp; A1237)</f>
        <v>Ч</v>
      </c>
      <c r="Y1237" s="229" t="str">
        <f ca="1">INDIRECT("'Закуп'!i" &amp; A1237)</f>
        <v>В</v>
      </c>
      <c r="Z1237" s="236" t="str">
        <f ca="1">INDIRECT("'Закуп'!x" &amp; A1237)</f>
        <v>400-499 мм</v>
      </c>
      <c r="AA1237" s="237" t="str">
        <f ca="1">INDIRECT("'Закуп'!y" &amp; A1237)</f>
        <v>300-399 мм</v>
      </c>
      <c r="AB1237" s="238" t="str">
        <f ca="1">INDIRECT("'Закуп'!z" &amp; A1237)</f>
        <v>200-299 мм</v>
      </c>
      <c r="AC1237" s="223" t="str">
        <f t="shared" ca="1" si="704"/>
        <v>400x300x250</v>
      </c>
      <c r="AD1237" s="222" t="str">
        <f t="shared" ca="1" si="690"/>
        <v>400x300x250 - 400*300*250 мм</v>
      </c>
    </row>
    <row r="1238" spans="1:30" x14ac:dyDescent="0.4">
      <c r="A1238" s="230"/>
      <c r="B1238" s="8">
        <v>249</v>
      </c>
      <c r="C1238" s="14">
        <f t="shared" ref="C1238:C1301" ca="1" si="723">INDIRECT("'Закуп'!A" &amp; B1238)</f>
        <v>0.99</v>
      </c>
      <c r="D1238" s="20">
        <f t="shared" ca="1" si="691"/>
        <v>1.1879999999999999</v>
      </c>
      <c r="E1238" s="225"/>
      <c r="F1238" s="231"/>
      <c r="G1238" s="172" t="str">
        <f t="shared" ca="1" si="711"/>
        <v/>
      </c>
      <c r="H1238" s="93" t="str">
        <f t="shared" ca="1" si="712"/>
        <v/>
      </c>
      <c r="I1238" s="21">
        <v>100</v>
      </c>
      <c r="J1238" s="68">
        <f t="shared" si="713"/>
        <v>2.1416666666666666</v>
      </c>
      <c r="K1238" s="70">
        <v>2.57</v>
      </c>
      <c r="L1238" s="72">
        <f t="shared" ca="1" si="709"/>
        <v>0.92133333333333334</v>
      </c>
      <c r="M1238" s="73">
        <f t="shared" ca="1" si="710"/>
        <v>92.13333333333334</v>
      </c>
      <c r="N1238" s="12" t="s">
        <v>41</v>
      </c>
      <c r="O1238" s="47" t="s">
        <v>45</v>
      </c>
      <c r="P1238" s="13">
        <f t="shared" si="698"/>
        <v>2.57</v>
      </c>
      <c r="Q1238" s="1" t="str">
        <f t="shared" si="699"/>
        <v>100-290 шт - 2,57 руб / шт с НДС</v>
      </c>
      <c r="R1238" s="235"/>
      <c r="S1238" s="239"/>
      <c r="T1238" s="226"/>
      <c r="U1238" s="228"/>
      <c r="V1238" s="222"/>
      <c r="W1238" s="229"/>
      <c r="X1238" s="227"/>
      <c r="Y1238" s="229"/>
      <c r="Z1238" s="236"/>
      <c r="AA1238" s="237"/>
      <c r="AB1238" s="238"/>
      <c r="AC1238" s="223"/>
      <c r="AD1238" s="222"/>
    </row>
    <row r="1239" spans="1:30" x14ac:dyDescent="0.4">
      <c r="A1239" s="230"/>
      <c r="B1239" s="8">
        <v>249</v>
      </c>
      <c r="C1239" s="14">
        <f t="shared" ca="1" si="723"/>
        <v>0.99</v>
      </c>
      <c r="D1239" s="20">
        <f t="shared" ca="1" si="691"/>
        <v>1.1879999999999999</v>
      </c>
      <c r="E1239" s="225"/>
      <c r="F1239" s="231"/>
      <c r="G1239" s="172" t="str">
        <f t="shared" ca="1" si="711"/>
        <v/>
      </c>
      <c r="H1239" s="93" t="str">
        <f t="shared" ca="1" si="712"/>
        <v/>
      </c>
      <c r="I1239" s="21">
        <v>300</v>
      </c>
      <c r="J1239" s="68">
        <f t="shared" si="713"/>
        <v>1.9583333333333335</v>
      </c>
      <c r="K1239" s="70">
        <v>2.35</v>
      </c>
      <c r="L1239" s="72">
        <f t="shared" ca="1" si="709"/>
        <v>0.77466666666666684</v>
      </c>
      <c r="M1239" s="73">
        <f t="shared" ca="1" si="710"/>
        <v>232.40000000000006</v>
      </c>
      <c r="N1239" s="12" t="s">
        <v>42</v>
      </c>
      <c r="O1239" s="47" t="s">
        <v>45</v>
      </c>
      <c r="P1239" s="13">
        <f t="shared" si="698"/>
        <v>2.35</v>
      </c>
      <c r="Q1239" s="1" t="str">
        <f t="shared" si="699"/>
        <v>300-490 шт - 2,35 руб / шт с НДС</v>
      </c>
      <c r="R1239" s="235"/>
      <c r="S1239" s="239"/>
      <c r="T1239" s="226"/>
      <c r="U1239" s="228"/>
      <c r="V1239" s="222"/>
      <c r="W1239" s="229"/>
      <c r="X1239" s="227"/>
      <c r="Y1239" s="229"/>
      <c r="Z1239" s="236"/>
      <c r="AA1239" s="237"/>
      <c r="AB1239" s="238"/>
      <c r="AC1239" s="223"/>
      <c r="AD1239" s="222"/>
    </row>
    <row r="1240" spans="1:30" x14ac:dyDescent="0.4">
      <c r="A1240" s="230"/>
      <c r="B1240" s="8">
        <v>249</v>
      </c>
      <c r="C1240" s="14">
        <f t="shared" ca="1" si="723"/>
        <v>0.99</v>
      </c>
      <c r="D1240" s="20">
        <f t="shared" ca="1" si="691"/>
        <v>1.1879999999999999</v>
      </c>
      <c r="E1240" s="225"/>
      <c r="F1240" s="231"/>
      <c r="G1240" s="172" t="str">
        <f t="shared" ca="1" si="711"/>
        <v/>
      </c>
      <c r="H1240" s="93" t="str">
        <f t="shared" ca="1" si="712"/>
        <v/>
      </c>
      <c r="I1240" s="21">
        <v>500</v>
      </c>
      <c r="J1240" s="68">
        <f t="shared" si="713"/>
        <v>1.875</v>
      </c>
      <c r="K1240" s="70">
        <v>2.25</v>
      </c>
      <c r="L1240" s="72">
        <f t="shared" ca="1" si="709"/>
        <v>0.70799999999999996</v>
      </c>
      <c r="M1240" s="73">
        <f t="shared" ca="1" si="710"/>
        <v>354</v>
      </c>
      <c r="N1240" s="12" t="s">
        <v>43</v>
      </c>
      <c r="O1240" s="47" t="s">
        <v>45</v>
      </c>
      <c r="P1240" s="13">
        <f t="shared" si="698"/>
        <v>2.25</v>
      </c>
      <c r="Q1240" s="1" t="str">
        <f t="shared" si="699"/>
        <v>500-990 шт - 2,25 руб / шт с НДС</v>
      </c>
      <c r="R1240" s="235"/>
      <c r="S1240" s="239"/>
      <c r="T1240" s="226"/>
      <c r="U1240" s="228"/>
      <c r="V1240" s="222"/>
      <c r="W1240" s="229"/>
      <c r="X1240" s="227"/>
      <c r="Y1240" s="229"/>
      <c r="Z1240" s="236"/>
      <c r="AA1240" s="237"/>
      <c r="AB1240" s="238"/>
      <c r="AC1240" s="223"/>
      <c r="AD1240" s="222"/>
    </row>
    <row r="1241" spans="1:30" x14ac:dyDescent="0.4">
      <c r="A1241" s="230"/>
      <c r="B1241" s="8">
        <v>249</v>
      </c>
      <c r="C1241" s="14">
        <f t="shared" ca="1" si="723"/>
        <v>0.99</v>
      </c>
      <c r="D1241" s="20">
        <f t="shared" ca="1" si="691"/>
        <v>1.1879999999999999</v>
      </c>
      <c r="E1241" s="225"/>
      <c r="F1241" s="231"/>
      <c r="G1241" s="172" t="str">
        <f t="shared" ca="1" si="711"/>
        <v/>
      </c>
      <c r="H1241" s="93" t="str">
        <f t="shared" ca="1" si="712"/>
        <v/>
      </c>
      <c r="I1241" s="21">
        <v>1000</v>
      </c>
      <c r="J1241" s="68">
        <f t="shared" si="713"/>
        <v>1.7833333333333334</v>
      </c>
      <c r="K1241" s="70">
        <v>2.14</v>
      </c>
      <c r="L1241" s="72">
        <f t="shared" ca="1" si="709"/>
        <v>0.63466666666666671</v>
      </c>
      <c r="M1241" s="73">
        <f t="shared" ca="1" si="710"/>
        <v>634.66666666666674</v>
      </c>
      <c r="N1241" s="12" t="s">
        <v>44</v>
      </c>
      <c r="O1241" s="47" t="s">
        <v>45</v>
      </c>
      <c r="P1241" s="13">
        <f t="shared" si="698"/>
        <v>2.14</v>
      </c>
      <c r="Q1241" s="1" t="str">
        <f t="shared" si="699"/>
        <v>1000 + шт - 2,14 руб / шт с НДС</v>
      </c>
      <c r="R1241" s="235"/>
      <c r="S1241" s="239"/>
      <c r="T1241" s="226"/>
      <c r="U1241" s="228"/>
      <c r="V1241" s="222"/>
      <c r="W1241" s="229"/>
      <c r="X1241" s="227"/>
      <c r="Y1241" s="229"/>
      <c r="Z1241" s="236"/>
      <c r="AA1241" s="237"/>
      <c r="AB1241" s="238"/>
      <c r="AC1241" s="223"/>
      <c r="AD1241" s="222"/>
    </row>
    <row r="1242" spans="1:30" x14ac:dyDescent="0.4">
      <c r="A1242" s="230">
        <v>250</v>
      </c>
      <c r="B1242" s="8">
        <v>250</v>
      </c>
      <c r="C1242" s="14">
        <f t="shared" ca="1" si="723"/>
        <v>0.13</v>
      </c>
      <c r="D1242" s="20">
        <f t="shared" ca="1" si="691"/>
        <v>0.156</v>
      </c>
      <c r="E1242" s="225" t="str">
        <f ca="1">INDIRECT("'Закуп'!D" &amp; A1242)</f>
        <v>ТМ-
SALE</v>
      </c>
      <c r="F1242" s="231" t="str">
        <f t="shared" ref="F1242" ca="1" si="724">INDIRECT("'Закуп'!E" &amp; B1242)</f>
        <v>100х100х20</v>
      </c>
      <c r="G1242" s="172" t="str">
        <f t="shared" ca="1" si="711"/>
        <v>Sale</v>
      </c>
      <c r="H1242" s="93" t="str">
        <f t="shared" ca="1" si="712"/>
        <v/>
      </c>
      <c r="I1242" s="21">
        <v>50</v>
      </c>
      <c r="J1242" s="68">
        <f t="shared" si="713"/>
        <v>0.41666666666666669</v>
      </c>
      <c r="K1242" s="70">
        <v>0.5</v>
      </c>
      <c r="L1242" s="72">
        <f t="shared" ca="1" si="709"/>
        <v>0.22933333333333333</v>
      </c>
      <c r="M1242" s="73">
        <f t="shared" ca="1" si="710"/>
        <v>11.466666666666667</v>
      </c>
      <c r="N1242" s="12" t="s">
        <v>40</v>
      </c>
      <c r="O1242" s="47" t="s">
        <v>45</v>
      </c>
      <c r="P1242" s="13">
        <f t="shared" si="698"/>
        <v>0.5</v>
      </c>
      <c r="Q1242" s="1" t="str">
        <f t="shared" si="699"/>
        <v>50-90 шт - 0,5 руб / шт с НДС</v>
      </c>
      <c r="R1242" s="235" t="str">
        <f ca="1">INDIRECT("'Закуп'!k" &amp; A1242)</f>
        <v>K1005</v>
      </c>
      <c r="S1242" s="239">
        <f ca="1">INDIRECT("'Закуп'!o" &amp; A1242)</f>
        <v>0.2</v>
      </c>
      <c r="T1242" s="226" t="str">
        <f ca="1">INDIRECT("'Закуп'!p" &amp; A1242)</f>
        <v>0,1-0,9 литров</v>
      </c>
      <c r="U1242" s="228" t="str">
        <f ca="1">INDIRECT("'Закуп'!v" &amp; A1242)</f>
        <v/>
      </c>
      <c r="V1242" s="222" t="str">
        <f ca="1">INDIRECT("'Закуп'!w" &amp; A1242)</f>
        <v>Плоские</v>
      </c>
      <c r="W1242" s="229" t="str">
        <f ca="1">INDIRECT("'Закуп'!H" &amp; A1242)</f>
        <v>0427</v>
      </c>
      <c r="X1242" s="227" t="str">
        <f t="shared" ref="X1242" ca="1" si="725">INDIRECT("'Закуп'!g" &amp; A1242)</f>
        <v>С</v>
      </c>
      <c r="Y1242" s="229" t="str">
        <f ca="1">INDIRECT("'Закуп'!i" &amp; A1242)</f>
        <v>Е</v>
      </c>
      <c r="Z1242" s="236" t="str">
        <f ca="1">INDIRECT("'Закуп'!x" &amp; A1242)</f>
        <v>100-199 мм</v>
      </c>
      <c r="AA1242" s="237" t="str">
        <f ca="1">INDIRECT("'Закуп'!y" &amp; A1242)</f>
        <v>100-199 мм</v>
      </c>
      <c r="AB1242" s="238" t="str">
        <f ca="1">INDIRECT("'Закуп'!z" &amp; A1242)</f>
        <v>10-99 мм</v>
      </c>
      <c r="AC1242" s="223" t="str">
        <f t="shared" ca="1" si="704"/>
        <v>100x100x20</v>
      </c>
      <c r="AD1242" s="222" t="str">
        <f t="shared" ca="1" si="690"/>
        <v>100x100x20 - 100*100*20 мм</v>
      </c>
    </row>
    <row r="1243" spans="1:30" x14ac:dyDescent="0.4">
      <c r="A1243" s="230"/>
      <c r="B1243" s="8">
        <v>250</v>
      </c>
      <c r="C1243" s="14">
        <f t="shared" ca="1" si="723"/>
        <v>0.13</v>
      </c>
      <c r="D1243" s="20">
        <f t="shared" ca="1" si="691"/>
        <v>0.156</v>
      </c>
      <c r="E1243" s="225"/>
      <c r="F1243" s="231"/>
      <c r="G1243" s="172" t="str">
        <f t="shared" ca="1" si="711"/>
        <v>Sale</v>
      </c>
      <c r="H1243" s="93" t="str">
        <f t="shared" ca="1" si="712"/>
        <v/>
      </c>
      <c r="I1243" s="21">
        <v>100</v>
      </c>
      <c r="J1243" s="68">
        <f t="shared" si="713"/>
        <v>0.41666666666666669</v>
      </c>
      <c r="K1243" s="70">
        <v>0.5</v>
      </c>
      <c r="L1243" s="72">
        <f t="shared" ca="1" si="709"/>
        <v>0.22933333333333333</v>
      </c>
      <c r="M1243" s="73">
        <f t="shared" ca="1" si="710"/>
        <v>22.933333333333334</v>
      </c>
      <c r="N1243" s="12" t="s">
        <v>41</v>
      </c>
      <c r="O1243" s="47" t="s">
        <v>45</v>
      </c>
      <c r="P1243" s="13">
        <f t="shared" si="698"/>
        <v>0.5</v>
      </c>
      <c r="Q1243" s="1" t="str">
        <f t="shared" si="699"/>
        <v>100-290 шт - 0,5 руб / шт с НДС</v>
      </c>
      <c r="R1243" s="235"/>
      <c r="S1243" s="239"/>
      <c r="T1243" s="226"/>
      <c r="U1243" s="228"/>
      <c r="V1243" s="222"/>
      <c r="W1243" s="229"/>
      <c r="X1243" s="227"/>
      <c r="Y1243" s="229"/>
      <c r="Z1243" s="236"/>
      <c r="AA1243" s="237"/>
      <c r="AB1243" s="238"/>
      <c r="AC1243" s="223"/>
      <c r="AD1243" s="222"/>
    </row>
    <row r="1244" spans="1:30" x14ac:dyDescent="0.4">
      <c r="A1244" s="230"/>
      <c r="B1244" s="8">
        <v>250</v>
      </c>
      <c r="C1244" s="14">
        <f t="shared" ca="1" si="723"/>
        <v>0.13</v>
      </c>
      <c r="D1244" s="20">
        <f t="shared" ca="1" si="691"/>
        <v>0.156</v>
      </c>
      <c r="E1244" s="225"/>
      <c r="F1244" s="231"/>
      <c r="G1244" s="172" t="str">
        <f t="shared" ca="1" si="711"/>
        <v>Sale</v>
      </c>
      <c r="H1244" s="93" t="str">
        <f t="shared" ca="1" si="712"/>
        <v/>
      </c>
      <c r="I1244" s="21">
        <v>300</v>
      </c>
      <c r="J1244" s="68">
        <f t="shared" si="713"/>
        <v>0.41666666666666669</v>
      </c>
      <c r="K1244" s="70">
        <v>0.5</v>
      </c>
      <c r="L1244" s="72">
        <f t="shared" ca="1" si="709"/>
        <v>0.22933333333333333</v>
      </c>
      <c r="M1244" s="73">
        <f t="shared" ca="1" si="710"/>
        <v>68.8</v>
      </c>
      <c r="N1244" s="12" t="s">
        <v>42</v>
      </c>
      <c r="O1244" s="47" t="s">
        <v>45</v>
      </c>
      <c r="P1244" s="13">
        <f t="shared" si="698"/>
        <v>0.5</v>
      </c>
      <c r="Q1244" s="1" t="str">
        <f t="shared" si="699"/>
        <v>300-490 шт - 0,5 руб / шт с НДС</v>
      </c>
      <c r="R1244" s="235"/>
      <c r="S1244" s="239"/>
      <c r="T1244" s="226"/>
      <c r="U1244" s="228"/>
      <c r="V1244" s="222"/>
      <c r="W1244" s="229"/>
      <c r="X1244" s="227"/>
      <c r="Y1244" s="229"/>
      <c r="Z1244" s="236"/>
      <c r="AA1244" s="237"/>
      <c r="AB1244" s="238"/>
      <c r="AC1244" s="223"/>
      <c r="AD1244" s="222"/>
    </row>
    <row r="1245" spans="1:30" x14ac:dyDescent="0.4">
      <c r="A1245" s="230"/>
      <c r="B1245" s="8">
        <v>250</v>
      </c>
      <c r="C1245" s="14">
        <f t="shared" ca="1" si="723"/>
        <v>0.13</v>
      </c>
      <c r="D1245" s="20">
        <f t="shared" ca="1" si="691"/>
        <v>0.156</v>
      </c>
      <c r="E1245" s="225"/>
      <c r="F1245" s="231"/>
      <c r="G1245" s="172" t="str">
        <f t="shared" ca="1" si="711"/>
        <v>Sale</v>
      </c>
      <c r="H1245" s="93" t="str">
        <f t="shared" ca="1" si="712"/>
        <v/>
      </c>
      <c r="I1245" s="21">
        <v>500</v>
      </c>
      <c r="J1245" s="68">
        <f t="shared" si="713"/>
        <v>0.41666666666666669</v>
      </c>
      <c r="K1245" s="70">
        <v>0.5</v>
      </c>
      <c r="L1245" s="72">
        <f t="shared" ca="1" si="709"/>
        <v>0.22933333333333333</v>
      </c>
      <c r="M1245" s="73">
        <f t="shared" ca="1" si="710"/>
        <v>114.66666666666667</v>
      </c>
      <c r="N1245" s="12" t="s">
        <v>43</v>
      </c>
      <c r="O1245" s="47" t="s">
        <v>45</v>
      </c>
      <c r="P1245" s="13">
        <f t="shared" si="698"/>
        <v>0.5</v>
      </c>
      <c r="Q1245" s="1" t="str">
        <f t="shared" si="699"/>
        <v>500-990 шт - 0,5 руб / шт с НДС</v>
      </c>
      <c r="R1245" s="235"/>
      <c r="S1245" s="239"/>
      <c r="T1245" s="226"/>
      <c r="U1245" s="228"/>
      <c r="V1245" s="222"/>
      <c r="W1245" s="229"/>
      <c r="X1245" s="227"/>
      <c r="Y1245" s="229"/>
      <c r="Z1245" s="236"/>
      <c r="AA1245" s="237"/>
      <c r="AB1245" s="238"/>
      <c r="AC1245" s="223"/>
      <c r="AD1245" s="222"/>
    </row>
    <row r="1246" spans="1:30" x14ac:dyDescent="0.4">
      <c r="A1246" s="230"/>
      <c r="B1246" s="8">
        <v>250</v>
      </c>
      <c r="C1246" s="14">
        <f t="shared" ca="1" si="723"/>
        <v>0.13</v>
      </c>
      <c r="D1246" s="20">
        <f t="shared" ca="1" si="691"/>
        <v>0.156</v>
      </c>
      <c r="E1246" s="225"/>
      <c r="F1246" s="231"/>
      <c r="G1246" s="172" t="str">
        <f t="shared" ca="1" si="711"/>
        <v>Sale</v>
      </c>
      <c r="H1246" s="93" t="str">
        <f t="shared" ca="1" si="712"/>
        <v/>
      </c>
      <c r="I1246" s="21">
        <v>1000</v>
      </c>
      <c r="J1246" s="68">
        <f t="shared" si="713"/>
        <v>0.41666666666666669</v>
      </c>
      <c r="K1246" s="70">
        <v>0.5</v>
      </c>
      <c r="L1246" s="72">
        <f t="shared" ca="1" si="709"/>
        <v>0.22933333333333333</v>
      </c>
      <c r="M1246" s="73">
        <f t="shared" ca="1" si="710"/>
        <v>229.33333333333334</v>
      </c>
      <c r="N1246" s="12" t="s">
        <v>44</v>
      </c>
      <c r="O1246" s="47" t="s">
        <v>45</v>
      </c>
      <c r="P1246" s="13">
        <f t="shared" si="698"/>
        <v>0.5</v>
      </c>
      <c r="Q1246" s="1" t="str">
        <f t="shared" si="699"/>
        <v>1000 + шт - 0,5 руб / шт с НДС</v>
      </c>
      <c r="R1246" s="235"/>
      <c r="S1246" s="239"/>
      <c r="T1246" s="226"/>
      <c r="U1246" s="228"/>
      <c r="V1246" s="222"/>
      <c r="W1246" s="229"/>
      <c r="X1246" s="227"/>
      <c r="Y1246" s="229"/>
      <c r="Z1246" s="236"/>
      <c r="AA1246" s="237"/>
      <c r="AB1246" s="238"/>
      <c r="AC1246" s="223"/>
      <c r="AD1246" s="222"/>
    </row>
    <row r="1247" spans="1:30" x14ac:dyDescent="0.4">
      <c r="A1247" s="230">
        <v>251</v>
      </c>
      <c r="B1247" s="8">
        <v>251</v>
      </c>
      <c r="C1247" s="14">
        <f t="shared" ca="1" si="723"/>
        <v>0.56000000000000005</v>
      </c>
      <c r="D1247" s="20">
        <f t="shared" ca="1" si="691"/>
        <v>0.67200000000000004</v>
      </c>
      <c r="E1247" s="224" t="str">
        <f ca="1">INDIRECT("'Закуп'!D" &amp; A1247)</f>
        <v>У</v>
      </c>
      <c r="F1247" s="231" t="str">
        <f t="shared" ref="F1247" ca="1" si="726">INDIRECT("'Закуп'!E" &amp; B1247)</f>
        <v>395х102х77</v>
      </c>
      <c r="G1247" s="172" t="str">
        <f t="shared" ca="1" si="711"/>
        <v/>
      </c>
      <c r="H1247" s="93" t="str">
        <f t="shared" ca="1" si="712"/>
        <v/>
      </c>
      <c r="I1247" s="21">
        <v>50</v>
      </c>
      <c r="J1247" s="68">
        <f t="shared" si="713"/>
        <v>1.3166666666666669</v>
      </c>
      <c r="K1247" s="70">
        <v>1.58</v>
      </c>
      <c r="L1247" s="72">
        <f t="shared" ca="1" si="709"/>
        <v>0.6053333333333335</v>
      </c>
      <c r="M1247" s="73">
        <f t="shared" ca="1" si="710"/>
        <v>30.266666666666676</v>
      </c>
      <c r="N1247" s="12" t="s">
        <v>40</v>
      </c>
      <c r="O1247" s="47" t="s">
        <v>45</v>
      </c>
      <c r="P1247" s="13">
        <f t="shared" si="698"/>
        <v>1.58</v>
      </c>
      <c r="Q1247" s="1" t="str">
        <f t="shared" si="699"/>
        <v>50-90 шт - 1,58 руб / шт с НДС</v>
      </c>
      <c r="R1247" s="235" t="str">
        <f ca="1">INDIRECT("'Закуп'!k" &amp; A1247)</f>
        <v>K232</v>
      </c>
      <c r="S1247" s="239">
        <f ca="1">INDIRECT("'Закуп'!o" &amp; A1247)</f>
        <v>3.1</v>
      </c>
      <c r="T1247" s="226" t="str">
        <f ca="1">INDIRECT("'Закуп'!p" &amp; A1247)</f>
        <v>3-3,9 литра</v>
      </c>
      <c r="U1247" s="228" t="str">
        <f ca="1">INDIRECT("'Закуп'!v" &amp; A1247)</f>
        <v>Длинные</v>
      </c>
      <c r="V1247" s="222" t="str">
        <f ca="1">INDIRECT("'Закуп'!w" &amp; A1247)</f>
        <v/>
      </c>
      <c r="W1247" s="229" t="str">
        <f ca="1">INDIRECT("'Закуп'!H" &amp; A1247)</f>
        <v>0427</v>
      </c>
      <c r="X1247" s="227" t="str">
        <f t="shared" ref="X1247" ca="1" si="727">INDIRECT("'Закуп'!g" &amp; A1247)</f>
        <v>С</v>
      </c>
      <c r="Y1247" s="229" t="str">
        <f ca="1">INDIRECT("'Закуп'!i" &amp; A1247)</f>
        <v>Е</v>
      </c>
      <c r="Z1247" s="236" t="str">
        <f ca="1">INDIRECT("'Закуп'!x" &amp; A1247)</f>
        <v>300-399 мм</v>
      </c>
      <c r="AA1247" s="237" t="str">
        <f ca="1">INDIRECT("'Закуп'!y" &amp; A1247)</f>
        <v>100-199 мм</v>
      </c>
      <c r="AB1247" s="238" t="str">
        <f ca="1">INDIRECT("'Закуп'!z" &amp; A1247)</f>
        <v>10-99 мм</v>
      </c>
      <c r="AC1247" s="223" t="str">
        <f t="shared" ca="1" si="704"/>
        <v>395x102x77</v>
      </c>
      <c r="AD1247" s="222" t="str">
        <f t="shared" ref="AD1247:AD1307" ca="1" si="728">SUBSTITUTE(INDEX(F:F, ROUNDUP((ROW(A1246))/5,0)*5 - 3), "х", "x") &amp; " - " &amp; SUBSTITUTE(SUBSTITUTE(INDEX(F:F, ROUNDUP((ROW(A1246))/5,0)*5 - 3), "х", "*"), "x", "*") &amp; " мм"</f>
        <v>395x102x77 - 395*102*77 мм</v>
      </c>
    </row>
    <row r="1248" spans="1:30" x14ac:dyDescent="0.4">
      <c r="A1248" s="230"/>
      <c r="B1248" s="8">
        <v>251</v>
      </c>
      <c r="C1248" s="14">
        <f t="shared" ca="1" si="723"/>
        <v>0.56000000000000005</v>
      </c>
      <c r="D1248" s="20">
        <f t="shared" ca="1" si="691"/>
        <v>0.67200000000000004</v>
      </c>
      <c r="E1248" s="225"/>
      <c r="F1248" s="231"/>
      <c r="G1248" s="172" t="str">
        <f t="shared" ca="1" si="711"/>
        <v/>
      </c>
      <c r="H1248" s="93" t="str">
        <f t="shared" ca="1" si="712"/>
        <v/>
      </c>
      <c r="I1248" s="21">
        <v>100</v>
      </c>
      <c r="J1248" s="68">
        <f t="shared" si="713"/>
        <v>1.1916666666666667</v>
      </c>
      <c r="K1248" s="70">
        <v>1.43</v>
      </c>
      <c r="L1248" s="72">
        <f t="shared" ca="1" si="709"/>
        <v>0.5053333333333333</v>
      </c>
      <c r="M1248" s="73">
        <f t="shared" ca="1" si="710"/>
        <v>50.533333333333331</v>
      </c>
      <c r="N1248" s="12" t="s">
        <v>41</v>
      </c>
      <c r="O1248" s="47" t="s">
        <v>45</v>
      </c>
      <c r="P1248" s="13">
        <f t="shared" si="698"/>
        <v>1.43</v>
      </c>
      <c r="Q1248" s="1" t="str">
        <f t="shared" si="699"/>
        <v>100-290 шт - 1,43 руб / шт с НДС</v>
      </c>
      <c r="R1248" s="235"/>
      <c r="S1248" s="239"/>
      <c r="T1248" s="226"/>
      <c r="U1248" s="228"/>
      <c r="V1248" s="222"/>
      <c r="W1248" s="229"/>
      <c r="X1248" s="227"/>
      <c r="Y1248" s="229"/>
      <c r="Z1248" s="236"/>
      <c r="AA1248" s="237"/>
      <c r="AB1248" s="238"/>
      <c r="AC1248" s="223"/>
      <c r="AD1248" s="222"/>
    </row>
    <row r="1249" spans="1:30" x14ac:dyDescent="0.4">
      <c r="A1249" s="230"/>
      <c r="B1249" s="8">
        <v>251</v>
      </c>
      <c r="C1249" s="14">
        <f t="shared" ca="1" si="723"/>
        <v>0.56000000000000005</v>
      </c>
      <c r="D1249" s="20">
        <f t="shared" ref="D1249:D1312" ca="1" si="729">C1249*1.2</f>
        <v>0.67200000000000004</v>
      </c>
      <c r="E1249" s="225"/>
      <c r="F1249" s="231"/>
      <c r="G1249" s="172" t="str">
        <f t="shared" ca="1" si="711"/>
        <v/>
      </c>
      <c r="H1249" s="93" t="str">
        <f t="shared" ca="1" si="712"/>
        <v/>
      </c>
      <c r="I1249" s="21">
        <v>300</v>
      </c>
      <c r="J1249" s="68">
        <f t="shared" si="713"/>
        <v>0.94166666666666665</v>
      </c>
      <c r="K1249" s="70">
        <v>1.1299999999999999</v>
      </c>
      <c r="L1249" s="72">
        <f t="shared" ca="1" si="709"/>
        <v>0.30533333333333329</v>
      </c>
      <c r="M1249" s="73">
        <f t="shared" ca="1" si="710"/>
        <v>91.59999999999998</v>
      </c>
      <c r="N1249" s="12" t="s">
        <v>42</v>
      </c>
      <c r="O1249" s="47" t="s">
        <v>45</v>
      </c>
      <c r="P1249" s="13">
        <f t="shared" si="698"/>
        <v>1.1299999999999999</v>
      </c>
      <c r="Q1249" s="1" t="str">
        <f t="shared" si="699"/>
        <v>300-490 шт - 1,13 руб / шт с НДС</v>
      </c>
      <c r="R1249" s="235"/>
      <c r="S1249" s="239"/>
      <c r="T1249" s="226"/>
      <c r="U1249" s="228"/>
      <c r="V1249" s="222"/>
      <c r="W1249" s="229"/>
      <c r="X1249" s="227"/>
      <c r="Y1249" s="229"/>
      <c r="Z1249" s="236"/>
      <c r="AA1249" s="237"/>
      <c r="AB1249" s="238"/>
      <c r="AC1249" s="223"/>
      <c r="AD1249" s="222"/>
    </row>
    <row r="1250" spans="1:30" x14ac:dyDescent="0.4">
      <c r="A1250" s="230"/>
      <c r="B1250" s="8">
        <v>251</v>
      </c>
      <c r="C1250" s="14">
        <f t="shared" ca="1" si="723"/>
        <v>0.56000000000000005</v>
      </c>
      <c r="D1250" s="20">
        <f t="shared" ca="1" si="729"/>
        <v>0.67200000000000004</v>
      </c>
      <c r="E1250" s="225"/>
      <c r="F1250" s="231"/>
      <c r="G1250" s="172" t="str">
        <f t="shared" ca="1" si="711"/>
        <v/>
      </c>
      <c r="H1250" s="93" t="str">
        <f t="shared" ca="1" si="712"/>
        <v/>
      </c>
      <c r="I1250" s="21">
        <v>500</v>
      </c>
      <c r="J1250" s="68">
        <f t="shared" si="713"/>
        <v>0.88333333333333341</v>
      </c>
      <c r="K1250" s="70">
        <v>1.06</v>
      </c>
      <c r="L1250" s="72">
        <f t="shared" ca="1" si="709"/>
        <v>0.25866666666666671</v>
      </c>
      <c r="M1250" s="73">
        <f t="shared" ca="1" si="710"/>
        <v>129.33333333333334</v>
      </c>
      <c r="N1250" s="12" t="s">
        <v>43</v>
      </c>
      <c r="O1250" s="47" t="s">
        <v>45</v>
      </c>
      <c r="P1250" s="13">
        <f t="shared" si="698"/>
        <v>1.06</v>
      </c>
      <c r="Q1250" s="1" t="str">
        <f t="shared" si="699"/>
        <v>500-990 шт - 1,06 руб / шт с НДС</v>
      </c>
      <c r="R1250" s="235"/>
      <c r="S1250" s="239"/>
      <c r="T1250" s="226"/>
      <c r="U1250" s="228"/>
      <c r="V1250" s="222"/>
      <c r="W1250" s="229"/>
      <c r="X1250" s="227"/>
      <c r="Y1250" s="229"/>
      <c r="Z1250" s="236"/>
      <c r="AA1250" s="237"/>
      <c r="AB1250" s="238"/>
      <c r="AC1250" s="223"/>
      <c r="AD1250" s="222"/>
    </row>
    <row r="1251" spans="1:30" x14ac:dyDescent="0.4">
      <c r="A1251" s="230"/>
      <c r="B1251" s="8">
        <v>251</v>
      </c>
      <c r="C1251" s="14">
        <f t="shared" ca="1" si="723"/>
        <v>0.56000000000000005</v>
      </c>
      <c r="D1251" s="20">
        <f t="shared" ca="1" si="729"/>
        <v>0.67200000000000004</v>
      </c>
      <c r="E1251" s="225"/>
      <c r="F1251" s="231"/>
      <c r="G1251" s="172" t="str">
        <f t="shared" ca="1" si="711"/>
        <v/>
      </c>
      <c r="H1251" s="93" t="str">
        <f t="shared" ca="1" si="712"/>
        <v/>
      </c>
      <c r="I1251" s="21">
        <v>1000</v>
      </c>
      <c r="J1251" s="68">
        <f t="shared" si="713"/>
        <v>0.84166666666666667</v>
      </c>
      <c r="K1251" s="70">
        <v>1.01</v>
      </c>
      <c r="L1251" s="72">
        <f t="shared" ca="1" si="709"/>
        <v>0.2253333333333333</v>
      </c>
      <c r="M1251" s="73">
        <f t="shared" ca="1" si="710"/>
        <v>225.33333333333331</v>
      </c>
      <c r="N1251" s="12" t="s">
        <v>44</v>
      </c>
      <c r="O1251" s="47" t="s">
        <v>45</v>
      </c>
      <c r="P1251" s="13">
        <f t="shared" si="698"/>
        <v>1.01</v>
      </c>
      <c r="Q1251" s="1" t="str">
        <f t="shared" si="699"/>
        <v>1000 + шт - 1,01 руб / шт с НДС</v>
      </c>
      <c r="R1251" s="235"/>
      <c r="S1251" s="239"/>
      <c r="T1251" s="226"/>
      <c r="U1251" s="228"/>
      <c r="V1251" s="222"/>
      <c r="W1251" s="229"/>
      <c r="X1251" s="227"/>
      <c r="Y1251" s="229"/>
      <c r="Z1251" s="236"/>
      <c r="AA1251" s="237"/>
      <c r="AB1251" s="238"/>
      <c r="AC1251" s="223"/>
      <c r="AD1251" s="222"/>
    </row>
    <row r="1252" spans="1:30" x14ac:dyDescent="0.4">
      <c r="A1252" s="230">
        <v>252</v>
      </c>
      <c r="B1252" s="8">
        <v>252</v>
      </c>
      <c r="C1252" s="14">
        <f t="shared" ca="1" si="723"/>
        <v>0.53</v>
      </c>
      <c r="D1252" s="20">
        <f t="shared" ca="1" si="729"/>
        <v>0.63600000000000001</v>
      </c>
      <c r="E1252" s="224" t="str">
        <f ca="1">INDIRECT("'Закуп'!D" &amp; A1252)</f>
        <v>У</v>
      </c>
      <c r="F1252" s="231" t="str">
        <f t="shared" ref="F1252" ca="1" si="730">INDIRECT("'Закуп'!E" &amp; B1252)</f>
        <v>420х142х82</v>
      </c>
      <c r="G1252" s="172" t="str">
        <f t="shared" ca="1" si="711"/>
        <v/>
      </c>
      <c r="H1252" s="93" t="str">
        <f t="shared" ca="1" si="712"/>
        <v/>
      </c>
      <c r="I1252" s="21">
        <v>50</v>
      </c>
      <c r="J1252" s="68">
        <f t="shared" si="713"/>
        <v>1.25</v>
      </c>
      <c r="K1252" s="70">
        <v>1.5</v>
      </c>
      <c r="L1252" s="72">
        <f t="shared" ca="1" si="709"/>
        <v>0.57599999999999996</v>
      </c>
      <c r="M1252" s="73">
        <f t="shared" ca="1" si="710"/>
        <v>28.799999999999997</v>
      </c>
      <c r="N1252" s="12" t="s">
        <v>40</v>
      </c>
      <c r="O1252" s="47" t="s">
        <v>45</v>
      </c>
      <c r="P1252" s="13">
        <f t="shared" si="698"/>
        <v>1.5</v>
      </c>
      <c r="Q1252" s="1" t="str">
        <f t="shared" si="699"/>
        <v>50-90 шт - 1,5 руб / шт с НДС</v>
      </c>
      <c r="R1252" s="235" t="str">
        <f ca="1">INDIRECT("'Закуп'!k" &amp; A1252)</f>
        <v>K233</v>
      </c>
      <c r="S1252" s="239">
        <f ca="1">INDIRECT("'Закуп'!o" &amp; A1252)</f>
        <v>4.8899999999999997</v>
      </c>
      <c r="T1252" s="226" t="str">
        <f ca="1">INDIRECT("'Закуп'!p" &amp; A1252)</f>
        <v>4-5,9 литра</v>
      </c>
      <c r="U1252" s="228" t="str">
        <f ca="1">INDIRECT("'Закуп'!v" &amp; A1252)</f>
        <v>Длинные</v>
      </c>
      <c r="V1252" s="222" t="str">
        <f ca="1">INDIRECT("'Закуп'!w" &amp; A1252)</f>
        <v/>
      </c>
      <c r="W1252" s="229" t="str">
        <f ca="1">INDIRECT("'Закуп'!H" &amp; A1252)</f>
        <v>0427</v>
      </c>
      <c r="X1252" s="227" t="str">
        <f t="shared" ref="X1252" ca="1" si="731">INDIRECT("'Закуп'!g" &amp; A1252)</f>
        <v>С</v>
      </c>
      <c r="Y1252" s="229" t="str">
        <f ca="1">INDIRECT("'Закуп'!i" &amp; A1252)</f>
        <v>Е</v>
      </c>
      <c r="Z1252" s="236" t="str">
        <f ca="1">INDIRECT("'Закуп'!x" &amp; A1252)</f>
        <v>400-499 мм</v>
      </c>
      <c r="AA1252" s="237" t="str">
        <f ca="1">INDIRECT("'Закуп'!y" &amp; A1252)</f>
        <v>100-199 мм</v>
      </c>
      <c r="AB1252" s="238" t="str">
        <f ca="1">INDIRECT("'Закуп'!z" &amp; A1252)</f>
        <v>10-99 мм</v>
      </c>
      <c r="AC1252" s="223" t="str">
        <f t="shared" ca="1" si="704"/>
        <v>420x142x82</v>
      </c>
      <c r="AD1252" s="222" t="str">
        <f t="shared" ca="1" si="728"/>
        <v>420x142x82 - 420*142*82 мм</v>
      </c>
    </row>
    <row r="1253" spans="1:30" x14ac:dyDescent="0.4">
      <c r="A1253" s="230"/>
      <c r="B1253" s="8">
        <v>252</v>
      </c>
      <c r="C1253" s="14">
        <f t="shared" ca="1" si="723"/>
        <v>0.53</v>
      </c>
      <c r="D1253" s="20">
        <f t="shared" ca="1" si="729"/>
        <v>0.63600000000000001</v>
      </c>
      <c r="E1253" s="225"/>
      <c r="F1253" s="231"/>
      <c r="G1253" s="172" t="str">
        <f t="shared" ca="1" si="711"/>
        <v/>
      </c>
      <c r="H1253" s="93" t="str">
        <f t="shared" ca="1" si="712"/>
        <v/>
      </c>
      <c r="I1253" s="21">
        <v>100</v>
      </c>
      <c r="J1253" s="68">
        <f t="shared" si="713"/>
        <v>1.1333333333333335</v>
      </c>
      <c r="K1253" s="70">
        <v>1.36</v>
      </c>
      <c r="L1253" s="72">
        <f t="shared" ca="1" si="709"/>
        <v>0.4826666666666668</v>
      </c>
      <c r="M1253" s="73">
        <f t="shared" ca="1" si="710"/>
        <v>48.26666666666668</v>
      </c>
      <c r="N1253" s="12" t="s">
        <v>41</v>
      </c>
      <c r="O1253" s="47" t="s">
        <v>45</v>
      </c>
      <c r="P1253" s="13">
        <f t="shared" si="698"/>
        <v>1.36</v>
      </c>
      <c r="Q1253" s="1" t="str">
        <f t="shared" si="699"/>
        <v>100-290 шт - 1,36 руб / шт с НДС</v>
      </c>
      <c r="R1253" s="235"/>
      <c r="S1253" s="239"/>
      <c r="T1253" s="226"/>
      <c r="U1253" s="228"/>
      <c r="V1253" s="222"/>
      <c r="W1253" s="229"/>
      <c r="X1253" s="227"/>
      <c r="Y1253" s="229"/>
      <c r="Z1253" s="236"/>
      <c r="AA1253" s="237"/>
      <c r="AB1253" s="238"/>
      <c r="AC1253" s="223"/>
      <c r="AD1253" s="222"/>
    </row>
    <row r="1254" spans="1:30" x14ac:dyDescent="0.4">
      <c r="A1254" s="230"/>
      <c r="B1254" s="8">
        <v>252</v>
      </c>
      <c r="C1254" s="14">
        <f t="shared" ca="1" si="723"/>
        <v>0.53</v>
      </c>
      <c r="D1254" s="20">
        <f t="shared" ca="1" si="729"/>
        <v>0.63600000000000001</v>
      </c>
      <c r="E1254" s="225"/>
      <c r="F1254" s="231"/>
      <c r="G1254" s="172" t="str">
        <f t="shared" ca="1" si="711"/>
        <v/>
      </c>
      <c r="H1254" s="93" t="str">
        <f t="shared" ca="1" si="712"/>
        <v/>
      </c>
      <c r="I1254" s="21">
        <v>300</v>
      </c>
      <c r="J1254" s="68">
        <f t="shared" si="713"/>
        <v>0.89166666666666672</v>
      </c>
      <c r="K1254" s="70">
        <v>1.07</v>
      </c>
      <c r="L1254" s="72">
        <f t="shared" ca="1" si="709"/>
        <v>0.28933333333333333</v>
      </c>
      <c r="M1254" s="73">
        <f t="shared" ca="1" si="710"/>
        <v>86.8</v>
      </c>
      <c r="N1254" s="12" t="s">
        <v>42</v>
      </c>
      <c r="O1254" s="47" t="s">
        <v>45</v>
      </c>
      <c r="P1254" s="13">
        <f t="shared" si="698"/>
        <v>1.07</v>
      </c>
      <c r="Q1254" s="1" t="str">
        <f t="shared" si="699"/>
        <v>300-490 шт - 1,07 руб / шт с НДС</v>
      </c>
      <c r="R1254" s="235"/>
      <c r="S1254" s="239"/>
      <c r="T1254" s="226"/>
      <c r="U1254" s="228"/>
      <c r="V1254" s="222"/>
      <c r="W1254" s="229"/>
      <c r="X1254" s="227"/>
      <c r="Y1254" s="229"/>
      <c r="Z1254" s="236"/>
      <c r="AA1254" s="237"/>
      <c r="AB1254" s="238"/>
      <c r="AC1254" s="223"/>
      <c r="AD1254" s="222"/>
    </row>
    <row r="1255" spans="1:30" x14ac:dyDescent="0.4">
      <c r="A1255" s="230"/>
      <c r="B1255" s="8">
        <v>252</v>
      </c>
      <c r="C1255" s="14">
        <f t="shared" ca="1" si="723"/>
        <v>0.53</v>
      </c>
      <c r="D1255" s="20">
        <f t="shared" ca="1" si="729"/>
        <v>0.63600000000000001</v>
      </c>
      <c r="E1255" s="225"/>
      <c r="F1255" s="231"/>
      <c r="G1255" s="172" t="str">
        <f t="shared" ca="1" si="711"/>
        <v/>
      </c>
      <c r="H1255" s="93" t="str">
        <f t="shared" ca="1" si="712"/>
        <v/>
      </c>
      <c r="I1255" s="21">
        <v>500</v>
      </c>
      <c r="J1255" s="68">
        <f t="shared" si="713"/>
        <v>0.84166666666666667</v>
      </c>
      <c r="K1255" s="70">
        <v>1.01</v>
      </c>
      <c r="L1255" s="72">
        <f t="shared" ca="1" si="709"/>
        <v>0.24933333333333332</v>
      </c>
      <c r="M1255" s="73">
        <f t="shared" ca="1" si="710"/>
        <v>124.66666666666666</v>
      </c>
      <c r="N1255" s="12" t="s">
        <v>43</v>
      </c>
      <c r="O1255" s="47" t="s">
        <v>45</v>
      </c>
      <c r="P1255" s="13">
        <f t="shared" si="698"/>
        <v>1.01</v>
      </c>
      <c r="Q1255" s="1" t="str">
        <f t="shared" si="699"/>
        <v>500-990 шт - 1,01 руб / шт с НДС</v>
      </c>
      <c r="R1255" s="235"/>
      <c r="S1255" s="239"/>
      <c r="T1255" s="226"/>
      <c r="U1255" s="228"/>
      <c r="V1255" s="222"/>
      <c r="W1255" s="229"/>
      <c r="X1255" s="227"/>
      <c r="Y1255" s="229"/>
      <c r="Z1255" s="236"/>
      <c r="AA1255" s="237"/>
      <c r="AB1255" s="238"/>
      <c r="AC1255" s="223"/>
      <c r="AD1255" s="222"/>
    </row>
    <row r="1256" spans="1:30" x14ac:dyDescent="0.4">
      <c r="A1256" s="230"/>
      <c r="B1256" s="8">
        <v>252</v>
      </c>
      <c r="C1256" s="14">
        <f t="shared" ca="1" si="723"/>
        <v>0.53</v>
      </c>
      <c r="D1256" s="20">
        <f t="shared" ca="1" si="729"/>
        <v>0.63600000000000001</v>
      </c>
      <c r="E1256" s="225"/>
      <c r="F1256" s="231"/>
      <c r="G1256" s="172" t="str">
        <f t="shared" ca="1" si="711"/>
        <v/>
      </c>
      <c r="H1256" s="93" t="str">
        <f t="shared" ca="1" si="712"/>
        <v/>
      </c>
      <c r="I1256" s="21">
        <v>1000</v>
      </c>
      <c r="J1256" s="68">
        <f t="shared" si="713"/>
        <v>0.79166666666666663</v>
      </c>
      <c r="K1256" s="70">
        <v>0.95</v>
      </c>
      <c r="L1256" s="72">
        <f t="shared" ca="1" si="709"/>
        <v>0.20933333333333329</v>
      </c>
      <c r="M1256" s="73">
        <f t="shared" ca="1" si="710"/>
        <v>209.33333333333329</v>
      </c>
      <c r="N1256" s="12" t="s">
        <v>44</v>
      </c>
      <c r="O1256" s="47" t="s">
        <v>45</v>
      </c>
      <c r="P1256" s="13">
        <f t="shared" si="698"/>
        <v>0.95</v>
      </c>
      <c r="Q1256" s="1" t="str">
        <f t="shared" si="699"/>
        <v>1000 + шт - 0,95 руб / шт с НДС</v>
      </c>
      <c r="R1256" s="235"/>
      <c r="S1256" s="239"/>
      <c r="T1256" s="226"/>
      <c r="U1256" s="228"/>
      <c r="V1256" s="222"/>
      <c r="W1256" s="229"/>
      <c r="X1256" s="227"/>
      <c r="Y1256" s="229"/>
      <c r="Z1256" s="236"/>
      <c r="AA1256" s="237"/>
      <c r="AB1256" s="238"/>
      <c r="AC1256" s="223"/>
      <c r="AD1256" s="222"/>
    </row>
    <row r="1257" spans="1:30" x14ac:dyDescent="0.4">
      <c r="A1257" s="230">
        <v>253</v>
      </c>
      <c r="B1257" s="8">
        <v>253</v>
      </c>
      <c r="C1257" s="14">
        <f t="shared" ca="1" si="723"/>
        <v>0.24</v>
      </c>
      <c r="D1257" s="20">
        <f t="shared" ca="1" si="729"/>
        <v>0.28799999999999998</v>
      </c>
      <c r="E1257" s="224" t="str">
        <f ca="1">INDIRECT("'Закуп'!D" &amp; A1257)</f>
        <v>У</v>
      </c>
      <c r="F1257" s="231" t="str">
        <f t="shared" ref="F1257" ca="1" si="732">INDIRECT("'Закуп'!E" &amp; B1257)</f>
        <v>110х93х130</v>
      </c>
      <c r="G1257" s="172" t="str">
        <f t="shared" ca="1" si="711"/>
        <v/>
      </c>
      <c r="H1257" s="93" t="str">
        <f t="shared" ca="1" si="712"/>
        <v/>
      </c>
      <c r="I1257" s="21">
        <v>50</v>
      </c>
      <c r="J1257" s="68">
        <f t="shared" si="713"/>
        <v>0.98333333333333328</v>
      </c>
      <c r="K1257" s="70">
        <v>1.18</v>
      </c>
      <c r="L1257" s="72">
        <f t="shared" ca="1" si="709"/>
        <v>0.59466666666666668</v>
      </c>
      <c r="M1257" s="73">
        <f t="shared" ca="1" si="710"/>
        <v>29.733333333333334</v>
      </c>
      <c r="N1257" s="12" t="s">
        <v>40</v>
      </c>
      <c r="O1257" s="47" t="s">
        <v>45</v>
      </c>
      <c r="P1257" s="13">
        <f t="shared" si="698"/>
        <v>1.18</v>
      </c>
      <c r="Q1257" s="1" t="str">
        <f t="shared" si="699"/>
        <v>50-90 шт - 1,18 руб / шт с НДС</v>
      </c>
      <c r="R1257" s="235" t="str">
        <f ca="1">INDIRECT("'Закуп'!k" &amp; A1257)</f>
        <v>K234</v>
      </c>
      <c r="S1257" s="239">
        <f ca="1">INDIRECT("'Закуп'!o" &amp; A1257)</f>
        <v>1.33</v>
      </c>
      <c r="T1257" s="226" t="str">
        <f ca="1">INDIRECT("'Закуп'!p" &amp; A1257)</f>
        <v>1-1,9 литра</v>
      </c>
      <c r="U1257" s="228" t="str">
        <f ca="1">INDIRECT("'Закуп'!v" &amp; A1257)</f>
        <v/>
      </c>
      <c r="V1257" s="222" t="str">
        <f ca="1">INDIRECT("'Закуп'!w" &amp; A1257)</f>
        <v/>
      </c>
      <c r="W1257" s="229" t="str">
        <f ca="1">INDIRECT("'Закуп'!H" &amp; A1257)</f>
        <v>0215</v>
      </c>
      <c r="X1257" s="227" t="str">
        <f t="shared" ref="X1257" ca="1" si="733">INDIRECT("'Закуп'!g" &amp; A1257)</f>
        <v>С</v>
      </c>
      <c r="Y1257" s="229" t="str">
        <f ca="1">INDIRECT("'Закуп'!i" &amp; A1257)</f>
        <v>Е</v>
      </c>
      <c r="Z1257" s="236" t="str">
        <f ca="1">INDIRECT("'Закуп'!x" &amp; A1257)</f>
        <v>100-199 мм</v>
      </c>
      <c r="AA1257" s="237" t="str">
        <f ca="1">INDIRECT("'Закуп'!y" &amp; A1257)</f>
        <v>100-199 мм</v>
      </c>
      <c r="AB1257" s="238" t="str">
        <f ca="1">INDIRECT("'Закуп'!z" &amp; A1257)</f>
        <v>10-99 мм</v>
      </c>
      <c r="AC1257" s="223" t="str">
        <f t="shared" ca="1" si="704"/>
        <v>110x93x130</v>
      </c>
      <c r="AD1257" s="222" t="str">
        <f t="shared" ca="1" si="728"/>
        <v>110x93x130 - 110*93*130 мм</v>
      </c>
    </row>
    <row r="1258" spans="1:30" x14ac:dyDescent="0.4">
      <c r="A1258" s="230"/>
      <c r="B1258" s="8">
        <v>253</v>
      </c>
      <c r="C1258" s="14">
        <f t="shared" ca="1" si="723"/>
        <v>0.24</v>
      </c>
      <c r="D1258" s="20">
        <f t="shared" ca="1" si="729"/>
        <v>0.28799999999999998</v>
      </c>
      <c r="E1258" s="225"/>
      <c r="F1258" s="231"/>
      <c r="G1258" s="172" t="str">
        <f t="shared" ca="1" si="711"/>
        <v/>
      </c>
      <c r="H1258" s="93" t="str">
        <f t="shared" ca="1" si="712"/>
        <v/>
      </c>
      <c r="I1258" s="21">
        <v>100</v>
      </c>
      <c r="J1258" s="68">
        <f t="shared" si="713"/>
        <v>0.8</v>
      </c>
      <c r="K1258" s="70">
        <v>0.96</v>
      </c>
      <c r="L1258" s="72">
        <f t="shared" ca="1" si="709"/>
        <v>0.44800000000000006</v>
      </c>
      <c r="M1258" s="73">
        <f t="shared" ca="1" si="710"/>
        <v>44.800000000000004</v>
      </c>
      <c r="N1258" s="12" t="s">
        <v>41</v>
      </c>
      <c r="O1258" s="47" t="s">
        <v>45</v>
      </c>
      <c r="P1258" s="13">
        <f t="shared" si="698"/>
        <v>0.96</v>
      </c>
      <c r="Q1258" s="1" t="str">
        <f t="shared" si="699"/>
        <v>100-290 шт - 0,96 руб / шт с НДС</v>
      </c>
      <c r="R1258" s="235"/>
      <c r="S1258" s="239"/>
      <c r="T1258" s="226"/>
      <c r="U1258" s="228"/>
      <c r="V1258" s="222"/>
      <c r="W1258" s="229"/>
      <c r="X1258" s="227"/>
      <c r="Y1258" s="229"/>
      <c r="Z1258" s="236"/>
      <c r="AA1258" s="237"/>
      <c r="AB1258" s="238"/>
      <c r="AC1258" s="223"/>
      <c r="AD1258" s="222"/>
    </row>
    <row r="1259" spans="1:30" x14ac:dyDescent="0.4">
      <c r="A1259" s="230"/>
      <c r="B1259" s="8">
        <v>253</v>
      </c>
      <c r="C1259" s="14">
        <f t="shared" ca="1" si="723"/>
        <v>0.24</v>
      </c>
      <c r="D1259" s="20">
        <f t="shared" ca="1" si="729"/>
        <v>0.28799999999999998</v>
      </c>
      <c r="E1259" s="225"/>
      <c r="F1259" s="231"/>
      <c r="G1259" s="172" t="str">
        <f t="shared" ca="1" si="711"/>
        <v/>
      </c>
      <c r="H1259" s="93" t="str">
        <f t="shared" ca="1" si="712"/>
        <v/>
      </c>
      <c r="I1259" s="21">
        <v>300</v>
      </c>
      <c r="J1259" s="68">
        <f t="shared" si="713"/>
        <v>0.66666666666666674</v>
      </c>
      <c r="K1259" s="70">
        <v>0.8</v>
      </c>
      <c r="L1259" s="72">
        <f t="shared" ca="1" si="709"/>
        <v>0.34133333333333338</v>
      </c>
      <c r="M1259" s="73">
        <f t="shared" ca="1" si="710"/>
        <v>102.40000000000002</v>
      </c>
      <c r="N1259" s="12" t="s">
        <v>42</v>
      </c>
      <c r="O1259" s="47" t="s">
        <v>45</v>
      </c>
      <c r="P1259" s="13">
        <f t="shared" si="698"/>
        <v>0.8</v>
      </c>
      <c r="Q1259" s="1" t="str">
        <f t="shared" si="699"/>
        <v>300-490 шт - 0,8 руб / шт с НДС</v>
      </c>
      <c r="R1259" s="235"/>
      <c r="S1259" s="239"/>
      <c r="T1259" s="226"/>
      <c r="U1259" s="228"/>
      <c r="V1259" s="222"/>
      <c r="W1259" s="229"/>
      <c r="X1259" s="227"/>
      <c r="Y1259" s="229"/>
      <c r="Z1259" s="236"/>
      <c r="AA1259" s="237"/>
      <c r="AB1259" s="238"/>
      <c r="AC1259" s="223"/>
      <c r="AD1259" s="222"/>
    </row>
    <row r="1260" spans="1:30" x14ac:dyDescent="0.4">
      <c r="A1260" s="230"/>
      <c r="B1260" s="8">
        <v>253</v>
      </c>
      <c r="C1260" s="14">
        <f t="shared" ca="1" si="723"/>
        <v>0.24</v>
      </c>
      <c r="D1260" s="20">
        <f t="shared" ca="1" si="729"/>
        <v>0.28799999999999998</v>
      </c>
      <c r="E1260" s="225"/>
      <c r="F1260" s="231"/>
      <c r="G1260" s="172" t="str">
        <f t="shared" ca="1" si="711"/>
        <v/>
      </c>
      <c r="H1260" s="93" t="str">
        <f t="shared" ca="1" si="712"/>
        <v/>
      </c>
      <c r="I1260" s="21">
        <v>500</v>
      </c>
      <c r="J1260" s="68">
        <f t="shared" si="713"/>
        <v>0.58333333333333337</v>
      </c>
      <c r="K1260" s="70">
        <v>0.7</v>
      </c>
      <c r="L1260" s="72">
        <f t="shared" ca="1" si="709"/>
        <v>0.27466666666666673</v>
      </c>
      <c r="M1260" s="73">
        <f t="shared" ca="1" si="710"/>
        <v>137.33333333333337</v>
      </c>
      <c r="N1260" s="12" t="s">
        <v>43</v>
      </c>
      <c r="O1260" s="47" t="s">
        <v>45</v>
      </c>
      <c r="P1260" s="13">
        <f t="shared" si="698"/>
        <v>0.7</v>
      </c>
      <c r="Q1260" s="1" t="str">
        <f t="shared" si="699"/>
        <v>500-990 шт - 0,7 руб / шт с НДС</v>
      </c>
      <c r="R1260" s="235"/>
      <c r="S1260" s="239"/>
      <c r="T1260" s="226"/>
      <c r="U1260" s="228"/>
      <c r="V1260" s="222"/>
      <c r="W1260" s="229"/>
      <c r="X1260" s="227"/>
      <c r="Y1260" s="229"/>
      <c r="Z1260" s="236"/>
      <c r="AA1260" s="237"/>
      <c r="AB1260" s="238"/>
      <c r="AC1260" s="223"/>
      <c r="AD1260" s="222"/>
    </row>
    <row r="1261" spans="1:30" x14ac:dyDescent="0.4">
      <c r="A1261" s="230"/>
      <c r="B1261" s="8">
        <v>253</v>
      </c>
      <c r="C1261" s="14">
        <f t="shared" ca="1" si="723"/>
        <v>0.24</v>
      </c>
      <c r="D1261" s="20">
        <f t="shared" ca="1" si="729"/>
        <v>0.28799999999999998</v>
      </c>
      <c r="E1261" s="225"/>
      <c r="F1261" s="231"/>
      <c r="G1261" s="172" t="str">
        <f t="shared" ca="1" si="711"/>
        <v/>
      </c>
      <c r="H1261" s="93" t="str">
        <f t="shared" ca="1" si="712"/>
        <v/>
      </c>
      <c r="I1261" s="21">
        <v>1000</v>
      </c>
      <c r="J1261" s="68">
        <f t="shared" si="713"/>
        <v>0.49166666666666664</v>
      </c>
      <c r="K1261" s="70">
        <v>0.59</v>
      </c>
      <c r="L1261" s="72">
        <f t="shared" ca="1" si="709"/>
        <v>0.20133333333333331</v>
      </c>
      <c r="M1261" s="73">
        <f t="shared" ca="1" si="710"/>
        <v>201.33333333333331</v>
      </c>
      <c r="N1261" s="12" t="s">
        <v>44</v>
      </c>
      <c r="O1261" s="47" t="s">
        <v>45</v>
      </c>
      <c r="P1261" s="13">
        <f t="shared" si="698"/>
        <v>0.59</v>
      </c>
      <c r="Q1261" s="1" t="str">
        <f t="shared" si="699"/>
        <v>1000 + шт - 0,59 руб / шт с НДС</v>
      </c>
      <c r="R1261" s="235"/>
      <c r="S1261" s="239"/>
      <c r="T1261" s="226"/>
      <c r="U1261" s="228"/>
      <c r="V1261" s="222"/>
      <c r="W1261" s="229"/>
      <c r="X1261" s="227"/>
      <c r="Y1261" s="229"/>
      <c r="Z1261" s="236"/>
      <c r="AA1261" s="237"/>
      <c r="AB1261" s="238"/>
      <c r="AC1261" s="223"/>
      <c r="AD1261" s="222"/>
    </row>
    <row r="1262" spans="1:30" x14ac:dyDescent="0.4">
      <c r="A1262" s="230">
        <v>254</v>
      </c>
      <c r="B1262" s="8">
        <v>254</v>
      </c>
      <c r="C1262" s="14">
        <f t="shared" ca="1" si="723"/>
        <v>0.22</v>
      </c>
      <c r="D1262" s="20">
        <f t="shared" ca="1" si="729"/>
        <v>0.26400000000000001</v>
      </c>
      <c r="E1262" s="224" t="str">
        <f ca="1">INDIRECT("'Закуп'!D" &amp; A1262)</f>
        <v>У</v>
      </c>
      <c r="F1262" s="231" t="str">
        <f t="shared" ref="F1262" ca="1" si="734">INDIRECT("'Закуп'!E" &amp; B1262)</f>
        <v>110х110х40</v>
      </c>
      <c r="G1262" s="172" t="str">
        <f t="shared" ca="1" si="711"/>
        <v/>
      </c>
      <c r="H1262" s="93" t="str">
        <f t="shared" ca="1" si="712"/>
        <v/>
      </c>
      <c r="I1262" s="21">
        <v>50</v>
      </c>
      <c r="J1262" s="68">
        <f t="shared" si="713"/>
        <v>0.98333333333333328</v>
      </c>
      <c r="K1262" s="70">
        <v>1.18</v>
      </c>
      <c r="L1262" s="72">
        <f t="shared" ca="1" si="709"/>
        <v>0.61066666666666669</v>
      </c>
      <c r="M1262" s="73">
        <f t="shared" ca="1" si="710"/>
        <v>30.533333333333335</v>
      </c>
      <c r="N1262" s="12" t="s">
        <v>40</v>
      </c>
      <c r="O1262" s="47" t="s">
        <v>45</v>
      </c>
      <c r="P1262" s="13">
        <f t="shared" si="698"/>
        <v>1.18</v>
      </c>
      <c r="Q1262" s="1" t="str">
        <f t="shared" si="699"/>
        <v>50-90 шт - 1,18 руб / шт с НДС</v>
      </c>
      <c r="R1262" s="235" t="str">
        <f ca="1">INDIRECT("'Закуп'!k" &amp; A1262)</f>
        <v>K235</v>
      </c>
      <c r="S1262" s="239">
        <f ca="1">INDIRECT("'Закуп'!o" &amp; A1262)</f>
        <v>0.48</v>
      </c>
      <c r="T1262" s="226" t="str">
        <f ca="1">INDIRECT("'Закуп'!p" &amp; A1262)</f>
        <v>0,1-0,9 литров</v>
      </c>
      <c r="U1262" s="228" t="str">
        <f ca="1">INDIRECT("'Закуп'!v" &amp; A1262)</f>
        <v/>
      </c>
      <c r="V1262" s="222" t="str">
        <f ca="1">INDIRECT("'Закуп'!w" &amp; A1262)</f>
        <v>Плоские</v>
      </c>
      <c r="W1262" s="229" t="str">
        <f ca="1">INDIRECT("'Закуп'!H" &amp; A1262)</f>
        <v>0427</v>
      </c>
      <c r="X1262" s="227" t="str">
        <f t="shared" ref="X1262" ca="1" si="735">INDIRECT("'Закуп'!g" &amp; A1262)</f>
        <v>С</v>
      </c>
      <c r="Y1262" s="229" t="str">
        <f ca="1">INDIRECT("'Закуп'!i" &amp; A1262)</f>
        <v>Е</v>
      </c>
      <c r="Z1262" s="236" t="str">
        <f ca="1">INDIRECT("'Закуп'!x" &amp; A1262)</f>
        <v>100-199 мм</v>
      </c>
      <c r="AA1262" s="237" t="str">
        <f ca="1">INDIRECT("'Закуп'!y" &amp; A1262)</f>
        <v>100-199 мм</v>
      </c>
      <c r="AB1262" s="238" t="str">
        <f ca="1">INDIRECT("'Закуп'!z" &amp; A1262)</f>
        <v>10-99 мм</v>
      </c>
      <c r="AC1262" s="223" t="str">
        <f t="shared" ca="1" si="704"/>
        <v>110x110x40</v>
      </c>
      <c r="AD1262" s="222" t="str">
        <f t="shared" ca="1" si="728"/>
        <v>110x110x40 - 110*110*40 мм</v>
      </c>
    </row>
    <row r="1263" spans="1:30" x14ac:dyDescent="0.4">
      <c r="A1263" s="230"/>
      <c r="B1263" s="8">
        <v>254</v>
      </c>
      <c r="C1263" s="14">
        <f t="shared" ca="1" si="723"/>
        <v>0.22</v>
      </c>
      <c r="D1263" s="20">
        <f t="shared" ca="1" si="729"/>
        <v>0.26400000000000001</v>
      </c>
      <c r="E1263" s="225"/>
      <c r="F1263" s="231"/>
      <c r="G1263" s="172" t="str">
        <f t="shared" ca="1" si="711"/>
        <v/>
      </c>
      <c r="H1263" s="93" t="str">
        <f t="shared" ca="1" si="712"/>
        <v/>
      </c>
      <c r="I1263" s="21">
        <v>100</v>
      </c>
      <c r="J1263" s="68">
        <f t="shared" si="713"/>
        <v>0.8</v>
      </c>
      <c r="K1263" s="70">
        <v>0.96</v>
      </c>
      <c r="L1263" s="72">
        <f t="shared" ca="1" si="709"/>
        <v>0.46400000000000008</v>
      </c>
      <c r="M1263" s="73">
        <f t="shared" ca="1" si="710"/>
        <v>46.400000000000006</v>
      </c>
      <c r="N1263" s="12" t="s">
        <v>41</v>
      </c>
      <c r="O1263" s="47" t="s">
        <v>45</v>
      </c>
      <c r="P1263" s="13">
        <f t="shared" ref="P1263:P1326" si="736">ROUND(K1263,2)</f>
        <v>0.96</v>
      </c>
      <c r="Q1263" s="1" t="str">
        <f t="shared" si="699"/>
        <v>100-290 шт - 0,96 руб / шт с НДС</v>
      </c>
      <c r="R1263" s="235"/>
      <c r="S1263" s="239"/>
      <c r="T1263" s="226"/>
      <c r="U1263" s="228"/>
      <c r="V1263" s="222"/>
      <c r="W1263" s="229"/>
      <c r="X1263" s="227"/>
      <c r="Y1263" s="229"/>
      <c r="Z1263" s="236"/>
      <c r="AA1263" s="237"/>
      <c r="AB1263" s="238"/>
      <c r="AC1263" s="223"/>
      <c r="AD1263" s="222"/>
    </row>
    <row r="1264" spans="1:30" x14ac:dyDescent="0.4">
      <c r="A1264" s="230"/>
      <c r="B1264" s="8">
        <v>254</v>
      </c>
      <c r="C1264" s="14">
        <f t="shared" ca="1" si="723"/>
        <v>0.22</v>
      </c>
      <c r="D1264" s="20">
        <f t="shared" ca="1" si="729"/>
        <v>0.26400000000000001</v>
      </c>
      <c r="E1264" s="225"/>
      <c r="F1264" s="231"/>
      <c r="G1264" s="172" t="str">
        <f t="shared" ca="1" si="711"/>
        <v/>
      </c>
      <c r="H1264" s="93" t="str">
        <f t="shared" ca="1" si="712"/>
        <v/>
      </c>
      <c r="I1264" s="21">
        <v>300</v>
      </c>
      <c r="J1264" s="68">
        <f t="shared" si="713"/>
        <v>0.66666666666666674</v>
      </c>
      <c r="K1264" s="70">
        <v>0.8</v>
      </c>
      <c r="L1264" s="72">
        <f t="shared" ca="1" si="709"/>
        <v>0.35733333333333339</v>
      </c>
      <c r="M1264" s="73">
        <f t="shared" ca="1" si="710"/>
        <v>107.20000000000002</v>
      </c>
      <c r="N1264" s="12" t="s">
        <v>42</v>
      </c>
      <c r="O1264" s="47" t="s">
        <v>45</v>
      </c>
      <c r="P1264" s="13">
        <f t="shared" si="736"/>
        <v>0.8</v>
      </c>
      <c r="Q1264" s="1" t="str">
        <f t="shared" ref="Q1264:Q1327" si="737">CONCATENATE(N1264,P1264,O1264,)</f>
        <v>300-490 шт - 0,8 руб / шт с НДС</v>
      </c>
      <c r="R1264" s="235"/>
      <c r="S1264" s="239"/>
      <c r="T1264" s="226"/>
      <c r="U1264" s="228"/>
      <c r="V1264" s="222"/>
      <c r="W1264" s="229"/>
      <c r="X1264" s="227"/>
      <c r="Y1264" s="229"/>
      <c r="Z1264" s="236"/>
      <c r="AA1264" s="237"/>
      <c r="AB1264" s="238"/>
      <c r="AC1264" s="223"/>
      <c r="AD1264" s="222"/>
    </row>
    <row r="1265" spans="1:30" x14ac:dyDescent="0.4">
      <c r="A1265" s="230"/>
      <c r="B1265" s="8">
        <v>254</v>
      </c>
      <c r="C1265" s="14">
        <f t="shared" ca="1" si="723"/>
        <v>0.22</v>
      </c>
      <c r="D1265" s="20">
        <f t="shared" ca="1" si="729"/>
        <v>0.26400000000000001</v>
      </c>
      <c r="E1265" s="225"/>
      <c r="F1265" s="231"/>
      <c r="G1265" s="172" t="str">
        <f t="shared" ca="1" si="711"/>
        <v/>
      </c>
      <c r="H1265" s="93" t="str">
        <f t="shared" ca="1" si="712"/>
        <v/>
      </c>
      <c r="I1265" s="21">
        <v>500</v>
      </c>
      <c r="J1265" s="68">
        <f t="shared" si="713"/>
        <v>0.58333333333333337</v>
      </c>
      <c r="K1265" s="70">
        <v>0.7</v>
      </c>
      <c r="L1265" s="72">
        <f t="shared" ca="1" si="709"/>
        <v>0.29066666666666674</v>
      </c>
      <c r="M1265" s="73">
        <f t="shared" ca="1" si="710"/>
        <v>145.33333333333337</v>
      </c>
      <c r="N1265" s="12" t="s">
        <v>43</v>
      </c>
      <c r="O1265" s="47" t="s">
        <v>45</v>
      </c>
      <c r="P1265" s="13">
        <f t="shared" si="736"/>
        <v>0.7</v>
      </c>
      <c r="Q1265" s="1" t="str">
        <f t="shared" si="737"/>
        <v>500-990 шт - 0,7 руб / шт с НДС</v>
      </c>
      <c r="R1265" s="235"/>
      <c r="S1265" s="239"/>
      <c r="T1265" s="226"/>
      <c r="U1265" s="228"/>
      <c r="V1265" s="222"/>
      <c r="W1265" s="229"/>
      <c r="X1265" s="227"/>
      <c r="Y1265" s="229"/>
      <c r="Z1265" s="236"/>
      <c r="AA1265" s="237"/>
      <c r="AB1265" s="238"/>
      <c r="AC1265" s="223"/>
      <c r="AD1265" s="222"/>
    </row>
    <row r="1266" spans="1:30" x14ac:dyDescent="0.4">
      <c r="A1266" s="230"/>
      <c r="B1266" s="8">
        <v>254</v>
      </c>
      <c r="C1266" s="14">
        <f t="shared" ca="1" si="723"/>
        <v>0.22</v>
      </c>
      <c r="D1266" s="20">
        <f t="shared" ca="1" si="729"/>
        <v>0.26400000000000001</v>
      </c>
      <c r="E1266" s="225"/>
      <c r="F1266" s="231"/>
      <c r="G1266" s="172" t="str">
        <f t="shared" ca="1" si="711"/>
        <v/>
      </c>
      <c r="H1266" s="93" t="str">
        <f t="shared" ca="1" si="712"/>
        <v/>
      </c>
      <c r="I1266" s="21">
        <v>1000</v>
      </c>
      <c r="J1266" s="68">
        <f t="shared" si="713"/>
        <v>0.49166666666666664</v>
      </c>
      <c r="K1266" s="70">
        <v>0.59</v>
      </c>
      <c r="L1266" s="72">
        <f t="shared" ca="1" si="709"/>
        <v>0.2173333333333333</v>
      </c>
      <c r="M1266" s="73">
        <f t="shared" ca="1" si="710"/>
        <v>217.33333333333329</v>
      </c>
      <c r="N1266" s="12" t="s">
        <v>44</v>
      </c>
      <c r="O1266" s="47" t="s">
        <v>45</v>
      </c>
      <c r="P1266" s="13">
        <f t="shared" si="736"/>
        <v>0.59</v>
      </c>
      <c r="Q1266" s="1" t="str">
        <f t="shared" si="737"/>
        <v>1000 + шт - 0,59 руб / шт с НДС</v>
      </c>
      <c r="R1266" s="235"/>
      <c r="S1266" s="239"/>
      <c r="T1266" s="226"/>
      <c r="U1266" s="228"/>
      <c r="V1266" s="222"/>
      <c r="W1266" s="229"/>
      <c r="X1266" s="227"/>
      <c r="Y1266" s="229"/>
      <c r="Z1266" s="236"/>
      <c r="AA1266" s="237"/>
      <c r="AB1266" s="238"/>
      <c r="AC1266" s="223"/>
      <c r="AD1266" s="222"/>
    </row>
    <row r="1267" spans="1:30" x14ac:dyDescent="0.4">
      <c r="A1267" s="230">
        <v>255</v>
      </c>
      <c r="B1267" s="8">
        <v>255</v>
      </c>
      <c r="C1267" s="14">
        <f t="shared" ca="1" si="723"/>
        <v>0.32</v>
      </c>
      <c r="D1267" s="20">
        <f t="shared" ca="1" si="729"/>
        <v>0.38400000000000001</v>
      </c>
      <c r="E1267" s="224" t="str">
        <f ca="1">INDIRECT("'Закуп'!D" &amp; A1267)</f>
        <v>У</v>
      </c>
      <c r="F1267" s="231" t="str">
        <f t="shared" ref="F1267" ca="1" si="738">INDIRECT("'Закуп'!E" &amp; B1267)</f>
        <v>250х175х35</v>
      </c>
      <c r="G1267" s="172" t="str">
        <f t="shared" ca="1" si="711"/>
        <v/>
      </c>
      <c r="H1267" s="93" t="str">
        <f t="shared" ca="1" si="712"/>
        <v/>
      </c>
      <c r="I1267" s="21">
        <v>50</v>
      </c>
      <c r="J1267" s="68">
        <f t="shared" si="713"/>
        <v>0.83333333333333337</v>
      </c>
      <c r="K1267" s="70">
        <v>1</v>
      </c>
      <c r="L1267" s="72">
        <f t="shared" ca="1" si="709"/>
        <v>0.41066666666666674</v>
      </c>
      <c r="M1267" s="73">
        <f t="shared" ca="1" si="710"/>
        <v>20.533333333333339</v>
      </c>
      <c r="N1267" s="12" t="s">
        <v>40</v>
      </c>
      <c r="O1267" s="47" t="s">
        <v>45</v>
      </c>
      <c r="P1267" s="13">
        <f t="shared" si="736"/>
        <v>1</v>
      </c>
      <c r="Q1267" s="1" t="str">
        <f t="shared" si="737"/>
        <v>50-90 шт - 1 руб / шт с НДС</v>
      </c>
      <c r="R1267" s="235" t="str">
        <f ca="1">INDIRECT("'Закуп'!k" &amp; A1267)</f>
        <v>K236</v>
      </c>
      <c r="S1267" s="239">
        <f ca="1">INDIRECT("'Закуп'!o" &amp; A1267)</f>
        <v>1.53</v>
      </c>
      <c r="T1267" s="226" t="str">
        <f ca="1">INDIRECT("'Закуп'!p" &amp; A1267)</f>
        <v>1-1,9 литра</v>
      </c>
      <c r="U1267" s="228" t="str">
        <f ca="1">INDIRECT("'Закуп'!v" &amp; A1267)</f>
        <v/>
      </c>
      <c r="V1267" s="222" t="str">
        <f ca="1">INDIRECT("'Закуп'!w" &amp; A1267)</f>
        <v>Плоские</v>
      </c>
      <c r="W1267" s="229" t="str">
        <f ca="1">INDIRECT("'Закуп'!H" &amp; A1267)</f>
        <v>0427</v>
      </c>
      <c r="X1267" s="227" t="str">
        <f t="shared" ref="X1267" ca="1" si="739">INDIRECT("'Закуп'!g" &amp; A1267)</f>
        <v>С</v>
      </c>
      <c r="Y1267" s="229" t="str">
        <f ca="1">INDIRECT("'Закуп'!i" &amp; A1267)</f>
        <v>В</v>
      </c>
      <c r="Z1267" s="236" t="str">
        <f ca="1">INDIRECT("'Закуп'!x" &amp; A1267)</f>
        <v>200-299 мм</v>
      </c>
      <c r="AA1267" s="237" t="str">
        <f ca="1">INDIRECT("'Закуп'!y" &amp; A1267)</f>
        <v>100-199 мм</v>
      </c>
      <c r="AB1267" s="238" t="str">
        <f ca="1">INDIRECT("'Закуп'!z" &amp; A1267)</f>
        <v>10-99 мм</v>
      </c>
      <c r="AC1267" s="223" t="str">
        <f t="shared" ca="1" si="704"/>
        <v>250x175x35</v>
      </c>
      <c r="AD1267" s="222" t="str">
        <f t="shared" ca="1" si="728"/>
        <v>250x175x35 - 250*175*35 мм</v>
      </c>
    </row>
    <row r="1268" spans="1:30" x14ac:dyDescent="0.4">
      <c r="A1268" s="230"/>
      <c r="B1268" s="8">
        <v>255</v>
      </c>
      <c r="C1268" s="14">
        <f t="shared" ca="1" si="723"/>
        <v>0.32</v>
      </c>
      <c r="D1268" s="20">
        <f t="shared" ca="1" si="729"/>
        <v>0.38400000000000001</v>
      </c>
      <c r="E1268" s="225"/>
      <c r="F1268" s="231"/>
      <c r="G1268" s="172" t="str">
        <f t="shared" ca="1" si="711"/>
        <v/>
      </c>
      <c r="H1268" s="93" t="str">
        <f t="shared" ca="1" si="712"/>
        <v/>
      </c>
      <c r="I1268" s="21">
        <v>100</v>
      </c>
      <c r="J1268" s="68">
        <f t="shared" si="713"/>
        <v>0.75</v>
      </c>
      <c r="K1268" s="70">
        <v>0.9</v>
      </c>
      <c r="L1268" s="72">
        <f t="shared" ca="1" si="709"/>
        <v>0.34399999999999997</v>
      </c>
      <c r="M1268" s="73">
        <f t="shared" ca="1" si="710"/>
        <v>34.4</v>
      </c>
      <c r="N1268" s="12" t="s">
        <v>41</v>
      </c>
      <c r="O1268" s="47" t="s">
        <v>45</v>
      </c>
      <c r="P1268" s="13">
        <f t="shared" si="736"/>
        <v>0.9</v>
      </c>
      <c r="Q1268" s="1" t="str">
        <f t="shared" si="737"/>
        <v>100-290 шт - 0,9 руб / шт с НДС</v>
      </c>
      <c r="R1268" s="235"/>
      <c r="S1268" s="239"/>
      <c r="T1268" s="226"/>
      <c r="U1268" s="228"/>
      <c r="V1268" s="222"/>
      <c r="W1268" s="229"/>
      <c r="X1268" s="227"/>
      <c r="Y1268" s="229"/>
      <c r="Z1268" s="236"/>
      <c r="AA1268" s="237"/>
      <c r="AB1268" s="238"/>
      <c r="AC1268" s="223"/>
      <c r="AD1268" s="222"/>
    </row>
    <row r="1269" spans="1:30" x14ac:dyDescent="0.4">
      <c r="A1269" s="230"/>
      <c r="B1269" s="8">
        <v>255</v>
      </c>
      <c r="C1269" s="14">
        <f t="shared" ca="1" si="723"/>
        <v>0.32</v>
      </c>
      <c r="D1269" s="20">
        <f t="shared" ca="1" si="729"/>
        <v>0.38400000000000001</v>
      </c>
      <c r="E1269" s="225"/>
      <c r="F1269" s="231"/>
      <c r="G1269" s="172" t="str">
        <f t="shared" ca="1" si="711"/>
        <v/>
      </c>
      <c r="H1269" s="93" t="str">
        <f t="shared" ca="1" si="712"/>
        <v/>
      </c>
      <c r="I1269" s="21">
        <v>300</v>
      </c>
      <c r="J1269" s="68">
        <f t="shared" si="713"/>
        <v>0.66666666666666674</v>
      </c>
      <c r="K1269" s="70">
        <v>0.8</v>
      </c>
      <c r="L1269" s="72">
        <f t="shared" ca="1" si="709"/>
        <v>0.27733333333333338</v>
      </c>
      <c r="M1269" s="73">
        <f t="shared" ca="1" si="710"/>
        <v>83.200000000000017</v>
      </c>
      <c r="N1269" s="12" t="s">
        <v>42</v>
      </c>
      <c r="O1269" s="47" t="s">
        <v>45</v>
      </c>
      <c r="P1269" s="13">
        <f t="shared" si="736"/>
        <v>0.8</v>
      </c>
      <c r="Q1269" s="1" t="str">
        <f t="shared" si="737"/>
        <v>300-490 шт - 0,8 руб / шт с НДС</v>
      </c>
      <c r="R1269" s="235"/>
      <c r="S1269" s="239"/>
      <c r="T1269" s="226"/>
      <c r="U1269" s="228"/>
      <c r="V1269" s="222"/>
      <c r="W1269" s="229"/>
      <c r="X1269" s="227"/>
      <c r="Y1269" s="229"/>
      <c r="Z1269" s="236"/>
      <c r="AA1269" s="237"/>
      <c r="AB1269" s="238"/>
      <c r="AC1269" s="223"/>
      <c r="AD1269" s="222"/>
    </row>
    <row r="1270" spans="1:30" x14ac:dyDescent="0.4">
      <c r="A1270" s="230"/>
      <c r="B1270" s="8">
        <v>255</v>
      </c>
      <c r="C1270" s="14">
        <f t="shared" ca="1" si="723"/>
        <v>0.32</v>
      </c>
      <c r="D1270" s="20">
        <f t="shared" ca="1" si="729"/>
        <v>0.38400000000000001</v>
      </c>
      <c r="E1270" s="225"/>
      <c r="F1270" s="231"/>
      <c r="G1270" s="172" t="str">
        <f t="shared" ca="1" si="711"/>
        <v/>
      </c>
      <c r="H1270" s="93" t="str">
        <f t="shared" ca="1" si="712"/>
        <v/>
      </c>
      <c r="I1270" s="21">
        <v>500</v>
      </c>
      <c r="J1270" s="68">
        <f t="shared" si="713"/>
        <v>0.58333333333333337</v>
      </c>
      <c r="K1270" s="70">
        <v>0.7</v>
      </c>
      <c r="L1270" s="72">
        <f t="shared" ca="1" si="709"/>
        <v>0.2106666666666667</v>
      </c>
      <c r="M1270" s="73">
        <f t="shared" ca="1" si="710"/>
        <v>105.33333333333334</v>
      </c>
      <c r="N1270" s="12" t="s">
        <v>43</v>
      </c>
      <c r="O1270" s="47" t="s">
        <v>45</v>
      </c>
      <c r="P1270" s="13">
        <f t="shared" si="736"/>
        <v>0.7</v>
      </c>
      <c r="Q1270" s="1" t="str">
        <f t="shared" si="737"/>
        <v>500-990 шт - 0,7 руб / шт с НДС</v>
      </c>
      <c r="R1270" s="235"/>
      <c r="S1270" s="239"/>
      <c r="T1270" s="226"/>
      <c r="U1270" s="228"/>
      <c r="V1270" s="222"/>
      <c r="W1270" s="229"/>
      <c r="X1270" s="227"/>
      <c r="Y1270" s="229"/>
      <c r="Z1270" s="236"/>
      <c r="AA1270" s="237"/>
      <c r="AB1270" s="238"/>
      <c r="AC1270" s="223"/>
      <c r="AD1270" s="222"/>
    </row>
    <row r="1271" spans="1:30" x14ac:dyDescent="0.4">
      <c r="A1271" s="230"/>
      <c r="B1271" s="8">
        <v>255</v>
      </c>
      <c r="C1271" s="14">
        <f t="shared" ca="1" si="723"/>
        <v>0.32</v>
      </c>
      <c r="D1271" s="20">
        <f t="shared" ca="1" si="729"/>
        <v>0.38400000000000001</v>
      </c>
      <c r="E1271" s="225"/>
      <c r="F1271" s="231"/>
      <c r="G1271" s="172" t="str">
        <f t="shared" ca="1" si="711"/>
        <v/>
      </c>
      <c r="H1271" s="93" t="str">
        <f t="shared" ca="1" si="712"/>
        <v/>
      </c>
      <c r="I1271" s="21">
        <v>1000</v>
      </c>
      <c r="J1271" s="68">
        <f t="shared" si="713"/>
        <v>0.5</v>
      </c>
      <c r="K1271" s="70">
        <v>0.6</v>
      </c>
      <c r="L1271" s="72">
        <f t="shared" ca="1" si="709"/>
        <v>0.14399999999999999</v>
      </c>
      <c r="M1271" s="73">
        <f t="shared" ca="1" si="710"/>
        <v>144</v>
      </c>
      <c r="N1271" s="12" t="s">
        <v>44</v>
      </c>
      <c r="O1271" s="47" t="s">
        <v>45</v>
      </c>
      <c r="P1271" s="13">
        <f t="shared" si="736"/>
        <v>0.6</v>
      </c>
      <c r="Q1271" s="1" t="str">
        <f t="shared" si="737"/>
        <v>1000 + шт - 0,6 руб / шт с НДС</v>
      </c>
      <c r="R1271" s="235"/>
      <c r="S1271" s="239"/>
      <c r="T1271" s="226"/>
      <c r="U1271" s="228"/>
      <c r="V1271" s="222"/>
      <c r="W1271" s="229"/>
      <c r="X1271" s="227"/>
      <c r="Y1271" s="229"/>
      <c r="Z1271" s="236"/>
      <c r="AA1271" s="237"/>
      <c r="AB1271" s="238"/>
      <c r="AC1271" s="223"/>
      <c r="AD1271" s="222"/>
    </row>
    <row r="1272" spans="1:30" ht="32.15" x14ac:dyDescent="0.4">
      <c r="A1272" s="230">
        <v>256</v>
      </c>
      <c r="B1272" s="8">
        <v>256</v>
      </c>
      <c r="C1272" s="14">
        <f t="shared" ca="1" si="723"/>
        <v>0.77</v>
      </c>
      <c r="D1272" s="20">
        <f t="shared" ca="1" si="729"/>
        <v>0.92399999999999993</v>
      </c>
      <c r="E1272" s="225" t="str">
        <f ca="1">INDIRECT("'Закуп'!D" &amp; A1272)</f>
        <v>0-У без разм на сайте</v>
      </c>
      <c r="F1272" s="231" t="str">
        <f t="shared" ref="F1272" ca="1" si="740">INDIRECT("'Закуп'!E" &amp; B1272)</f>
        <v>520х220х50</v>
      </c>
      <c r="G1272" s="172" t="str">
        <f t="shared" ca="1" si="711"/>
        <v/>
      </c>
      <c r="H1272" s="93" t="str">
        <f t="shared" ca="1" si="712"/>
        <v>без размещения на сайте</v>
      </c>
      <c r="I1272" s="21">
        <v>50</v>
      </c>
      <c r="J1272" s="68">
        <f t="shared" si="713"/>
        <v>1.55</v>
      </c>
      <c r="K1272" s="70">
        <v>1.86</v>
      </c>
      <c r="L1272" s="72">
        <f t="shared" ca="1" si="709"/>
        <v>0.624</v>
      </c>
      <c r="M1272" s="73">
        <f t="shared" ca="1" si="710"/>
        <v>31.2</v>
      </c>
      <c r="N1272" s="12" t="s">
        <v>40</v>
      </c>
      <c r="O1272" s="47" t="s">
        <v>45</v>
      </c>
      <c r="P1272" s="13">
        <f t="shared" si="736"/>
        <v>1.86</v>
      </c>
      <c r="Q1272" s="1" t="str">
        <f t="shared" si="737"/>
        <v>50-90 шт - 1,86 руб / шт с НДС</v>
      </c>
      <c r="R1272" s="235" t="str">
        <f ca="1">INDIRECT("'Закуп'!k" &amp; A1272)</f>
        <v>K0</v>
      </c>
      <c r="S1272" s="239">
        <f ca="1">INDIRECT("'Закуп'!o" &amp; A1272)</f>
        <v>5.72</v>
      </c>
      <c r="T1272" s="226" t="str">
        <f ca="1">INDIRECT("'Закуп'!p" &amp; A1272)</f>
        <v>4-5,9 литра</v>
      </c>
      <c r="U1272" s="228" t="str">
        <f ca="1">INDIRECT("'Закуп'!v" &amp; A1272)</f>
        <v>Длинные</v>
      </c>
      <c r="V1272" s="222" t="str">
        <f ca="1">INDIRECT("'Закуп'!w" &amp; A1272)</f>
        <v>Плоские</v>
      </c>
      <c r="W1272" s="229" t="str">
        <f ca="1">INDIRECT("'Закуп'!H" &amp; A1272)</f>
        <v>0427</v>
      </c>
      <c r="X1272" s="227" t="str">
        <f t="shared" ref="X1272" ca="1" si="741">INDIRECT("'Закуп'!g" &amp; A1272)</f>
        <v>С</v>
      </c>
      <c r="Y1272" s="229" t="str">
        <f ca="1">INDIRECT("'Закуп'!i" &amp; A1272)</f>
        <v>В</v>
      </c>
      <c r="Z1272" s="236" t="str">
        <f ca="1">INDIRECT("'Закуп'!x" &amp; A1272)</f>
        <v>500-599 мм</v>
      </c>
      <c r="AA1272" s="237" t="str">
        <f ca="1">INDIRECT("'Закуп'!y" &amp; A1272)</f>
        <v>200-299 мм</v>
      </c>
      <c r="AB1272" s="238" t="str">
        <f ca="1">INDIRECT("'Закуп'!z" &amp; A1272)</f>
        <v>10-99 мм</v>
      </c>
      <c r="AC1272" s="223" t="str">
        <f t="shared" ref="AC1272:AC1332" ca="1" si="742">SUBSTITUTE(INDEX(F:F, ROUNDUP((ROW(A1271))/5,0)*5 - 3), "х", "x")</f>
        <v>520x220x50</v>
      </c>
      <c r="AD1272" s="222" t="str">
        <f t="shared" ca="1" si="728"/>
        <v>520x220x50 - 520*220*50 мм</v>
      </c>
    </row>
    <row r="1273" spans="1:30" ht="32.15" x14ac:dyDescent="0.4">
      <c r="A1273" s="230"/>
      <c r="B1273" s="8">
        <v>256</v>
      </c>
      <c r="C1273" s="14">
        <f t="shared" ca="1" si="723"/>
        <v>0.77</v>
      </c>
      <c r="D1273" s="20">
        <f t="shared" ca="1" si="729"/>
        <v>0.92399999999999993</v>
      </c>
      <c r="E1273" s="225"/>
      <c r="F1273" s="231"/>
      <c r="G1273" s="172" t="str">
        <f t="shared" ca="1" si="711"/>
        <v/>
      </c>
      <c r="H1273" s="93" t="str">
        <f t="shared" ca="1" si="712"/>
        <v>без размещения на сайте</v>
      </c>
      <c r="I1273" s="21">
        <v>100</v>
      </c>
      <c r="J1273" s="68">
        <f t="shared" si="713"/>
        <v>1.4083333333333334</v>
      </c>
      <c r="K1273" s="70">
        <v>1.69</v>
      </c>
      <c r="L1273" s="72">
        <f t="shared" ca="1" si="709"/>
        <v>0.51066666666666671</v>
      </c>
      <c r="M1273" s="73">
        <f t="shared" ca="1" si="710"/>
        <v>51.06666666666667</v>
      </c>
      <c r="N1273" s="12" t="s">
        <v>41</v>
      </c>
      <c r="O1273" s="47" t="s">
        <v>45</v>
      </c>
      <c r="P1273" s="13">
        <f t="shared" si="736"/>
        <v>1.69</v>
      </c>
      <c r="Q1273" s="1" t="str">
        <f t="shared" si="737"/>
        <v>100-290 шт - 1,69 руб / шт с НДС</v>
      </c>
      <c r="R1273" s="235"/>
      <c r="S1273" s="239"/>
      <c r="T1273" s="226"/>
      <c r="U1273" s="228"/>
      <c r="V1273" s="222"/>
      <c r="W1273" s="229"/>
      <c r="X1273" s="227"/>
      <c r="Y1273" s="229"/>
      <c r="Z1273" s="236"/>
      <c r="AA1273" s="237"/>
      <c r="AB1273" s="238"/>
      <c r="AC1273" s="223"/>
      <c r="AD1273" s="222"/>
    </row>
    <row r="1274" spans="1:30" ht="32.15" x14ac:dyDescent="0.4">
      <c r="A1274" s="230"/>
      <c r="B1274" s="8">
        <v>256</v>
      </c>
      <c r="C1274" s="14">
        <f t="shared" ca="1" si="723"/>
        <v>0.77</v>
      </c>
      <c r="D1274" s="20">
        <f t="shared" ca="1" si="729"/>
        <v>0.92399999999999993</v>
      </c>
      <c r="E1274" s="225"/>
      <c r="F1274" s="231"/>
      <c r="G1274" s="172" t="str">
        <f t="shared" ca="1" si="711"/>
        <v/>
      </c>
      <c r="H1274" s="93" t="str">
        <f t="shared" ca="1" si="712"/>
        <v>без размещения на сайте</v>
      </c>
      <c r="I1274" s="21">
        <v>300</v>
      </c>
      <c r="J1274" s="68">
        <f t="shared" si="713"/>
        <v>1.2833333333333334</v>
      </c>
      <c r="K1274" s="70">
        <v>1.54</v>
      </c>
      <c r="L1274" s="72">
        <f t="shared" ca="1" si="709"/>
        <v>0.41066666666666674</v>
      </c>
      <c r="M1274" s="73">
        <f t="shared" ca="1" si="710"/>
        <v>123.20000000000002</v>
      </c>
      <c r="N1274" s="12" t="s">
        <v>42</v>
      </c>
      <c r="O1274" s="47" t="s">
        <v>45</v>
      </c>
      <c r="P1274" s="13">
        <f t="shared" si="736"/>
        <v>1.54</v>
      </c>
      <c r="Q1274" s="1" t="str">
        <f t="shared" si="737"/>
        <v>300-490 шт - 1,54 руб / шт с НДС</v>
      </c>
      <c r="R1274" s="235"/>
      <c r="S1274" s="239"/>
      <c r="T1274" s="226"/>
      <c r="U1274" s="228"/>
      <c r="V1274" s="222"/>
      <c r="W1274" s="229"/>
      <c r="X1274" s="227"/>
      <c r="Y1274" s="229"/>
      <c r="Z1274" s="236"/>
      <c r="AA1274" s="237"/>
      <c r="AB1274" s="238"/>
      <c r="AC1274" s="223"/>
      <c r="AD1274" s="222"/>
    </row>
    <row r="1275" spans="1:30" ht="32.15" x14ac:dyDescent="0.4">
      <c r="A1275" s="230"/>
      <c r="B1275" s="8">
        <v>256</v>
      </c>
      <c r="C1275" s="14">
        <f t="shared" ca="1" si="723"/>
        <v>0.77</v>
      </c>
      <c r="D1275" s="20">
        <f t="shared" ca="1" si="729"/>
        <v>0.92399999999999993</v>
      </c>
      <c r="E1275" s="225"/>
      <c r="F1275" s="231"/>
      <c r="G1275" s="172" t="str">
        <f t="shared" ca="1" si="711"/>
        <v/>
      </c>
      <c r="H1275" s="93" t="str">
        <f t="shared" ca="1" si="712"/>
        <v>без размещения на сайте</v>
      </c>
      <c r="I1275" s="21">
        <v>500</v>
      </c>
      <c r="J1275" s="68">
        <f t="shared" si="713"/>
        <v>1.1833333333333333</v>
      </c>
      <c r="K1275" s="70">
        <v>1.42</v>
      </c>
      <c r="L1275" s="72">
        <f t="shared" ca="1" si="709"/>
        <v>0.33066666666666666</v>
      </c>
      <c r="M1275" s="73">
        <f t="shared" ca="1" si="710"/>
        <v>165.33333333333334</v>
      </c>
      <c r="N1275" s="12" t="s">
        <v>43</v>
      </c>
      <c r="O1275" s="47" t="s">
        <v>45</v>
      </c>
      <c r="P1275" s="13">
        <f t="shared" si="736"/>
        <v>1.42</v>
      </c>
      <c r="Q1275" s="1" t="str">
        <f t="shared" si="737"/>
        <v>500-990 шт - 1,42 руб / шт с НДС</v>
      </c>
      <c r="R1275" s="235"/>
      <c r="S1275" s="239"/>
      <c r="T1275" s="226"/>
      <c r="U1275" s="228"/>
      <c r="V1275" s="222"/>
      <c r="W1275" s="229"/>
      <c r="X1275" s="227"/>
      <c r="Y1275" s="229"/>
      <c r="Z1275" s="236"/>
      <c r="AA1275" s="237"/>
      <c r="AB1275" s="238"/>
      <c r="AC1275" s="223"/>
      <c r="AD1275" s="222"/>
    </row>
    <row r="1276" spans="1:30" ht="32.15" x14ac:dyDescent="0.4">
      <c r="A1276" s="230"/>
      <c r="B1276" s="8">
        <v>256</v>
      </c>
      <c r="C1276" s="14">
        <f t="shared" ca="1" si="723"/>
        <v>0.77</v>
      </c>
      <c r="D1276" s="20">
        <f t="shared" ca="1" si="729"/>
        <v>0.92399999999999993</v>
      </c>
      <c r="E1276" s="225"/>
      <c r="F1276" s="231"/>
      <c r="G1276" s="172" t="str">
        <f t="shared" ca="1" si="711"/>
        <v/>
      </c>
      <c r="H1276" s="93" t="str">
        <f t="shared" ca="1" si="712"/>
        <v>без размещения на сайте</v>
      </c>
      <c r="I1276" s="21">
        <v>1000</v>
      </c>
      <c r="J1276" s="68">
        <f t="shared" si="713"/>
        <v>1.05</v>
      </c>
      <c r="K1276" s="70">
        <v>1.26</v>
      </c>
      <c r="L1276" s="72">
        <f t="shared" ca="1" si="709"/>
        <v>0.22400000000000003</v>
      </c>
      <c r="M1276" s="73">
        <f t="shared" ca="1" si="710"/>
        <v>224.00000000000003</v>
      </c>
      <c r="N1276" s="12" t="s">
        <v>44</v>
      </c>
      <c r="O1276" s="47" t="s">
        <v>45</v>
      </c>
      <c r="P1276" s="13">
        <f t="shared" si="736"/>
        <v>1.26</v>
      </c>
      <c r="Q1276" s="1" t="str">
        <f t="shared" si="737"/>
        <v>1000 + шт - 1,26 руб / шт с НДС</v>
      </c>
      <c r="R1276" s="235"/>
      <c r="S1276" s="239"/>
      <c r="T1276" s="226"/>
      <c r="U1276" s="228"/>
      <c r="V1276" s="222"/>
      <c r="W1276" s="229"/>
      <c r="X1276" s="227"/>
      <c r="Y1276" s="229"/>
      <c r="Z1276" s="236"/>
      <c r="AA1276" s="237"/>
      <c r="AB1276" s="238"/>
      <c r="AC1276" s="223"/>
      <c r="AD1276" s="222"/>
    </row>
    <row r="1277" spans="1:30" ht="32.15" x14ac:dyDescent="0.4">
      <c r="A1277" s="230">
        <v>257</v>
      </c>
      <c r="B1277" s="8">
        <v>257</v>
      </c>
      <c r="C1277" s="14">
        <f t="shared" ca="1" si="723"/>
        <v>0.74</v>
      </c>
      <c r="D1277" s="20">
        <f t="shared" ca="1" si="729"/>
        <v>0.88800000000000001</v>
      </c>
      <c r="E1277" s="225" t="str">
        <f ca="1">INDIRECT("'Закуп'!D" &amp; A1277)</f>
        <v>0-У без разм на сайте</v>
      </c>
      <c r="F1277" s="231" t="str">
        <f t="shared" ref="F1277" ca="1" si="743">INDIRECT("'Закуп'!E" &amp; B1277)</f>
        <v>500х200х40</v>
      </c>
      <c r="G1277" s="172" t="str">
        <f t="shared" ca="1" si="711"/>
        <v/>
      </c>
      <c r="H1277" s="93" t="str">
        <f t="shared" ca="1" si="712"/>
        <v>без размещения на сайте</v>
      </c>
      <c r="I1277" s="21">
        <v>50</v>
      </c>
      <c r="J1277" s="68">
        <f t="shared" si="713"/>
        <v>1.4916666666666667</v>
      </c>
      <c r="K1277" s="70">
        <v>1.79</v>
      </c>
      <c r="L1277" s="72">
        <f t="shared" ca="1" si="709"/>
        <v>0.60133333333333339</v>
      </c>
      <c r="M1277" s="73">
        <f t="shared" ca="1" si="710"/>
        <v>30.06666666666667</v>
      </c>
      <c r="N1277" s="12" t="s">
        <v>40</v>
      </c>
      <c r="O1277" s="47" t="s">
        <v>45</v>
      </c>
      <c r="P1277" s="13">
        <f t="shared" si="736"/>
        <v>1.79</v>
      </c>
      <c r="Q1277" s="1" t="str">
        <f t="shared" si="737"/>
        <v>50-90 шт - 1,79 руб / шт с НДС</v>
      </c>
      <c r="R1277" s="235" t="str">
        <f ca="1">INDIRECT("'Закуп'!k" &amp; A1277)</f>
        <v>K0</v>
      </c>
      <c r="S1277" s="239">
        <f ca="1">INDIRECT("'Закуп'!o" &amp; A1277)</f>
        <v>4</v>
      </c>
      <c r="T1277" s="226" t="str">
        <f ca="1">INDIRECT("'Закуп'!p" &amp; A1277)</f>
        <v>4-5,9 литра</v>
      </c>
      <c r="U1277" s="228" t="str">
        <f ca="1">INDIRECT("'Закуп'!v" &amp; A1277)</f>
        <v>Длинные</v>
      </c>
      <c r="V1277" s="222" t="str">
        <f ca="1">INDIRECT("'Закуп'!w" &amp; A1277)</f>
        <v>Плоские</v>
      </c>
      <c r="W1277" s="229" t="str">
        <f ca="1">INDIRECT("'Закуп'!H" &amp; A1277)</f>
        <v>0427</v>
      </c>
      <c r="X1277" s="227" t="str">
        <f t="shared" ref="X1277" ca="1" si="744">INDIRECT("'Закуп'!g" &amp; A1277)</f>
        <v>С</v>
      </c>
      <c r="Y1277" s="229" t="str">
        <f ca="1">INDIRECT("'Закуп'!i" &amp; A1277)</f>
        <v>В</v>
      </c>
      <c r="Z1277" s="236" t="str">
        <f ca="1">INDIRECT("'Закуп'!x" &amp; A1277)</f>
        <v>500-599 мм</v>
      </c>
      <c r="AA1277" s="237" t="str">
        <f ca="1">INDIRECT("'Закуп'!y" &amp; A1277)</f>
        <v>200-299 мм</v>
      </c>
      <c r="AB1277" s="238" t="str">
        <f ca="1">INDIRECT("'Закуп'!z" &amp; A1277)</f>
        <v>10-99 мм</v>
      </c>
      <c r="AC1277" s="223" t="str">
        <f t="shared" ca="1" si="742"/>
        <v>500x200x40</v>
      </c>
      <c r="AD1277" s="222" t="str">
        <f t="shared" ca="1" si="728"/>
        <v>500x200x40 - 500*200*40 мм</v>
      </c>
    </row>
    <row r="1278" spans="1:30" ht="32.15" x14ac:dyDescent="0.4">
      <c r="A1278" s="230"/>
      <c r="B1278" s="8">
        <v>257</v>
      </c>
      <c r="C1278" s="14">
        <f t="shared" ca="1" si="723"/>
        <v>0.74</v>
      </c>
      <c r="D1278" s="20">
        <f t="shared" ca="1" si="729"/>
        <v>0.88800000000000001</v>
      </c>
      <c r="E1278" s="225"/>
      <c r="F1278" s="231"/>
      <c r="G1278" s="172" t="str">
        <f t="shared" ca="1" si="711"/>
        <v/>
      </c>
      <c r="H1278" s="93" t="str">
        <f t="shared" ca="1" si="712"/>
        <v>без размещения на сайте</v>
      </c>
      <c r="I1278" s="21">
        <v>100</v>
      </c>
      <c r="J1278" s="68">
        <f t="shared" si="713"/>
        <v>1.3583333333333334</v>
      </c>
      <c r="K1278" s="70">
        <v>1.63</v>
      </c>
      <c r="L1278" s="72">
        <f t="shared" ca="1" si="709"/>
        <v>0.4946666666666667</v>
      </c>
      <c r="M1278" s="73">
        <f t="shared" ca="1" si="710"/>
        <v>49.466666666666669</v>
      </c>
      <c r="N1278" s="12" t="s">
        <v>41</v>
      </c>
      <c r="O1278" s="47" t="s">
        <v>45</v>
      </c>
      <c r="P1278" s="13">
        <f t="shared" si="736"/>
        <v>1.63</v>
      </c>
      <c r="Q1278" s="1" t="str">
        <f t="shared" si="737"/>
        <v>100-290 шт - 1,63 руб / шт с НДС</v>
      </c>
      <c r="R1278" s="235"/>
      <c r="S1278" s="239"/>
      <c r="T1278" s="226"/>
      <c r="U1278" s="228"/>
      <c r="V1278" s="222"/>
      <c r="W1278" s="229"/>
      <c r="X1278" s="227"/>
      <c r="Y1278" s="229"/>
      <c r="Z1278" s="236"/>
      <c r="AA1278" s="237"/>
      <c r="AB1278" s="238"/>
      <c r="AC1278" s="223"/>
      <c r="AD1278" s="222"/>
    </row>
    <row r="1279" spans="1:30" ht="32.15" x14ac:dyDescent="0.4">
      <c r="A1279" s="230"/>
      <c r="B1279" s="8">
        <v>257</v>
      </c>
      <c r="C1279" s="14">
        <f t="shared" ca="1" si="723"/>
        <v>0.74</v>
      </c>
      <c r="D1279" s="20">
        <f t="shared" ca="1" si="729"/>
        <v>0.88800000000000001</v>
      </c>
      <c r="E1279" s="225"/>
      <c r="F1279" s="231"/>
      <c r="G1279" s="172" t="str">
        <f t="shared" ca="1" si="711"/>
        <v/>
      </c>
      <c r="H1279" s="93" t="str">
        <f t="shared" ca="1" si="712"/>
        <v>без размещения на сайте</v>
      </c>
      <c r="I1279" s="21">
        <v>300</v>
      </c>
      <c r="J1279" s="68">
        <f t="shared" si="713"/>
        <v>1.2416666666666667</v>
      </c>
      <c r="K1279" s="70">
        <v>1.49</v>
      </c>
      <c r="L1279" s="72">
        <f t="shared" ca="1" si="709"/>
        <v>0.40133333333333338</v>
      </c>
      <c r="M1279" s="73">
        <f t="shared" ca="1" si="710"/>
        <v>120.4</v>
      </c>
      <c r="N1279" s="12" t="s">
        <v>42</v>
      </c>
      <c r="O1279" s="47" t="s">
        <v>45</v>
      </c>
      <c r="P1279" s="13">
        <f t="shared" si="736"/>
        <v>1.49</v>
      </c>
      <c r="Q1279" s="1" t="str">
        <f t="shared" si="737"/>
        <v>300-490 шт - 1,49 руб / шт с НДС</v>
      </c>
      <c r="R1279" s="235"/>
      <c r="S1279" s="239"/>
      <c r="T1279" s="226"/>
      <c r="U1279" s="228"/>
      <c r="V1279" s="222"/>
      <c r="W1279" s="229"/>
      <c r="X1279" s="227"/>
      <c r="Y1279" s="229"/>
      <c r="Z1279" s="236"/>
      <c r="AA1279" s="237"/>
      <c r="AB1279" s="238"/>
      <c r="AC1279" s="223"/>
      <c r="AD1279" s="222"/>
    </row>
    <row r="1280" spans="1:30" ht="32.15" x14ac:dyDescent="0.4">
      <c r="A1280" s="230"/>
      <c r="B1280" s="8">
        <v>257</v>
      </c>
      <c r="C1280" s="14">
        <f t="shared" ca="1" si="723"/>
        <v>0.74</v>
      </c>
      <c r="D1280" s="20">
        <f t="shared" ca="1" si="729"/>
        <v>0.88800000000000001</v>
      </c>
      <c r="E1280" s="225"/>
      <c r="F1280" s="231"/>
      <c r="G1280" s="172" t="str">
        <f t="shared" ca="1" si="711"/>
        <v/>
      </c>
      <c r="H1280" s="93" t="str">
        <f t="shared" ca="1" si="712"/>
        <v>без размещения на сайте</v>
      </c>
      <c r="I1280" s="21">
        <v>500</v>
      </c>
      <c r="J1280" s="68">
        <f t="shared" si="713"/>
        <v>1.1416666666666668</v>
      </c>
      <c r="K1280" s="70">
        <v>1.37</v>
      </c>
      <c r="L1280" s="72">
        <f t="shared" ca="1" si="709"/>
        <v>0.32133333333333347</v>
      </c>
      <c r="M1280" s="73">
        <f t="shared" ca="1" si="710"/>
        <v>160.66666666666674</v>
      </c>
      <c r="N1280" s="12" t="s">
        <v>43</v>
      </c>
      <c r="O1280" s="47" t="s">
        <v>45</v>
      </c>
      <c r="P1280" s="13">
        <f t="shared" si="736"/>
        <v>1.37</v>
      </c>
      <c r="Q1280" s="1" t="str">
        <f t="shared" si="737"/>
        <v>500-990 шт - 1,37 руб / шт с НДС</v>
      </c>
      <c r="R1280" s="235"/>
      <c r="S1280" s="239"/>
      <c r="T1280" s="226"/>
      <c r="U1280" s="228"/>
      <c r="V1280" s="222"/>
      <c r="W1280" s="229"/>
      <c r="X1280" s="227"/>
      <c r="Y1280" s="229"/>
      <c r="Z1280" s="236"/>
      <c r="AA1280" s="237"/>
      <c r="AB1280" s="238"/>
      <c r="AC1280" s="223"/>
      <c r="AD1280" s="222"/>
    </row>
    <row r="1281" spans="1:30" ht="32.15" x14ac:dyDescent="0.4">
      <c r="A1281" s="230"/>
      <c r="B1281" s="8">
        <v>257</v>
      </c>
      <c r="C1281" s="14">
        <f t="shared" ca="1" si="723"/>
        <v>0.74</v>
      </c>
      <c r="D1281" s="20">
        <f t="shared" ca="1" si="729"/>
        <v>0.88800000000000001</v>
      </c>
      <c r="E1281" s="225"/>
      <c r="F1281" s="231"/>
      <c r="G1281" s="172" t="str">
        <f t="shared" ca="1" si="711"/>
        <v/>
      </c>
      <c r="H1281" s="93" t="str">
        <f t="shared" ca="1" si="712"/>
        <v>без размещения на сайте</v>
      </c>
      <c r="I1281" s="21">
        <v>1000</v>
      </c>
      <c r="J1281" s="68">
        <f t="shared" si="713"/>
        <v>1.0166666666666666</v>
      </c>
      <c r="K1281" s="70">
        <v>1.22</v>
      </c>
      <c r="L1281" s="72">
        <f t="shared" ca="1" si="709"/>
        <v>0.2213333333333333</v>
      </c>
      <c r="M1281" s="73">
        <f t="shared" ca="1" si="710"/>
        <v>221.33333333333329</v>
      </c>
      <c r="N1281" s="12" t="s">
        <v>44</v>
      </c>
      <c r="O1281" s="47" t="s">
        <v>45</v>
      </c>
      <c r="P1281" s="13">
        <f t="shared" si="736"/>
        <v>1.22</v>
      </c>
      <c r="Q1281" s="1" t="str">
        <f t="shared" si="737"/>
        <v>1000 + шт - 1,22 руб / шт с НДС</v>
      </c>
      <c r="R1281" s="235"/>
      <c r="S1281" s="239"/>
      <c r="T1281" s="226"/>
      <c r="U1281" s="228"/>
      <c r="V1281" s="222"/>
      <c r="W1281" s="229"/>
      <c r="X1281" s="227"/>
      <c r="Y1281" s="229"/>
      <c r="Z1281" s="236"/>
      <c r="AA1281" s="237"/>
      <c r="AB1281" s="238"/>
      <c r="AC1281" s="223"/>
      <c r="AD1281" s="222"/>
    </row>
    <row r="1282" spans="1:30" x14ac:dyDescent="0.4">
      <c r="A1282" s="230">
        <v>258</v>
      </c>
      <c r="B1282" s="8">
        <v>258</v>
      </c>
      <c r="C1282" s="14">
        <f t="shared" ca="1" si="723"/>
        <v>5.42</v>
      </c>
      <c r="D1282" s="20">
        <f t="shared" ca="1" si="729"/>
        <v>6.5039999999999996</v>
      </c>
      <c r="E1282" s="225" t="str">
        <f ca="1">INDIRECT("'Закуп'!D" &amp; A1282)</f>
        <v>У или др</v>
      </c>
      <c r="F1282" s="231" t="str">
        <f t="shared" ref="F1282" ca="1" si="745">INDIRECT("'Закуп'!E" &amp; B1282)</f>
        <v>800х600х500</v>
      </c>
      <c r="G1282" s="172" t="str">
        <f t="shared" ca="1" si="711"/>
        <v/>
      </c>
      <c r="H1282" s="93" t="str">
        <f t="shared" ca="1" si="712"/>
        <v/>
      </c>
      <c r="I1282" s="21">
        <v>50</v>
      </c>
      <c r="J1282" s="68">
        <f t="shared" si="713"/>
        <v>8.5833333333333339</v>
      </c>
      <c r="K1282" s="70">
        <v>10.3</v>
      </c>
      <c r="L1282" s="72">
        <f t="shared" ref="L1282:L1345" ca="1" si="746">J1282-C1282-(J1282-C1282)*0.2</f>
        <v>2.5306666666666673</v>
      </c>
      <c r="M1282" s="73">
        <f t="shared" ref="M1282:M1345" ca="1" si="747">L1282*I1282</f>
        <v>126.53333333333336</v>
      </c>
      <c r="N1282" s="12" t="s">
        <v>40</v>
      </c>
      <c r="O1282" s="47" t="s">
        <v>45</v>
      </c>
      <c r="P1282" s="13">
        <f t="shared" si="736"/>
        <v>10.3</v>
      </c>
      <c r="Q1282" s="1" t="str">
        <f t="shared" si="737"/>
        <v>50-90 шт - 10,3 руб / шт с НДС</v>
      </c>
      <c r="R1282" s="235" t="str">
        <f ca="1">INDIRECT("'Закуп'!k" &amp; A1282)</f>
        <v>K1025</v>
      </c>
      <c r="S1282" s="239">
        <f ca="1">INDIRECT("'Закуп'!o" &amp; A1282)</f>
        <v>240</v>
      </c>
      <c r="T1282" s="226" t="str">
        <f ca="1">INDIRECT("'Закуп'!p" &amp; A1282)</f>
        <v>200+ литров</v>
      </c>
      <c r="U1282" s="228" t="str">
        <f ca="1">INDIRECT("'Закуп'!v" &amp; A1282)</f>
        <v/>
      </c>
      <c r="V1282" s="222" t="str">
        <f ca="1">INDIRECT("'Закуп'!w" &amp; A1282)</f>
        <v/>
      </c>
      <c r="W1282" s="229" t="str">
        <f ca="1">INDIRECT("'Закуп'!H" &amp; A1282)</f>
        <v>0201</v>
      </c>
      <c r="X1282" s="227" t="str">
        <f t="shared" ref="X1282" ca="1" si="748">INDIRECT("'Закуп'!g" &amp; A1282)</f>
        <v>Ч</v>
      </c>
      <c r="Y1282" s="229" t="str">
        <f ca="1">INDIRECT("'Закуп'!i" &amp; A1282)</f>
        <v>В</v>
      </c>
      <c r="Z1282" s="236" t="str">
        <f ca="1">INDIRECT("'Закуп'!x" &amp; A1282)</f>
        <v>700-999 мм</v>
      </c>
      <c r="AA1282" s="237" t="str">
        <f ca="1">INDIRECT("'Закуп'!y" &amp; A1282)</f>
        <v>600-699 мм</v>
      </c>
      <c r="AB1282" s="238" t="str">
        <f ca="1">INDIRECT("'Закуп'!z" &amp; A1282)</f>
        <v>500-599 мм</v>
      </c>
      <c r="AC1282" s="223" t="str">
        <f t="shared" ca="1" si="742"/>
        <v>800x600x500</v>
      </c>
      <c r="AD1282" s="222" t="str">
        <f t="shared" ca="1" si="728"/>
        <v>800x600x500 - 800*600*500 мм</v>
      </c>
    </row>
    <row r="1283" spans="1:30" x14ac:dyDescent="0.4">
      <c r="A1283" s="230"/>
      <c r="B1283" s="8">
        <v>258</v>
      </c>
      <c r="C1283" s="14">
        <f t="shared" ca="1" si="723"/>
        <v>5.42</v>
      </c>
      <c r="D1283" s="20">
        <f t="shared" ca="1" si="729"/>
        <v>6.5039999999999996</v>
      </c>
      <c r="E1283" s="225"/>
      <c r="F1283" s="231"/>
      <c r="G1283" s="172" t="str">
        <f t="shared" ref="G1283:G1346" ca="1" si="749">IF(INDIRECT("'Закуп'!L" &amp; B1283)="Sale","Sale","")</f>
        <v/>
      </c>
      <c r="H1283" s="93" t="str">
        <f t="shared" ref="H1283:H1346" ca="1" si="750">IF(INDIRECT("'Закуп'!F" &amp; B1283)=0,"",INDIRECT("'Закуп'!F" &amp; B1283))</f>
        <v/>
      </c>
      <c r="I1283" s="21">
        <v>100</v>
      </c>
      <c r="J1283" s="68">
        <f t="shared" ref="J1283:J1346" si="751">K1283/1.2</f>
        <v>7.5416666666666679</v>
      </c>
      <c r="K1283" s="70">
        <v>9.0500000000000007</v>
      </c>
      <c r="L1283" s="72">
        <f t="shared" ca="1" si="746"/>
        <v>1.6973333333333342</v>
      </c>
      <c r="M1283" s="73">
        <f t="shared" ca="1" si="747"/>
        <v>169.73333333333343</v>
      </c>
      <c r="N1283" s="12" t="s">
        <v>41</v>
      </c>
      <c r="O1283" s="47" t="s">
        <v>45</v>
      </c>
      <c r="P1283" s="13">
        <f t="shared" si="736"/>
        <v>9.0500000000000007</v>
      </c>
      <c r="Q1283" s="1" t="str">
        <f t="shared" si="737"/>
        <v>100-290 шт - 9,05 руб / шт с НДС</v>
      </c>
      <c r="R1283" s="235"/>
      <c r="S1283" s="239"/>
      <c r="T1283" s="226"/>
      <c r="U1283" s="228"/>
      <c r="V1283" s="222"/>
      <c r="W1283" s="229"/>
      <c r="X1283" s="227"/>
      <c r="Y1283" s="229"/>
      <c r="Z1283" s="236"/>
      <c r="AA1283" s="237"/>
      <c r="AB1283" s="238"/>
      <c r="AC1283" s="223"/>
      <c r="AD1283" s="222"/>
    </row>
    <row r="1284" spans="1:30" x14ac:dyDescent="0.4">
      <c r="A1284" s="230"/>
      <c r="B1284" s="8">
        <v>258</v>
      </c>
      <c r="C1284" s="14">
        <f t="shared" ca="1" si="723"/>
        <v>5.42</v>
      </c>
      <c r="D1284" s="20">
        <f t="shared" ca="1" si="729"/>
        <v>6.5039999999999996</v>
      </c>
      <c r="E1284" s="225"/>
      <c r="F1284" s="231"/>
      <c r="G1284" s="172" t="str">
        <f t="shared" ca="1" si="749"/>
        <v/>
      </c>
      <c r="H1284" s="93" t="str">
        <f t="shared" ca="1" si="750"/>
        <v/>
      </c>
      <c r="I1284" s="21">
        <v>300</v>
      </c>
      <c r="J1284" s="68">
        <f t="shared" si="751"/>
        <v>7.0750000000000002</v>
      </c>
      <c r="K1284" s="70">
        <v>8.49</v>
      </c>
      <c r="L1284" s="72">
        <f t="shared" ca="1" si="746"/>
        <v>1.3240000000000003</v>
      </c>
      <c r="M1284" s="73">
        <f t="shared" ca="1" si="747"/>
        <v>397.2000000000001</v>
      </c>
      <c r="N1284" s="12" t="s">
        <v>42</v>
      </c>
      <c r="O1284" s="47" t="s">
        <v>45</v>
      </c>
      <c r="P1284" s="13">
        <f t="shared" si="736"/>
        <v>8.49</v>
      </c>
      <c r="Q1284" s="1" t="str">
        <f t="shared" si="737"/>
        <v>300-490 шт - 8,49 руб / шт с НДС</v>
      </c>
      <c r="R1284" s="235"/>
      <c r="S1284" s="239"/>
      <c r="T1284" s="226"/>
      <c r="U1284" s="228"/>
      <c r="V1284" s="222"/>
      <c r="W1284" s="229"/>
      <c r="X1284" s="227"/>
      <c r="Y1284" s="229"/>
      <c r="Z1284" s="236"/>
      <c r="AA1284" s="237"/>
      <c r="AB1284" s="238"/>
      <c r="AC1284" s="223"/>
      <c r="AD1284" s="222"/>
    </row>
    <row r="1285" spans="1:30" x14ac:dyDescent="0.4">
      <c r="A1285" s="230"/>
      <c r="B1285" s="8">
        <v>258</v>
      </c>
      <c r="C1285" s="14">
        <f t="shared" ca="1" si="723"/>
        <v>5.42</v>
      </c>
      <c r="D1285" s="20">
        <f t="shared" ca="1" si="729"/>
        <v>6.5039999999999996</v>
      </c>
      <c r="E1285" s="225"/>
      <c r="F1285" s="231"/>
      <c r="G1285" s="172" t="str">
        <f t="shared" ca="1" si="749"/>
        <v/>
      </c>
      <c r="H1285" s="93" t="str">
        <f t="shared" ca="1" si="750"/>
        <v/>
      </c>
      <c r="I1285" s="21">
        <v>500</v>
      </c>
      <c r="J1285" s="68">
        <f t="shared" si="751"/>
        <v>6.958333333333333</v>
      </c>
      <c r="K1285" s="70">
        <v>8.35</v>
      </c>
      <c r="L1285" s="72">
        <f t="shared" ca="1" si="746"/>
        <v>1.2306666666666666</v>
      </c>
      <c r="M1285" s="73">
        <f t="shared" ca="1" si="747"/>
        <v>615.33333333333326</v>
      </c>
      <c r="N1285" s="12" t="s">
        <v>43</v>
      </c>
      <c r="O1285" s="47" t="s">
        <v>45</v>
      </c>
      <c r="P1285" s="13">
        <f t="shared" si="736"/>
        <v>8.35</v>
      </c>
      <c r="Q1285" s="1" t="str">
        <f t="shared" si="737"/>
        <v>500-990 шт - 8,35 руб / шт с НДС</v>
      </c>
      <c r="R1285" s="235"/>
      <c r="S1285" s="239"/>
      <c r="T1285" s="226"/>
      <c r="U1285" s="228"/>
      <c r="V1285" s="222"/>
      <c r="W1285" s="229"/>
      <c r="X1285" s="227"/>
      <c r="Y1285" s="229"/>
      <c r="Z1285" s="236"/>
      <c r="AA1285" s="237"/>
      <c r="AB1285" s="238"/>
      <c r="AC1285" s="223"/>
      <c r="AD1285" s="222"/>
    </row>
    <row r="1286" spans="1:30" x14ac:dyDescent="0.4">
      <c r="A1286" s="230"/>
      <c r="B1286" s="8">
        <v>258</v>
      </c>
      <c r="C1286" s="14">
        <f t="shared" ca="1" si="723"/>
        <v>5.42</v>
      </c>
      <c r="D1286" s="20">
        <f t="shared" ca="1" si="729"/>
        <v>6.5039999999999996</v>
      </c>
      <c r="E1286" s="225"/>
      <c r="F1286" s="231"/>
      <c r="G1286" s="172" t="str">
        <f t="shared" ca="1" si="749"/>
        <v/>
      </c>
      <c r="H1286" s="93" t="str">
        <f t="shared" ca="1" si="750"/>
        <v/>
      </c>
      <c r="I1286" s="21">
        <v>1000</v>
      </c>
      <c r="J1286" s="68">
        <f t="shared" si="751"/>
        <v>6.8416666666666677</v>
      </c>
      <c r="K1286" s="70">
        <v>8.2100000000000009</v>
      </c>
      <c r="L1286" s="72">
        <f t="shared" ca="1" si="746"/>
        <v>1.1373333333333342</v>
      </c>
      <c r="M1286" s="73">
        <f t="shared" ca="1" si="747"/>
        <v>1137.3333333333342</v>
      </c>
      <c r="N1286" s="12" t="s">
        <v>44</v>
      </c>
      <c r="O1286" s="47" t="s">
        <v>45</v>
      </c>
      <c r="P1286" s="13">
        <f t="shared" si="736"/>
        <v>8.2100000000000009</v>
      </c>
      <c r="Q1286" s="1" t="str">
        <f t="shared" si="737"/>
        <v>1000 + шт - 8,21 руб / шт с НДС</v>
      </c>
      <c r="R1286" s="235"/>
      <c r="S1286" s="239"/>
      <c r="T1286" s="226"/>
      <c r="U1286" s="228"/>
      <c r="V1286" s="222"/>
      <c r="W1286" s="229"/>
      <c r="X1286" s="227"/>
      <c r="Y1286" s="229"/>
      <c r="Z1286" s="236"/>
      <c r="AA1286" s="237"/>
      <c r="AB1286" s="238"/>
      <c r="AC1286" s="223"/>
      <c r="AD1286" s="222"/>
    </row>
    <row r="1287" spans="1:30" x14ac:dyDescent="0.4">
      <c r="A1287" s="230">
        <v>259</v>
      </c>
      <c r="B1287" s="8">
        <v>259</v>
      </c>
      <c r="C1287" s="14">
        <f t="shared" ca="1" si="723"/>
        <v>1.4</v>
      </c>
      <c r="D1287" s="20">
        <f t="shared" ca="1" si="729"/>
        <v>1.68</v>
      </c>
      <c r="E1287" s="225" t="str">
        <f ca="1">INDIRECT("'Закуп'!D" &amp; A1287)</f>
        <v>АГ (Нолес)</v>
      </c>
      <c r="F1287" s="231" t="str">
        <f t="shared" ref="F1287" ca="1" si="752">INDIRECT("'Закуп'!E" &amp; B1287)</f>
        <v>400х300х400</v>
      </c>
      <c r="G1287" s="172" t="str">
        <f t="shared" ca="1" si="749"/>
        <v/>
      </c>
      <c r="H1287" s="93" t="str">
        <f t="shared" ca="1" si="750"/>
        <v/>
      </c>
      <c r="I1287" s="21">
        <v>50</v>
      </c>
      <c r="J1287" s="68">
        <f t="shared" si="751"/>
        <v>3</v>
      </c>
      <c r="K1287" s="70">
        <v>3.6</v>
      </c>
      <c r="L1287" s="72">
        <f t="shared" ca="1" si="746"/>
        <v>1.28</v>
      </c>
      <c r="M1287" s="73">
        <f t="shared" ca="1" si="747"/>
        <v>64</v>
      </c>
      <c r="N1287" s="12" t="s">
        <v>40</v>
      </c>
      <c r="O1287" s="47" t="s">
        <v>45</v>
      </c>
      <c r="P1287" s="13">
        <f t="shared" si="736"/>
        <v>3.6</v>
      </c>
      <c r="Q1287" s="1" t="str">
        <f t="shared" si="737"/>
        <v>50-90 шт - 3,6 руб / шт с НДС</v>
      </c>
      <c r="R1287" s="235" t="str">
        <f ca="1">INDIRECT("'Закуп'!k" &amp; A1287)</f>
        <v>K1026</v>
      </c>
      <c r="S1287" s="239">
        <f ca="1">INDIRECT("'Закуп'!o" &amp; A1287)</f>
        <v>48</v>
      </c>
      <c r="T1287" s="226" t="str">
        <f ca="1">INDIRECT("'Закуп'!p" &amp; A1287)</f>
        <v>30-49 литров</v>
      </c>
      <c r="U1287" s="228" t="str">
        <f ca="1">INDIRECT("'Закуп'!v" &amp; A1287)</f>
        <v/>
      </c>
      <c r="V1287" s="222" t="str">
        <f ca="1">INDIRECT("'Закуп'!w" &amp; A1287)</f>
        <v/>
      </c>
      <c r="W1287" s="229" t="str">
        <f ca="1">INDIRECT("'Закуп'!H" &amp; A1287)</f>
        <v>0201</v>
      </c>
      <c r="X1287" s="227" t="str">
        <f t="shared" ref="X1287" ca="1" si="753">INDIRECT("'Закуп'!g" &amp; A1287)</f>
        <v>Ч</v>
      </c>
      <c r="Y1287" s="229" t="str">
        <f ca="1">INDIRECT("'Закуп'!i" &amp; A1287)</f>
        <v>В</v>
      </c>
      <c r="Z1287" s="236" t="str">
        <f ca="1">INDIRECT("'Закуп'!x" &amp; A1287)</f>
        <v>400-499 мм</v>
      </c>
      <c r="AA1287" s="237" t="str">
        <f ca="1">INDIRECT("'Закуп'!y" &amp; A1287)</f>
        <v>400-499 мм</v>
      </c>
      <c r="AB1287" s="238" t="str">
        <f ca="1">INDIRECT("'Закуп'!z" &amp; A1287)</f>
        <v>300-399 мм</v>
      </c>
      <c r="AC1287" s="223" t="str">
        <f t="shared" ca="1" si="742"/>
        <v>400x300x400</v>
      </c>
      <c r="AD1287" s="222" t="str">
        <f t="shared" ca="1" si="728"/>
        <v>400x300x400 - 400*300*400 мм</v>
      </c>
    </row>
    <row r="1288" spans="1:30" x14ac:dyDescent="0.4">
      <c r="A1288" s="230"/>
      <c r="B1288" s="8">
        <v>259</v>
      </c>
      <c r="C1288" s="14">
        <f t="shared" ca="1" si="723"/>
        <v>1.4</v>
      </c>
      <c r="D1288" s="20">
        <f t="shared" ca="1" si="729"/>
        <v>1.68</v>
      </c>
      <c r="E1288" s="225"/>
      <c r="F1288" s="231"/>
      <c r="G1288" s="172" t="str">
        <f t="shared" ca="1" si="749"/>
        <v/>
      </c>
      <c r="H1288" s="93" t="str">
        <f t="shared" ca="1" si="750"/>
        <v/>
      </c>
      <c r="I1288" s="21">
        <v>100</v>
      </c>
      <c r="J1288" s="68">
        <f t="shared" si="751"/>
        <v>2.4</v>
      </c>
      <c r="K1288" s="70">
        <v>2.88</v>
      </c>
      <c r="L1288" s="72">
        <f t="shared" ca="1" si="746"/>
        <v>0.8</v>
      </c>
      <c r="M1288" s="73">
        <f t="shared" ca="1" si="747"/>
        <v>80</v>
      </c>
      <c r="N1288" s="12" t="s">
        <v>41</v>
      </c>
      <c r="O1288" s="47" t="s">
        <v>45</v>
      </c>
      <c r="P1288" s="13">
        <f t="shared" si="736"/>
        <v>2.88</v>
      </c>
      <c r="Q1288" s="1" t="str">
        <f t="shared" si="737"/>
        <v>100-290 шт - 2,88 руб / шт с НДС</v>
      </c>
      <c r="R1288" s="235"/>
      <c r="S1288" s="239"/>
      <c r="T1288" s="226"/>
      <c r="U1288" s="228"/>
      <c r="V1288" s="222"/>
      <c r="W1288" s="229"/>
      <c r="X1288" s="227"/>
      <c r="Y1288" s="229"/>
      <c r="Z1288" s="236"/>
      <c r="AA1288" s="237"/>
      <c r="AB1288" s="238"/>
      <c r="AC1288" s="223"/>
      <c r="AD1288" s="222"/>
    </row>
    <row r="1289" spans="1:30" x14ac:dyDescent="0.4">
      <c r="A1289" s="230"/>
      <c r="B1289" s="8">
        <v>259</v>
      </c>
      <c r="C1289" s="14">
        <f t="shared" ca="1" si="723"/>
        <v>1.4</v>
      </c>
      <c r="D1289" s="20">
        <f t="shared" ca="1" si="729"/>
        <v>1.68</v>
      </c>
      <c r="E1289" s="225"/>
      <c r="F1289" s="231"/>
      <c r="G1289" s="172" t="str">
        <f t="shared" ca="1" si="749"/>
        <v/>
      </c>
      <c r="H1289" s="93" t="str">
        <f t="shared" ca="1" si="750"/>
        <v/>
      </c>
      <c r="I1289" s="21">
        <v>300</v>
      </c>
      <c r="J1289" s="68">
        <f t="shared" si="751"/>
        <v>2.0250000000000004</v>
      </c>
      <c r="K1289" s="70">
        <v>2.4300000000000002</v>
      </c>
      <c r="L1289" s="72">
        <f t="shared" ca="1" si="746"/>
        <v>0.50000000000000033</v>
      </c>
      <c r="M1289" s="73">
        <f t="shared" ca="1" si="747"/>
        <v>150.00000000000011</v>
      </c>
      <c r="N1289" s="12" t="s">
        <v>42</v>
      </c>
      <c r="O1289" s="47" t="s">
        <v>45</v>
      </c>
      <c r="P1289" s="13">
        <f t="shared" si="736"/>
        <v>2.4300000000000002</v>
      </c>
      <c r="Q1289" s="1" t="str">
        <f t="shared" si="737"/>
        <v>300-490 шт - 2,43 руб / шт с НДС</v>
      </c>
      <c r="R1289" s="235"/>
      <c r="S1289" s="239"/>
      <c r="T1289" s="226"/>
      <c r="U1289" s="228"/>
      <c r="V1289" s="222"/>
      <c r="W1289" s="229"/>
      <c r="X1289" s="227"/>
      <c r="Y1289" s="229"/>
      <c r="Z1289" s="236"/>
      <c r="AA1289" s="237"/>
      <c r="AB1289" s="238"/>
      <c r="AC1289" s="223"/>
      <c r="AD1289" s="222"/>
    </row>
    <row r="1290" spans="1:30" x14ac:dyDescent="0.4">
      <c r="A1290" s="230"/>
      <c r="B1290" s="8">
        <v>259</v>
      </c>
      <c r="C1290" s="14">
        <f t="shared" ca="1" si="723"/>
        <v>1.4</v>
      </c>
      <c r="D1290" s="20">
        <f t="shared" ca="1" si="729"/>
        <v>1.68</v>
      </c>
      <c r="E1290" s="225"/>
      <c r="F1290" s="231"/>
      <c r="G1290" s="172" t="str">
        <f t="shared" ca="1" si="749"/>
        <v/>
      </c>
      <c r="H1290" s="93" t="str">
        <f t="shared" ca="1" si="750"/>
        <v/>
      </c>
      <c r="I1290" s="21">
        <v>500</v>
      </c>
      <c r="J1290" s="68">
        <f t="shared" si="751"/>
        <v>1.9166666666666665</v>
      </c>
      <c r="K1290" s="70">
        <v>2.2999999999999998</v>
      </c>
      <c r="L1290" s="72">
        <f t="shared" ca="1" si="746"/>
        <v>0.41333333333333327</v>
      </c>
      <c r="M1290" s="73">
        <f t="shared" ca="1" si="747"/>
        <v>206.66666666666663</v>
      </c>
      <c r="N1290" s="12" t="s">
        <v>43</v>
      </c>
      <c r="O1290" s="47" t="s">
        <v>45</v>
      </c>
      <c r="P1290" s="13">
        <f t="shared" si="736"/>
        <v>2.2999999999999998</v>
      </c>
      <c r="Q1290" s="1" t="str">
        <f t="shared" si="737"/>
        <v>500-990 шт - 2,3 руб / шт с НДС</v>
      </c>
      <c r="R1290" s="235"/>
      <c r="S1290" s="239"/>
      <c r="T1290" s="226"/>
      <c r="U1290" s="228"/>
      <c r="V1290" s="222"/>
      <c r="W1290" s="229"/>
      <c r="X1290" s="227"/>
      <c r="Y1290" s="229"/>
      <c r="Z1290" s="236"/>
      <c r="AA1290" s="237"/>
      <c r="AB1290" s="238"/>
      <c r="AC1290" s="223"/>
      <c r="AD1290" s="222"/>
    </row>
    <row r="1291" spans="1:30" x14ac:dyDescent="0.4">
      <c r="A1291" s="230"/>
      <c r="B1291" s="8">
        <v>259</v>
      </c>
      <c r="C1291" s="14">
        <f t="shared" ca="1" si="723"/>
        <v>1.4</v>
      </c>
      <c r="D1291" s="20">
        <f t="shared" ca="1" si="729"/>
        <v>1.68</v>
      </c>
      <c r="E1291" s="225"/>
      <c r="F1291" s="231"/>
      <c r="G1291" s="172" t="str">
        <f t="shared" ca="1" si="749"/>
        <v/>
      </c>
      <c r="H1291" s="93" t="str">
        <f t="shared" ca="1" si="750"/>
        <v/>
      </c>
      <c r="I1291" s="21">
        <v>1000</v>
      </c>
      <c r="J1291" s="68">
        <f t="shared" si="751"/>
        <v>1.825</v>
      </c>
      <c r="K1291" s="70">
        <v>2.19</v>
      </c>
      <c r="L1291" s="72">
        <f t="shared" ca="1" si="746"/>
        <v>0.34</v>
      </c>
      <c r="M1291" s="73">
        <f t="shared" ca="1" si="747"/>
        <v>340</v>
      </c>
      <c r="N1291" s="12" t="s">
        <v>44</v>
      </c>
      <c r="O1291" s="47" t="s">
        <v>45</v>
      </c>
      <c r="P1291" s="13">
        <f t="shared" si="736"/>
        <v>2.19</v>
      </c>
      <c r="Q1291" s="1" t="str">
        <f t="shared" si="737"/>
        <v>1000 + шт - 2,19 руб / шт с НДС</v>
      </c>
      <c r="R1291" s="235"/>
      <c r="S1291" s="239"/>
      <c r="T1291" s="226"/>
      <c r="U1291" s="228"/>
      <c r="V1291" s="222"/>
      <c r="W1291" s="229"/>
      <c r="X1291" s="227"/>
      <c r="Y1291" s="229"/>
      <c r="Z1291" s="236"/>
      <c r="AA1291" s="237"/>
      <c r="AB1291" s="238"/>
      <c r="AC1291" s="223"/>
      <c r="AD1291" s="222"/>
    </row>
    <row r="1292" spans="1:30" x14ac:dyDescent="0.4">
      <c r="A1292" s="230">
        <v>260</v>
      </c>
      <c r="B1292" s="8">
        <v>260</v>
      </c>
      <c r="C1292" s="14">
        <f t="shared" ca="1" si="723"/>
        <v>0.91</v>
      </c>
      <c r="D1292" s="20">
        <f t="shared" ca="1" si="729"/>
        <v>1.0920000000000001</v>
      </c>
      <c r="E1292" s="225" t="str">
        <f ca="1">INDIRECT("'Закуп'!D" &amp; A1292)</f>
        <v>У или др</v>
      </c>
      <c r="F1292" s="231" t="str">
        <f t="shared" ref="F1292" ca="1" si="754">INDIRECT("'Закуп'!E" &amp; B1292)</f>
        <v>300х200х300</v>
      </c>
      <c r="G1292" s="172" t="str">
        <f t="shared" ca="1" si="749"/>
        <v/>
      </c>
      <c r="H1292" s="93" t="str">
        <f t="shared" ca="1" si="750"/>
        <v/>
      </c>
      <c r="I1292" s="21">
        <v>50</v>
      </c>
      <c r="J1292" s="68">
        <f t="shared" si="751"/>
        <v>1.9416666666666669</v>
      </c>
      <c r="K1292" s="70">
        <v>2.33</v>
      </c>
      <c r="L1292" s="72">
        <f t="shared" ca="1" si="746"/>
        <v>0.82533333333333336</v>
      </c>
      <c r="M1292" s="73">
        <f t="shared" ca="1" si="747"/>
        <v>41.266666666666666</v>
      </c>
      <c r="N1292" s="12" t="s">
        <v>40</v>
      </c>
      <c r="O1292" s="47" t="s">
        <v>45</v>
      </c>
      <c r="P1292" s="13">
        <f t="shared" si="736"/>
        <v>2.33</v>
      </c>
      <c r="Q1292" s="1" t="str">
        <f t="shared" si="737"/>
        <v>50-90 шт - 2,33 руб / шт с НДС</v>
      </c>
      <c r="R1292" s="235" t="str">
        <f ca="1">INDIRECT("'Закуп'!k" &amp; A1292)</f>
        <v>K1027</v>
      </c>
      <c r="S1292" s="239">
        <f ca="1">INDIRECT("'Закуп'!o" &amp; A1292)</f>
        <v>18</v>
      </c>
      <c r="T1292" s="226" t="str">
        <f ca="1">INDIRECT("'Закуп'!p" &amp; A1292)</f>
        <v>15-19,9 литров</v>
      </c>
      <c r="U1292" s="228" t="str">
        <f ca="1">INDIRECT("'Закуп'!v" &amp; A1292)</f>
        <v/>
      </c>
      <c r="V1292" s="222" t="str">
        <f ca="1">INDIRECT("'Закуп'!w" &amp; A1292)</f>
        <v/>
      </c>
      <c r="W1292" s="229" t="str">
        <f ca="1">INDIRECT("'Закуп'!H" &amp; A1292)</f>
        <v>0201</v>
      </c>
      <c r="X1292" s="227" t="str">
        <f t="shared" ref="X1292" ca="1" si="755">INDIRECT("'Закуп'!g" &amp; A1292)</f>
        <v>Ч</v>
      </c>
      <c r="Y1292" s="229" t="str">
        <f ca="1">INDIRECT("'Закуп'!i" &amp; A1292)</f>
        <v>В</v>
      </c>
      <c r="Z1292" s="236" t="str">
        <f ca="1">INDIRECT("'Закуп'!x" &amp; A1292)</f>
        <v>300-399 мм</v>
      </c>
      <c r="AA1292" s="237" t="str">
        <f ca="1">INDIRECT("'Закуп'!y" &amp; A1292)</f>
        <v>300-399 мм</v>
      </c>
      <c r="AB1292" s="238" t="str">
        <f ca="1">INDIRECT("'Закуп'!z" &amp; A1292)</f>
        <v>200-299 мм</v>
      </c>
      <c r="AC1292" s="223" t="str">
        <f t="shared" ca="1" si="742"/>
        <v>300x200x300</v>
      </c>
      <c r="AD1292" s="222" t="str">
        <f t="shared" ca="1" si="728"/>
        <v>300x200x300 - 300*200*300 мм</v>
      </c>
    </row>
    <row r="1293" spans="1:30" x14ac:dyDescent="0.4">
      <c r="A1293" s="230"/>
      <c r="B1293" s="8">
        <v>260</v>
      </c>
      <c r="C1293" s="14">
        <f t="shared" ca="1" si="723"/>
        <v>0.91</v>
      </c>
      <c r="D1293" s="20">
        <f t="shared" ca="1" si="729"/>
        <v>1.0920000000000001</v>
      </c>
      <c r="E1293" s="225"/>
      <c r="F1293" s="231"/>
      <c r="G1293" s="172" t="str">
        <f t="shared" ca="1" si="749"/>
        <v/>
      </c>
      <c r="H1293" s="93" t="str">
        <f t="shared" ca="1" si="750"/>
        <v/>
      </c>
      <c r="I1293" s="21">
        <v>100</v>
      </c>
      <c r="J1293" s="68">
        <f t="shared" si="751"/>
        <v>1.6583333333333334</v>
      </c>
      <c r="K1293" s="70">
        <v>1.99</v>
      </c>
      <c r="L1293" s="72">
        <f t="shared" ca="1" si="746"/>
        <v>0.59866666666666668</v>
      </c>
      <c r="M1293" s="73">
        <f t="shared" ca="1" si="747"/>
        <v>59.866666666666667</v>
      </c>
      <c r="N1293" s="12" t="s">
        <v>41</v>
      </c>
      <c r="O1293" s="47" t="s">
        <v>45</v>
      </c>
      <c r="P1293" s="13">
        <f t="shared" si="736"/>
        <v>1.99</v>
      </c>
      <c r="Q1293" s="1" t="str">
        <f t="shared" si="737"/>
        <v>100-290 шт - 1,99 руб / шт с НДС</v>
      </c>
      <c r="R1293" s="235"/>
      <c r="S1293" s="239"/>
      <c r="T1293" s="226"/>
      <c r="U1293" s="228"/>
      <c r="V1293" s="222"/>
      <c r="W1293" s="229"/>
      <c r="X1293" s="227"/>
      <c r="Y1293" s="229"/>
      <c r="Z1293" s="236"/>
      <c r="AA1293" s="237"/>
      <c r="AB1293" s="238"/>
      <c r="AC1293" s="223"/>
      <c r="AD1293" s="222"/>
    </row>
    <row r="1294" spans="1:30" x14ac:dyDescent="0.4">
      <c r="A1294" s="230"/>
      <c r="B1294" s="8">
        <v>260</v>
      </c>
      <c r="C1294" s="14">
        <f t="shared" ca="1" si="723"/>
        <v>0.91</v>
      </c>
      <c r="D1294" s="20">
        <f t="shared" ca="1" si="729"/>
        <v>1.0920000000000001</v>
      </c>
      <c r="E1294" s="225"/>
      <c r="F1294" s="231"/>
      <c r="G1294" s="172" t="str">
        <f t="shared" ca="1" si="749"/>
        <v/>
      </c>
      <c r="H1294" s="93" t="str">
        <f t="shared" ca="1" si="750"/>
        <v/>
      </c>
      <c r="I1294" s="21">
        <v>300</v>
      </c>
      <c r="J1294" s="68">
        <f t="shared" si="751"/>
        <v>1.4416666666666667</v>
      </c>
      <c r="K1294" s="70">
        <v>1.73</v>
      </c>
      <c r="L1294" s="72">
        <f t="shared" ca="1" si="746"/>
        <v>0.42533333333333329</v>
      </c>
      <c r="M1294" s="73">
        <f t="shared" ca="1" si="747"/>
        <v>127.59999999999998</v>
      </c>
      <c r="N1294" s="12" t="s">
        <v>42</v>
      </c>
      <c r="O1294" s="47" t="s">
        <v>45</v>
      </c>
      <c r="P1294" s="13">
        <f t="shared" si="736"/>
        <v>1.73</v>
      </c>
      <c r="Q1294" s="1" t="str">
        <f t="shared" si="737"/>
        <v>300-490 шт - 1,73 руб / шт с НДС</v>
      </c>
      <c r="R1294" s="235"/>
      <c r="S1294" s="239"/>
      <c r="T1294" s="226"/>
      <c r="U1294" s="228"/>
      <c r="V1294" s="222"/>
      <c r="W1294" s="229"/>
      <c r="X1294" s="227"/>
      <c r="Y1294" s="229"/>
      <c r="Z1294" s="236"/>
      <c r="AA1294" s="237"/>
      <c r="AB1294" s="238"/>
      <c r="AC1294" s="223"/>
      <c r="AD1294" s="222"/>
    </row>
    <row r="1295" spans="1:30" x14ac:dyDescent="0.4">
      <c r="A1295" s="230"/>
      <c r="B1295" s="8">
        <v>260</v>
      </c>
      <c r="C1295" s="14">
        <f t="shared" ca="1" si="723"/>
        <v>0.91</v>
      </c>
      <c r="D1295" s="20">
        <f t="shared" ca="1" si="729"/>
        <v>1.0920000000000001</v>
      </c>
      <c r="E1295" s="225"/>
      <c r="F1295" s="231"/>
      <c r="G1295" s="172" t="str">
        <f t="shared" ca="1" si="749"/>
        <v/>
      </c>
      <c r="H1295" s="93" t="str">
        <f t="shared" ca="1" si="750"/>
        <v/>
      </c>
      <c r="I1295" s="21">
        <v>500</v>
      </c>
      <c r="J1295" s="68">
        <f t="shared" si="751"/>
        <v>1.2916666666666667</v>
      </c>
      <c r="K1295" s="70">
        <v>1.55</v>
      </c>
      <c r="L1295" s="72">
        <f t="shared" ca="1" si="746"/>
        <v>0.30533333333333335</v>
      </c>
      <c r="M1295" s="73">
        <f t="shared" ca="1" si="747"/>
        <v>152.66666666666669</v>
      </c>
      <c r="N1295" s="12" t="s">
        <v>43</v>
      </c>
      <c r="O1295" s="47" t="s">
        <v>45</v>
      </c>
      <c r="P1295" s="13">
        <f t="shared" si="736"/>
        <v>1.55</v>
      </c>
      <c r="Q1295" s="1" t="str">
        <f t="shared" si="737"/>
        <v>500-990 шт - 1,55 руб / шт с НДС</v>
      </c>
      <c r="R1295" s="235"/>
      <c r="S1295" s="239"/>
      <c r="T1295" s="226"/>
      <c r="U1295" s="228"/>
      <c r="V1295" s="222"/>
      <c r="W1295" s="229"/>
      <c r="X1295" s="227"/>
      <c r="Y1295" s="229"/>
      <c r="Z1295" s="236"/>
      <c r="AA1295" s="237"/>
      <c r="AB1295" s="238"/>
      <c r="AC1295" s="223"/>
      <c r="AD1295" s="222"/>
    </row>
    <row r="1296" spans="1:30" x14ac:dyDescent="0.4">
      <c r="A1296" s="230"/>
      <c r="B1296" s="8">
        <v>260</v>
      </c>
      <c r="C1296" s="14">
        <f t="shared" ca="1" si="723"/>
        <v>0.91</v>
      </c>
      <c r="D1296" s="20">
        <f t="shared" ca="1" si="729"/>
        <v>1.0920000000000001</v>
      </c>
      <c r="E1296" s="225"/>
      <c r="F1296" s="231"/>
      <c r="G1296" s="172" t="str">
        <f t="shared" ca="1" si="749"/>
        <v/>
      </c>
      <c r="H1296" s="93" t="str">
        <f t="shared" ca="1" si="750"/>
        <v/>
      </c>
      <c r="I1296" s="21">
        <v>1000</v>
      </c>
      <c r="J1296" s="68">
        <f t="shared" si="751"/>
        <v>1.2333333333333334</v>
      </c>
      <c r="K1296" s="70">
        <v>1.48</v>
      </c>
      <c r="L1296" s="72">
        <f t="shared" ca="1" si="746"/>
        <v>0.25866666666666671</v>
      </c>
      <c r="M1296" s="73">
        <f t="shared" ca="1" si="747"/>
        <v>258.66666666666669</v>
      </c>
      <c r="N1296" s="12" t="s">
        <v>44</v>
      </c>
      <c r="O1296" s="47" t="s">
        <v>45</v>
      </c>
      <c r="P1296" s="13">
        <f t="shared" si="736"/>
        <v>1.48</v>
      </c>
      <c r="Q1296" s="1" t="str">
        <f t="shared" si="737"/>
        <v>1000 + шт - 1,48 руб / шт с НДС</v>
      </c>
      <c r="R1296" s="235"/>
      <c r="S1296" s="239"/>
      <c r="T1296" s="226"/>
      <c r="U1296" s="228"/>
      <c r="V1296" s="222"/>
      <c r="W1296" s="229"/>
      <c r="X1296" s="227"/>
      <c r="Y1296" s="229"/>
      <c r="Z1296" s="236"/>
      <c r="AA1296" s="237"/>
      <c r="AB1296" s="238"/>
      <c r="AC1296" s="223"/>
      <c r="AD1296" s="222"/>
    </row>
    <row r="1297" spans="1:30" x14ac:dyDescent="0.4">
      <c r="A1297" s="230">
        <v>261</v>
      </c>
      <c r="B1297" s="8">
        <v>261</v>
      </c>
      <c r="C1297" s="14">
        <f t="shared" ca="1" si="723"/>
        <v>0.69</v>
      </c>
      <c r="D1297" s="20">
        <f t="shared" ca="1" si="729"/>
        <v>0.82799999999999996</v>
      </c>
      <c r="E1297" s="225" t="str">
        <f ca="1">INDIRECT("'Закуп'!D" &amp; A1297)</f>
        <v>К</v>
      </c>
      <c r="F1297" s="231" t="str">
        <f t="shared" ref="F1297" ca="1" si="756">INDIRECT("'Закуп'!E" &amp; B1297)</f>
        <v>290х190х190</v>
      </c>
      <c r="G1297" s="172" t="str">
        <f t="shared" ca="1" si="749"/>
        <v/>
      </c>
      <c r="H1297" s="93" t="str">
        <f t="shared" ca="1" si="750"/>
        <v/>
      </c>
      <c r="I1297" s="21">
        <v>50</v>
      </c>
      <c r="J1297" s="68">
        <f t="shared" si="751"/>
        <v>1.6916666666666667</v>
      </c>
      <c r="K1297" s="70">
        <v>2.0299999999999998</v>
      </c>
      <c r="L1297" s="72">
        <f t="shared" ca="1" si="746"/>
        <v>0.80133333333333334</v>
      </c>
      <c r="M1297" s="73">
        <f t="shared" ca="1" si="747"/>
        <v>40.06666666666667</v>
      </c>
      <c r="N1297" s="12" t="s">
        <v>40</v>
      </c>
      <c r="O1297" s="47" t="s">
        <v>45</v>
      </c>
      <c r="P1297" s="13">
        <f t="shared" si="736"/>
        <v>2.0299999999999998</v>
      </c>
      <c r="Q1297" s="1" t="str">
        <f t="shared" si="737"/>
        <v>50-90 шт - 2,03 руб / шт с НДС</v>
      </c>
      <c r="R1297" s="235" t="str">
        <f ca="1">INDIRECT("'Закуп'!k" &amp; A1297)</f>
        <v>K1028</v>
      </c>
      <c r="S1297" s="239">
        <f ca="1">INDIRECT("'Закуп'!o" &amp; A1297)</f>
        <v>10.47</v>
      </c>
      <c r="T1297" s="226" t="str">
        <f ca="1">INDIRECT("'Закуп'!p" &amp; A1297)</f>
        <v>10-14,9 литров</v>
      </c>
      <c r="U1297" s="228" t="str">
        <f ca="1">INDIRECT("'Закуп'!v" &amp; A1297)</f>
        <v/>
      </c>
      <c r="V1297" s="222" t="str">
        <f ca="1">INDIRECT("'Закуп'!w" &amp; A1297)</f>
        <v/>
      </c>
      <c r="W1297" s="229" t="str">
        <f ca="1">INDIRECT("'Закуп'!H" &amp; A1297)</f>
        <v>0201</v>
      </c>
      <c r="X1297" s="227" t="str">
        <f t="shared" ref="X1297" ca="1" si="757">INDIRECT("'Закуп'!g" &amp; A1297)</f>
        <v>Ч</v>
      </c>
      <c r="Y1297" s="229" t="str">
        <f ca="1">INDIRECT("'Закуп'!i" &amp; A1297)</f>
        <v>В</v>
      </c>
      <c r="Z1297" s="236" t="str">
        <f ca="1">INDIRECT("'Закуп'!x" &amp; A1297)</f>
        <v>200-299 мм</v>
      </c>
      <c r="AA1297" s="237" t="str">
        <f ca="1">INDIRECT("'Закуп'!y" &amp; A1297)</f>
        <v>100-199 мм</v>
      </c>
      <c r="AB1297" s="238" t="str">
        <f ca="1">INDIRECT("'Закуп'!z" &amp; A1297)</f>
        <v>100-199 мм</v>
      </c>
      <c r="AC1297" s="223" t="str">
        <f t="shared" ca="1" si="742"/>
        <v>290x190x190</v>
      </c>
      <c r="AD1297" s="222" t="str">
        <f t="shared" ca="1" si="728"/>
        <v>290x190x190 - 290*190*190 мм</v>
      </c>
    </row>
    <row r="1298" spans="1:30" x14ac:dyDescent="0.4">
      <c r="A1298" s="230"/>
      <c r="B1298" s="8">
        <v>261</v>
      </c>
      <c r="C1298" s="14">
        <f t="shared" ca="1" si="723"/>
        <v>0.69</v>
      </c>
      <c r="D1298" s="20">
        <f t="shared" ca="1" si="729"/>
        <v>0.82799999999999996</v>
      </c>
      <c r="E1298" s="225"/>
      <c r="F1298" s="231"/>
      <c r="G1298" s="172" t="str">
        <f t="shared" ca="1" si="749"/>
        <v/>
      </c>
      <c r="H1298" s="93" t="str">
        <f t="shared" ca="1" si="750"/>
        <v/>
      </c>
      <c r="I1298" s="21">
        <v>100</v>
      </c>
      <c r="J1298" s="68">
        <f t="shared" si="751"/>
        <v>1.5166666666666668</v>
      </c>
      <c r="K1298" s="70">
        <v>1.82</v>
      </c>
      <c r="L1298" s="72">
        <f t="shared" ca="1" si="746"/>
        <v>0.66133333333333355</v>
      </c>
      <c r="M1298" s="73">
        <f t="shared" ca="1" si="747"/>
        <v>66.133333333333354</v>
      </c>
      <c r="N1298" s="12" t="s">
        <v>41</v>
      </c>
      <c r="O1298" s="47" t="s">
        <v>45</v>
      </c>
      <c r="P1298" s="13">
        <f t="shared" si="736"/>
        <v>1.82</v>
      </c>
      <c r="Q1298" s="1" t="str">
        <f t="shared" si="737"/>
        <v>100-290 шт - 1,82 руб / шт с НДС</v>
      </c>
      <c r="R1298" s="235"/>
      <c r="S1298" s="239"/>
      <c r="T1298" s="226"/>
      <c r="U1298" s="228"/>
      <c r="V1298" s="222"/>
      <c r="W1298" s="229"/>
      <c r="X1298" s="227"/>
      <c r="Y1298" s="229"/>
      <c r="Z1298" s="236"/>
      <c r="AA1298" s="237"/>
      <c r="AB1298" s="238"/>
      <c r="AC1298" s="223"/>
      <c r="AD1298" s="222"/>
    </row>
    <row r="1299" spans="1:30" x14ac:dyDescent="0.4">
      <c r="A1299" s="230"/>
      <c r="B1299" s="8">
        <v>261</v>
      </c>
      <c r="C1299" s="14">
        <f t="shared" ca="1" si="723"/>
        <v>0.69</v>
      </c>
      <c r="D1299" s="20">
        <f t="shared" ca="1" si="729"/>
        <v>0.82799999999999996</v>
      </c>
      <c r="E1299" s="225"/>
      <c r="F1299" s="231"/>
      <c r="G1299" s="172" t="str">
        <f t="shared" ca="1" si="749"/>
        <v/>
      </c>
      <c r="H1299" s="93" t="str">
        <f t="shared" ca="1" si="750"/>
        <v/>
      </c>
      <c r="I1299" s="21">
        <v>300</v>
      </c>
      <c r="J1299" s="68">
        <f t="shared" si="751"/>
        <v>1.3416666666666668</v>
      </c>
      <c r="K1299" s="70">
        <v>1.61</v>
      </c>
      <c r="L1299" s="72">
        <f t="shared" ca="1" si="746"/>
        <v>0.52133333333333343</v>
      </c>
      <c r="M1299" s="73">
        <f t="shared" ca="1" si="747"/>
        <v>156.40000000000003</v>
      </c>
      <c r="N1299" s="12" t="s">
        <v>42</v>
      </c>
      <c r="O1299" s="47" t="s">
        <v>45</v>
      </c>
      <c r="P1299" s="13">
        <f t="shared" si="736"/>
        <v>1.61</v>
      </c>
      <c r="Q1299" s="1" t="str">
        <f t="shared" si="737"/>
        <v>300-490 шт - 1,61 руб / шт с НДС</v>
      </c>
      <c r="R1299" s="235"/>
      <c r="S1299" s="239"/>
      <c r="T1299" s="226"/>
      <c r="U1299" s="228"/>
      <c r="V1299" s="222"/>
      <c r="W1299" s="229"/>
      <c r="X1299" s="227"/>
      <c r="Y1299" s="229"/>
      <c r="Z1299" s="236"/>
      <c r="AA1299" s="237"/>
      <c r="AB1299" s="238"/>
      <c r="AC1299" s="223"/>
      <c r="AD1299" s="222"/>
    </row>
    <row r="1300" spans="1:30" x14ac:dyDescent="0.4">
      <c r="A1300" s="230"/>
      <c r="B1300" s="8">
        <v>261</v>
      </c>
      <c r="C1300" s="14">
        <f t="shared" ca="1" si="723"/>
        <v>0.69</v>
      </c>
      <c r="D1300" s="20">
        <f t="shared" ca="1" si="729"/>
        <v>0.82799999999999996</v>
      </c>
      <c r="E1300" s="225"/>
      <c r="F1300" s="231"/>
      <c r="G1300" s="172" t="str">
        <f t="shared" ca="1" si="749"/>
        <v/>
      </c>
      <c r="H1300" s="93" t="str">
        <f t="shared" ca="1" si="750"/>
        <v/>
      </c>
      <c r="I1300" s="21">
        <v>500</v>
      </c>
      <c r="J1300" s="68">
        <f t="shared" si="751"/>
        <v>1.25</v>
      </c>
      <c r="K1300" s="70">
        <v>1.5</v>
      </c>
      <c r="L1300" s="72">
        <f t="shared" ca="1" si="746"/>
        <v>0.44800000000000006</v>
      </c>
      <c r="M1300" s="73">
        <f t="shared" ca="1" si="747"/>
        <v>224.00000000000003</v>
      </c>
      <c r="N1300" s="12" t="s">
        <v>43</v>
      </c>
      <c r="O1300" s="47" t="s">
        <v>45</v>
      </c>
      <c r="P1300" s="13">
        <f t="shared" si="736"/>
        <v>1.5</v>
      </c>
      <c r="Q1300" s="1" t="str">
        <f t="shared" si="737"/>
        <v>500-990 шт - 1,5 руб / шт с НДС</v>
      </c>
      <c r="R1300" s="235"/>
      <c r="S1300" s="239"/>
      <c r="T1300" s="226"/>
      <c r="U1300" s="228"/>
      <c r="V1300" s="222"/>
      <c r="W1300" s="229"/>
      <c r="X1300" s="227"/>
      <c r="Y1300" s="229"/>
      <c r="Z1300" s="236"/>
      <c r="AA1300" s="237"/>
      <c r="AB1300" s="238"/>
      <c r="AC1300" s="223"/>
      <c r="AD1300" s="222"/>
    </row>
    <row r="1301" spans="1:30" x14ac:dyDescent="0.4">
      <c r="A1301" s="230"/>
      <c r="B1301" s="8">
        <v>261</v>
      </c>
      <c r="C1301" s="14">
        <f t="shared" ca="1" si="723"/>
        <v>0.69</v>
      </c>
      <c r="D1301" s="20">
        <f t="shared" ca="1" si="729"/>
        <v>0.82799999999999996</v>
      </c>
      <c r="E1301" s="225"/>
      <c r="F1301" s="231"/>
      <c r="G1301" s="172" t="str">
        <f t="shared" ca="1" si="749"/>
        <v/>
      </c>
      <c r="H1301" s="93" t="str">
        <f t="shared" ca="1" si="750"/>
        <v/>
      </c>
      <c r="I1301" s="21">
        <v>1000</v>
      </c>
      <c r="J1301" s="68">
        <f t="shared" si="751"/>
        <v>1.1583333333333332</v>
      </c>
      <c r="K1301" s="70">
        <v>1.39</v>
      </c>
      <c r="L1301" s="72">
        <f t="shared" ca="1" si="746"/>
        <v>0.37466666666666659</v>
      </c>
      <c r="M1301" s="73">
        <f t="shared" ca="1" si="747"/>
        <v>374.66666666666657</v>
      </c>
      <c r="N1301" s="12" t="s">
        <v>44</v>
      </c>
      <c r="O1301" s="47" t="s">
        <v>45</v>
      </c>
      <c r="P1301" s="13">
        <f t="shared" si="736"/>
        <v>1.39</v>
      </c>
      <c r="Q1301" s="1" t="str">
        <f t="shared" si="737"/>
        <v>1000 + шт - 1,39 руб / шт с НДС</v>
      </c>
      <c r="R1301" s="235"/>
      <c r="S1301" s="239"/>
      <c r="T1301" s="226"/>
      <c r="U1301" s="228"/>
      <c r="V1301" s="222"/>
      <c r="W1301" s="229"/>
      <c r="X1301" s="227"/>
      <c r="Y1301" s="229"/>
      <c r="Z1301" s="236"/>
      <c r="AA1301" s="237"/>
      <c r="AB1301" s="238"/>
      <c r="AC1301" s="223"/>
      <c r="AD1301" s="222"/>
    </row>
    <row r="1302" spans="1:30" x14ac:dyDescent="0.4">
      <c r="A1302" s="230">
        <v>262</v>
      </c>
      <c r="B1302" s="8">
        <v>262</v>
      </c>
      <c r="C1302" s="14">
        <f t="shared" ref="C1302:C1365" ca="1" si="758">INDIRECT("'Закуп'!A" &amp; B1302)</f>
        <v>1.55</v>
      </c>
      <c r="D1302" s="20">
        <f t="shared" ca="1" si="729"/>
        <v>1.8599999999999999</v>
      </c>
      <c r="E1302" s="225" t="str">
        <f ca="1">INDIRECT("'Закуп'!D" &amp; A1302)</f>
        <v>СК</v>
      </c>
      <c r="F1302" s="231" t="str">
        <f t="shared" ref="F1302" ca="1" si="759">INDIRECT("'Закуп'!E" &amp; B1302)</f>
        <v>325х235х235</v>
      </c>
      <c r="G1302" s="172" t="str">
        <f t="shared" ca="1" si="749"/>
        <v/>
      </c>
      <c r="H1302" s="93" t="str">
        <f t="shared" ca="1" si="750"/>
        <v/>
      </c>
      <c r="I1302" s="21">
        <v>50</v>
      </c>
      <c r="J1302" s="68">
        <f t="shared" si="751"/>
        <v>2.85</v>
      </c>
      <c r="K1302" s="70">
        <v>3.42</v>
      </c>
      <c r="L1302" s="72">
        <f t="shared" ca="1" si="746"/>
        <v>1.04</v>
      </c>
      <c r="M1302" s="73">
        <f t="shared" ca="1" si="747"/>
        <v>52</v>
      </c>
      <c r="N1302" s="12" t="s">
        <v>40</v>
      </c>
      <c r="O1302" s="47" t="s">
        <v>45</v>
      </c>
      <c r="P1302" s="13">
        <f t="shared" si="736"/>
        <v>3.42</v>
      </c>
      <c r="Q1302" s="1" t="str">
        <f t="shared" si="737"/>
        <v>50-90 шт - 3,42 руб / шт с НДС</v>
      </c>
      <c r="R1302" s="235" t="str">
        <f ca="1">INDIRECT("'Закуп'!k" &amp; A1302)</f>
        <v>K1029</v>
      </c>
      <c r="S1302" s="239">
        <f ca="1">INDIRECT("'Закуп'!o" &amp; A1302)</f>
        <v>17.95</v>
      </c>
      <c r="T1302" s="226" t="str">
        <f ca="1">INDIRECT("'Закуп'!p" &amp; A1302)</f>
        <v>15-19,9 литров</v>
      </c>
      <c r="U1302" s="228" t="str">
        <f ca="1">INDIRECT("'Закуп'!v" &amp; A1302)</f>
        <v/>
      </c>
      <c r="V1302" s="222" t="str">
        <f ca="1">INDIRECT("'Закуп'!w" &amp; A1302)</f>
        <v/>
      </c>
      <c r="W1302" s="229" t="str">
        <f ca="1">INDIRECT("'Закуп'!H" &amp; A1302)</f>
        <v>АРХ</v>
      </c>
      <c r="X1302" s="227" t="str">
        <f t="shared" ref="X1302" ca="1" si="760">INDIRECT("'Закуп'!g" &amp; A1302)</f>
        <v>А</v>
      </c>
      <c r="Y1302" s="229" t="str">
        <f ca="1">INDIRECT("'Закуп'!i" &amp; A1302)</f>
        <v>В</v>
      </c>
      <c r="Z1302" s="236" t="str">
        <f ca="1">INDIRECT("'Закуп'!x" &amp; A1302)</f>
        <v>300-399 мм</v>
      </c>
      <c r="AA1302" s="237" t="str">
        <f ca="1">INDIRECT("'Закуп'!y" &amp; A1302)</f>
        <v>200-299 мм</v>
      </c>
      <c r="AB1302" s="238" t="str">
        <f ca="1">INDIRECT("'Закуп'!z" &amp; A1302)</f>
        <v>200-299 мм</v>
      </c>
      <c r="AC1302" s="223" t="str">
        <f t="shared" ca="1" si="742"/>
        <v>325x235x235</v>
      </c>
      <c r="AD1302" s="222" t="str">
        <f t="shared" ca="1" si="728"/>
        <v>325x235x235 - 325*235*235 мм</v>
      </c>
    </row>
    <row r="1303" spans="1:30" x14ac:dyDescent="0.4">
      <c r="A1303" s="230"/>
      <c r="B1303" s="8">
        <v>262</v>
      </c>
      <c r="C1303" s="14">
        <f t="shared" ca="1" si="758"/>
        <v>1.55</v>
      </c>
      <c r="D1303" s="20">
        <f t="shared" ca="1" si="729"/>
        <v>1.8599999999999999</v>
      </c>
      <c r="E1303" s="225"/>
      <c r="F1303" s="231"/>
      <c r="G1303" s="172" t="str">
        <f t="shared" ca="1" si="749"/>
        <v/>
      </c>
      <c r="H1303" s="93" t="str">
        <f t="shared" ca="1" si="750"/>
        <v/>
      </c>
      <c r="I1303" s="21">
        <v>100</v>
      </c>
      <c r="J1303" s="68">
        <f t="shared" si="751"/>
        <v>2.5666666666666669</v>
      </c>
      <c r="K1303" s="70">
        <v>3.08</v>
      </c>
      <c r="L1303" s="72">
        <f t="shared" ca="1" si="746"/>
        <v>0.81333333333333346</v>
      </c>
      <c r="M1303" s="73">
        <f t="shared" ca="1" si="747"/>
        <v>81.333333333333343</v>
      </c>
      <c r="N1303" s="12" t="s">
        <v>41</v>
      </c>
      <c r="O1303" s="47" t="s">
        <v>45</v>
      </c>
      <c r="P1303" s="13">
        <f t="shared" si="736"/>
        <v>3.08</v>
      </c>
      <c r="Q1303" s="1" t="str">
        <f t="shared" si="737"/>
        <v>100-290 шт - 3,08 руб / шт с НДС</v>
      </c>
      <c r="R1303" s="235"/>
      <c r="S1303" s="239"/>
      <c r="T1303" s="226"/>
      <c r="U1303" s="228"/>
      <c r="V1303" s="222"/>
      <c r="W1303" s="229"/>
      <c r="X1303" s="227"/>
      <c r="Y1303" s="229"/>
      <c r="Z1303" s="236"/>
      <c r="AA1303" s="237"/>
      <c r="AB1303" s="238"/>
      <c r="AC1303" s="223"/>
      <c r="AD1303" s="222"/>
    </row>
    <row r="1304" spans="1:30" x14ac:dyDescent="0.4">
      <c r="A1304" s="230"/>
      <c r="B1304" s="8">
        <v>262</v>
      </c>
      <c r="C1304" s="14">
        <f t="shared" ca="1" si="758"/>
        <v>1.55</v>
      </c>
      <c r="D1304" s="20">
        <f t="shared" ca="1" si="729"/>
        <v>1.8599999999999999</v>
      </c>
      <c r="E1304" s="225"/>
      <c r="F1304" s="231"/>
      <c r="G1304" s="172" t="str">
        <f t="shared" ca="1" si="749"/>
        <v/>
      </c>
      <c r="H1304" s="93" t="str">
        <f t="shared" ca="1" si="750"/>
        <v/>
      </c>
      <c r="I1304" s="21">
        <v>300</v>
      </c>
      <c r="J1304" s="68">
        <f t="shared" si="751"/>
        <v>2.4083333333333337</v>
      </c>
      <c r="K1304" s="70">
        <v>2.89</v>
      </c>
      <c r="L1304" s="72">
        <f t="shared" ca="1" si="746"/>
        <v>0.68666666666666687</v>
      </c>
      <c r="M1304" s="73">
        <f t="shared" ca="1" si="747"/>
        <v>206.00000000000006</v>
      </c>
      <c r="N1304" s="12" t="s">
        <v>42</v>
      </c>
      <c r="O1304" s="47" t="s">
        <v>45</v>
      </c>
      <c r="P1304" s="13">
        <f t="shared" si="736"/>
        <v>2.89</v>
      </c>
      <c r="Q1304" s="1" t="str">
        <f t="shared" si="737"/>
        <v>300-490 шт - 2,89 руб / шт с НДС</v>
      </c>
      <c r="R1304" s="235"/>
      <c r="S1304" s="239"/>
      <c r="T1304" s="226"/>
      <c r="U1304" s="228"/>
      <c r="V1304" s="222"/>
      <c r="W1304" s="229"/>
      <c r="X1304" s="227"/>
      <c r="Y1304" s="229"/>
      <c r="Z1304" s="236"/>
      <c r="AA1304" s="237"/>
      <c r="AB1304" s="238"/>
      <c r="AC1304" s="223"/>
      <c r="AD1304" s="222"/>
    </row>
    <row r="1305" spans="1:30" x14ac:dyDescent="0.4">
      <c r="A1305" s="230"/>
      <c r="B1305" s="8">
        <v>262</v>
      </c>
      <c r="C1305" s="14">
        <f t="shared" ca="1" si="758"/>
        <v>1.55</v>
      </c>
      <c r="D1305" s="20">
        <f t="shared" ca="1" si="729"/>
        <v>1.8599999999999999</v>
      </c>
      <c r="E1305" s="225"/>
      <c r="F1305" s="231"/>
      <c r="G1305" s="172" t="str">
        <f t="shared" ca="1" si="749"/>
        <v/>
      </c>
      <c r="H1305" s="93" t="str">
        <f t="shared" ca="1" si="750"/>
        <v/>
      </c>
      <c r="I1305" s="21">
        <v>500</v>
      </c>
      <c r="J1305" s="68">
        <f t="shared" si="751"/>
        <v>2.3166666666666664</v>
      </c>
      <c r="K1305" s="70">
        <v>2.78</v>
      </c>
      <c r="L1305" s="72">
        <f t="shared" ca="1" si="746"/>
        <v>0.61333333333333306</v>
      </c>
      <c r="M1305" s="73">
        <f t="shared" ca="1" si="747"/>
        <v>306.66666666666652</v>
      </c>
      <c r="N1305" s="12" t="s">
        <v>43</v>
      </c>
      <c r="O1305" s="47" t="s">
        <v>45</v>
      </c>
      <c r="P1305" s="13">
        <f t="shared" si="736"/>
        <v>2.78</v>
      </c>
      <c r="Q1305" s="1" t="str">
        <f t="shared" si="737"/>
        <v>500-990 шт - 2,78 руб / шт с НДС</v>
      </c>
      <c r="R1305" s="235"/>
      <c r="S1305" s="239"/>
      <c r="T1305" s="226"/>
      <c r="U1305" s="228"/>
      <c r="V1305" s="222"/>
      <c r="W1305" s="229"/>
      <c r="X1305" s="227"/>
      <c r="Y1305" s="229"/>
      <c r="Z1305" s="236"/>
      <c r="AA1305" s="237"/>
      <c r="AB1305" s="238"/>
      <c r="AC1305" s="223"/>
      <c r="AD1305" s="222"/>
    </row>
    <row r="1306" spans="1:30" x14ac:dyDescent="0.4">
      <c r="A1306" s="230"/>
      <c r="B1306" s="8">
        <v>262</v>
      </c>
      <c r="C1306" s="14">
        <f t="shared" ca="1" si="758"/>
        <v>1.55</v>
      </c>
      <c r="D1306" s="20">
        <f t="shared" ca="1" si="729"/>
        <v>1.8599999999999999</v>
      </c>
      <c r="E1306" s="225"/>
      <c r="F1306" s="231"/>
      <c r="G1306" s="172" t="str">
        <f t="shared" ca="1" si="749"/>
        <v/>
      </c>
      <c r="H1306" s="93" t="str">
        <f t="shared" ca="1" si="750"/>
        <v/>
      </c>
      <c r="I1306" s="21">
        <v>1000</v>
      </c>
      <c r="J1306" s="68">
        <f t="shared" si="751"/>
        <v>2.2333333333333334</v>
      </c>
      <c r="K1306" s="70">
        <v>2.68</v>
      </c>
      <c r="L1306" s="72">
        <f t="shared" ca="1" si="746"/>
        <v>0.54666666666666663</v>
      </c>
      <c r="M1306" s="73">
        <f t="shared" ca="1" si="747"/>
        <v>546.66666666666663</v>
      </c>
      <c r="N1306" s="12" t="s">
        <v>44</v>
      </c>
      <c r="O1306" s="47" t="s">
        <v>45</v>
      </c>
      <c r="P1306" s="13">
        <f t="shared" si="736"/>
        <v>2.68</v>
      </c>
      <c r="Q1306" s="1" t="str">
        <f t="shared" si="737"/>
        <v>1000 + шт - 2,68 руб / шт с НДС</v>
      </c>
      <c r="R1306" s="235"/>
      <c r="S1306" s="239"/>
      <c r="T1306" s="226"/>
      <c r="U1306" s="228"/>
      <c r="V1306" s="222"/>
      <c r="W1306" s="229"/>
      <c r="X1306" s="227"/>
      <c r="Y1306" s="229"/>
      <c r="Z1306" s="236"/>
      <c r="AA1306" s="237"/>
      <c r="AB1306" s="238"/>
      <c r="AC1306" s="223"/>
      <c r="AD1306" s="222"/>
    </row>
    <row r="1307" spans="1:30" x14ac:dyDescent="0.4">
      <c r="A1307" s="230">
        <v>263</v>
      </c>
      <c r="B1307" s="8">
        <v>263</v>
      </c>
      <c r="C1307" s="14">
        <f t="shared" ca="1" si="758"/>
        <v>2.25</v>
      </c>
      <c r="D1307" s="20">
        <f t="shared" ca="1" si="729"/>
        <v>2.6999999999999997</v>
      </c>
      <c r="E1307" s="225" t="str">
        <f ca="1">INDIRECT("'Закуп'!D" &amp; A1307)</f>
        <v>СК</v>
      </c>
      <c r="F1307" s="231" t="str">
        <f t="shared" ref="F1307" ca="1" si="761">INDIRECT("'Закуп'!E" &amp; B1307)</f>
        <v>395х325х290</v>
      </c>
      <c r="G1307" s="172" t="str">
        <f t="shared" ca="1" si="749"/>
        <v/>
      </c>
      <c r="H1307" s="93" t="str">
        <f t="shared" ca="1" si="750"/>
        <v/>
      </c>
      <c r="I1307" s="21">
        <v>50</v>
      </c>
      <c r="J1307" s="68">
        <f t="shared" si="751"/>
        <v>4.2833333333333332</v>
      </c>
      <c r="K1307" s="70">
        <v>5.14</v>
      </c>
      <c r="L1307" s="72">
        <f t="shared" ca="1" si="746"/>
        <v>1.6266666666666665</v>
      </c>
      <c r="M1307" s="73">
        <f t="shared" ca="1" si="747"/>
        <v>81.333333333333329</v>
      </c>
      <c r="N1307" s="12" t="s">
        <v>40</v>
      </c>
      <c r="O1307" s="47" t="s">
        <v>45</v>
      </c>
      <c r="P1307" s="13">
        <f t="shared" si="736"/>
        <v>5.14</v>
      </c>
      <c r="Q1307" s="1" t="str">
        <f t="shared" si="737"/>
        <v>50-90 шт - 5,14 руб / шт с НДС</v>
      </c>
      <c r="R1307" s="235" t="str">
        <f ca="1">INDIRECT("'Закуп'!k" &amp; A1307)</f>
        <v>K1030</v>
      </c>
      <c r="S1307" s="239">
        <f ca="1">INDIRECT("'Закуп'!o" &amp; A1307)</f>
        <v>37.229999999999997</v>
      </c>
      <c r="T1307" s="226" t="str">
        <f ca="1">INDIRECT("'Закуп'!p" &amp; A1307)</f>
        <v>30-49 литров</v>
      </c>
      <c r="U1307" s="228" t="str">
        <f ca="1">INDIRECT("'Закуп'!v" &amp; A1307)</f>
        <v/>
      </c>
      <c r="V1307" s="222" t="str">
        <f ca="1">INDIRECT("'Закуп'!w" &amp; A1307)</f>
        <v/>
      </c>
      <c r="W1307" s="229" t="str">
        <f ca="1">INDIRECT("'Закуп'!H" &amp; A1307)</f>
        <v>АРХ</v>
      </c>
      <c r="X1307" s="227" t="str">
        <f t="shared" ref="X1307" ca="1" si="762">INDIRECT("'Закуп'!g" &amp; A1307)</f>
        <v>А</v>
      </c>
      <c r="Y1307" s="229" t="str">
        <f ca="1">INDIRECT("'Закуп'!i" &amp; A1307)</f>
        <v>В</v>
      </c>
      <c r="Z1307" s="236" t="str">
        <f ca="1">INDIRECT("'Закуп'!x" &amp; A1307)</f>
        <v>300-399 мм</v>
      </c>
      <c r="AA1307" s="237" t="str">
        <f ca="1">INDIRECT("'Закуп'!y" &amp; A1307)</f>
        <v>300-399 мм</v>
      </c>
      <c r="AB1307" s="238" t="str">
        <f ca="1">INDIRECT("'Закуп'!z" &amp; A1307)</f>
        <v>200-299 мм</v>
      </c>
      <c r="AC1307" s="223" t="str">
        <f t="shared" ca="1" si="742"/>
        <v>395x325x290</v>
      </c>
      <c r="AD1307" s="222" t="str">
        <f t="shared" ca="1" si="728"/>
        <v>395x325x290 - 395*325*290 мм</v>
      </c>
    </row>
    <row r="1308" spans="1:30" x14ac:dyDescent="0.4">
      <c r="A1308" s="230"/>
      <c r="B1308" s="8">
        <v>263</v>
      </c>
      <c r="C1308" s="14">
        <f t="shared" ca="1" si="758"/>
        <v>2.25</v>
      </c>
      <c r="D1308" s="20">
        <f t="shared" ca="1" si="729"/>
        <v>2.6999999999999997</v>
      </c>
      <c r="E1308" s="225"/>
      <c r="F1308" s="231"/>
      <c r="G1308" s="172" t="str">
        <f t="shared" ca="1" si="749"/>
        <v/>
      </c>
      <c r="H1308" s="93" t="str">
        <f t="shared" ca="1" si="750"/>
        <v/>
      </c>
      <c r="I1308" s="21">
        <v>100</v>
      </c>
      <c r="J1308" s="68">
        <f t="shared" si="751"/>
        <v>4.0166666666666675</v>
      </c>
      <c r="K1308" s="70">
        <v>4.82</v>
      </c>
      <c r="L1308" s="72">
        <f t="shared" ca="1" si="746"/>
        <v>1.413333333333334</v>
      </c>
      <c r="M1308" s="73">
        <f t="shared" ca="1" si="747"/>
        <v>141.3333333333334</v>
      </c>
      <c r="N1308" s="12" t="s">
        <v>41</v>
      </c>
      <c r="O1308" s="47" t="s">
        <v>45</v>
      </c>
      <c r="P1308" s="13">
        <f t="shared" si="736"/>
        <v>4.82</v>
      </c>
      <c r="Q1308" s="1" t="str">
        <f t="shared" si="737"/>
        <v>100-290 шт - 4,82 руб / шт с НДС</v>
      </c>
      <c r="R1308" s="235"/>
      <c r="S1308" s="239"/>
      <c r="T1308" s="226"/>
      <c r="U1308" s="228"/>
      <c r="V1308" s="222"/>
      <c r="W1308" s="229"/>
      <c r="X1308" s="227"/>
      <c r="Y1308" s="229"/>
      <c r="Z1308" s="236"/>
      <c r="AA1308" s="237"/>
      <c r="AB1308" s="238"/>
      <c r="AC1308" s="223"/>
      <c r="AD1308" s="222"/>
    </row>
    <row r="1309" spans="1:30" x14ac:dyDescent="0.4">
      <c r="A1309" s="230"/>
      <c r="B1309" s="8">
        <v>263</v>
      </c>
      <c r="C1309" s="14">
        <f t="shared" ca="1" si="758"/>
        <v>2.25</v>
      </c>
      <c r="D1309" s="20">
        <f t="shared" ca="1" si="729"/>
        <v>2.6999999999999997</v>
      </c>
      <c r="E1309" s="225"/>
      <c r="F1309" s="231"/>
      <c r="G1309" s="172" t="str">
        <f t="shared" ca="1" si="749"/>
        <v/>
      </c>
      <c r="H1309" s="93" t="str">
        <f t="shared" ca="1" si="750"/>
        <v/>
      </c>
      <c r="I1309" s="21">
        <v>300</v>
      </c>
      <c r="J1309" s="68">
        <f t="shared" si="751"/>
        <v>3.833333333333333</v>
      </c>
      <c r="K1309" s="70">
        <v>4.5999999999999996</v>
      </c>
      <c r="L1309" s="72">
        <f t="shared" ca="1" si="746"/>
        <v>1.2666666666666664</v>
      </c>
      <c r="M1309" s="73">
        <f t="shared" ca="1" si="747"/>
        <v>379.99999999999994</v>
      </c>
      <c r="N1309" s="12" t="s">
        <v>42</v>
      </c>
      <c r="O1309" s="47" t="s">
        <v>45</v>
      </c>
      <c r="P1309" s="13">
        <f t="shared" si="736"/>
        <v>4.5999999999999996</v>
      </c>
      <c r="Q1309" s="1" t="str">
        <f t="shared" si="737"/>
        <v>300-490 шт - 4,6 руб / шт с НДС</v>
      </c>
      <c r="R1309" s="235"/>
      <c r="S1309" s="239"/>
      <c r="T1309" s="226"/>
      <c r="U1309" s="228"/>
      <c r="V1309" s="222"/>
      <c r="W1309" s="229"/>
      <c r="X1309" s="227"/>
      <c r="Y1309" s="229"/>
      <c r="Z1309" s="236"/>
      <c r="AA1309" s="237"/>
      <c r="AB1309" s="238"/>
      <c r="AC1309" s="223"/>
      <c r="AD1309" s="222"/>
    </row>
    <row r="1310" spans="1:30" x14ac:dyDescent="0.4">
      <c r="A1310" s="230"/>
      <c r="B1310" s="8">
        <v>263</v>
      </c>
      <c r="C1310" s="14">
        <f t="shared" ca="1" si="758"/>
        <v>2.25</v>
      </c>
      <c r="D1310" s="20">
        <f t="shared" ca="1" si="729"/>
        <v>2.6999999999999997</v>
      </c>
      <c r="E1310" s="225"/>
      <c r="F1310" s="231"/>
      <c r="G1310" s="172" t="str">
        <f t="shared" ca="1" si="749"/>
        <v/>
      </c>
      <c r="H1310" s="93" t="str">
        <f t="shared" ca="1" si="750"/>
        <v/>
      </c>
      <c r="I1310" s="21">
        <v>500</v>
      </c>
      <c r="J1310" s="68">
        <f t="shared" si="751"/>
        <v>3.5666666666666669</v>
      </c>
      <c r="K1310" s="70">
        <v>4.28</v>
      </c>
      <c r="L1310" s="72">
        <f t="shared" ca="1" si="746"/>
        <v>1.0533333333333335</v>
      </c>
      <c r="M1310" s="73">
        <f t="shared" ca="1" si="747"/>
        <v>526.66666666666674</v>
      </c>
      <c r="N1310" s="12" t="s">
        <v>43</v>
      </c>
      <c r="O1310" s="47" t="s">
        <v>45</v>
      </c>
      <c r="P1310" s="13">
        <f t="shared" si="736"/>
        <v>4.28</v>
      </c>
      <c r="Q1310" s="1" t="str">
        <f t="shared" si="737"/>
        <v>500-990 шт - 4,28 руб / шт с НДС</v>
      </c>
      <c r="R1310" s="235"/>
      <c r="S1310" s="239"/>
      <c r="T1310" s="226"/>
      <c r="U1310" s="228"/>
      <c r="V1310" s="222"/>
      <c r="W1310" s="229"/>
      <c r="X1310" s="227"/>
      <c r="Y1310" s="229"/>
      <c r="Z1310" s="236"/>
      <c r="AA1310" s="237"/>
      <c r="AB1310" s="238"/>
      <c r="AC1310" s="223"/>
      <c r="AD1310" s="222"/>
    </row>
    <row r="1311" spans="1:30" x14ac:dyDescent="0.4">
      <c r="A1311" s="230"/>
      <c r="B1311" s="8">
        <v>263</v>
      </c>
      <c r="C1311" s="14">
        <f t="shared" ca="1" si="758"/>
        <v>2.25</v>
      </c>
      <c r="D1311" s="20">
        <f t="shared" ca="1" si="729"/>
        <v>2.6999999999999997</v>
      </c>
      <c r="E1311" s="225"/>
      <c r="F1311" s="231"/>
      <c r="G1311" s="172" t="str">
        <f t="shared" ca="1" si="749"/>
        <v/>
      </c>
      <c r="H1311" s="93" t="str">
        <f t="shared" ca="1" si="750"/>
        <v/>
      </c>
      <c r="I1311" s="21">
        <v>1000</v>
      </c>
      <c r="J1311" s="68">
        <f t="shared" si="751"/>
        <v>3.3000000000000003</v>
      </c>
      <c r="K1311" s="70">
        <v>3.96</v>
      </c>
      <c r="L1311" s="72">
        <f t="shared" ca="1" si="746"/>
        <v>0.84000000000000019</v>
      </c>
      <c r="M1311" s="73">
        <f t="shared" ca="1" si="747"/>
        <v>840.00000000000023</v>
      </c>
      <c r="N1311" s="12" t="s">
        <v>44</v>
      </c>
      <c r="O1311" s="47" t="s">
        <v>45</v>
      </c>
      <c r="P1311" s="13">
        <f t="shared" si="736"/>
        <v>3.96</v>
      </c>
      <c r="Q1311" s="1" t="str">
        <f t="shared" si="737"/>
        <v>1000 + шт - 3,96 руб / шт с НДС</v>
      </c>
      <c r="R1311" s="235"/>
      <c r="S1311" s="239"/>
      <c r="T1311" s="226"/>
      <c r="U1311" s="228"/>
      <c r="V1311" s="222"/>
      <c r="W1311" s="229"/>
      <c r="X1311" s="227"/>
      <c r="Y1311" s="229"/>
      <c r="Z1311" s="236"/>
      <c r="AA1311" s="237"/>
      <c r="AB1311" s="238"/>
      <c r="AC1311" s="223"/>
      <c r="AD1311" s="222"/>
    </row>
    <row r="1312" spans="1:30" x14ac:dyDescent="0.4">
      <c r="A1312" s="230">
        <v>264</v>
      </c>
      <c r="B1312" s="8">
        <v>264</v>
      </c>
      <c r="C1312" s="14">
        <f t="shared" ca="1" si="758"/>
        <v>2.44</v>
      </c>
      <c r="D1312" s="20">
        <f t="shared" ca="1" si="729"/>
        <v>2.9279999999999999</v>
      </c>
      <c r="E1312" s="225" t="str">
        <f ca="1">INDIRECT("'Закуп'!D" &amp; A1312)</f>
        <v>СК</v>
      </c>
      <c r="F1312" s="231" t="str">
        <f t="shared" ref="F1312" ca="1" si="763">INDIRECT("'Закуп'!E" &amp; B1312)</f>
        <v>490х325х295</v>
      </c>
      <c r="G1312" s="172" t="str">
        <f t="shared" ca="1" si="749"/>
        <v/>
      </c>
      <c r="H1312" s="93" t="str">
        <f t="shared" ca="1" si="750"/>
        <v/>
      </c>
      <c r="I1312" s="21">
        <v>50</v>
      </c>
      <c r="J1312" s="68">
        <f t="shared" si="751"/>
        <v>4.5999999999999996</v>
      </c>
      <c r="K1312" s="70">
        <v>5.52</v>
      </c>
      <c r="L1312" s="72">
        <f t="shared" ca="1" si="746"/>
        <v>1.7279999999999998</v>
      </c>
      <c r="M1312" s="73">
        <f t="shared" ca="1" si="747"/>
        <v>86.399999999999991</v>
      </c>
      <c r="N1312" s="12" t="s">
        <v>40</v>
      </c>
      <c r="O1312" s="47" t="s">
        <v>45</v>
      </c>
      <c r="P1312" s="13">
        <f t="shared" si="736"/>
        <v>5.52</v>
      </c>
      <c r="Q1312" s="1" t="str">
        <f t="shared" si="737"/>
        <v>50-90 шт - 5,52 руб / шт с НДС</v>
      </c>
      <c r="R1312" s="235" t="str">
        <f ca="1">INDIRECT("'Закуп'!k" &amp; A1312)</f>
        <v>K1031</v>
      </c>
      <c r="S1312" s="239">
        <f ca="1">INDIRECT("'Закуп'!o" &amp; A1312)</f>
        <v>46.98</v>
      </c>
      <c r="T1312" s="226" t="str">
        <f ca="1">INDIRECT("'Закуп'!p" &amp; A1312)</f>
        <v>30-49 литров</v>
      </c>
      <c r="U1312" s="228" t="str">
        <f ca="1">INDIRECT("'Закуп'!v" &amp; A1312)</f>
        <v/>
      </c>
      <c r="V1312" s="222" t="str">
        <f ca="1">INDIRECT("'Закуп'!w" &amp; A1312)</f>
        <v/>
      </c>
      <c r="W1312" s="229" t="str">
        <f ca="1">INDIRECT("'Закуп'!H" &amp; A1312)</f>
        <v>АРХ</v>
      </c>
      <c r="X1312" s="227" t="str">
        <f t="shared" ref="X1312" ca="1" si="764">INDIRECT("'Закуп'!g" &amp; A1312)</f>
        <v>А</v>
      </c>
      <c r="Y1312" s="229" t="str">
        <f ca="1">INDIRECT("'Закуп'!i" &amp; A1312)</f>
        <v>В</v>
      </c>
      <c r="Z1312" s="236" t="str">
        <f ca="1">INDIRECT("'Закуп'!x" &amp; A1312)</f>
        <v>400-499 мм</v>
      </c>
      <c r="AA1312" s="237" t="str">
        <f ca="1">INDIRECT("'Закуп'!y" &amp; A1312)</f>
        <v>300-399 мм</v>
      </c>
      <c r="AB1312" s="238" t="str">
        <f ca="1">INDIRECT("'Закуп'!z" &amp; A1312)</f>
        <v>200-299 мм</v>
      </c>
      <c r="AC1312" s="223" t="str">
        <f t="shared" ca="1" si="742"/>
        <v>490x325x295</v>
      </c>
      <c r="AD1312" s="222" t="str">
        <f t="shared" ref="AD1312:AD1372" ca="1" si="765">SUBSTITUTE(INDEX(F:F, ROUNDUP((ROW(A1311))/5,0)*5 - 3), "х", "x") &amp; " - " &amp; SUBSTITUTE(SUBSTITUTE(INDEX(F:F, ROUNDUP((ROW(A1311))/5,0)*5 - 3), "х", "*"), "x", "*") &amp; " мм"</f>
        <v>490x325x295 - 490*325*295 мм</v>
      </c>
    </row>
    <row r="1313" spans="1:30" x14ac:dyDescent="0.4">
      <c r="A1313" s="230"/>
      <c r="B1313" s="8">
        <v>264</v>
      </c>
      <c r="C1313" s="14">
        <f t="shared" ca="1" si="758"/>
        <v>2.44</v>
      </c>
      <c r="D1313" s="20">
        <f t="shared" ref="D1313:D1376" ca="1" si="766">C1313*1.2</f>
        <v>2.9279999999999999</v>
      </c>
      <c r="E1313" s="225"/>
      <c r="F1313" s="231"/>
      <c r="G1313" s="172" t="str">
        <f t="shared" ca="1" si="749"/>
        <v/>
      </c>
      <c r="H1313" s="93" t="str">
        <f t="shared" ca="1" si="750"/>
        <v/>
      </c>
      <c r="I1313" s="21">
        <v>100</v>
      </c>
      <c r="J1313" s="68">
        <f t="shared" si="751"/>
        <v>4.1916666666666673</v>
      </c>
      <c r="K1313" s="70">
        <v>5.03</v>
      </c>
      <c r="L1313" s="72">
        <f t="shared" ca="1" si="746"/>
        <v>1.401333333333334</v>
      </c>
      <c r="M1313" s="73">
        <f t="shared" ca="1" si="747"/>
        <v>140.13333333333341</v>
      </c>
      <c r="N1313" s="12" t="s">
        <v>41</v>
      </c>
      <c r="O1313" s="47" t="s">
        <v>45</v>
      </c>
      <c r="P1313" s="13">
        <f t="shared" si="736"/>
        <v>5.03</v>
      </c>
      <c r="Q1313" s="1" t="str">
        <f t="shared" si="737"/>
        <v>100-290 шт - 5,03 руб / шт с НДС</v>
      </c>
      <c r="R1313" s="235"/>
      <c r="S1313" s="239"/>
      <c r="T1313" s="226"/>
      <c r="U1313" s="228"/>
      <c r="V1313" s="222"/>
      <c r="W1313" s="229"/>
      <c r="X1313" s="227"/>
      <c r="Y1313" s="229"/>
      <c r="Z1313" s="236"/>
      <c r="AA1313" s="237"/>
      <c r="AB1313" s="238"/>
      <c r="AC1313" s="223"/>
      <c r="AD1313" s="222"/>
    </row>
    <row r="1314" spans="1:30" x14ac:dyDescent="0.4">
      <c r="A1314" s="230"/>
      <c r="B1314" s="8">
        <v>264</v>
      </c>
      <c r="C1314" s="14">
        <f t="shared" ca="1" si="758"/>
        <v>2.44</v>
      </c>
      <c r="D1314" s="20">
        <f t="shared" ca="1" si="766"/>
        <v>2.9279999999999999</v>
      </c>
      <c r="E1314" s="225"/>
      <c r="F1314" s="231"/>
      <c r="G1314" s="172" t="str">
        <f t="shared" ca="1" si="749"/>
        <v/>
      </c>
      <c r="H1314" s="93" t="str">
        <f t="shared" ca="1" si="750"/>
        <v/>
      </c>
      <c r="I1314" s="21">
        <v>300</v>
      </c>
      <c r="J1314" s="68">
        <f t="shared" si="751"/>
        <v>4.0166666666666675</v>
      </c>
      <c r="K1314" s="70">
        <v>4.82</v>
      </c>
      <c r="L1314" s="72">
        <f t="shared" ca="1" si="746"/>
        <v>1.2613333333333341</v>
      </c>
      <c r="M1314" s="73">
        <f t="shared" ca="1" si="747"/>
        <v>378.4000000000002</v>
      </c>
      <c r="N1314" s="12" t="s">
        <v>42</v>
      </c>
      <c r="O1314" s="47" t="s">
        <v>45</v>
      </c>
      <c r="P1314" s="13">
        <f t="shared" si="736"/>
        <v>4.82</v>
      </c>
      <c r="Q1314" s="1" t="str">
        <f t="shared" si="737"/>
        <v>300-490 шт - 4,82 руб / шт с НДС</v>
      </c>
      <c r="R1314" s="235"/>
      <c r="S1314" s="239"/>
      <c r="T1314" s="226"/>
      <c r="U1314" s="228"/>
      <c r="V1314" s="222"/>
      <c r="W1314" s="229"/>
      <c r="X1314" s="227"/>
      <c r="Y1314" s="229"/>
      <c r="Z1314" s="236"/>
      <c r="AA1314" s="237"/>
      <c r="AB1314" s="238"/>
      <c r="AC1314" s="223"/>
      <c r="AD1314" s="222"/>
    </row>
    <row r="1315" spans="1:30" x14ac:dyDescent="0.4">
      <c r="A1315" s="230"/>
      <c r="B1315" s="8">
        <v>264</v>
      </c>
      <c r="C1315" s="14">
        <f t="shared" ca="1" si="758"/>
        <v>2.44</v>
      </c>
      <c r="D1315" s="20">
        <f t="shared" ca="1" si="766"/>
        <v>2.9279999999999999</v>
      </c>
      <c r="E1315" s="225"/>
      <c r="F1315" s="231"/>
      <c r="G1315" s="172" t="str">
        <f t="shared" ca="1" si="749"/>
        <v/>
      </c>
      <c r="H1315" s="93" t="str">
        <f t="shared" ca="1" si="750"/>
        <v/>
      </c>
      <c r="I1315" s="21">
        <v>500</v>
      </c>
      <c r="J1315" s="68">
        <f t="shared" si="751"/>
        <v>3.7416666666666671</v>
      </c>
      <c r="K1315" s="70">
        <v>4.49</v>
      </c>
      <c r="L1315" s="72">
        <f t="shared" ca="1" si="746"/>
        <v>1.0413333333333337</v>
      </c>
      <c r="M1315" s="73">
        <f t="shared" ca="1" si="747"/>
        <v>520.66666666666686</v>
      </c>
      <c r="N1315" s="12" t="s">
        <v>43</v>
      </c>
      <c r="O1315" s="47" t="s">
        <v>45</v>
      </c>
      <c r="P1315" s="13">
        <f t="shared" si="736"/>
        <v>4.49</v>
      </c>
      <c r="Q1315" s="1" t="str">
        <f t="shared" si="737"/>
        <v>500-990 шт - 4,49 руб / шт с НДС</v>
      </c>
      <c r="R1315" s="235"/>
      <c r="S1315" s="239"/>
      <c r="T1315" s="226"/>
      <c r="U1315" s="228"/>
      <c r="V1315" s="222"/>
      <c r="W1315" s="229"/>
      <c r="X1315" s="227"/>
      <c r="Y1315" s="229"/>
      <c r="Z1315" s="236"/>
      <c r="AA1315" s="237"/>
      <c r="AB1315" s="238"/>
      <c r="AC1315" s="223"/>
      <c r="AD1315" s="222"/>
    </row>
    <row r="1316" spans="1:30" x14ac:dyDescent="0.4">
      <c r="A1316" s="230"/>
      <c r="B1316" s="8">
        <v>264</v>
      </c>
      <c r="C1316" s="14">
        <f t="shared" ca="1" si="758"/>
        <v>2.44</v>
      </c>
      <c r="D1316" s="20">
        <f t="shared" ca="1" si="766"/>
        <v>2.9279999999999999</v>
      </c>
      <c r="E1316" s="225"/>
      <c r="F1316" s="231"/>
      <c r="G1316" s="172" t="str">
        <f t="shared" ca="1" si="749"/>
        <v/>
      </c>
      <c r="H1316" s="93" t="str">
        <f t="shared" ca="1" si="750"/>
        <v/>
      </c>
      <c r="I1316" s="21">
        <v>1000</v>
      </c>
      <c r="J1316" s="68">
        <f t="shared" si="751"/>
        <v>3.5666666666666669</v>
      </c>
      <c r="K1316" s="70">
        <v>4.28</v>
      </c>
      <c r="L1316" s="72">
        <f t="shared" ca="1" si="746"/>
        <v>0.90133333333333354</v>
      </c>
      <c r="M1316" s="73">
        <f t="shared" ca="1" si="747"/>
        <v>901.33333333333348</v>
      </c>
      <c r="N1316" s="12" t="s">
        <v>44</v>
      </c>
      <c r="O1316" s="47" t="s">
        <v>45</v>
      </c>
      <c r="P1316" s="13">
        <f t="shared" si="736"/>
        <v>4.28</v>
      </c>
      <c r="Q1316" s="1" t="str">
        <f t="shared" si="737"/>
        <v>1000 + шт - 4,28 руб / шт с НДС</v>
      </c>
      <c r="R1316" s="235"/>
      <c r="S1316" s="239"/>
      <c r="T1316" s="226"/>
      <c r="U1316" s="228"/>
      <c r="V1316" s="222"/>
      <c r="W1316" s="229"/>
      <c r="X1316" s="227"/>
      <c r="Y1316" s="229"/>
      <c r="Z1316" s="236"/>
      <c r="AA1316" s="237"/>
      <c r="AB1316" s="238"/>
      <c r="AC1316" s="223"/>
      <c r="AD1316" s="222"/>
    </row>
    <row r="1317" spans="1:30" x14ac:dyDescent="0.4">
      <c r="A1317" s="230">
        <v>265</v>
      </c>
      <c r="B1317" s="8">
        <v>265</v>
      </c>
      <c r="C1317" s="14">
        <f t="shared" ca="1" si="758"/>
        <v>0.32</v>
      </c>
      <c r="D1317" s="20">
        <f t="shared" ca="1" si="766"/>
        <v>0.38400000000000001</v>
      </c>
      <c r="E1317" s="224" t="str">
        <f ca="1">INDIRECT("'Закуп'!D" &amp; A1317)</f>
        <v>У</v>
      </c>
      <c r="F1317" s="231" t="str">
        <f t="shared" ref="F1317" ca="1" si="767">INDIRECT("'Закуп'!E" &amp; B1317)</f>
        <v>300х90х125</v>
      </c>
      <c r="G1317" s="172" t="str">
        <f t="shared" ca="1" si="749"/>
        <v/>
      </c>
      <c r="H1317" s="93" t="str">
        <f t="shared" ca="1" si="750"/>
        <v/>
      </c>
      <c r="I1317" s="21">
        <v>50</v>
      </c>
      <c r="J1317" s="68">
        <f t="shared" si="751"/>
        <v>0.98333333333333328</v>
      </c>
      <c r="K1317" s="70">
        <v>1.18</v>
      </c>
      <c r="L1317" s="72">
        <f t="shared" ca="1" si="746"/>
        <v>0.53066666666666662</v>
      </c>
      <c r="M1317" s="73">
        <f t="shared" ca="1" si="747"/>
        <v>26.533333333333331</v>
      </c>
      <c r="N1317" s="12" t="s">
        <v>40</v>
      </c>
      <c r="O1317" s="47" t="s">
        <v>45</v>
      </c>
      <c r="P1317" s="13">
        <f t="shared" si="736"/>
        <v>1.18</v>
      </c>
      <c r="Q1317" s="1" t="str">
        <f t="shared" si="737"/>
        <v>50-90 шт - 1,18 руб / шт с НДС</v>
      </c>
      <c r="R1317" s="235" t="str">
        <f ca="1">INDIRECT("'Закуп'!k" &amp; A1317)</f>
        <v>K237</v>
      </c>
      <c r="S1317" s="239">
        <f ca="1">INDIRECT("'Закуп'!o" &amp; A1317)</f>
        <v>3.38</v>
      </c>
      <c r="T1317" s="226" t="str">
        <f ca="1">INDIRECT("'Закуп'!p" &amp; A1317)</f>
        <v>3-3,9 литра</v>
      </c>
      <c r="U1317" s="228" t="str">
        <f ca="1">INDIRECT("'Закуп'!v" &amp; A1317)</f>
        <v>Длинные</v>
      </c>
      <c r="V1317" s="222" t="str">
        <f ca="1">INDIRECT("'Закуп'!w" &amp; A1317)</f>
        <v/>
      </c>
      <c r="W1317" s="229" t="str">
        <f ca="1">INDIRECT("'Закуп'!H" &amp; A1317)</f>
        <v>0201</v>
      </c>
      <c r="X1317" s="227" t="str">
        <f t="shared" ref="X1317" ca="1" si="768">INDIRECT("'Закуп'!g" &amp; A1317)</f>
        <v>Ч</v>
      </c>
      <c r="Y1317" s="229" t="str">
        <f ca="1">INDIRECT("'Закуп'!i" &amp; A1317)</f>
        <v>В</v>
      </c>
      <c r="Z1317" s="236" t="str">
        <f ca="1">INDIRECT("'Закуп'!x" &amp; A1317)</f>
        <v>300-399 мм</v>
      </c>
      <c r="AA1317" s="237" t="str">
        <f ca="1">INDIRECT("'Закуп'!y" &amp; A1317)</f>
        <v>100-199 мм</v>
      </c>
      <c r="AB1317" s="238" t="str">
        <f ca="1">INDIRECT("'Закуп'!z" &amp; A1317)</f>
        <v>10-99 мм</v>
      </c>
      <c r="AC1317" s="223" t="str">
        <f t="shared" ca="1" si="742"/>
        <v>300x90x125</v>
      </c>
      <c r="AD1317" s="222" t="str">
        <f t="shared" ca="1" si="765"/>
        <v>300x90x125 - 300*90*125 мм</v>
      </c>
    </row>
    <row r="1318" spans="1:30" x14ac:dyDescent="0.4">
      <c r="A1318" s="230"/>
      <c r="B1318" s="8">
        <v>265</v>
      </c>
      <c r="C1318" s="14">
        <f t="shared" ca="1" si="758"/>
        <v>0.32</v>
      </c>
      <c r="D1318" s="20">
        <f t="shared" ca="1" si="766"/>
        <v>0.38400000000000001</v>
      </c>
      <c r="E1318" s="225"/>
      <c r="F1318" s="231"/>
      <c r="G1318" s="172" t="str">
        <f t="shared" ca="1" si="749"/>
        <v/>
      </c>
      <c r="H1318" s="93" t="str">
        <f t="shared" ca="1" si="750"/>
        <v/>
      </c>
      <c r="I1318" s="21">
        <v>100</v>
      </c>
      <c r="J1318" s="68">
        <f t="shared" si="751"/>
        <v>0.89166666666666672</v>
      </c>
      <c r="K1318" s="70">
        <v>1.07</v>
      </c>
      <c r="L1318" s="72">
        <f t="shared" ca="1" si="746"/>
        <v>0.45733333333333342</v>
      </c>
      <c r="M1318" s="73">
        <f t="shared" ca="1" si="747"/>
        <v>45.733333333333341</v>
      </c>
      <c r="N1318" s="12" t="s">
        <v>41</v>
      </c>
      <c r="O1318" s="47" t="s">
        <v>45</v>
      </c>
      <c r="P1318" s="13">
        <f t="shared" si="736"/>
        <v>1.07</v>
      </c>
      <c r="Q1318" s="1" t="str">
        <f t="shared" si="737"/>
        <v>100-290 шт - 1,07 руб / шт с НДС</v>
      </c>
      <c r="R1318" s="235"/>
      <c r="S1318" s="239"/>
      <c r="T1318" s="226"/>
      <c r="U1318" s="228"/>
      <c r="V1318" s="222"/>
      <c r="W1318" s="229"/>
      <c r="X1318" s="227"/>
      <c r="Y1318" s="229"/>
      <c r="Z1318" s="236"/>
      <c r="AA1318" s="237"/>
      <c r="AB1318" s="238"/>
      <c r="AC1318" s="223"/>
      <c r="AD1318" s="222"/>
    </row>
    <row r="1319" spans="1:30" x14ac:dyDescent="0.4">
      <c r="A1319" s="230"/>
      <c r="B1319" s="8">
        <v>265</v>
      </c>
      <c r="C1319" s="14">
        <f t="shared" ca="1" si="758"/>
        <v>0.32</v>
      </c>
      <c r="D1319" s="20">
        <f t="shared" ca="1" si="766"/>
        <v>0.38400000000000001</v>
      </c>
      <c r="E1319" s="225"/>
      <c r="F1319" s="231"/>
      <c r="G1319" s="172" t="str">
        <f t="shared" ca="1" si="749"/>
        <v/>
      </c>
      <c r="H1319" s="93" t="str">
        <f t="shared" ca="1" si="750"/>
        <v/>
      </c>
      <c r="I1319" s="21">
        <v>300</v>
      </c>
      <c r="J1319" s="68">
        <f t="shared" si="751"/>
        <v>0.8</v>
      </c>
      <c r="K1319" s="70">
        <v>0.96</v>
      </c>
      <c r="L1319" s="72">
        <f t="shared" ca="1" si="746"/>
        <v>0.38400000000000001</v>
      </c>
      <c r="M1319" s="73">
        <f t="shared" ca="1" si="747"/>
        <v>115.2</v>
      </c>
      <c r="N1319" s="12" t="s">
        <v>42</v>
      </c>
      <c r="O1319" s="47" t="s">
        <v>45</v>
      </c>
      <c r="P1319" s="13">
        <f t="shared" si="736"/>
        <v>0.96</v>
      </c>
      <c r="Q1319" s="1" t="str">
        <f t="shared" si="737"/>
        <v>300-490 шт - 0,96 руб / шт с НДС</v>
      </c>
      <c r="R1319" s="235"/>
      <c r="S1319" s="239"/>
      <c r="T1319" s="226"/>
      <c r="U1319" s="228"/>
      <c r="V1319" s="222"/>
      <c r="W1319" s="229"/>
      <c r="X1319" s="227"/>
      <c r="Y1319" s="229"/>
      <c r="Z1319" s="236"/>
      <c r="AA1319" s="237"/>
      <c r="AB1319" s="238"/>
      <c r="AC1319" s="223"/>
      <c r="AD1319" s="222"/>
    </row>
    <row r="1320" spans="1:30" x14ac:dyDescent="0.4">
      <c r="A1320" s="230"/>
      <c r="B1320" s="8">
        <v>265</v>
      </c>
      <c r="C1320" s="14">
        <f t="shared" ca="1" si="758"/>
        <v>0.32</v>
      </c>
      <c r="D1320" s="20">
        <f t="shared" ca="1" si="766"/>
        <v>0.38400000000000001</v>
      </c>
      <c r="E1320" s="225"/>
      <c r="F1320" s="231"/>
      <c r="G1320" s="172" t="str">
        <f t="shared" ca="1" si="749"/>
        <v/>
      </c>
      <c r="H1320" s="93" t="str">
        <f t="shared" ca="1" si="750"/>
        <v/>
      </c>
      <c r="I1320" s="21">
        <v>500</v>
      </c>
      <c r="J1320" s="68">
        <f t="shared" si="751"/>
        <v>0.71666666666666667</v>
      </c>
      <c r="K1320" s="70">
        <v>0.86</v>
      </c>
      <c r="L1320" s="72">
        <f t="shared" ca="1" si="746"/>
        <v>0.31733333333333336</v>
      </c>
      <c r="M1320" s="73">
        <f t="shared" ca="1" si="747"/>
        <v>158.66666666666669</v>
      </c>
      <c r="N1320" s="12" t="s">
        <v>43</v>
      </c>
      <c r="O1320" s="47" t="s">
        <v>45</v>
      </c>
      <c r="P1320" s="13">
        <f t="shared" si="736"/>
        <v>0.86</v>
      </c>
      <c r="Q1320" s="1" t="str">
        <f t="shared" si="737"/>
        <v>500-990 шт - 0,86 руб / шт с НДС</v>
      </c>
      <c r="R1320" s="235"/>
      <c r="S1320" s="239"/>
      <c r="T1320" s="226"/>
      <c r="U1320" s="228"/>
      <c r="V1320" s="222"/>
      <c r="W1320" s="229"/>
      <c r="X1320" s="227"/>
      <c r="Y1320" s="229"/>
      <c r="Z1320" s="236"/>
      <c r="AA1320" s="237"/>
      <c r="AB1320" s="238"/>
      <c r="AC1320" s="223"/>
      <c r="AD1320" s="222"/>
    </row>
    <row r="1321" spans="1:30" x14ac:dyDescent="0.4">
      <c r="A1321" s="230"/>
      <c r="B1321" s="8">
        <v>265</v>
      </c>
      <c r="C1321" s="14">
        <f t="shared" ca="1" si="758"/>
        <v>0.32</v>
      </c>
      <c r="D1321" s="20">
        <f t="shared" ca="1" si="766"/>
        <v>0.38400000000000001</v>
      </c>
      <c r="E1321" s="225"/>
      <c r="F1321" s="231"/>
      <c r="G1321" s="172" t="str">
        <f t="shared" ca="1" si="749"/>
        <v/>
      </c>
      <c r="H1321" s="93" t="str">
        <f t="shared" ca="1" si="750"/>
        <v/>
      </c>
      <c r="I1321" s="21">
        <v>1000</v>
      </c>
      <c r="J1321" s="68">
        <f t="shared" si="751"/>
        <v>0.625</v>
      </c>
      <c r="K1321" s="70">
        <v>0.75</v>
      </c>
      <c r="L1321" s="72">
        <f t="shared" ca="1" si="746"/>
        <v>0.24399999999999999</v>
      </c>
      <c r="M1321" s="73">
        <f t="shared" ca="1" si="747"/>
        <v>244</v>
      </c>
      <c r="N1321" s="12" t="s">
        <v>44</v>
      </c>
      <c r="O1321" s="47" t="s">
        <v>45</v>
      </c>
      <c r="P1321" s="13">
        <f t="shared" si="736"/>
        <v>0.75</v>
      </c>
      <c r="Q1321" s="1" t="str">
        <f t="shared" si="737"/>
        <v>1000 + шт - 0,75 руб / шт с НДС</v>
      </c>
      <c r="R1321" s="235"/>
      <c r="S1321" s="239"/>
      <c r="T1321" s="226"/>
      <c r="U1321" s="228"/>
      <c r="V1321" s="222"/>
      <c r="W1321" s="229"/>
      <c r="X1321" s="227"/>
      <c r="Y1321" s="229"/>
      <c r="Z1321" s="236"/>
      <c r="AA1321" s="237"/>
      <c r="AB1321" s="238"/>
      <c r="AC1321" s="223"/>
      <c r="AD1321" s="222"/>
    </row>
    <row r="1322" spans="1:30" x14ac:dyDescent="0.4">
      <c r="A1322" s="230">
        <v>266</v>
      </c>
      <c r="B1322" s="8">
        <v>266</v>
      </c>
      <c r="C1322" s="14">
        <f t="shared" ca="1" si="758"/>
        <v>0.14000000000000001</v>
      </c>
      <c r="D1322" s="20">
        <f t="shared" ca="1" si="766"/>
        <v>0.16800000000000001</v>
      </c>
      <c r="E1322" s="224" t="str">
        <f ca="1">INDIRECT("'Закуп'!D" &amp; A1322)</f>
        <v>У</v>
      </c>
      <c r="F1322" s="231" t="str">
        <f t="shared" ref="F1322" ca="1" si="769">INDIRECT("'Закуп'!E" &amp; B1322)</f>
        <v>115х65х65</v>
      </c>
      <c r="G1322" s="172" t="str">
        <f t="shared" ca="1" si="749"/>
        <v/>
      </c>
      <c r="H1322" s="93" t="str">
        <f t="shared" ca="1" si="750"/>
        <v/>
      </c>
      <c r="I1322" s="21">
        <v>50</v>
      </c>
      <c r="J1322" s="68">
        <f t="shared" si="751"/>
        <v>0.89166666666666672</v>
      </c>
      <c r="K1322" s="70">
        <v>1.07</v>
      </c>
      <c r="L1322" s="72">
        <f t="shared" ca="1" si="746"/>
        <v>0.60133333333333339</v>
      </c>
      <c r="M1322" s="73">
        <f t="shared" ca="1" si="747"/>
        <v>30.06666666666667</v>
      </c>
      <c r="N1322" s="12" t="s">
        <v>40</v>
      </c>
      <c r="O1322" s="47" t="s">
        <v>45</v>
      </c>
      <c r="P1322" s="13">
        <f t="shared" si="736"/>
        <v>1.07</v>
      </c>
      <c r="Q1322" s="1" t="str">
        <f t="shared" si="737"/>
        <v>50-90 шт - 1,07 руб / шт с НДС</v>
      </c>
      <c r="R1322" s="235" t="str">
        <f ca="1">INDIRECT("'Закуп'!k" &amp; A1322)</f>
        <v>K238</v>
      </c>
      <c r="S1322" s="239">
        <f ca="1">INDIRECT("'Закуп'!o" &amp; A1322)</f>
        <v>0.49</v>
      </c>
      <c r="T1322" s="226" t="str">
        <f ca="1">INDIRECT("'Закуп'!p" &amp; A1322)</f>
        <v>0,1-0,9 литров</v>
      </c>
      <c r="U1322" s="228" t="str">
        <f ca="1">INDIRECT("'Закуп'!v" &amp; A1322)</f>
        <v/>
      </c>
      <c r="V1322" s="222" t="str">
        <f ca="1">INDIRECT("'Закуп'!w" &amp; A1322)</f>
        <v/>
      </c>
      <c r="W1322" s="229" t="str">
        <f ca="1">INDIRECT("'Закуп'!H" &amp; A1322)</f>
        <v>0471</v>
      </c>
      <c r="X1322" s="227" t="str">
        <f t="shared" ref="X1322" ca="1" si="770">INDIRECT("'Закуп'!g" &amp; A1322)</f>
        <v>С</v>
      </c>
      <c r="Y1322" s="229" t="str">
        <f ca="1">INDIRECT("'Закуп'!i" &amp; A1322)</f>
        <v>Е</v>
      </c>
      <c r="Z1322" s="236" t="str">
        <f ca="1">INDIRECT("'Закуп'!x" &amp; A1322)</f>
        <v>100-199 мм</v>
      </c>
      <c r="AA1322" s="237" t="str">
        <f ca="1">INDIRECT("'Закуп'!y" &amp; A1322)</f>
        <v>10-99 мм</v>
      </c>
      <c r="AB1322" s="238" t="str">
        <f ca="1">INDIRECT("'Закуп'!z" &amp; A1322)</f>
        <v>10-99 мм</v>
      </c>
      <c r="AC1322" s="223" t="str">
        <f t="shared" ca="1" si="742"/>
        <v>115x65x65</v>
      </c>
      <c r="AD1322" s="222" t="str">
        <f t="shared" ca="1" si="765"/>
        <v>115x65x65 - 115*65*65 мм</v>
      </c>
    </row>
    <row r="1323" spans="1:30" x14ac:dyDescent="0.4">
      <c r="A1323" s="230"/>
      <c r="B1323" s="8">
        <v>266</v>
      </c>
      <c r="C1323" s="14">
        <f t="shared" ca="1" si="758"/>
        <v>0.14000000000000001</v>
      </c>
      <c r="D1323" s="20">
        <f t="shared" ca="1" si="766"/>
        <v>0.16800000000000001</v>
      </c>
      <c r="E1323" s="225"/>
      <c r="F1323" s="231"/>
      <c r="G1323" s="172" t="str">
        <f t="shared" ca="1" si="749"/>
        <v/>
      </c>
      <c r="H1323" s="93" t="str">
        <f t="shared" ca="1" si="750"/>
        <v/>
      </c>
      <c r="I1323" s="21">
        <v>100</v>
      </c>
      <c r="J1323" s="68">
        <f t="shared" si="751"/>
        <v>0.75833333333333341</v>
      </c>
      <c r="K1323" s="70">
        <v>0.91</v>
      </c>
      <c r="L1323" s="72">
        <f t="shared" ca="1" si="746"/>
        <v>0.4946666666666667</v>
      </c>
      <c r="M1323" s="73">
        <f t="shared" ca="1" si="747"/>
        <v>49.466666666666669</v>
      </c>
      <c r="N1323" s="12" t="s">
        <v>41</v>
      </c>
      <c r="O1323" s="47" t="s">
        <v>45</v>
      </c>
      <c r="P1323" s="13">
        <f t="shared" si="736"/>
        <v>0.91</v>
      </c>
      <c r="Q1323" s="1" t="str">
        <f t="shared" si="737"/>
        <v>100-290 шт - 0,91 руб / шт с НДС</v>
      </c>
      <c r="R1323" s="235"/>
      <c r="S1323" s="239"/>
      <c r="T1323" s="226"/>
      <c r="U1323" s="228"/>
      <c r="V1323" s="222"/>
      <c r="W1323" s="229"/>
      <c r="X1323" s="227"/>
      <c r="Y1323" s="229"/>
      <c r="Z1323" s="236"/>
      <c r="AA1323" s="237"/>
      <c r="AB1323" s="238"/>
      <c r="AC1323" s="223"/>
      <c r="AD1323" s="222"/>
    </row>
    <row r="1324" spans="1:30" x14ac:dyDescent="0.4">
      <c r="A1324" s="230"/>
      <c r="B1324" s="8">
        <v>266</v>
      </c>
      <c r="C1324" s="14">
        <f t="shared" ca="1" si="758"/>
        <v>0.14000000000000001</v>
      </c>
      <c r="D1324" s="20">
        <f t="shared" ca="1" si="766"/>
        <v>0.16800000000000001</v>
      </c>
      <c r="E1324" s="225"/>
      <c r="F1324" s="231"/>
      <c r="G1324" s="172" t="str">
        <f t="shared" ca="1" si="749"/>
        <v/>
      </c>
      <c r="H1324" s="93" t="str">
        <f t="shared" ca="1" si="750"/>
        <v/>
      </c>
      <c r="I1324" s="21">
        <v>300</v>
      </c>
      <c r="J1324" s="68">
        <f t="shared" si="751"/>
        <v>0.625</v>
      </c>
      <c r="K1324" s="70">
        <v>0.75</v>
      </c>
      <c r="L1324" s="72">
        <f t="shared" ca="1" si="746"/>
        <v>0.38800000000000001</v>
      </c>
      <c r="M1324" s="73">
        <f t="shared" ca="1" si="747"/>
        <v>116.4</v>
      </c>
      <c r="N1324" s="12" t="s">
        <v>42</v>
      </c>
      <c r="O1324" s="47" t="s">
        <v>45</v>
      </c>
      <c r="P1324" s="13">
        <f t="shared" si="736"/>
        <v>0.75</v>
      </c>
      <c r="Q1324" s="1" t="str">
        <f t="shared" si="737"/>
        <v>300-490 шт - 0,75 руб / шт с НДС</v>
      </c>
      <c r="R1324" s="235"/>
      <c r="S1324" s="239"/>
      <c r="T1324" s="226"/>
      <c r="U1324" s="228"/>
      <c r="V1324" s="222"/>
      <c r="W1324" s="229"/>
      <c r="X1324" s="227"/>
      <c r="Y1324" s="229"/>
      <c r="Z1324" s="236"/>
      <c r="AA1324" s="237"/>
      <c r="AB1324" s="238"/>
      <c r="AC1324" s="223"/>
      <c r="AD1324" s="222"/>
    </row>
    <row r="1325" spans="1:30" x14ac:dyDescent="0.4">
      <c r="A1325" s="230"/>
      <c r="B1325" s="8">
        <v>266</v>
      </c>
      <c r="C1325" s="14">
        <f t="shared" ca="1" si="758"/>
        <v>0.14000000000000001</v>
      </c>
      <c r="D1325" s="20">
        <f t="shared" ca="1" si="766"/>
        <v>0.16800000000000001</v>
      </c>
      <c r="E1325" s="225"/>
      <c r="F1325" s="231"/>
      <c r="G1325" s="172" t="str">
        <f t="shared" ca="1" si="749"/>
        <v/>
      </c>
      <c r="H1325" s="93" t="str">
        <f t="shared" ca="1" si="750"/>
        <v/>
      </c>
      <c r="I1325" s="21">
        <v>500</v>
      </c>
      <c r="J1325" s="68">
        <f t="shared" si="751"/>
        <v>0.53333333333333333</v>
      </c>
      <c r="K1325" s="70">
        <v>0.64</v>
      </c>
      <c r="L1325" s="72">
        <f t="shared" ca="1" si="746"/>
        <v>0.31466666666666665</v>
      </c>
      <c r="M1325" s="73">
        <f t="shared" ca="1" si="747"/>
        <v>157.33333333333331</v>
      </c>
      <c r="N1325" s="12" t="s">
        <v>43</v>
      </c>
      <c r="O1325" s="47" t="s">
        <v>45</v>
      </c>
      <c r="P1325" s="13">
        <f t="shared" si="736"/>
        <v>0.64</v>
      </c>
      <c r="Q1325" s="1" t="str">
        <f t="shared" si="737"/>
        <v>500-990 шт - 0,64 руб / шт с НДС</v>
      </c>
      <c r="R1325" s="235"/>
      <c r="S1325" s="239"/>
      <c r="T1325" s="226"/>
      <c r="U1325" s="228"/>
      <c r="V1325" s="222"/>
      <c r="W1325" s="229"/>
      <c r="X1325" s="227"/>
      <c r="Y1325" s="229"/>
      <c r="Z1325" s="236"/>
      <c r="AA1325" s="237"/>
      <c r="AB1325" s="238"/>
      <c r="AC1325" s="223"/>
      <c r="AD1325" s="222"/>
    </row>
    <row r="1326" spans="1:30" x14ac:dyDescent="0.4">
      <c r="A1326" s="230"/>
      <c r="B1326" s="8">
        <v>266</v>
      </c>
      <c r="C1326" s="14">
        <f t="shared" ca="1" si="758"/>
        <v>0.14000000000000001</v>
      </c>
      <c r="D1326" s="20">
        <f t="shared" ca="1" si="766"/>
        <v>0.16800000000000001</v>
      </c>
      <c r="E1326" s="225"/>
      <c r="F1326" s="231"/>
      <c r="G1326" s="172" t="str">
        <f t="shared" ca="1" si="749"/>
        <v/>
      </c>
      <c r="H1326" s="93" t="str">
        <f t="shared" ca="1" si="750"/>
        <v/>
      </c>
      <c r="I1326" s="21">
        <v>1000</v>
      </c>
      <c r="J1326" s="68">
        <f t="shared" si="751"/>
        <v>0.45000000000000007</v>
      </c>
      <c r="K1326" s="70">
        <v>0.54</v>
      </c>
      <c r="L1326" s="72">
        <f t="shared" ca="1" si="746"/>
        <v>0.24800000000000005</v>
      </c>
      <c r="M1326" s="73">
        <f t="shared" ca="1" si="747"/>
        <v>248.00000000000006</v>
      </c>
      <c r="N1326" s="12" t="s">
        <v>44</v>
      </c>
      <c r="O1326" s="47" t="s">
        <v>45</v>
      </c>
      <c r="P1326" s="13">
        <f t="shared" si="736"/>
        <v>0.54</v>
      </c>
      <c r="Q1326" s="1" t="str">
        <f t="shared" si="737"/>
        <v>1000 + шт - 0,54 руб / шт с НДС</v>
      </c>
      <c r="R1326" s="235"/>
      <c r="S1326" s="239"/>
      <c r="T1326" s="226"/>
      <c r="U1326" s="228"/>
      <c r="V1326" s="222"/>
      <c r="W1326" s="229"/>
      <c r="X1326" s="227"/>
      <c r="Y1326" s="229"/>
      <c r="Z1326" s="236"/>
      <c r="AA1326" s="237"/>
      <c r="AB1326" s="238"/>
      <c r="AC1326" s="223"/>
      <c r="AD1326" s="222"/>
    </row>
    <row r="1327" spans="1:30" x14ac:dyDescent="0.4">
      <c r="A1327" s="230">
        <v>267</v>
      </c>
      <c r="B1327" s="8">
        <v>267</v>
      </c>
      <c r="C1327" s="14">
        <f t="shared" ca="1" si="758"/>
        <v>0.9</v>
      </c>
      <c r="D1327" s="20">
        <f t="shared" ca="1" si="766"/>
        <v>1.08</v>
      </c>
      <c r="E1327" s="225" t="str">
        <f ca="1">INDIRECT("'Закуп'!D" &amp; A1327)</f>
        <v>ГТ</v>
      </c>
      <c r="F1327" s="231" t="str">
        <f t="shared" ref="F1327" ca="1" si="771">INDIRECT("'Закуп'!E" &amp; B1327)</f>
        <v>400х300х300</v>
      </c>
      <c r="G1327" s="172" t="str">
        <f t="shared" ca="1" si="749"/>
        <v/>
      </c>
      <c r="H1327" s="93" t="str">
        <f t="shared" ca="1" si="750"/>
        <v/>
      </c>
      <c r="I1327" s="21">
        <v>50</v>
      </c>
      <c r="J1327" s="68">
        <f t="shared" si="751"/>
        <v>2.0500000000000003</v>
      </c>
      <c r="K1327" s="70">
        <v>2.46</v>
      </c>
      <c r="L1327" s="72">
        <f t="shared" ca="1" si="746"/>
        <v>0.92000000000000026</v>
      </c>
      <c r="M1327" s="73">
        <f t="shared" ca="1" si="747"/>
        <v>46.000000000000014</v>
      </c>
      <c r="N1327" s="12" t="s">
        <v>40</v>
      </c>
      <c r="O1327" s="47" t="s">
        <v>45</v>
      </c>
      <c r="P1327" s="13">
        <f t="shared" ref="P1327:P1390" si="772">ROUND(K1327,2)</f>
        <v>2.46</v>
      </c>
      <c r="Q1327" s="1" t="str">
        <f t="shared" si="737"/>
        <v>50-90 шт - 2,46 руб / шт с НДС</v>
      </c>
      <c r="R1327" s="235" t="str">
        <f ca="1">INDIRECT("'Закуп'!k" &amp; A1327)</f>
        <v>K1032</v>
      </c>
      <c r="S1327" s="239">
        <f ca="1">INDIRECT("'Закуп'!o" &amp; A1327)</f>
        <v>36</v>
      </c>
      <c r="T1327" s="226" t="str">
        <f ca="1">INDIRECT("'Закуп'!p" &amp; A1327)</f>
        <v>30-49 литров</v>
      </c>
      <c r="U1327" s="228" t="str">
        <f ca="1">INDIRECT("'Закуп'!v" &amp; A1327)</f>
        <v/>
      </c>
      <c r="V1327" s="222" t="str">
        <f ca="1">INDIRECT("'Закуп'!w" &amp; A1327)</f>
        <v/>
      </c>
      <c r="W1327" s="229" t="str">
        <f ca="1">INDIRECT("'Закуп'!H" &amp; A1327)</f>
        <v>0201</v>
      </c>
      <c r="X1327" s="227" t="str">
        <f t="shared" ref="X1327" ca="1" si="773">INDIRECT("'Закуп'!g" &amp; A1327)</f>
        <v>Ч</v>
      </c>
      <c r="Y1327" s="229" t="str">
        <f ca="1">INDIRECT("'Закуп'!i" &amp; A1327)</f>
        <v>В</v>
      </c>
      <c r="Z1327" s="236" t="str">
        <f ca="1">INDIRECT("'Закуп'!x" &amp; A1327)</f>
        <v>400-499 мм</v>
      </c>
      <c r="AA1327" s="237" t="str">
        <f ca="1">INDIRECT("'Закуп'!y" &amp; A1327)</f>
        <v>300-399 мм</v>
      </c>
      <c r="AB1327" s="238" t="str">
        <f ca="1">INDIRECT("'Закуп'!z" &amp; A1327)</f>
        <v>300-399 мм</v>
      </c>
      <c r="AC1327" s="223" t="str">
        <f t="shared" ca="1" si="742"/>
        <v>400x300x300</v>
      </c>
      <c r="AD1327" s="222" t="str">
        <f t="shared" ca="1" si="765"/>
        <v>400x300x300 - 400*300*300 мм</v>
      </c>
    </row>
    <row r="1328" spans="1:30" x14ac:dyDescent="0.4">
      <c r="A1328" s="230"/>
      <c r="B1328" s="8">
        <v>267</v>
      </c>
      <c r="C1328" s="14">
        <f t="shared" ca="1" si="758"/>
        <v>0.9</v>
      </c>
      <c r="D1328" s="20">
        <f t="shared" ca="1" si="766"/>
        <v>1.08</v>
      </c>
      <c r="E1328" s="225"/>
      <c r="F1328" s="231"/>
      <c r="G1328" s="172" t="str">
        <f t="shared" ca="1" si="749"/>
        <v/>
      </c>
      <c r="H1328" s="93" t="str">
        <f t="shared" ca="1" si="750"/>
        <v/>
      </c>
      <c r="I1328" s="21">
        <v>100</v>
      </c>
      <c r="J1328" s="68">
        <f t="shared" si="751"/>
        <v>1.875</v>
      </c>
      <c r="K1328" s="70">
        <v>2.25</v>
      </c>
      <c r="L1328" s="72">
        <f t="shared" ca="1" si="746"/>
        <v>0.78</v>
      </c>
      <c r="M1328" s="73">
        <f t="shared" ca="1" si="747"/>
        <v>78</v>
      </c>
      <c r="N1328" s="12" t="s">
        <v>41</v>
      </c>
      <c r="O1328" s="47" t="s">
        <v>45</v>
      </c>
      <c r="P1328" s="13">
        <f t="shared" si="772"/>
        <v>2.25</v>
      </c>
      <c r="Q1328" s="1" t="str">
        <f t="shared" ref="Q1328:Q1391" si="774">CONCATENATE(N1328,P1328,O1328,)</f>
        <v>100-290 шт - 2,25 руб / шт с НДС</v>
      </c>
      <c r="R1328" s="235"/>
      <c r="S1328" s="239"/>
      <c r="T1328" s="226"/>
      <c r="U1328" s="228"/>
      <c r="V1328" s="222"/>
      <c r="W1328" s="229"/>
      <c r="X1328" s="227"/>
      <c r="Y1328" s="229"/>
      <c r="Z1328" s="236"/>
      <c r="AA1328" s="237"/>
      <c r="AB1328" s="238"/>
      <c r="AC1328" s="223"/>
      <c r="AD1328" s="222"/>
    </row>
    <row r="1329" spans="1:30" x14ac:dyDescent="0.4">
      <c r="A1329" s="230"/>
      <c r="B1329" s="8">
        <v>267</v>
      </c>
      <c r="C1329" s="14">
        <f t="shared" ca="1" si="758"/>
        <v>0.9</v>
      </c>
      <c r="D1329" s="20">
        <f t="shared" ca="1" si="766"/>
        <v>1.08</v>
      </c>
      <c r="E1329" s="225"/>
      <c r="F1329" s="231"/>
      <c r="G1329" s="172" t="str">
        <f t="shared" ca="1" si="749"/>
        <v/>
      </c>
      <c r="H1329" s="93" t="str">
        <f t="shared" ca="1" si="750"/>
        <v/>
      </c>
      <c r="I1329" s="21">
        <v>300</v>
      </c>
      <c r="J1329" s="68">
        <f t="shared" si="751"/>
        <v>1.7416666666666667</v>
      </c>
      <c r="K1329" s="70">
        <v>2.09</v>
      </c>
      <c r="L1329" s="72">
        <f t="shared" ca="1" si="746"/>
        <v>0.67333333333333334</v>
      </c>
      <c r="M1329" s="73">
        <f t="shared" ca="1" si="747"/>
        <v>202</v>
      </c>
      <c r="N1329" s="12" t="s">
        <v>42</v>
      </c>
      <c r="O1329" s="47" t="s">
        <v>45</v>
      </c>
      <c r="P1329" s="13">
        <f t="shared" si="772"/>
        <v>2.09</v>
      </c>
      <c r="Q1329" s="1" t="str">
        <f t="shared" si="774"/>
        <v>300-490 шт - 2,09 руб / шт с НДС</v>
      </c>
      <c r="R1329" s="235"/>
      <c r="S1329" s="239"/>
      <c r="T1329" s="226"/>
      <c r="U1329" s="228"/>
      <c r="V1329" s="222"/>
      <c r="W1329" s="229"/>
      <c r="X1329" s="227"/>
      <c r="Y1329" s="229"/>
      <c r="Z1329" s="236"/>
      <c r="AA1329" s="237"/>
      <c r="AB1329" s="238"/>
      <c r="AC1329" s="223"/>
      <c r="AD1329" s="222"/>
    </row>
    <row r="1330" spans="1:30" x14ac:dyDescent="0.4">
      <c r="A1330" s="230"/>
      <c r="B1330" s="8">
        <v>267</v>
      </c>
      <c r="C1330" s="14">
        <f t="shared" ca="1" si="758"/>
        <v>0.9</v>
      </c>
      <c r="D1330" s="20">
        <f t="shared" ca="1" si="766"/>
        <v>1.08</v>
      </c>
      <c r="E1330" s="225"/>
      <c r="F1330" s="231"/>
      <c r="G1330" s="172" t="str">
        <f t="shared" ca="1" si="749"/>
        <v/>
      </c>
      <c r="H1330" s="93" t="str">
        <f t="shared" ca="1" si="750"/>
        <v/>
      </c>
      <c r="I1330" s="21">
        <v>500</v>
      </c>
      <c r="J1330" s="68">
        <f t="shared" si="751"/>
        <v>1.6500000000000001</v>
      </c>
      <c r="K1330" s="70">
        <v>1.98</v>
      </c>
      <c r="L1330" s="72">
        <f t="shared" ca="1" si="746"/>
        <v>0.60000000000000009</v>
      </c>
      <c r="M1330" s="73">
        <f t="shared" ca="1" si="747"/>
        <v>300.00000000000006</v>
      </c>
      <c r="N1330" s="12" t="s">
        <v>43</v>
      </c>
      <c r="O1330" s="47" t="s">
        <v>45</v>
      </c>
      <c r="P1330" s="13">
        <f t="shared" si="772"/>
        <v>1.98</v>
      </c>
      <c r="Q1330" s="1" t="str">
        <f t="shared" si="774"/>
        <v>500-990 шт - 1,98 руб / шт с НДС</v>
      </c>
      <c r="R1330" s="235"/>
      <c r="S1330" s="239"/>
      <c r="T1330" s="226"/>
      <c r="U1330" s="228"/>
      <c r="V1330" s="222"/>
      <c r="W1330" s="229"/>
      <c r="X1330" s="227"/>
      <c r="Y1330" s="229"/>
      <c r="Z1330" s="236"/>
      <c r="AA1330" s="237"/>
      <c r="AB1330" s="238"/>
      <c r="AC1330" s="223"/>
      <c r="AD1330" s="222"/>
    </row>
    <row r="1331" spans="1:30" x14ac:dyDescent="0.4">
      <c r="A1331" s="230"/>
      <c r="B1331" s="8">
        <v>267</v>
      </c>
      <c r="C1331" s="14">
        <f t="shared" ca="1" si="758"/>
        <v>0.9</v>
      </c>
      <c r="D1331" s="20">
        <f t="shared" ca="1" si="766"/>
        <v>1.08</v>
      </c>
      <c r="E1331" s="225"/>
      <c r="F1331" s="231"/>
      <c r="G1331" s="172" t="str">
        <f t="shared" ca="1" si="749"/>
        <v/>
      </c>
      <c r="H1331" s="93" t="str">
        <f t="shared" ca="1" si="750"/>
        <v/>
      </c>
      <c r="I1331" s="21">
        <v>1000</v>
      </c>
      <c r="J1331" s="68">
        <f t="shared" si="751"/>
        <v>1.5166666666666668</v>
      </c>
      <c r="K1331" s="70">
        <v>1.82</v>
      </c>
      <c r="L1331" s="72">
        <f t="shared" ca="1" si="746"/>
        <v>0.49333333333333346</v>
      </c>
      <c r="M1331" s="73">
        <f t="shared" ca="1" si="747"/>
        <v>493.33333333333348</v>
      </c>
      <c r="N1331" s="12" t="s">
        <v>44</v>
      </c>
      <c r="O1331" s="47" t="s">
        <v>45</v>
      </c>
      <c r="P1331" s="13">
        <f t="shared" si="772"/>
        <v>1.82</v>
      </c>
      <c r="Q1331" s="1" t="str">
        <f t="shared" si="774"/>
        <v>1000 + шт - 1,82 руб / шт с НДС</v>
      </c>
      <c r="R1331" s="235"/>
      <c r="S1331" s="239"/>
      <c r="T1331" s="226"/>
      <c r="U1331" s="228"/>
      <c r="V1331" s="222"/>
      <c r="W1331" s="229"/>
      <c r="X1331" s="227"/>
      <c r="Y1331" s="229"/>
      <c r="Z1331" s="236"/>
      <c r="AA1331" s="237"/>
      <c r="AB1331" s="238"/>
      <c r="AC1331" s="223"/>
      <c r="AD1331" s="222"/>
    </row>
    <row r="1332" spans="1:30" x14ac:dyDescent="0.4">
      <c r="A1332" s="230">
        <v>268</v>
      </c>
      <c r="B1332" s="8">
        <v>268</v>
      </c>
      <c r="C1332" s="14">
        <f t="shared" ca="1" si="758"/>
        <v>0.53</v>
      </c>
      <c r="D1332" s="20">
        <f t="shared" ca="1" si="766"/>
        <v>0.63600000000000001</v>
      </c>
      <c r="E1332" s="225" t="str">
        <f ca="1">INDIRECT("'Закуп'!D" &amp; A1332)</f>
        <v>Т (ЛС)</v>
      </c>
      <c r="F1332" s="231" t="str">
        <f t="shared" ref="F1332" ca="1" si="775">INDIRECT("'Закуп'!E" &amp; B1332)</f>
        <v>210х140х110</v>
      </c>
      <c r="G1332" s="172" t="str">
        <f t="shared" ca="1" si="749"/>
        <v/>
      </c>
      <c r="H1332" s="93" t="str">
        <f t="shared" ca="1" si="750"/>
        <v/>
      </c>
      <c r="I1332" s="21">
        <v>50</v>
      </c>
      <c r="J1332" s="68">
        <f t="shared" si="751"/>
        <v>1.3416666666666668</v>
      </c>
      <c r="K1332" s="70">
        <v>1.61</v>
      </c>
      <c r="L1332" s="72">
        <f t="shared" ca="1" si="746"/>
        <v>0.64933333333333343</v>
      </c>
      <c r="M1332" s="73">
        <f t="shared" ca="1" si="747"/>
        <v>32.466666666666669</v>
      </c>
      <c r="N1332" s="12" t="s">
        <v>40</v>
      </c>
      <c r="O1332" s="47" t="s">
        <v>45</v>
      </c>
      <c r="P1332" s="13">
        <f t="shared" si="772"/>
        <v>1.61</v>
      </c>
      <c r="Q1332" s="1" t="str">
        <f t="shared" si="774"/>
        <v>50-90 шт - 1,61 руб / шт с НДС</v>
      </c>
      <c r="R1332" s="235" t="str">
        <f ca="1">INDIRECT("'Закуп'!k" &amp; A1332)</f>
        <v>K1033</v>
      </c>
      <c r="S1332" s="239">
        <f ca="1">INDIRECT("'Закуп'!o" &amp; A1332)</f>
        <v>3.23</v>
      </c>
      <c r="T1332" s="226" t="str">
        <f ca="1">INDIRECT("'Закуп'!p" &amp; A1332)</f>
        <v>3-3,9 литра</v>
      </c>
      <c r="U1332" s="228" t="str">
        <f ca="1">INDIRECT("'Закуп'!v" &amp; A1332)</f>
        <v/>
      </c>
      <c r="V1332" s="222" t="str">
        <f ca="1">INDIRECT("'Закуп'!w" &amp; A1332)</f>
        <v/>
      </c>
      <c r="W1332" s="229" t="str">
        <f ca="1">INDIRECT("'Закуп'!H" &amp; A1332)</f>
        <v>0201</v>
      </c>
      <c r="X1332" s="227" t="str">
        <f t="shared" ref="X1332" ca="1" si="776">INDIRECT("'Закуп'!g" &amp; A1332)</f>
        <v>Ч</v>
      </c>
      <c r="Y1332" s="229" t="str">
        <f ca="1">INDIRECT("'Закуп'!i" &amp; A1332)</f>
        <v>В</v>
      </c>
      <c r="Z1332" s="236" t="str">
        <f ca="1">INDIRECT("'Закуп'!x" &amp; A1332)</f>
        <v>200-299 мм</v>
      </c>
      <c r="AA1332" s="237" t="str">
        <f ca="1">INDIRECT("'Закуп'!y" &amp; A1332)</f>
        <v>100-199 мм</v>
      </c>
      <c r="AB1332" s="238" t="str">
        <f ca="1">INDIRECT("'Закуп'!z" &amp; A1332)</f>
        <v>100-199 мм</v>
      </c>
      <c r="AC1332" s="223" t="str">
        <f t="shared" ca="1" si="742"/>
        <v>210x140x110</v>
      </c>
      <c r="AD1332" s="222" t="str">
        <f t="shared" ca="1" si="765"/>
        <v>210x140x110 - 210*140*110 мм</v>
      </c>
    </row>
    <row r="1333" spans="1:30" x14ac:dyDescent="0.4">
      <c r="A1333" s="230"/>
      <c r="B1333" s="8">
        <v>268</v>
      </c>
      <c r="C1333" s="14">
        <f t="shared" ca="1" si="758"/>
        <v>0.53</v>
      </c>
      <c r="D1333" s="20">
        <f t="shared" ca="1" si="766"/>
        <v>0.63600000000000001</v>
      </c>
      <c r="E1333" s="225"/>
      <c r="F1333" s="231"/>
      <c r="G1333" s="172" t="str">
        <f t="shared" ca="1" si="749"/>
        <v/>
      </c>
      <c r="H1333" s="93" t="str">
        <f t="shared" ca="1" si="750"/>
        <v/>
      </c>
      <c r="I1333" s="21">
        <v>100</v>
      </c>
      <c r="J1333" s="68">
        <f t="shared" si="751"/>
        <v>1.2</v>
      </c>
      <c r="K1333" s="70">
        <v>1.44</v>
      </c>
      <c r="L1333" s="72">
        <f t="shared" ca="1" si="746"/>
        <v>0.53599999999999992</v>
      </c>
      <c r="M1333" s="73">
        <f t="shared" ca="1" si="747"/>
        <v>53.599999999999994</v>
      </c>
      <c r="N1333" s="12" t="s">
        <v>41</v>
      </c>
      <c r="O1333" s="47" t="s">
        <v>45</v>
      </c>
      <c r="P1333" s="13">
        <f t="shared" si="772"/>
        <v>1.44</v>
      </c>
      <c r="Q1333" s="1" t="str">
        <f t="shared" si="774"/>
        <v>100-290 шт - 1,44 руб / шт с НДС</v>
      </c>
      <c r="R1333" s="235"/>
      <c r="S1333" s="239"/>
      <c r="T1333" s="226"/>
      <c r="U1333" s="228"/>
      <c r="V1333" s="222"/>
      <c r="W1333" s="229"/>
      <c r="X1333" s="227"/>
      <c r="Y1333" s="229"/>
      <c r="Z1333" s="236"/>
      <c r="AA1333" s="237"/>
      <c r="AB1333" s="238"/>
      <c r="AC1333" s="223"/>
      <c r="AD1333" s="222"/>
    </row>
    <row r="1334" spans="1:30" x14ac:dyDescent="0.4">
      <c r="A1334" s="230"/>
      <c r="B1334" s="8">
        <v>268</v>
      </c>
      <c r="C1334" s="14">
        <f t="shared" ca="1" si="758"/>
        <v>0.53</v>
      </c>
      <c r="D1334" s="20">
        <f t="shared" ca="1" si="766"/>
        <v>0.63600000000000001</v>
      </c>
      <c r="E1334" s="225"/>
      <c r="F1334" s="231"/>
      <c r="G1334" s="172" t="str">
        <f t="shared" ca="1" si="749"/>
        <v/>
      </c>
      <c r="H1334" s="93" t="str">
        <f t="shared" ca="1" si="750"/>
        <v/>
      </c>
      <c r="I1334" s="21">
        <v>300</v>
      </c>
      <c r="J1334" s="68">
        <f t="shared" si="751"/>
        <v>1.0666666666666667</v>
      </c>
      <c r="K1334" s="70">
        <v>1.28</v>
      </c>
      <c r="L1334" s="72">
        <f t="shared" ca="1" si="746"/>
        <v>0.42933333333333329</v>
      </c>
      <c r="M1334" s="73">
        <f t="shared" ca="1" si="747"/>
        <v>128.79999999999998</v>
      </c>
      <c r="N1334" s="12" t="s">
        <v>42</v>
      </c>
      <c r="O1334" s="47" t="s">
        <v>45</v>
      </c>
      <c r="P1334" s="13">
        <f t="shared" si="772"/>
        <v>1.28</v>
      </c>
      <c r="Q1334" s="1" t="str">
        <f t="shared" si="774"/>
        <v>300-490 шт - 1,28 руб / шт с НДС</v>
      </c>
      <c r="R1334" s="235"/>
      <c r="S1334" s="239"/>
      <c r="T1334" s="226"/>
      <c r="U1334" s="228"/>
      <c r="V1334" s="222"/>
      <c r="W1334" s="229"/>
      <c r="X1334" s="227"/>
      <c r="Y1334" s="229"/>
      <c r="Z1334" s="236"/>
      <c r="AA1334" s="237"/>
      <c r="AB1334" s="238"/>
      <c r="AC1334" s="223"/>
      <c r="AD1334" s="222"/>
    </row>
    <row r="1335" spans="1:30" x14ac:dyDescent="0.4">
      <c r="A1335" s="230"/>
      <c r="B1335" s="8">
        <v>268</v>
      </c>
      <c r="C1335" s="14">
        <f t="shared" ca="1" si="758"/>
        <v>0.53</v>
      </c>
      <c r="D1335" s="20">
        <f t="shared" ca="1" si="766"/>
        <v>0.63600000000000001</v>
      </c>
      <c r="E1335" s="225"/>
      <c r="F1335" s="231"/>
      <c r="G1335" s="172" t="str">
        <f t="shared" ca="1" si="749"/>
        <v/>
      </c>
      <c r="H1335" s="93" t="str">
        <f t="shared" ca="1" si="750"/>
        <v/>
      </c>
      <c r="I1335" s="21">
        <v>500</v>
      </c>
      <c r="J1335" s="68">
        <f t="shared" si="751"/>
        <v>0.98333333333333328</v>
      </c>
      <c r="K1335" s="70">
        <v>1.18</v>
      </c>
      <c r="L1335" s="72">
        <f t="shared" ca="1" si="746"/>
        <v>0.36266666666666658</v>
      </c>
      <c r="M1335" s="73">
        <f t="shared" ca="1" si="747"/>
        <v>181.33333333333329</v>
      </c>
      <c r="N1335" s="12" t="s">
        <v>43</v>
      </c>
      <c r="O1335" s="47" t="s">
        <v>45</v>
      </c>
      <c r="P1335" s="13">
        <f t="shared" si="772"/>
        <v>1.18</v>
      </c>
      <c r="Q1335" s="1" t="str">
        <f t="shared" si="774"/>
        <v>500-990 шт - 1,18 руб / шт с НДС</v>
      </c>
      <c r="R1335" s="235"/>
      <c r="S1335" s="239"/>
      <c r="T1335" s="226"/>
      <c r="U1335" s="228"/>
      <c r="V1335" s="222"/>
      <c r="W1335" s="229"/>
      <c r="X1335" s="227"/>
      <c r="Y1335" s="229"/>
      <c r="Z1335" s="236"/>
      <c r="AA1335" s="237"/>
      <c r="AB1335" s="238"/>
      <c r="AC1335" s="223"/>
      <c r="AD1335" s="222"/>
    </row>
    <row r="1336" spans="1:30" x14ac:dyDescent="0.4">
      <c r="A1336" s="230"/>
      <c r="B1336" s="8">
        <v>268</v>
      </c>
      <c r="C1336" s="14">
        <f t="shared" ca="1" si="758"/>
        <v>0.53</v>
      </c>
      <c r="D1336" s="20">
        <f t="shared" ca="1" si="766"/>
        <v>0.63600000000000001</v>
      </c>
      <c r="E1336" s="225"/>
      <c r="F1336" s="231"/>
      <c r="G1336" s="172" t="str">
        <f t="shared" ca="1" si="749"/>
        <v/>
      </c>
      <c r="H1336" s="93" t="str">
        <f t="shared" ca="1" si="750"/>
        <v/>
      </c>
      <c r="I1336" s="21">
        <v>1000</v>
      </c>
      <c r="J1336" s="68">
        <f t="shared" si="751"/>
        <v>0.89166666666666672</v>
      </c>
      <c r="K1336" s="70">
        <v>1.07</v>
      </c>
      <c r="L1336" s="72">
        <f t="shared" ca="1" si="746"/>
        <v>0.28933333333333333</v>
      </c>
      <c r="M1336" s="73">
        <f t="shared" ca="1" si="747"/>
        <v>289.33333333333331</v>
      </c>
      <c r="N1336" s="12" t="s">
        <v>44</v>
      </c>
      <c r="O1336" s="47" t="s">
        <v>45</v>
      </c>
      <c r="P1336" s="13">
        <f t="shared" si="772"/>
        <v>1.07</v>
      </c>
      <c r="Q1336" s="1" t="str">
        <f t="shared" si="774"/>
        <v>1000 + шт - 1,07 руб / шт с НДС</v>
      </c>
      <c r="R1336" s="235"/>
      <c r="S1336" s="239"/>
      <c r="T1336" s="226"/>
      <c r="U1336" s="228"/>
      <c r="V1336" s="222"/>
      <c r="W1336" s="229"/>
      <c r="X1336" s="227"/>
      <c r="Y1336" s="229"/>
      <c r="Z1336" s="236"/>
      <c r="AA1336" s="237"/>
      <c r="AB1336" s="238"/>
      <c r="AC1336" s="223"/>
      <c r="AD1336" s="222"/>
    </row>
    <row r="1337" spans="1:30" x14ac:dyDescent="0.4">
      <c r="A1337" s="230">
        <v>269</v>
      </c>
      <c r="B1337" s="8">
        <v>269</v>
      </c>
      <c r="C1337" s="14">
        <f t="shared" ca="1" si="758"/>
        <v>0.16</v>
      </c>
      <c r="D1337" s="20">
        <f t="shared" ca="1" si="766"/>
        <v>0.192</v>
      </c>
      <c r="E1337" s="224" t="str">
        <f ca="1">INDIRECT("'Закуп'!D" &amp; A1337)</f>
        <v>У</v>
      </c>
      <c r="F1337" s="231" t="str">
        <f t="shared" ref="F1337" ca="1" si="777">INDIRECT("'Закуп'!E" &amp; B1337)</f>
        <v>195х70х35</v>
      </c>
      <c r="G1337" s="172" t="str">
        <f t="shared" ca="1" si="749"/>
        <v/>
      </c>
      <c r="H1337" s="93" t="str">
        <f t="shared" ca="1" si="750"/>
        <v/>
      </c>
      <c r="I1337" s="21">
        <v>50</v>
      </c>
      <c r="J1337" s="68">
        <f t="shared" si="751"/>
        <v>0.98333333333333328</v>
      </c>
      <c r="K1337" s="70">
        <v>1.18</v>
      </c>
      <c r="L1337" s="72">
        <f t="shared" ca="1" si="746"/>
        <v>0.65866666666666662</v>
      </c>
      <c r="M1337" s="73">
        <f t="shared" ca="1" si="747"/>
        <v>32.93333333333333</v>
      </c>
      <c r="N1337" s="12" t="s">
        <v>40</v>
      </c>
      <c r="O1337" s="47" t="s">
        <v>45</v>
      </c>
      <c r="P1337" s="13">
        <f t="shared" si="772"/>
        <v>1.18</v>
      </c>
      <c r="Q1337" s="1" t="str">
        <f t="shared" si="774"/>
        <v>50-90 шт - 1,18 руб / шт с НДС</v>
      </c>
      <c r="R1337" s="235" t="str">
        <f ca="1">INDIRECT("'Закуп'!k" &amp; A1337)</f>
        <v>K239</v>
      </c>
      <c r="S1337" s="239">
        <f ca="1">INDIRECT("'Закуп'!o" &amp; A1337)</f>
        <v>0.48</v>
      </c>
      <c r="T1337" s="226" t="str">
        <f ca="1">INDIRECT("'Закуп'!p" &amp; A1337)</f>
        <v>0,1-0,9 литров</v>
      </c>
      <c r="U1337" s="228" t="str">
        <f ca="1">INDIRECT("'Закуп'!v" &amp; A1337)</f>
        <v>Длинные</v>
      </c>
      <c r="V1337" s="222" t="str">
        <f ca="1">INDIRECT("'Закуп'!w" &amp; A1337)</f>
        <v>Плоские</v>
      </c>
      <c r="W1337" s="229" t="str">
        <f ca="1">INDIRECT("'Закуп'!H" &amp; A1337)</f>
        <v>0427</v>
      </c>
      <c r="X1337" s="227" t="str">
        <f t="shared" ref="X1337" ca="1" si="778">INDIRECT("'Закуп'!g" &amp; A1337)</f>
        <v>С</v>
      </c>
      <c r="Y1337" s="229" t="str">
        <f ca="1">INDIRECT("'Закуп'!i" &amp; A1337)</f>
        <v>Е</v>
      </c>
      <c r="Z1337" s="236" t="str">
        <f ca="1">INDIRECT("'Закуп'!x" &amp; A1337)</f>
        <v>100-199 мм</v>
      </c>
      <c r="AA1337" s="237" t="str">
        <f ca="1">INDIRECT("'Закуп'!y" &amp; A1337)</f>
        <v>10-99 мм</v>
      </c>
      <c r="AB1337" s="238" t="str">
        <f ca="1">INDIRECT("'Закуп'!z" &amp; A1337)</f>
        <v>10-99 мм</v>
      </c>
      <c r="AC1337" s="223" t="str">
        <f t="shared" ref="AC1337:AC1397" ca="1" si="779">SUBSTITUTE(INDEX(F:F, ROUNDUP((ROW(A1336))/5,0)*5 - 3), "х", "x")</f>
        <v>195x70x35</v>
      </c>
      <c r="AD1337" s="222" t="str">
        <f t="shared" ca="1" si="765"/>
        <v>195x70x35 - 195*70*35 мм</v>
      </c>
    </row>
    <row r="1338" spans="1:30" x14ac:dyDescent="0.4">
      <c r="A1338" s="230"/>
      <c r="B1338" s="8">
        <v>269</v>
      </c>
      <c r="C1338" s="14">
        <f t="shared" ca="1" si="758"/>
        <v>0.16</v>
      </c>
      <c r="D1338" s="20">
        <f t="shared" ca="1" si="766"/>
        <v>0.192</v>
      </c>
      <c r="E1338" s="225"/>
      <c r="F1338" s="231"/>
      <c r="G1338" s="172" t="str">
        <f t="shared" ca="1" si="749"/>
        <v/>
      </c>
      <c r="H1338" s="93" t="str">
        <f t="shared" ca="1" si="750"/>
        <v/>
      </c>
      <c r="I1338" s="21">
        <v>100</v>
      </c>
      <c r="J1338" s="68">
        <f t="shared" si="751"/>
        <v>0.84166666666666667</v>
      </c>
      <c r="K1338" s="70">
        <v>1.01</v>
      </c>
      <c r="L1338" s="72">
        <f t="shared" ca="1" si="746"/>
        <v>0.54533333333333334</v>
      </c>
      <c r="M1338" s="73">
        <f t="shared" ca="1" si="747"/>
        <v>54.533333333333331</v>
      </c>
      <c r="N1338" s="12" t="s">
        <v>41</v>
      </c>
      <c r="O1338" s="47" t="s">
        <v>45</v>
      </c>
      <c r="P1338" s="13">
        <f t="shared" si="772"/>
        <v>1.01</v>
      </c>
      <c r="Q1338" s="1" t="str">
        <f t="shared" si="774"/>
        <v>100-290 шт - 1,01 руб / шт с НДС</v>
      </c>
      <c r="R1338" s="235"/>
      <c r="S1338" s="239"/>
      <c r="T1338" s="226"/>
      <c r="U1338" s="228"/>
      <c r="V1338" s="222"/>
      <c r="W1338" s="229"/>
      <c r="X1338" s="227"/>
      <c r="Y1338" s="229"/>
      <c r="Z1338" s="236"/>
      <c r="AA1338" s="237"/>
      <c r="AB1338" s="238"/>
      <c r="AC1338" s="223"/>
      <c r="AD1338" s="222"/>
    </row>
    <row r="1339" spans="1:30" x14ac:dyDescent="0.4">
      <c r="A1339" s="230"/>
      <c r="B1339" s="8">
        <v>269</v>
      </c>
      <c r="C1339" s="14">
        <f t="shared" ca="1" si="758"/>
        <v>0.16</v>
      </c>
      <c r="D1339" s="20">
        <f t="shared" ca="1" si="766"/>
        <v>0.192</v>
      </c>
      <c r="E1339" s="225"/>
      <c r="F1339" s="231"/>
      <c r="G1339" s="172" t="str">
        <f t="shared" ca="1" si="749"/>
        <v/>
      </c>
      <c r="H1339" s="93" t="str">
        <f t="shared" ca="1" si="750"/>
        <v/>
      </c>
      <c r="I1339" s="21">
        <v>300</v>
      </c>
      <c r="J1339" s="68">
        <f t="shared" si="751"/>
        <v>0.66666666666666674</v>
      </c>
      <c r="K1339" s="70">
        <v>0.8</v>
      </c>
      <c r="L1339" s="72">
        <f t="shared" ca="1" si="746"/>
        <v>0.40533333333333338</v>
      </c>
      <c r="M1339" s="73">
        <f t="shared" ca="1" si="747"/>
        <v>121.60000000000001</v>
      </c>
      <c r="N1339" s="12" t="s">
        <v>42</v>
      </c>
      <c r="O1339" s="47" t="s">
        <v>45</v>
      </c>
      <c r="P1339" s="13">
        <f t="shared" si="772"/>
        <v>0.8</v>
      </c>
      <c r="Q1339" s="1" t="str">
        <f t="shared" si="774"/>
        <v>300-490 шт - 0,8 руб / шт с НДС</v>
      </c>
      <c r="R1339" s="235"/>
      <c r="S1339" s="239"/>
      <c r="T1339" s="226"/>
      <c r="U1339" s="228"/>
      <c r="V1339" s="222"/>
      <c r="W1339" s="229"/>
      <c r="X1339" s="227"/>
      <c r="Y1339" s="229"/>
      <c r="Z1339" s="236"/>
      <c r="AA1339" s="237"/>
      <c r="AB1339" s="238"/>
      <c r="AC1339" s="223"/>
      <c r="AD1339" s="222"/>
    </row>
    <row r="1340" spans="1:30" x14ac:dyDescent="0.4">
      <c r="A1340" s="230"/>
      <c r="B1340" s="8">
        <v>269</v>
      </c>
      <c r="C1340" s="14">
        <f t="shared" ca="1" si="758"/>
        <v>0.16</v>
      </c>
      <c r="D1340" s="20">
        <f t="shared" ca="1" si="766"/>
        <v>0.192</v>
      </c>
      <c r="E1340" s="225"/>
      <c r="F1340" s="231"/>
      <c r="G1340" s="172" t="str">
        <f t="shared" ca="1" si="749"/>
        <v/>
      </c>
      <c r="H1340" s="93" t="str">
        <f t="shared" ca="1" si="750"/>
        <v/>
      </c>
      <c r="I1340" s="21">
        <v>500</v>
      </c>
      <c r="J1340" s="68">
        <f t="shared" si="751"/>
        <v>0.6</v>
      </c>
      <c r="K1340" s="70">
        <v>0.72</v>
      </c>
      <c r="L1340" s="72">
        <f t="shared" ca="1" si="746"/>
        <v>0.35199999999999998</v>
      </c>
      <c r="M1340" s="73">
        <f t="shared" ca="1" si="747"/>
        <v>176</v>
      </c>
      <c r="N1340" s="12" t="s">
        <v>43</v>
      </c>
      <c r="O1340" s="47" t="s">
        <v>45</v>
      </c>
      <c r="P1340" s="13">
        <f t="shared" si="772"/>
        <v>0.72</v>
      </c>
      <c r="Q1340" s="1" t="str">
        <f t="shared" si="774"/>
        <v>500-990 шт - 0,72 руб / шт с НДС</v>
      </c>
      <c r="R1340" s="235"/>
      <c r="S1340" s="239"/>
      <c r="T1340" s="226"/>
      <c r="U1340" s="228"/>
      <c r="V1340" s="222"/>
      <c r="W1340" s="229"/>
      <c r="X1340" s="227"/>
      <c r="Y1340" s="229"/>
      <c r="Z1340" s="236"/>
      <c r="AA1340" s="237"/>
      <c r="AB1340" s="238"/>
      <c r="AC1340" s="223"/>
      <c r="AD1340" s="222"/>
    </row>
    <row r="1341" spans="1:30" x14ac:dyDescent="0.4">
      <c r="A1341" s="230"/>
      <c r="B1341" s="8">
        <v>269</v>
      </c>
      <c r="C1341" s="14">
        <f t="shared" ca="1" si="758"/>
        <v>0.16</v>
      </c>
      <c r="D1341" s="20">
        <f t="shared" ca="1" si="766"/>
        <v>0.192</v>
      </c>
      <c r="E1341" s="225"/>
      <c r="F1341" s="231"/>
      <c r="G1341" s="172" t="str">
        <f t="shared" ca="1" si="749"/>
        <v/>
      </c>
      <c r="H1341" s="93" t="str">
        <f t="shared" ca="1" si="750"/>
        <v/>
      </c>
      <c r="I1341" s="21">
        <v>1000</v>
      </c>
      <c r="J1341" s="68">
        <f t="shared" si="751"/>
        <v>0.53333333333333333</v>
      </c>
      <c r="K1341" s="70">
        <v>0.64</v>
      </c>
      <c r="L1341" s="72">
        <f t="shared" ca="1" si="746"/>
        <v>0.29866666666666664</v>
      </c>
      <c r="M1341" s="73">
        <f t="shared" ca="1" si="747"/>
        <v>298.66666666666663</v>
      </c>
      <c r="N1341" s="12" t="s">
        <v>44</v>
      </c>
      <c r="O1341" s="47" t="s">
        <v>45</v>
      </c>
      <c r="P1341" s="13">
        <f t="shared" si="772"/>
        <v>0.64</v>
      </c>
      <c r="Q1341" s="1" t="str">
        <f t="shared" si="774"/>
        <v>1000 + шт - 0,64 руб / шт с НДС</v>
      </c>
      <c r="R1341" s="235"/>
      <c r="S1341" s="239"/>
      <c r="T1341" s="226"/>
      <c r="U1341" s="228"/>
      <c r="V1341" s="222"/>
      <c r="W1341" s="229"/>
      <c r="X1341" s="227"/>
      <c r="Y1341" s="229"/>
      <c r="Z1341" s="236"/>
      <c r="AA1341" s="237"/>
      <c r="AB1341" s="238"/>
      <c r="AC1341" s="223"/>
      <c r="AD1341" s="222"/>
    </row>
    <row r="1342" spans="1:30" ht="85.75" x14ac:dyDescent="0.4">
      <c r="A1342" s="230">
        <v>270</v>
      </c>
      <c r="B1342" s="8">
        <v>270</v>
      </c>
      <c r="C1342" s="14">
        <f t="shared" ca="1" si="758"/>
        <v>0.27</v>
      </c>
      <c r="D1342" s="20">
        <f t="shared" ca="1" si="766"/>
        <v>0.32400000000000001</v>
      </c>
      <c r="E1342" s="224" t="str">
        <f ca="1">INDIRECT("'Закуп'!D" &amp; A1342)</f>
        <v>У</v>
      </c>
      <c r="F1342" s="231" t="str">
        <f t="shared" ref="F1342" ca="1" si="780">INDIRECT("'Закуп'!E" &amp; B1342)</f>
        <v>160х100х55</v>
      </c>
      <c r="G1342" s="172" t="str">
        <f t="shared" ca="1" si="749"/>
        <v/>
      </c>
      <c r="H1342" s="93" t="str">
        <f t="shared" ca="1" si="750"/>
        <v>В прошлом форма зела мол 150х100х55. эта форма ошибочно сделана РТ-бел</v>
      </c>
      <c r="I1342" s="21">
        <v>50</v>
      </c>
      <c r="J1342" s="68">
        <f t="shared" si="751"/>
        <v>0.98333333333333328</v>
      </c>
      <c r="K1342" s="70">
        <v>1.18</v>
      </c>
      <c r="L1342" s="72">
        <f t="shared" ca="1" si="746"/>
        <v>0.57066666666666666</v>
      </c>
      <c r="M1342" s="73">
        <f t="shared" ca="1" si="747"/>
        <v>28.533333333333331</v>
      </c>
      <c r="N1342" s="12" t="s">
        <v>40</v>
      </c>
      <c r="O1342" s="47" t="s">
        <v>45</v>
      </c>
      <c r="P1342" s="13">
        <f t="shared" si="772"/>
        <v>1.18</v>
      </c>
      <c r="Q1342" s="1" t="str">
        <f t="shared" si="774"/>
        <v>50-90 шт - 1,18 руб / шт с НДС</v>
      </c>
      <c r="R1342" s="235" t="str">
        <f ca="1">INDIRECT("'Закуп'!k" &amp; A1342)</f>
        <v>K240</v>
      </c>
      <c r="S1342" s="239">
        <f ca="1">INDIRECT("'Закуп'!o" &amp; A1342)</f>
        <v>0.88</v>
      </c>
      <c r="T1342" s="226" t="str">
        <f ca="1">INDIRECT("'Закуп'!p" &amp; A1342)</f>
        <v>0,1-0,9 литров</v>
      </c>
      <c r="U1342" s="228" t="str">
        <f ca="1">INDIRECT("'Закуп'!v" &amp; A1342)</f>
        <v/>
      </c>
      <c r="V1342" s="222" t="str">
        <f ca="1">INDIRECT("'Закуп'!w" &amp; A1342)</f>
        <v/>
      </c>
      <c r="W1342" s="229" t="str">
        <f ca="1">INDIRECT("'Закуп'!H" &amp; A1342)</f>
        <v>0427</v>
      </c>
      <c r="X1342" s="227" t="str">
        <f t="shared" ref="X1342" ca="1" si="781">INDIRECT("'Закуп'!g" &amp; A1342)</f>
        <v>С</v>
      </c>
      <c r="Y1342" s="229" t="str">
        <f ca="1">INDIRECT("'Закуп'!i" &amp; A1342)</f>
        <v>Е</v>
      </c>
      <c r="Z1342" s="236" t="str">
        <f ca="1">INDIRECT("'Закуп'!x" &amp; A1342)</f>
        <v>100-199 мм</v>
      </c>
      <c r="AA1342" s="237" t="str">
        <f ca="1">INDIRECT("'Закуп'!y" &amp; A1342)</f>
        <v>100-199 мм</v>
      </c>
      <c r="AB1342" s="238" t="str">
        <f ca="1">INDIRECT("'Закуп'!z" &amp; A1342)</f>
        <v>10-99 мм</v>
      </c>
      <c r="AC1342" s="223" t="str">
        <f t="shared" ca="1" si="779"/>
        <v>160x100x55</v>
      </c>
      <c r="AD1342" s="222" t="str">
        <f t="shared" ca="1" si="765"/>
        <v>160x100x55 - 160*100*55 мм</v>
      </c>
    </row>
    <row r="1343" spans="1:30" ht="85.75" x14ac:dyDescent="0.4">
      <c r="A1343" s="230"/>
      <c r="B1343" s="8">
        <v>270</v>
      </c>
      <c r="C1343" s="14">
        <f t="shared" ca="1" si="758"/>
        <v>0.27</v>
      </c>
      <c r="D1343" s="20">
        <f t="shared" ca="1" si="766"/>
        <v>0.32400000000000001</v>
      </c>
      <c r="E1343" s="225"/>
      <c r="F1343" s="231"/>
      <c r="G1343" s="172" t="str">
        <f t="shared" ca="1" si="749"/>
        <v/>
      </c>
      <c r="H1343" s="93" t="str">
        <f t="shared" ca="1" si="750"/>
        <v>В прошлом форма зела мол 150х100х55. эта форма ошибочно сделана РТ-бел</v>
      </c>
      <c r="I1343" s="21">
        <v>100</v>
      </c>
      <c r="J1343" s="68">
        <f t="shared" si="751"/>
        <v>0.85000000000000009</v>
      </c>
      <c r="K1343" s="70">
        <v>1.02</v>
      </c>
      <c r="L1343" s="72">
        <f t="shared" ca="1" si="746"/>
        <v>0.46400000000000008</v>
      </c>
      <c r="M1343" s="73">
        <f t="shared" ca="1" si="747"/>
        <v>46.400000000000006</v>
      </c>
      <c r="N1343" s="12" t="s">
        <v>41</v>
      </c>
      <c r="O1343" s="47" t="s">
        <v>45</v>
      </c>
      <c r="P1343" s="13">
        <f t="shared" si="772"/>
        <v>1.02</v>
      </c>
      <c r="Q1343" s="1" t="str">
        <f t="shared" si="774"/>
        <v>100-290 шт - 1,02 руб / шт с НДС</v>
      </c>
      <c r="R1343" s="235"/>
      <c r="S1343" s="239"/>
      <c r="T1343" s="226"/>
      <c r="U1343" s="228"/>
      <c r="V1343" s="222"/>
      <c r="W1343" s="229"/>
      <c r="X1343" s="227"/>
      <c r="Y1343" s="229"/>
      <c r="Z1343" s="236"/>
      <c r="AA1343" s="237"/>
      <c r="AB1343" s="238"/>
      <c r="AC1343" s="223"/>
      <c r="AD1343" s="222"/>
    </row>
    <row r="1344" spans="1:30" ht="85.75" x14ac:dyDescent="0.4">
      <c r="A1344" s="230"/>
      <c r="B1344" s="8">
        <v>270</v>
      </c>
      <c r="C1344" s="14">
        <f t="shared" ca="1" si="758"/>
        <v>0.27</v>
      </c>
      <c r="D1344" s="20">
        <f t="shared" ca="1" si="766"/>
        <v>0.32400000000000001</v>
      </c>
      <c r="E1344" s="225"/>
      <c r="F1344" s="231"/>
      <c r="G1344" s="172" t="str">
        <f t="shared" ca="1" si="749"/>
        <v/>
      </c>
      <c r="H1344" s="93" t="str">
        <f t="shared" ca="1" si="750"/>
        <v>В прошлом форма зела мол 150х100х55. эта форма ошибочно сделана РТ-бел</v>
      </c>
      <c r="I1344" s="21">
        <v>300</v>
      </c>
      <c r="J1344" s="68">
        <f t="shared" si="751"/>
        <v>0.71666666666666667</v>
      </c>
      <c r="K1344" s="70">
        <v>0.86</v>
      </c>
      <c r="L1344" s="72">
        <f t="shared" ca="1" si="746"/>
        <v>0.35733333333333334</v>
      </c>
      <c r="M1344" s="73">
        <f t="shared" ca="1" si="747"/>
        <v>107.2</v>
      </c>
      <c r="N1344" s="12" t="s">
        <v>42</v>
      </c>
      <c r="O1344" s="47" t="s">
        <v>45</v>
      </c>
      <c r="P1344" s="13">
        <f t="shared" si="772"/>
        <v>0.86</v>
      </c>
      <c r="Q1344" s="1" t="str">
        <f t="shared" si="774"/>
        <v>300-490 шт - 0,86 руб / шт с НДС</v>
      </c>
      <c r="R1344" s="235"/>
      <c r="S1344" s="239"/>
      <c r="T1344" s="226"/>
      <c r="U1344" s="228"/>
      <c r="V1344" s="222"/>
      <c r="W1344" s="229"/>
      <c r="X1344" s="227"/>
      <c r="Y1344" s="229"/>
      <c r="Z1344" s="236"/>
      <c r="AA1344" s="237"/>
      <c r="AB1344" s="238"/>
      <c r="AC1344" s="223"/>
      <c r="AD1344" s="222"/>
    </row>
    <row r="1345" spans="1:30" ht="85.75" x14ac:dyDescent="0.4">
      <c r="A1345" s="230"/>
      <c r="B1345" s="8">
        <v>270</v>
      </c>
      <c r="C1345" s="14">
        <f t="shared" ca="1" si="758"/>
        <v>0.27</v>
      </c>
      <c r="D1345" s="20">
        <f t="shared" ca="1" si="766"/>
        <v>0.32400000000000001</v>
      </c>
      <c r="E1345" s="225"/>
      <c r="F1345" s="231"/>
      <c r="G1345" s="172" t="str">
        <f t="shared" ca="1" si="749"/>
        <v/>
      </c>
      <c r="H1345" s="93" t="str">
        <f t="shared" ca="1" si="750"/>
        <v>В прошлом форма зела мол 150х100х55. эта форма ошибочно сделана РТ-бел</v>
      </c>
      <c r="I1345" s="21">
        <v>500</v>
      </c>
      <c r="J1345" s="68">
        <f t="shared" si="751"/>
        <v>0.625</v>
      </c>
      <c r="K1345" s="70">
        <v>0.75</v>
      </c>
      <c r="L1345" s="72">
        <f t="shared" ca="1" si="746"/>
        <v>0.28399999999999997</v>
      </c>
      <c r="M1345" s="73">
        <f t="shared" ca="1" si="747"/>
        <v>142</v>
      </c>
      <c r="N1345" s="12" t="s">
        <v>43</v>
      </c>
      <c r="O1345" s="47" t="s">
        <v>45</v>
      </c>
      <c r="P1345" s="13">
        <f t="shared" si="772"/>
        <v>0.75</v>
      </c>
      <c r="Q1345" s="1" t="str">
        <f t="shared" si="774"/>
        <v>500-990 шт - 0,75 руб / шт с НДС</v>
      </c>
      <c r="R1345" s="235"/>
      <c r="S1345" s="239"/>
      <c r="T1345" s="226"/>
      <c r="U1345" s="228"/>
      <c r="V1345" s="222"/>
      <c r="W1345" s="229"/>
      <c r="X1345" s="227"/>
      <c r="Y1345" s="229"/>
      <c r="Z1345" s="236"/>
      <c r="AA1345" s="237"/>
      <c r="AB1345" s="238"/>
      <c r="AC1345" s="223"/>
      <c r="AD1345" s="222"/>
    </row>
    <row r="1346" spans="1:30" ht="85.75" x14ac:dyDescent="0.4">
      <c r="A1346" s="230"/>
      <c r="B1346" s="8">
        <v>270</v>
      </c>
      <c r="C1346" s="14">
        <f t="shared" ca="1" si="758"/>
        <v>0.27</v>
      </c>
      <c r="D1346" s="20">
        <f t="shared" ca="1" si="766"/>
        <v>0.32400000000000001</v>
      </c>
      <c r="E1346" s="225"/>
      <c r="F1346" s="231"/>
      <c r="G1346" s="172" t="str">
        <f t="shared" ca="1" si="749"/>
        <v/>
      </c>
      <c r="H1346" s="93" t="str">
        <f t="shared" ca="1" si="750"/>
        <v>В прошлом форма зела мол 150х100х55. эта форма ошибочно сделана РТ-бел</v>
      </c>
      <c r="I1346" s="21">
        <v>1000</v>
      </c>
      <c r="J1346" s="68">
        <f t="shared" si="751"/>
        <v>0.53333333333333333</v>
      </c>
      <c r="K1346" s="70">
        <v>0.64</v>
      </c>
      <c r="L1346" s="72">
        <f t="shared" ref="L1346:L1409" ca="1" si="782">J1346-C1346-(J1346-C1346)*0.2</f>
        <v>0.21066666666666664</v>
      </c>
      <c r="M1346" s="73">
        <f t="shared" ref="M1346:M1409" ca="1" si="783">L1346*I1346</f>
        <v>210.66666666666663</v>
      </c>
      <c r="N1346" s="12" t="s">
        <v>44</v>
      </c>
      <c r="O1346" s="47" t="s">
        <v>45</v>
      </c>
      <c r="P1346" s="13">
        <f t="shared" si="772"/>
        <v>0.64</v>
      </c>
      <c r="Q1346" s="1" t="str">
        <f t="shared" si="774"/>
        <v>1000 + шт - 0,64 руб / шт с НДС</v>
      </c>
      <c r="R1346" s="235"/>
      <c r="S1346" s="239"/>
      <c r="T1346" s="226"/>
      <c r="U1346" s="228"/>
      <c r="V1346" s="222"/>
      <c r="W1346" s="229"/>
      <c r="X1346" s="227"/>
      <c r="Y1346" s="229"/>
      <c r="Z1346" s="236"/>
      <c r="AA1346" s="237"/>
      <c r="AB1346" s="238"/>
      <c r="AC1346" s="223"/>
      <c r="AD1346" s="222"/>
    </row>
    <row r="1347" spans="1:30" x14ac:dyDescent="0.4">
      <c r="A1347" s="230">
        <v>271</v>
      </c>
      <c r="B1347" s="8">
        <v>271</v>
      </c>
      <c r="C1347" s="14">
        <f t="shared" ca="1" si="758"/>
        <v>0.08</v>
      </c>
      <c r="D1347" s="20">
        <f t="shared" ca="1" si="766"/>
        <v>9.6000000000000002E-2</v>
      </c>
      <c r="E1347" s="224" t="str">
        <f ca="1">INDIRECT("'Закуп'!D" &amp; A1347)</f>
        <v>У</v>
      </c>
      <c r="F1347" s="231" t="str">
        <f t="shared" ref="F1347" ca="1" si="784">INDIRECT("'Закуп'!E" &amp; B1347)</f>
        <v>140х43х23</v>
      </c>
      <c r="G1347" s="172" t="str">
        <f t="shared" ref="G1347:G1410" ca="1" si="785">IF(INDIRECT("'Закуп'!L" &amp; B1347)="Sale","Sale","")</f>
        <v/>
      </c>
      <c r="H1347" s="93" t="str">
        <f t="shared" ref="H1347:H1410" ca="1" si="786">IF(INDIRECT("'Закуп'!F" &amp; B1347)=0,"",INDIRECT("'Закуп'!F" &amp; B1347))</f>
        <v/>
      </c>
      <c r="I1347" s="21">
        <v>50</v>
      </c>
      <c r="J1347" s="68">
        <f t="shared" ref="J1347:J1410" si="787">K1347/1.2</f>
        <v>0.83333333333333337</v>
      </c>
      <c r="K1347" s="70">
        <v>1</v>
      </c>
      <c r="L1347" s="72">
        <f t="shared" ca="1" si="782"/>
        <v>0.60266666666666668</v>
      </c>
      <c r="M1347" s="73">
        <f t="shared" ca="1" si="783"/>
        <v>30.133333333333333</v>
      </c>
      <c r="N1347" s="12" t="s">
        <v>40</v>
      </c>
      <c r="O1347" s="47" t="s">
        <v>45</v>
      </c>
      <c r="P1347" s="13">
        <f t="shared" si="772"/>
        <v>1</v>
      </c>
      <c r="Q1347" s="1" t="str">
        <f t="shared" si="774"/>
        <v>50-90 шт - 1 руб / шт с НДС</v>
      </c>
      <c r="R1347" s="235" t="str">
        <f ca="1">INDIRECT("'Закуп'!k" &amp; A1347)</f>
        <v>K241</v>
      </c>
      <c r="S1347" s="239">
        <f ca="1">INDIRECT("'Закуп'!o" &amp; A1347)</f>
        <v>0.14000000000000001</v>
      </c>
      <c r="T1347" s="226" t="str">
        <f ca="1">INDIRECT("'Закуп'!p" &amp; A1347)</f>
        <v>0,1-0,9 литров</v>
      </c>
      <c r="U1347" s="228" t="str">
        <f ca="1">INDIRECT("'Закуп'!v" &amp; A1347)</f>
        <v>Длинные</v>
      </c>
      <c r="V1347" s="222" t="str">
        <f ca="1">INDIRECT("'Закуп'!w" &amp; A1347)</f>
        <v/>
      </c>
      <c r="W1347" s="229" t="str">
        <f ca="1">INDIRECT("'Закуп'!H" &amp; A1347)</f>
        <v>0427</v>
      </c>
      <c r="X1347" s="227" t="str">
        <f t="shared" ref="X1347" ca="1" si="788">INDIRECT("'Закуп'!g" &amp; A1347)</f>
        <v>С</v>
      </c>
      <c r="Y1347" s="229" t="str">
        <f ca="1">INDIRECT("'Закуп'!i" &amp; A1347)</f>
        <v>Е</v>
      </c>
      <c r="Z1347" s="236" t="str">
        <f ca="1">INDIRECT("'Закуп'!x" &amp; A1347)</f>
        <v>100-199 мм</v>
      </c>
      <c r="AA1347" s="237" t="str">
        <f ca="1">INDIRECT("'Закуп'!y" &amp; A1347)</f>
        <v>10-99 мм</v>
      </c>
      <c r="AB1347" s="238" t="str">
        <f ca="1">INDIRECT("'Закуп'!z" &amp; A1347)</f>
        <v>10-99 мм</v>
      </c>
      <c r="AC1347" s="223" t="str">
        <f t="shared" ca="1" si="779"/>
        <v>140x43x23</v>
      </c>
      <c r="AD1347" s="222" t="str">
        <f t="shared" ca="1" si="765"/>
        <v>140x43x23 - 140*43*23 мм</v>
      </c>
    </row>
    <row r="1348" spans="1:30" x14ac:dyDescent="0.4">
      <c r="A1348" s="230"/>
      <c r="B1348" s="8">
        <v>271</v>
      </c>
      <c r="C1348" s="14">
        <f t="shared" ca="1" si="758"/>
        <v>0.08</v>
      </c>
      <c r="D1348" s="20">
        <f t="shared" ca="1" si="766"/>
        <v>9.6000000000000002E-2</v>
      </c>
      <c r="E1348" s="225"/>
      <c r="F1348" s="231"/>
      <c r="G1348" s="172" t="str">
        <f t="shared" ca="1" si="785"/>
        <v/>
      </c>
      <c r="H1348" s="93" t="str">
        <f t="shared" ca="1" si="786"/>
        <v/>
      </c>
      <c r="I1348" s="21">
        <v>100</v>
      </c>
      <c r="J1348" s="68">
        <f t="shared" si="787"/>
        <v>0.70833333333333337</v>
      </c>
      <c r="K1348" s="70">
        <v>0.85</v>
      </c>
      <c r="L1348" s="72">
        <f t="shared" ca="1" si="782"/>
        <v>0.50266666666666671</v>
      </c>
      <c r="M1348" s="73">
        <f t="shared" ca="1" si="783"/>
        <v>50.266666666666673</v>
      </c>
      <c r="N1348" s="12" t="s">
        <v>41</v>
      </c>
      <c r="O1348" s="47" t="s">
        <v>45</v>
      </c>
      <c r="P1348" s="13">
        <f t="shared" si="772"/>
        <v>0.85</v>
      </c>
      <c r="Q1348" s="1" t="str">
        <f t="shared" si="774"/>
        <v>100-290 шт - 0,85 руб / шт с НДС</v>
      </c>
      <c r="R1348" s="235"/>
      <c r="S1348" s="239"/>
      <c r="T1348" s="226"/>
      <c r="U1348" s="228"/>
      <c r="V1348" s="222"/>
      <c r="W1348" s="229"/>
      <c r="X1348" s="227"/>
      <c r="Y1348" s="229"/>
      <c r="Z1348" s="236"/>
      <c r="AA1348" s="237"/>
      <c r="AB1348" s="238"/>
      <c r="AC1348" s="223"/>
      <c r="AD1348" s="222"/>
    </row>
    <row r="1349" spans="1:30" x14ac:dyDescent="0.4">
      <c r="A1349" s="230"/>
      <c r="B1349" s="8">
        <v>271</v>
      </c>
      <c r="C1349" s="14">
        <f t="shared" ca="1" si="758"/>
        <v>0.08</v>
      </c>
      <c r="D1349" s="20">
        <f t="shared" ca="1" si="766"/>
        <v>9.6000000000000002E-2</v>
      </c>
      <c r="E1349" s="225"/>
      <c r="F1349" s="231"/>
      <c r="G1349" s="172" t="str">
        <f t="shared" ca="1" si="785"/>
        <v/>
      </c>
      <c r="H1349" s="93" t="str">
        <f t="shared" ca="1" si="786"/>
        <v/>
      </c>
      <c r="I1349" s="21">
        <v>300</v>
      </c>
      <c r="J1349" s="68">
        <f t="shared" si="787"/>
        <v>0.58333333333333337</v>
      </c>
      <c r="K1349" s="70">
        <v>0.7</v>
      </c>
      <c r="L1349" s="72">
        <f t="shared" ca="1" si="782"/>
        <v>0.40266666666666673</v>
      </c>
      <c r="M1349" s="73">
        <f t="shared" ca="1" si="783"/>
        <v>120.80000000000001</v>
      </c>
      <c r="N1349" s="12" t="s">
        <v>42</v>
      </c>
      <c r="O1349" s="47" t="s">
        <v>45</v>
      </c>
      <c r="P1349" s="13">
        <f t="shared" si="772"/>
        <v>0.7</v>
      </c>
      <c r="Q1349" s="1" t="str">
        <f t="shared" si="774"/>
        <v>300-490 шт - 0,7 руб / шт с НДС</v>
      </c>
      <c r="R1349" s="235"/>
      <c r="S1349" s="239"/>
      <c r="T1349" s="226"/>
      <c r="U1349" s="228"/>
      <c r="V1349" s="222"/>
      <c r="W1349" s="229"/>
      <c r="X1349" s="227"/>
      <c r="Y1349" s="229"/>
      <c r="Z1349" s="236"/>
      <c r="AA1349" s="237"/>
      <c r="AB1349" s="238"/>
      <c r="AC1349" s="223"/>
      <c r="AD1349" s="222"/>
    </row>
    <row r="1350" spans="1:30" x14ac:dyDescent="0.4">
      <c r="A1350" s="230"/>
      <c r="B1350" s="8">
        <v>271</v>
      </c>
      <c r="C1350" s="14">
        <f t="shared" ca="1" si="758"/>
        <v>0.08</v>
      </c>
      <c r="D1350" s="20">
        <f t="shared" ca="1" si="766"/>
        <v>9.6000000000000002E-2</v>
      </c>
      <c r="E1350" s="225"/>
      <c r="F1350" s="231"/>
      <c r="G1350" s="172" t="str">
        <f t="shared" ca="1" si="785"/>
        <v/>
      </c>
      <c r="H1350" s="93" t="str">
        <f t="shared" ca="1" si="786"/>
        <v/>
      </c>
      <c r="I1350" s="21">
        <v>500</v>
      </c>
      <c r="J1350" s="68">
        <f t="shared" si="787"/>
        <v>0.5</v>
      </c>
      <c r="K1350" s="70">
        <v>0.6</v>
      </c>
      <c r="L1350" s="72">
        <f t="shared" ca="1" si="782"/>
        <v>0.33599999999999997</v>
      </c>
      <c r="M1350" s="73">
        <f t="shared" ca="1" si="783"/>
        <v>167.99999999999997</v>
      </c>
      <c r="N1350" s="12" t="s">
        <v>43</v>
      </c>
      <c r="O1350" s="47" t="s">
        <v>45</v>
      </c>
      <c r="P1350" s="13">
        <f t="shared" si="772"/>
        <v>0.6</v>
      </c>
      <c r="Q1350" s="1" t="str">
        <f t="shared" si="774"/>
        <v>500-990 шт - 0,6 руб / шт с НДС</v>
      </c>
      <c r="R1350" s="235"/>
      <c r="S1350" s="239"/>
      <c r="T1350" s="226"/>
      <c r="U1350" s="228"/>
      <c r="V1350" s="222"/>
      <c r="W1350" s="229"/>
      <c r="X1350" s="227"/>
      <c r="Y1350" s="229"/>
      <c r="Z1350" s="236"/>
      <c r="AA1350" s="237"/>
      <c r="AB1350" s="238"/>
      <c r="AC1350" s="223"/>
      <c r="AD1350" s="222"/>
    </row>
    <row r="1351" spans="1:30" x14ac:dyDescent="0.4">
      <c r="A1351" s="230"/>
      <c r="B1351" s="8">
        <v>271</v>
      </c>
      <c r="C1351" s="14">
        <f t="shared" ca="1" si="758"/>
        <v>0.08</v>
      </c>
      <c r="D1351" s="20">
        <f t="shared" ca="1" si="766"/>
        <v>9.6000000000000002E-2</v>
      </c>
      <c r="E1351" s="225"/>
      <c r="F1351" s="231"/>
      <c r="G1351" s="172" t="str">
        <f t="shared" ca="1" si="785"/>
        <v/>
      </c>
      <c r="H1351" s="93" t="str">
        <f t="shared" ca="1" si="786"/>
        <v/>
      </c>
      <c r="I1351" s="21">
        <v>1000</v>
      </c>
      <c r="J1351" s="68">
        <f t="shared" si="787"/>
        <v>0.41666666666666669</v>
      </c>
      <c r="K1351" s="70">
        <v>0.5</v>
      </c>
      <c r="L1351" s="72">
        <f t="shared" ca="1" si="782"/>
        <v>0.26933333333333331</v>
      </c>
      <c r="M1351" s="73">
        <f t="shared" ca="1" si="783"/>
        <v>269.33333333333331</v>
      </c>
      <c r="N1351" s="12" t="s">
        <v>44</v>
      </c>
      <c r="O1351" s="47" t="s">
        <v>45</v>
      </c>
      <c r="P1351" s="13">
        <f t="shared" si="772"/>
        <v>0.5</v>
      </c>
      <c r="Q1351" s="1" t="str">
        <f t="shared" si="774"/>
        <v>1000 + шт - 0,5 руб / шт с НДС</v>
      </c>
      <c r="R1351" s="235"/>
      <c r="S1351" s="239"/>
      <c r="T1351" s="226"/>
      <c r="U1351" s="228"/>
      <c r="V1351" s="222"/>
      <c r="W1351" s="229"/>
      <c r="X1351" s="227"/>
      <c r="Y1351" s="229"/>
      <c r="Z1351" s="236"/>
      <c r="AA1351" s="237"/>
      <c r="AB1351" s="238"/>
      <c r="AC1351" s="223"/>
      <c r="AD1351" s="222"/>
    </row>
    <row r="1352" spans="1:30" x14ac:dyDescent="0.4">
      <c r="A1352" s="230">
        <v>272</v>
      </c>
      <c r="B1352" s="8">
        <v>272</v>
      </c>
      <c r="C1352" s="14">
        <f t="shared" ca="1" si="758"/>
        <v>0.13</v>
      </c>
      <c r="D1352" s="20">
        <f t="shared" ca="1" si="766"/>
        <v>0.156</v>
      </c>
      <c r="E1352" s="224" t="str">
        <f ca="1">INDIRECT("'Закуп'!D" &amp; A1352)</f>
        <v>У</v>
      </c>
      <c r="F1352" s="231" t="str">
        <f t="shared" ref="F1352" ca="1" si="789">INDIRECT("'Закуп'!E" &amp; B1352)</f>
        <v>160х60х30</v>
      </c>
      <c r="G1352" s="172" t="str">
        <f t="shared" ca="1" si="785"/>
        <v/>
      </c>
      <c r="H1352" s="93" t="str">
        <f t="shared" ca="1" si="786"/>
        <v/>
      </c>
      <c r="I1352" s="21">
        <v>50</v>
      </c>
      <c r="J1352" s="68">
        <f t="shared" si="787"/>
        <v>0.93333333333333346</v>
      </c>
      <c r="K1352" s="70">
        <v>1.1200000000000001</v>
      </c>
      <c r="L1352" s="72">
        <f t="shared" ca="1" si="782"/>
        <v>0.64266666666666672</v>
      </c>
      <c r="M1352" s="73">
        <f t="shared" ca="1" si="783"/>
        <v>32.133333333333333</v>
      </c>
      <c r="N1352" s="12" t="s">
        <v>40</v>
      </c>
      <c r="O1352" s="47" t="s">
        <v>45</v>
      </c>
      <c r="P1352" s="13">
        <f t="shared" si="772"/>
        <v>1.1200000000000001</v>
      </c>
      <c r="Q1352" s="1" t="str">
        <f t="shared" si="774"/>
        <v>50-90 шт - 1,12 руб / шт с НДС</v>
      </c>
      <c r="R1352" s="235" t="str">
        <f ca="1">INDIRECT("'Закуп'!k" &amp; A1352)</f>
        <v>K242</v>
      </c>
      <c r="S1352" s="239">
        <f ca="1">INDIRECT("'Закуп'!o" &amp; A1352)</f>
        <v>0.28999999999999998</v>
      </c>
      <c r="T1352" s="226" t="str">
        <f ca="1">INDIRECT("'Закуп'!p" &amp; A1352)</f>
        <v>0,1-0,9 литров</v>
      </c>
      <c r="U1352" s="228" t="str">
        <f ca="1">INDIRECT("'Закуп'!v" &amp; A1352)</f>
        <v>Длинные</v>
      </c>
      <c r="V1352" s="222" t="str">
        <f ca="1">INDIRECT("'Закуп'!w" &amp; A1352)</f>
        <v>Плоские</v>
      </c>
      <c r="W1352" s="229" t="str">
        <f ca="1">INDIRECT("'Закуп'!H" &amp; A1352)</f>
        <v>0427</v>
      </c>
      <c r="X1352" s="227" t="str">
        <f t="shared" ref="X1352" ca="1" si="790">INDIRECT("'Закуп'!g" &amp; A1352)</f>
        <v>С</v>
      </c>
      <c r="Y1352" s="229" t="str">
        <f ca="1">INDIRECT("'Закуп'!i" &amp; A1352)</f>
        <v>Е</v>
      </c>
      <c r="Z1352" s="236" t="str">
        <f ca="1">INDIRECT("'Закуп'!x" &amp; A1352)</f>
        <v>100-199 мм</v>
      </c>
      <c r="AA1352" s="237" t="str">
        <f ca="1">INDIRECT("'Закуп'!y" &amp; A1352)</f>
        <v>10-99 мм</v>
      </c>
      <c r="AB1352" s="238" t="str">
        <f ca="1">INDIRECT("'Закуп'!z" &amp; A1352)</f>
        <v>10-99 мм</v>
      </c>
      <c r="AC1352" s="223" t="str">
        <f t="shared" ca="1" si="779"/>
        <v>160x60x30</v>
      </c>
      <c r="AD1352" s="222" t="str">
        <f t="shared" ca="1" si="765"/>
        <v>160x60x30 - 160*60*30 мм</v>
      </c>
    </row>
    <row r="1353" spans="1:30" x14ac:dyDescent="0.4">
      <c r="A1353" s="230"/>
      <c r="B1353" s="8">
        <v>272</v>
      </c>
      <c r="C1353" s="14">
        <f t="shared" ca="1" si="758"/>
        <v>0.13</v>
      </c>
      <c r="D1353" s="20">
        <f t="shared" ca="1" si="766"/>
        <v>0.156</v>
      </c>
      <c r="E1353" s="225"/>
      <c r="F1353" s="231"/>
      <c r="G1353" s="172" t="str">
        <f t="shared" ca="1" si="785"/>
        <v/>
      </c>
      <c r="H1353" s="93" t="str">
        <f t="shared" ca="1" si="786"/>
        <v/>
      </c>
      <c r="I1353" s="21">
        <v>100</v>
      </c>
      <c r="J1353" s="68">
        <f t="shared" si="787"/>
        <v>0.8</v>
      </c>
      <c r="K1353" s="70">
        <v>0.96</v>
      </c>
      <c r="L1353" s="72">
        <f t="shared" ca="1" si="782"/>
        <v>0.53600000000000003</v>
      </c>
      <c r="M1353" s="73">
        <f t="shared" ca="1" si="783"/>
        <v>53.6</v>
      </c>
      <c r="N1353" s="12" t="s">
        <v>41</v>
      </c>
      <c r="O1353" s="47" t="s">
        <v>45</v>
      </c>
      <c r="P1353" s="13">
        <f t="shared" si="772"/>
        <v>0.96</v>
      </c>
      <c r="Q1353" s="1" t="str">
        <f t="shared" si="774"/>
        <v>100-290 шт - 0,96 руб / шт с НДС</v>
      </c>
      <c r="R1353" s="235"/>
      <c r="S1353" s="239"/>
      <c r="T1353" s="226"/>
      <c r="U1353" s="228"/>
      <c r="V1353" s="222"/>
      <c r="W1353" s="229"/>
      <c r="X1353" s="227"/>
      <c r="Y1353" s="229"/>
      <c r="Z1353" s="236"/>
      <c r="AA1353" s="237"/>
      <c r="AB1353" s="238"/>
      <c r="AC1353" s="223"/>
      <c r="AD1353" s="222"/>
    </row>
    <row r="1354" spans="1:30" x14ac:dyDescent="0.4">
      <c r="A1354" s="230"/>
      <c r="B1354" s="8">
        <v>272</v>
      </c>
      <c r="C1354" s="14">
        <f t="shared" ca="1" si="758"/>
        <v>0.13</v>
      </c>
      <c r="D1354" s="20">
        <f t="shared" ca="1" si="766"/>
        <v>0.156</v>
      </c>
      <c r="E1354" s="225"/>
      <c r="F1354" s="231"/>
      <c r="G1354" s="172" t="str">
        <f t="shared" ca="1" si="785"/>
        <v/>
      </c>
      <c r="H1354" s="93" t="str">
        <f t="shared" ca="1" si="786"/>
        <v/>
      </c>
      <c r="I1354" s="21">
        <v>300</v>
      </c>
      <c r="J1354" s="68">
        <f t="shared" si="787"/>
        <v>0.66666666666666674</v>
      </c>
      <c r="K1354" s="70">
        <v>0.8</v>
      </c>
      <c r="L1354" s="72">
        <f t="shared" ca="1" si="782"/>
        <v>0.4293333333333334</v>
      </c>
      <c r="M1354" s="73">
        <f t="shared" ca="1" si="783"/>
        <v>128.80000000000001</v>
      </c>
      <c r="N1354" s="12" t="s">
        <v>42</v>
      </c>
      <c r="O1354" s="47" t="s">
        <v>45</v>
      </c>
      <c r="P1354" s="13">
        <f t="shared" si="772"/>
        <v>0.8</v>
      </c>
      <c r="Q1354" s="1" t="str">
        <f t="shared" si="774"/>
        <v>300-490 шт - 0,8 руб / шт с НДС</v>
      </c>
      <c r="R1354" s="235"/>
      <c r="S1354" s="239"/>
      <c r="T1354" s="226"/>
      <c r="U1354" s="228"/>
      <c r="V1354" s="222"/>
      <c r="W1354" s="229"/>
      <c r="X1354" s="227"/>
      <c r="Y1354" s="229"/>
      <c r="Z1354" s="236"/>
      <c r="AA1354" s="237"/>
      <c r="AB1354" s="238"/>
      <c r="AC1354" s="223"/>
      <c r="AD1354" s="222"/>
    </row>
    <row r="1355" spans="1:30" x14ac:dyDescent="0.4">
      <c r="A1355" s="230"/>
      <c r="B1355" s="8">
        <v>272</v>
      </c>
      <c r="C1355" s="14">
        <f t="shared" ca="1" si="758"/>
        <v>0.13</v>
      </c>
      <c r="D1355" s="20">
        <f t="shared" ca="1" si="766"/>
        <v>0.156</v>
      </c>
      <c r="E1355" s="225"/>
      <c r="F1355" s="231"/>
      <c r="G1355" s="172" t="str">
        <f t="shared" ca="1" si="785"/>
        <v/>
      </c>
      <c r="H1355" s="93" t="str">
        <f t="shared" ca="1" si="786"/>
        <v/>
      </c>
      <c r="I1355" s="21">
        <v>500</v>
      </c>
      <c r="J1355" s="68">
        <f t="shared" si="787"/>
        <v>0.58333333333333337</v>
      </c>
      <c r="K1355" s="70">
        <v>0.7</v>
      </c>
      <c r="L1355" s="72">
        <f t="shared" ca="1" si="782"/>
        <v>0.36266666666666669</v>
      </c>
      <c r="M1355" s="73">
        <f t="shared" ca="1" si="783"/>
        <v>181.33333333333334</v>
      </c>
      <c r="N1355" s="12" t="s">
        <v>43</v>
      </c>
      <c r="O1355" s="47" t="s">
        <v>45</v>
      </c>
      <c r="P1355" s="13">
        <f t="shared" si="772"/>
        <v>0.7</v>
      </c>
      <c r="Q1355" s="1" t="str">
        <f t="shared" si="774"/>
        <v>500-990 шт - 0,7 руб / шт с НДС</v>
      </c>
      <c r="R1355" s="235"/>
      <c r="S1355" s="239"/>
      <c r="T1355" s="226"/>
      <c r="U1355" s="228"/>
      <c r="V1355" s="222"/>
      <c r="W1355" s="229"/>
      <c r="X1355" s="227"/>
      <c r="Y1355" s="229"/>
      <c r="Z1355" s="236"/>
      <c r="AA1355" s="237"/>
      <c r="AB1355" s="238"/>
      <c r="AC1355" s="223"/>
      <c r="AD1355" s="222"/>
    </row>
    <row r="1356" spans="1:30" x14ac:dyDescent="0.4">
      <c r="A1356" s="230"/>
      <c r="B1356" s="8">
        <v>272</v>
      </c>
      <c r="C1356" s="14">
        <f t="shared" ca="1" si="758"/>
        <v>0.13</v>
      </c>
      <c r="D1356" s="20">
        <f t="shared" ca="1" si="766"/>
        <v>0.156</v>
      </c>
      <c r="E1356" s="225"/>
      <c r="F1356" s="231"/>
      <c r="G1356" s="172" t="str">
        <f t="shared" ca="1" si="785"/>
        <v/>
      </c>
      <c r="H1356" s="93" t="str">
        <f t="shared" ca="1" si="786"/>
        <v/>
      </c>
      <c r="I1356" s="21">
        <v>1000</v>
      </c>
      <c r="J1356" s="68">
        <f t="shared" si="787"/>
        <v>0.49166666666666664</v>
      </c>
      <c r="K1356" s="70">
        <v>0.59</v>
      </c>
      <c r="L1356" s="72">
        <f t="shared" ca="1" si="782"/>
        <v>0.28933333333333333</v>
      </c>
      <c r="M1356" s="73">
        <f t="shared" ca="1" si="783"/>
        <v>289.33333333333331</v>
      </c>
      <c r="N1356" s="12" t="s">
        <v>44</v>
      </c>
      <c r="O1356" s="47" t="s">
        <v>45</v>
      </c>
      <c r="P1356" s="13">
        <f t="shared" si="772"/>
        <v>0.59</v>
      </c>
      <c r="Q1356" s="1" t="str">
        <f t="shared" si="774"/>
        <v>1000 + шт - 0,59 руб / шт с НДС</v>
      </c>
      <c r="R1356" s="235"/>
      <c r="S1356" s="239"/>
      <c r="T1356" s="226"/>
      <c r="U1356" s="228"/>
      <c r="V1356" s="222"/>
      <c r="W1356" s="229"/>
      <c r="X1356" s="227"/>
      <c r="Y1356" s="229"/>
      <c r="Z1356" s="236"/>
      <c r="AA1356" s="237"/>
      <c r="AB1356" s="238"/>
      <c r="AC1356" s="223"/>
      <c r="AD1356" s="222"/>
    </row>
    <row r="1357" spans="1:30" x14ac:dyDescent="0.4">
      <c r="A1357" s="230">
        <v>273</v>
      </c>
      <c r="B1357" s="8">
        <v>273</v>
      </c>
      <c r="C1357" s="14">
        <f t="shared" ca="1" si="758"/>
        <v>0.92</v>
      </c>
      <c r="D1357" s="20">
        <f t="shared" ca="1" si="766"/>
        <v>1.1040000000000001</v>
      </c>
      <c r="E1357" s="225" t="str">
        <f ca="1">INDIRECT("'Закуп'!D" &amp; A1357)</f>
        <v>Т (ЛС)</v>
      </c>
      <c r="F1357" s="231" t="str">
        <f t="shared" ref="F1357" ca="1" si="791">INDIRECT("'Закуп'!E" &amp; B1357)</f>
        <v>290х200х250</v>
      </c>
      <c r="G1357" s="172" t="str">
        <f t="shared" ca="1" si="785"/>
        <v/>
      </c>
      <c r="H1357" s="93" t="str">
        <f t="shared" ca="1" si="786"/>
        <v/>
      </c>
      <c r="I1357" s="21">
        <v>50</v>
      </c>
      <c r="J1357" s="68">
        <f t="shared" si="787"/>
        <v>1.9666666666666666</v>
      </c>
      <c r="K1357" s="70">
        <v>2.36</v>
      </c>
      <c r="L1357" s="72">
        <f t="shared" ca="1" si="782"/>
        <v>0.83733333333333315</v>
      </c>
      <c r="M1357" s="73">
        <f t="shared" ca="1" si="783"/>
        <v>41.86666666666666</v>
      </c>
      <c r="N1357" s="12" t="s">
        <v>40</v>
      </c>
      <c r="O1357" s="47" t="s">
        <v>45</v>
      </c>
      <c r="P1357" s="13">
        <f t="shared" si="772"/>
        <v>2.36</v>
      </c>
      <c r="Q1357" s="1" t="str">
        <f t="shared" si="774"/>
        <v>50-90 шт - 2,36 руб / шт с НДС</v>
      </c>
      <c r="R1357" s="235" t="str">
        <f ca="1">INDIRECT("'Закуп'!k" &amp; A1357)</f>
        <v>K1034</v>
      </c>
      <c r="S1357" s="239">
        <f ca="1">INDIRECT("'Закуп'!o" &amp; A1357)</f>
        <v>14.5</v>
      </c>
      <c r="T1357" s="226" t="str">
        <f ca="1">INDIRECT("'Закуп'!p" &amp; A1357)</f>
        <v>10-14,9 литров</v>
      </c>
      <c r="U1357" s="228" t="str">
        <f ca="1">INDIRECT("'Закуп'!v" &amp; A1357)</f>
        <v/>
      </c>
      <c r="V1357" s="222" t="str">
        <f ca="1">INDIRECT("'Закуп'!w" &amp; A1357)</f>
        <v/>
      </c>
      <c r="W1357" s="229" t="str">
        <f ca="1">INDIRECT("'Закуп'!H" &amp; A1357)</f>
        <v>0201</v>
      </c>
      <c r="X1357" s="227" t="str">
        <f t="shared" ref="X1357" ca="1" si="792">INDIRECT("'Закуп'!g" &amp; A1357)</f>
        <v>Ч</v>
      </c>
      <c r="Y1357" s="229" t="str">
        <f ca="1">INDIRECT("'Закуп'!i" &amp; A1357)</f>
        <v>В</v>
      </c>
      <c r="Z1357" s="236" t="str">
        <f ca="1">INDIRECT("'Закуп'!x" &amp; A1357)</f>
        <v>200-299 мм</v>
      </c>
      <c r="AA1357" s="237" t="str">
        <f ca="1">INDIRECT("'Закуп'!y" &amp; A1357)</f>
        <v>200-299 мм</v>
      </c>
      <c r="AB1357" s="238" t="str">
        <f ca="1">INDIRECT("'Закуп'!z" &amp; A1357)</f>
        <v>200-299 мм</v>
      </c>
      <c r="AC1357" s="223" t="str">
        <f t="shared" ca="1" si="779"/>
        <v>290x200x250</v>
      </c>
      <c r="AD1357" s="222" t="str">
        <f t="shared" ca="1" si="765"/>
        <v>290x200x250 - 290*200*250 мм</v>
      </c>
    </row>
    <row r="1358" spans="1:30" x14ac:dyDescent="0.4">
      <c r="A1358" s="230"/>
      <c r="B1358" s="8">
        <v>273</v>
      </c>
      <c r="C1358" s="14">
        <f t="shared" ca="1" si="758"/>
        <v>0.92</v>
      </c>
      <c r="D1358" s="20">
        <f t="shared" ca="1" si="766"/>
        <v>1.1040000000000001</v>
      </c>
      <c r="E1358" s="225"/>
      <c r="F1358" s="231"/>
      <c r="G1358" s="172" t="str">
        <f t="shared" ca="1" si="785"/>
        <v/>
      </c>
      <c r="H1358" s="93" t="str">
        <f t="shared" ca="1" si="786"/>
        <v/>
      </c>
      <c r="I1358" s="21">
        <v>100</v>
      </c>
      <c r="J1358" s="68">
        <f t="shared" si="787"/>
        <v>1.6749999999999998</v>
      </c>
      <c r="K1358" s="70">
        <v>2.0099999999999998</v>
      </c>
      <c r="L1358" s="72">
        <f t="shared" ca="1" si="782"/>
        <v>0.60399999999999987</v>
      </c>
      <c r="M1358" s="73">
        <f t="shared" ca="1" si="783"/>
        <v>60.399999999999984</v>
      </c>
      <c r="N1358" s="12" t="s">
        <v>41</v>
      </c>
      <c r="O1358" s="47" t="s">
        <v>45</v>
      </c>
      <c r="P1358" s="13">
        <f t="shared" si="772"/>
        <v>2.0099999999999998</v>
      </c>
      <c r="Q1358" s="1" t="str">
        <f t="shared" si="774"/>
        <v>100-290 шт - 2,01 руб / шт с НДС</v>
      </c>
      <c r="R1358" s="235"/>
      <c r="S1358" s="239"/>
      <c r="T1358" s="226"/>
      <c r="U1358" s="228"/>
      <c r="V1358" s="222"/>
      <c r="W1358" s="229"/>
      <c r="X1358" s="227"/>
      <c r="Y1358" s="229"/>
      <c r="Z1358" s="236"/>
      <c r="AA1358" s="237"/>
      <c r="AB1358" s="238"/>
      <c r="AC1358" s="223"/>
      <c r="AD1358" s="222"/>
    </row>
    <row r="1359" spans="1:30" x14ac:dyDescent="0.4">
      <c r="A1359" s="230"/>
      <c r="B1359" s="8">
        <v>273</v>
      </c>
      <c r="C1359" s="14">
        <f t="shared" ca="1" si="758"/>
        <v>0.92</v>
      </c>
      <c r="D1359" s="20">
        <f t="shared" ca="1" si="766"/>
        <v>1.1040000000000001</v>
      </c>
      <c r="E1359" s="225"/>
      <c r="F1359" s="231"/>
      <c r="G1359" s="172" t="str">
        <f t="shared" ca="1" si="785"/>
        <v/>
      </c>
      <c r="H1359" s="93" t="str">
        <f t="shared" ca="1" si="786"/>
        <v/>
      </c>
      <c r="I1359" s="21">
        <v>300</v>
      </c>
      <c r="J1359" s="68">
        <f t="shared" si="787"/>
        <v>1.45</v>
      </c>
      <c r="K1359" s="70">
        <v>1.74</v>
      </c>
      <c r="L1359" s="72">
        <f t="shared" ca="1" si="782"/>
        <v>0.42399999999999993</v>
      </c>
      <c r="M1359" s="73">
        <f t="shared" ca="1" si="783"/>
        <v>127.19999999999997</v>
      </c>
      <c r="N1359" s="12" t="s">
        <v>42</v>
      </c>
      <c r="O1359" s="47" t="s">
        <v>45</v>
      </c>
      <c r="P1359" s="13">
        <f t="shared" si="772"/>
        <v>1.74</v>
      </c>
      <c r="Q1359" s="1" t="str">
        <f t="shared" si="774"/>
        <v>300-490 шт - 1,74 руб / шт с НДС</v>
      </c>
      <c r="R1359" s="235"/>
      <c r="S1359" s="239"/>
      <c r="T1359" s="226"/>
      <c r="U1359" s="228"/>
      <c r="V1359" s="222"/>
      <c r="W1359" s="229"/>
      <c r="X1359" s="227"/>
      <c r="Y1359" s="229"/>
      <c r="Z1359" s="236"/>
      <c r="AA1359" s="237"/>
      <c r="AB1359" s="238"/>
      <c r="AC1359" s="223"/>
      <c r="AD1359" s="222"/>
    </row>
    <row r="1360" spans="1:30" x14ac:dyDescent="0.4">
      <c r="A1360" s="230"/>
      <c r="B1360" s="8">
        <v>273</v>
      </c>
      <c r="C1360" s="14">
        <f t="shared" ca="1" si="758"/>
        <v>0.92</v>
      </c>
      <c r="D1360" s="20">
        <f t="shared" ca="1" si="766"/>
        <v>1.1040000000000001</v>
      </c>
      <c r="E1360" s="225"/>
      <c r="F1360" s="231"/>
      <c r="G1360" s="172" t="str">
        <f t="shared" ca="1" si="785"/>
        <v/>
      </c>
      <c r="H1360" s="93" t="str">
        <f t="shared" ca="1" si="786"/>
        <v/>
      </c>
      <c r="I1360" s="21">
        <v>500</v>
      </c>
      <c r="J1360" s="68">
        <f t="shared" si="787"/>
        <v>1.3083333333333333</v>
      </c>
      <c r="K1360" s="70">
        <v>1.57</v>
      </c>
      <c r="L1360" s="72">
        <f t="shared" ca="1" si="782"/>
        <v>0.31066666666666665</v>
      </c>
      <c r="M1360" s="73">
        <f t="shared" ca="1" si="783"/>
        <v>155.33333333333331</v>
      </c>
      <c r="N1360" s="12" t="s">
        <v>43</v>
      </c>
      <c r="O1360" s="47" t="s">
        <v>45</v>
      </c>
      <c r="P1360" s="13">
        <f t="shared" si="772"/>
        <v>1.57</v>
      </c>
      <c r="Q1360" s="1" t="str">
        <f t="shared" si="774"/>
        <v>500-990 шт - 1,57 руб / шт с НДС</v>
      </c>
      <c r="R1360" s="235"/>
      <c r="S1360" s="239"/>
      <c r="T1360" s="226"/>
      <c r="U1360" s="228"/>
      <c r="V1360" s="222"/>
      <c r="W1360" s="229"/>
      <c r="X1360" s="227"/>
      <c r="Y1360" s="229"/>
      <c r="Z1360" s="236"/>
      <c r="AA1360" s="237"/>
      <c r="AB1360" s="238"/>
      <c r="AC1360" s="223"/>
      <c r="AD1360" s="222"/>
    </row>
    <row r="1361" spans="1:30" x14ac:dyDescent="0.4">
      <c r="A1361" s="230"/>
      <c r="B1361" s="8">
        <v>273</v>
      </c>
      <c r="C1361" s="14">
        <f t="shared" ca="1" si="758"/>
        <v>0.92</v>
      </c>
      <c r="D1361" s="20">
        <f t="shared" ca="1" si="766"/>
        <v>1.1040000000000001</v>
      </c>
      <c r="E1361" s="225"/>
      <c r="F1361" s="231"/>
      <c r="G1361" s="172" t="str">
        <f t="shared" ca="1" si="785"/>
        <v/>
      </c>
      <c r="H1361" s="93" t="str">
        <f t="shared" ca="1" si="786"/>
        <v/>
      </c>
      <c r="I1361" s="21">
        <v>1000</v>
      </c>
      <c r="J1361" s="68">
        <f t="shared" si="787"/>
        <v>1.2416666666666667</v>
      </c>
      <c r="K1361" s="70">
        <v>1.49</v>
      </c>
      <c r="L1361" s="72">
        <f t="shared" ca="1" si="782"/>
        <v>0.2573333333333333</v>
      </c>
      <c r="M1361" s="73">
        <f t="shared" ca="1" si="783"/>
        <v>257.33333333333331</v>
      </c>
      <c r="N1361" s="12" t="s">
        <v>44</v>
      </c>
      <c r="O1361" s="47" t="s">
        <v>45</v>
      </c>
      <c r="P1361" s="13">
        <f t="shared" si="772"/>
        <v>1.49</v>
      </c>
      <c r="Q1361" s="1" t="str">
        <f t="shared" si="774"/>
        <v>1000 + шт - 1,49 руб / шт с НДС</v>
      </c>
      <c r="R1361" s="235"/>
      <c r="S1361" s="239"/>
      <c r="T1361" s="226"/>
      <c r="U1361" s="228"/>
      <c r="V1361" s="222"/>
      <c r="W1361" s="229"/>
      <c r="X1361" s="227"/>
      <c r="Y1361" s="229"/>
      <c r="Z1361" s="236"/>
      <c r="AA1361" s="237"/>
      <c r="AB1361" s="238"/>
      <c r="AC1361" s="223"/>
      <c r="AD1361" s="222"/>
    </row>
    <row r="1362" spans="1:30" x14ac:dyDescent="0.4">
      <c r="A1362" s="230">
        <v>274</v>
      </c>
      <c r="B1362" s="8">
        <v>274</v>
      </c>
      <c r="C1362" s="14">
        <f t="shared" ca="1" si="758"/>
        <v>0.91</v>
      </c>
      <c r="D1362" s="20">
        <f t="shared" ca="1" si="766"/>
        <v>1.0920000000000001</v>
      </c>
      <c r="E1362" s="225" t="str">
        <f ca="1">INDIRECT("'Закуп'!D" &amp; A1362)</f>
        <v>Т (ЛС)</v>
      </c>
      <c r="F1362" s="231" t="str">
        <f t="shared" ref="F1362" ca="1" si="793">INDIRECT("'Закуп'!E" &amp; B1362)</f>
        <v>270х160х270</v>
      </c>
      <c r="G1362" s="172" t="str">
        <f t="shared" ca="1" si="785"/>
        <v>Sale</v>
      </c>
      <c r="H1362" s="93" t="str">
        <f t="shared" ca="1" si="786"/>
        <v/>
      </c>
      <c r="I1362" s="21">
        <v>50</v>
      </c>
      <c r="J1362" s="68">
        <f t="shared" si="787"/>
        <v>1.1833333333333333</v>
      </c>
      <c r="K1362" s="70">
        <v>1.42</v>
      </c>
      <c r="L1362" s="72">
        <f t="shared" ca="1" si="782"/>
        <v>0.21866666666666665</v>
      </c>
      <c r="M1362" s="73">
        <f t="shared" ca="1" si="783"/>
        <v>10.933333333333332</v>
      </c>
      <c r="N1362" s="12" t="s">
        <v>40</v>
      </c>
      <c r="O1362" s="47" t="s">
        <v>45</v>
      </c>
      <c r="P1362" s="13">
        <f t="shared" si="772"/>
        <v>1.42</v>
      </c>
      <c r="Q1362" s="1" t="str">
        <f t="shared" si="774"/>
        <v>50-90 шт - 1,42 руб / шт с НДС</v>
      </c>
      <c r="R1362" s="235" t="str">
        <f ca="1">INDIRECT("'Закуп'!k" &amp; A1362)</f>
        <v>K1035</v>
      </c>
      <c r="S1362" s="239">
        <f ca="1">INDIRECT("'Закуп'!o" &amp; A1362)</f>
        <v>11.66</v>
      </c>
      <c r="T1362" s="226" t="str">
        <f ca="1">INDIRECT("'Закуп'!p" &amp; A1362)</f>
        <v>10-14,9 литров</v>
      </c>
      <c r="U1362" s="228" t="str">
        <f ca="1">INDIRECT("'Закуп'!v" &amp; A1362)</f>
        <v/>
      </c>
      <c r="V1362" s="222" t="str">
        <f ca="1">INDIRECT("'Закуп'!w" &amp; A1362)</f>
        <v/>
      </c>
      <c r="W1362" s="229" t="str">
        <f ca="1">INDIRECT("'Закуп'!H" &amp; A1362)</f>
        <v>0201</v>
      </c>
      <c r="X1362" s="227" t="str">
        <f t="shared" ref="X1362" ca="1" si="794">INDIRECT("'Закуп'!g" &amp; A1362)</f>
        <v>Ч</v>
      </c>
      <c r="Y1362" s="229" t="str">
        <f ca="1">INDIRECT("'Закуп'!i" &amp; A1362)</f>
        <v>В</v>
      </c>
      <c r="Z1362" s="236" t="str">
        <f ca="1">INDIRECT("'Закуп'!x" &amp; A1362)</f>
        <v>200-299 мм</v>
      </c>
      <c r="AA1362" s="237" t="str">
        <f ca="1">INDIRECT("'Закуп'!y" &amp; A1362)</f>
        <v>200-299 мм</v>
      </c>
      <c r="AB1362" s="238" t="str">
        <f ca="1">INDIRECT("'Закуп'!z" &amp; A1362)</f>
        <v>100-199 мм</v>
      </c>
      <c r="AC1362" s="223" t="str">
        <f t="shared" ca="1" si="779"/>
        <v>270x160x270</v>
      </c>
      <c r="AD1362" s="222" t="str">
        <f t="shared" ca="1" si="765"/>
        <v>270x160x270 - 270*160*270 мм</v>
      </c>
    </row>
    <row r="1363" spans="1:30" x14ac:dyDescent="0.4">
      <c r="A1363" s="230"/>
      <c r="B1363" s="8">
        <v>274</v>
      </c>
      <c r="C1363" s="14">
        <f t="shared" ca="1" si="758"/>
        <v>0.91</v>
      </c>
      <c r="D1363" s="20">
        <f t="shared" ca="1" si="766"/>
        <v>1.0920000000000001</v>
      </c>
      <c r="E1363" s="225"/>
      <c r="F1363" s="231"/>
      <c r="G1363" s="172" t="str">
        <f t="shared" ca="1" si="785"/>
        <v>Sale</v>
      </c>
      <c r="H1363" s="93" t="str">
        <f t="shared" ca="1" si="786"/>
        <v/>
      </c>
      <c r="I1363" s="21">
        <v>100</v>
      </c>
      <c r="J1363" s="68">
        <f t="shared" si="787"/>
        <v>1.1833333333333333</v>
      </c>
      <c r="K1363" s="70">
        <v>1.42</v>
      </c>
      <c r="L1363" s="72">
        <f t="shared" ca="1" si="782"/>
        <v>0.21866666666666665</v>
      </c>
      <c r="M1363" s="73">
        <f t="shared" ca="1" si="783"/>
        <v>21.866666666666664</v>
      </c>
      <c r="N1363" s="12" t="s">
        <v>41</v>
      </c>
      <c r="O1363" s="47" t="s">
        <v>45</v>
      </c>
      <c r="P1363" s="13">
        <f t="shared" si="772"/>
        <v>1.42</v>
      </c>
      <c r="Q1363" s="1" t="str">
        <f t="shared" si="774"/>
        <v>100-290 шт - 1,42 руб / шт с НДС</v>
      </c>
      <c r="R1363" s="235"/>
      <c r="S1363" s="239"/>
      <c r="T1363" s="226"/>
      <c r="U1363" s="228"/>
      <c r="V1363" s="222"/>
      <c r="W1363" s="229"/>
      <c r="X1363" s="227"/>
      <c r="Y1363" s="229"/>
      <c r="Z1363" s="236"/>
      <c r="AA1363" s="237"/>
      <c r="AB1363" s="238"/>
      <c r="AC1363" s="223"/>
      <c r="AD1363" s="222"/>
    </row>
    <row r="1364" spans="1:30" x14ac:dyDescent="0.4">
      <c r="A1364" s="230"/>
      <c r="B1364" s="8">
        <v>274</v>
      </c>
      <c r="C1364" s="14">
        <f t="shared" ca="1" si="758"/>
        <v>0.91</v>
      </c>
      <c r="D1364" s="20">
        <f t="shared" ca="1" si="766"/>
        <v>1.0920000000000001</v>
      </c>
      <c r="E1364" s="225"/>
      <c r="F1364" s="231"/>
      <c r="G1364" s="172" t="str">
        <f t="shared" ca="1" si="785"/>
        <v>Sale</v>
      </c>
      <c r="H1364" s="93" t="str">
        <f t="shared" ca="1" si="786"/>
        <v/>
      </c>
      <c r="I1364" s="21">
        <v>300</v>
      </c>
      <c r="J1364" s="68">
        <f t="shared" si="787"/>
        <v>1.1833333333333333</v>
      </c>
      <c r="K1364" s="70">
        <v>1.42</v>
      </c>
      <c r="L1364" s="72">
        <f t="shared" ca="1" si="782"/>
        <v>0.21866666666666665</v>
      </c>
      <c r="M1364" s="73">
        <f t="shared" ca="1" si="783"/>
        <v>65.599999999999994</v>
      </c>
      <c r="N1364" s="12" t="s">
        <v>42</v>
      </c>
      <c r="O1364" s="47" t="s">
        <v>45</v>
      </c>
      <c r="P1364" s="13">
        <f t="shared" si="772"/>
        <v>1.42</v>
      </c>
      <c r="Q1364" s="1" t="str">
        <f t="shared" si="774"/>
        <v>300-490 шт - 1,42 руб / шт с НДС</v>
      </c>
      <c r="R1364" s="235"/>
      <c r="S1364" s="239"/>
      <c r="T1364" s="226"/>
      <c r="U1364" s="228"/>
      <c r="V1364" s="222"/>
      <c r="W1364" s="229"/>
      <c r="X1364" s="227"/>
      <c r="Y1364" s="229"/>
      <c r="Z1364" s="236"/>
      <c r="AA1364" s="237"/>
      <c r="AB1364" s="238"/>
      <c r="AC1364" s="223"/>
      <c r="AD1364" s="222"/>
    </row>
    <row r="1365" spans="1:30" x14ac:dyDescent="0.4">
      <c r="A1365" s="230"/>
      <c r="B1365" s="8">
        <v>274</v>
      </c>
      <c r="C1365" s="14">
        <f t="shared" ca="1" si="758"/>
        <v>0.91</v>
      </c>
      <c r="D1365" s="20">
        <f t="shared" ca="1" si="766"/>
        <v>1.0920000000000001</v>
      </c>
      <c r="E1365" s="225"/>
      <c r="F1365" s="231"/>
      <c r="G1365" s="172" t="str">
        <f t="shared" ca="1" si="785"/>
        <v>Sale</v>
      </c>
      <c r="H1365" s="93" t="str">
        <f t="shared" ca="1" si="786"/>
        <v/>
      </c>
      <c r="I1365" s="21">
        <v>500</v>
      </c>
      <c r="J1365" s="68">
        <f t="shared" si="787"/>
        <v>1.1833333333333333</v>
      </c>
      <c r="K1365" s="70">
        <v>1.42</v>
      </c>
      <c r="L1365" s="72">
        <f t="shared" ca="1" si="782"/>
        <v>0.21866666666666665</v>
      </c>
      <c r="M1365" s="73">
        <f t="shared" ca="1" si="783"/>
        <v>109.33333333333333</v>
      </c>
      <c r="N1365" s="12" t="s">
        <v>43</v>
      </c>
      <c r="O1365" s="47" t="s">
        <v>45</v>
      </c>
      <c r="P1365" s="13">
        <f t="shared" si="772"/>
        <v>1.42</v>
      </c>
      <c r="Q1365" s="1" t="str">
        <f t="shared" si="774"/>
        <v>500-990 шт - 1,42 руб / шт с НДС</v>
      </c>
      <c r="R1365" s="235"/>
      <c r="S1365" s="239"/>
      <c r="T1365" s="226"/>
      <c r="U1365" s="228"/>
      <c r="V1365" s="222"/>
      <c r="W1365" s="229"/>
      <c r="X1365" s="227"/>
      <c r="Y1365" s="229"/>
      <c r="Z1365" s="236"/>
      <c r="AA1365" s="237"/>
      <c r="AB1365" s="238"/>
      <c r="AC1365" s="223"/>
      <c r="AD1365" s="222"/>
    </row>
    <row r="1366" spans="1:30" x14ac:dyDescent="0.4">
      <c r="A1366" s="230"/>
      <c r="B1366" s="8">
        <v>274</v>
      </c>
      <c r="C1366" s="14">
        <f t="shared" ref="C1366:C1429" ca="1" si="795">INDIRECT("'Закуп'!A" &amp; B1366)</f>
        <v>0.91</v>
      </c>
      <c r="D1366" s="20">
        <f t="shared" ca="1" si="766"/>
        <v>1.0920000000000001</v>
      </c>
      <c r="E1366" s="225"/>
      <c r="F1366" s="231"/>
      <c r="G1366" s="172" t="str">
        <f t="shared" ca="1" si="785"/>
        <v>Sale</v>
      </c>
      <c r="H1366" s="93" t="str">
        <f t="shared" ca="1" si="786"/>
        <v/>
      </c>
      <c r="I1366" s="21">
        <v>1000</v>
      </c>
      <c r="J1366" s="68">
        <f t="shared" si="787"/>
        <v>1.1833333333333333</v>
      </c>
      <c r="K1366" s="70">
        <v>1.42</v>
      </c>
      <c r="L1366" s="72">
        <f t="shared" ca="1" si="782"/>
        <v>0.21866666666666665</v>
      </c>
      <c r="M1366" s="73">
        <f t="shared" ca="1" si="783"/>
        <v>218.66666666666666</v>
      </c>
      <c r="N1366" s="12" t="s">
        <v>44</v>
      </c>
      <c r="O1366" s="47" t="s">
        <v>45</v>
      </c>
      <c r="P1366" s="13">
        <f t="shared" si="772"/>
        <v>1.42</v>
      </c>
      <c r="Q1366" s="1" t="str">
        <f t="shared" si="774"/>
        <v>1000 + шт - 1,42 руб / шт с НДС</v>
      </c>
      <c r="R1366" s="235"/>
      <c r="S1366" s="239"/>
      <c r="T1366" s="226"/>
      <c r="U1366" s="228"/>
      <c r="V1366" s="222"/>
      <c r="W1366" s="229"/>
      <c r="X1366" s="227"/>
      <c r="Y1366" s="229"/>
      <c r="Z1366" s="236"/>
      <c r="AA1366" s="237"/>
      <c r="AB1366" s="238"/>
      <c r="AC1366" s="223"/>
      <c r="AD1366" s="222"/>
    </row>
    <row r="1367" spans="1:30" x14ac:dyDescent="0.4">
      <c r="A1367" s="230">
        <v>275</v>
      </c>
      <c r="B1367" s="8">
        <v>275</v>
      </c>
      <c r="C1367" s="14">
        <f t="shared" ca="1" si="795"/>
        <v>0.95</v>
      </c>
      <c r="D1367" s="20">
        <f t="shared" ca="1" si="766"/>
        <v>1.1399999999999999</v>
      </c>
      <c r="E1367" s="225" t="str">
        <f ca="1">INDIRECT("'Закуп'!D" &amp; A1367)</f>
        <v>ББ</v>
      </c>
      <c r="F1367" s="231" t="str">
        <f t="shared" ref="F1367" ca="1" si="796">INDIRECT("'Закуп'!E" &amp; B1367)</f>
        <v>220х110х530</v>
      </c>
      <c r="G1367" s="172" t="str">
        <f t="shared" ca="1" si="785"/>
        <v/>
      </c>
      <c r="H1367" s="93" t="str">
        <f t="shared" ca="1" si="786"/>
        <v/>
      </c>
      <c r="I1367" s="21">
        <v>50</v>
      </c>
      <c r="J1367" s="68">
        <f t="shared" si="787"/>
        <v>2.0333333333333332</v>
      </c>
      <c r="K1367" s="70">
        <v>2.44</v>
      </c>
      <c r="L1367" s="72">
        <f t="shared" ca="1" si="782"/>
        <v>0.86666666666666659</v>
      </c>
      <c r="M1367" s="73">
        <f t="shared" ca="1" si="783"/>
        <v>43.333333333333329</v>
      </c>
      <c r="N1367" s="12" t="s">
        <v>40</v>
      </c>
      <c r="O1367" s="47" t="s">
        <v>45</v>
      </c>
      <c r="P1367" s="13">
        <f t="shared" si="772"/>
        <v>2.44</v>
      </c>
      <c r="Q1367" s="1" t="str">
        <f t="shared" si="774"/>
        <v>50-90 шт - 2,44 руб / шт с НДС</v>
      </c>
      <c r="R1367" s="235" t="str">
        <f ca="1">INDIRECT("'Закуп'!k" &amp; A1367)</f>
        <v>K1036</v>
      </c>
      <c r="S1367" s="239">
        <f ca="1">INDIRECT("'Закуп'!o" &amp; A1367)</f>
        <v>12.83</v>
      </c>
      <c r="T1367" s="226" t="str">
        <f ca="1">INDIRECT("'Закуп'!p" &amp; A1367)</f>
        <v>10-14,9 литров</v>
      </c>
      <c r="U1367" s="228" t="str">
        <f ca="1">INDIRECT("'Закуп'!v" &amp; A1367)</f>
        <v>Длинные</v>
      </c>
      <c r="V1367" s="222" t="str">
        <f ca="1">INDIRECT("'Закуп'!w" &amp; A1367)</f>
        <v>Плоские</v>
      </c>
      <c r="W1367" s="229" t="str">
        <f ca="1">INDIRECT("'Закуп'!H" &amp; A1367)</f>
        <v>0201</v>
      </c>
      <c r="X1367" s="227" t="str">
        <f t="shared" ref="X1367" ca="1" si="797">INDIRECT("'Закуп'!g" &amp; A1367)</f>
        <v>Ч</v>
      </c>
      <c r="Y1367" s="229" t="str">
        <f ca="1">INDIRECT("'Закуп'!i" &amp; A1367)</f>
        <v>В</v>
      </c>
      <c r="Z1367" s="236" t="str">
        <f ca="1">INDIRECT("'Закуп'!x" &amp; A1367)</f>
        <v>500-599 мм</v>
      </c>
      <c r="AA1367" s="237" t="str">
        <f ca="1">INDIRECT("'Закуп'!y" &amp; A1367)</f>
        <v>200-299 мм</v>
      </c>
      <c r="AB1367" s="238" t="str">
        <f ca="1">INDIRECT("'Закуп'!z" &amp; A1367)</f>
        <v>100-199 мм</v>
      </c>
      <c r="AC1367" s="223" t="str">
        <f t="shared" ca="1" si="779"/>
        <v>220x110x530</v>
      </c>
      <c r="AD1367" s="222" t="str">
        <f t="shared" ca="1" si="765"/>
        <v>220x110x530 - 220*110*530 мм</v>
      </c>
    </row>
    <row r="1368" spans="1:30" x14ac:dyDescent="0.4">
      <c r="A1368" s="230"/>
      <c r="B1368" s="8">
        <v>275</v>
      </c>
      <c r="C1368" s="14">
        <f t="shared" ca="1" si="795"/>
        <v>0.95</v>
      </c>
      <c r="D1368" s="20">
        <f t="shared" ca="1" si="766"/>
        <v>1.1399999999999999</v>
      </c>
      <c r="E1368" s="225"/>
      <c r="F1368" s="231"/>
      <c r="G1368" s="172" t="str">
        <f t="shared" ca="1" si="785"/>
        <v/>
      </c>
      <c r="H1368" s="93" t="str">
        <f t="shared" ca="1" si="786"/>
        <v/>
      </c>
      <c r="I1368" s="21">
        <v>100</v>
      </c>
      <c r="J1368" s="68">
        <f t="shared" si="787"/>
        <v>1.7333333333333334</v>
      </c>
      <c r="K1368" s="70">
        <v>2.08</v>
      </c>
      <c r="L1368" s="72">
        <f t="shared" ca="1" si="782"/>
        <v>0.62666666666666671</v>
      </c>
      <c r="M1368" s="73">
        <f t="shared" ca="1" si="783"/>
        <v>62.666666666666671</v>
      </c>
      <c r="N1368" s="12" t="s">
        <v>41</v>
      </c>
      <c r="O1368" s="47" t="s">
        <v>45</v>
      </c>
      <c r="P1368" s="13">
        <f t="shared" si="772"/>
        <v>2.08</v>
      </c>
      <c r="Q1368" s="1" t="str">
        <f t="shared" si="774"/>
        <v>100-290 шт - 2,08 руб / шт с НДС</v>
      </c>
      <c r="R1368" s="235"/>
      <c r="S1368" s="239"/>
      <c r="T1368" s="226"/>
      <c r="U1368" s="228"/>
      <c r="V1368" s="222"/>
      <c r="W1368" s="229"/>
      <c r="X1368" s="227"/>
      <c r="Y1368" s="229"/>
      <c r="Z1368" s="236"/>
      <c r="AA1368" s="237"/>
      <c r="AB1368" s="238"/>
      <c r="AC1368" s="223"/>
      <c r="AD1368" s="222"/>
    </row>
    <row r="1369" spans="1:30" x14ac:dyDescent="0.4">
      <c r="A1369" s="230"/>
      <c r="B1369" s="8">
        <v>275</v>
      </c>
      <c r="C1369" s="14">
        <f t="shared" ca="1" si="795"/>
        <v>0.95</v>
      </c>
      <c r="D1369" s="20">
        <f t="shared" ca="1" si="766"/>
        <v>1.1399999999999999</v>
      </c>
      <c r="E1369" s="225"/>
      <c r="F1369" s="231"/>
      <c r="G1369" s="172" t="str">
        <f t="shared" ca="1" si="785"/>
        <v/>
      </c>
      <c r="H1369" s="93" t="str">
        <f t="shared" ca="1" si="786"/>
        <v/>
      </c>
      <c r="I1369" s="21">
        <v>300</v>
      </c>
      <c r="J1369" s="68">
        <f t="shared" si="787"/>
        <v>1.5083333333333335</v>
      </c>
      <c r="K1369" s="70">
        <v>1.81</v>
      </c>
      <c r="L1369" s="72">
        <f t="shared" ca="1" si="782"/>
        <v>0.44666666666666688</v>
      </c>
      <c r="M1369" s="73">
        <f t="shared" ca="1" si="783"/>
        <v>134.00000000000006</v>
      </c>
      <c r="N1369" s="12" t="s">
        <v>42</v>
      </c>
      <c r="O1369" s="47" t="s">
        <v>45</v>
      </c>
      <c r="P1369" s="13">
        <f t="shared" si="772"/>
        <v>1.81</v>
      </c>
      <c r="Q1369" s="1" t="str">
        <f t="shared" si="774"/>
        <v>300-490 шт - 1,81 руб / шт с НДС</v>
      </c>
      <c r="R1369" s="235"/>
      <c r="S1369" s="239"/>
      <c r="T1369" s="226"/>
      <c r="U1369" s="228"/>
      <c r="V1369" s="222"/>
      <c r="W1369" s="229"/>
      <c r="X1369" s="227"/>
      <c r="Y1369" s="229"/>
      <c r="Z1369" s="236"/>
      <c r="AA1369" s="237"/>
      <c r="AB1369" s="238"/>
      <c r="AC1369" s="223"/>
      <c r="AD1369" s="222"/>
    </row>
    <row r="1370" spans="1:30" x14ac:dyDescent="0.4">
      <c r="A1370" s="230"/>
      <c r="B1370" s="8">
        <v>275</v>
      </c>
      <c r="C1370" s="14">
        <f t="shared" ca="1" si="795"/>
        <v>0.95</v>
      </c>
      <c r="D1370" s="20">
        <f t="shared" ca="1" si="766"/>
        <v>1.1399999999999999</v>
      </c>
      <c r="E1370" s="225"/>
      <c r="F1370" s="231"/>
      <c r="G1370" s="172" t="str">
        <f t="shared" ca="1" si="785"/>
        <v/>
      </c>
      <c r="H1370" s="93" t="str">
        <f t="shared" ca="1" si="786"/>
        <v/>
      </c>
      <c r="I1370" s="21">
        <v>500</v>
      </c>
      <c r="J1370" s="68">
        <f t="shared" si="787"/>
        <v>1.3583333333333334</v>
      </c>
      <c r="K1370" s="70">
        <v>1.63</v>
      </c>
      <c r="L1370" s="72">
        <f t="shared" ca="1" si="782"/>
        <v>0.32666666666666677</v>
      </c>
      <c r="M1370" s="73">
        <f t="shared" ca="1" si="783"/>
        <v>163.3333333333334</v>
      </c>
      <c r="N1370" s="12" t="s">
        <v>43</v>
      </c>
      <c r="O1370" s="47" t="s">
        <v>45</v>
      </c>
      <c r="P1370" s="13">
        <f t="shared" si="772"/>
        <v>1.63</v>
      </c>
      <c r="Q1370" s="1" t="str">
        <f t="shared" si="774"/>
        <v>500-990 шт - 1,63 руб / шт с НДС</v>
      </c>
      <c r="R1370" s="235"/>
      <c r="S1370" s="239"/>
      <c r="T1370" s="226"/>
      <c r="U1370" s="228"/>
      <c r="V1370" s="222"/>
      <c r="W1370" s="229"/>
      <c r="X1370" s="227"/>
      <c r="Y1370" s="229"/>
      <c r="Z1370" s="236"/>
      <c r="AA1370" s="237"/>
      <c r="AB1370" s="238"/>
      <c r="AC1370" s="223"/>
      <c r="AD1370" s="222"/>
    </row>
    <row r="1371" spans="1:30" x14ac:dyDescent="0.4">
      <c r="A1371" s="230"/>
      <c r="B1371" s="8">
        <v>275</v>
      </c>
      <c r="C1371" s="14">
        <f t="shared" ca="1" si="795"/>
        <v>0.95</v>
      </c>
      <c r="D1371" s="20">
        <f t="shared" ca="1" si="766"/>
        <v>1.1399999999999999</v>
      </c>
      <c r="E1371" s="225"/>
      <c r="F1371" s="231"/>
      <c r="G1371" s="172" t="str">
        <f t="shared" ca="1" si="785"/>
        <v/>
      </c>
      <c r="H1371" s="93" t="str">
        <f t="shared" ca="1" si="786"/>
        <v/>
      </c>
      <c r="I1371" s="21">
        <v>1000</v>
      </c>
      <c r="J1371" s="68">
        <f t="shared" si="787"/>
        <v>1.2833333333333334</v>
      </c>
      <c r="K1371" s="70">
        <v>1.54</v>
      </c>
      <c r="L1371" s="72">
        <f t="shared" ca="1" si="782"/>
        <v>0.26666666666666677</v>
      </c>
      <c r="M1371" s="73">
        <f t="shared" ca="1" si="783"/>
        <v>266.6666666666668</v>
      </c>
      <c r="N1371" s="12" t="s">
        <v>44</v>
      </c>
      <c r="O1371" s="47" t="s">
        <v>45</v>
      </c>
      <c r="P1371" s="13">
        <f t="shared" si="772"/>
        <v>1.54</v>
      </c>
      <c r="Q1371" s="1" t="str">
        <f t="shared" si="774"/>
        <v>1000 + шт - 1,54 руб / шт с НДС</v>
      </c>
      <c r="R1371" s="235"/>
      <c r="S1371" s="239"/>
      <c r="T1371" s="226"/>
      <c r="U1371" s="228"/>
      <c r="V1371" s="222"/>
      <c r="W1371" s="229"/>
      <c r="X1371" s="227"/>
      <c r="Y1371" s="229"/>
      <c r="Z1371" s="236"/>
      <c r="AA1371" s="237"/>
      <c r="AB1371" s="238"/>
      <c r="AC1371" s="223"/>
      <c r="AD1371" s="222"/>
    </row>
    <row r="1372" spans="1:30" x14ac:dyDescent="0.4">
      <c r="A1372" s="230">
        <v>276</v>
      </c>
      <c r="B1372" s="8">
        <v>276</v>
      </c>
      <c r="C1372" s="14">
        <f t="shared" ca="1" si="795"/>
        <v>0.54</v>
      </c>
      <c r="D1372" s="20">
        <f t="shared" ca="1" si="766"/>
        <v>0.64800000000000002</v>
      </c>
      <c r="E1372" s="225" t="str">
        <f ca="1">INDIRECT("'Закуп'!D" &amp; A1372)</f>
        <v>Т (ЛС)</v>
      </c>
      <c r="F1372" s="231" t="str">
        <f t="shared" ref="F1372" ca="1" si="798">INDIRECT("'Закуп'!E" &amp; B1372)</f>
        <v>220х130х90</v>
      </c>
      <c r="G1372" s="172" t="str">
        <f t="shared" ca="1" si="785"/>
        <v/>
      </c>
      <c r="H1372" s="93" t="str">
        <f t="shared" ca="1" si="786"/>
        <v/>
      </c>
      <c r="I1372" s="21">
        <v>50</v>
      </c>
      <c r="J1372" s="68">
        <f t="shared" si="787"/>
        <v>1.2750000000000001</v>
      </c>
      <c r="K1372" s="70">
        <v>1.53</v>
      </c>
      <c r="L1372" s="72">
        <f t="shared" ca="1" si="782"/>
        <v>0.58800000000000008</v>
      </c>
      <c r="M1372" s="73">
        <f t="shared" ca="1" si="783"/>
        <v>29.400000000000006</v>
      </c>
      <c r="N1372" s="12" t="s">
        <v>40</v>
      </c>
      <c r="O1372" s="47" t="s">
        <v>45</v>
      </c>
      <c r="P1372" s="13">
        <f t="shared" si="772"/>
        <v>1.53</v>
      </c>
      <c r="Q1372" s="1" t="str">
        <f t="shared" si="774"/>
        <v>50-90 шт - 1,53 руб / шт с НДС</v>
      </c>
      <c r="R1372" s="235" t="str">
        <f ca="1">INDIRECT("'Закуп'!k" &amp; A1372)</f>
        <v>K1037</v>
      </c>
      <c r="S1372" s="239">
        <f ca="1">INDIRECT("'Закуп'!o" &amp; A1372)</f>
        <v>2.57</v>
      </c>
      <c r="T1372" s="226" t="str">
        <f ca="1">INDIRECT("'Закуп'!p" &amp; A1372)</f>
        <v>2-2,9 литра</v>
      </c>
      <c r="U1372" s="228" t="str">
        <f ca="1">INDIRECT("'Закуп'!v" &amp; A1372)</f>
        <v/>
      </c>
      <c r="V1372" s="222" t="str">
        <f ca="1">INDIRECT("'Закуп'!w" &amp; A1372)</f>
        <v/>
      </c>
      <c r="W1372" s="229" t="str">
        <f ca="1">INDIRECT("'Закуп'!H" &amp; A1372)</f>
        <v>0201</v>
      </c>
      <c r="X1372" s="227" t="str">
        <f t="shared" ref="X1372" ca="1" si="799">INDIRECT("'Закуп'!g" &amp; A1372)</f>
        <v>Ч</v>
      </c>
      <c r="Y1372" s="229" t="str">
        <f ca="1">INDIRECT("'Закуп'!i" &amp; A1372)</f>
        <v>В</v>
      </c>
      <c r="Z1372" s="236" t="str">
        <f ca="1">INDIRECT("'Закуп'!x" &amp; A1372)</f>
        <v>200-299 мм</v>
      </c>
      <c r="AA1372" s="237" t="str">
        <f ca="1">INDIRECT("'Закуп'!y" &amp; A1372)</f>
        <v>100-199 мм</v>
      </c>
      <c r="AB1372" s="238" t="str">
        <f ca="1">INDIRECT("'Закуп'!z" &amp; A1372)</f>
        <v>10-99 мм</v>
      </c>
      <c r="AC1372" s="223" t="str">
        <f t="shared" ca="1" si="779"/>
        <v>220x130x90</v>
      </c>
      <c r="AD1372" s="222" t="str">
        <f t="shared" ca="1" si="765"/>
        <v>220x130x90 - 220*130*90 мм</v>
      </c>
    </row>
    <row r="1373" spans="1:30" x14ac:dyDescent="0.4">
      <c r="A1373" s="230"/>
      <c r="B1373" s="8">
        <v>276</v>
      </c>
      <c r="C1373" s="14">
        <f t="shared" ca="1" si="795"/>
        <v>0.54</v>
      </c>
      <c r="D1373" s="20">
        <f t="shared" ca="1" si="766"/>
        <v>0.64800000000000002</v>
      </c>
      <c r="E1373" s="225"/>
      <c r="F1373" s="231"/>
      <c r="G1373" s="172" t="str">
        <f t="shared" ca="1" si="785"/>
        <v/>
      </c>
      <c r="H1373" s="93" t="str">
        <f t="shared" ca="1" si="786"/>
        <v/>
      </c>
      <c r="I1373" s="21">
        <v>100</v>
      </c>
      <c r="J1373" s="68">
        <f t="shared" si="787"/>
        <v>1.1583333333333332</v>
      </c>
      <c r="K1373" s="70">
        <v>1.39</v>
      </c>
      <c r="L1373" s="72">
        <f t="shared" ca="1" si="782"/>
        <v>0.49466666666666653</v>
      </c>
      <c r="M1373" s="73">
        <f t="shared" ca="1" si="783"/>
        <v>49.466666666666654</v>
      </c>
      <c r="N1373" s="12" t="s">
        <v>41</v>
      </c>
      <c r="O1373" s="47" t="s">
        <v>45</v>
      </c>
      <c r="P1373" s="13">
        <f t="shared" si="772"/>
        <v>1.39</v>
      </c>
      <c r="Q1373" s="1" t="str">
        <f t="shared" si="774"/>
        <v>100-290 шт - 1,39 руб / шт с НДС</v>
      </c>
      <c r="R1373" s="235"/>
      <c r="S1373" s="239"/>
      <c r="T1373" s="226"/>
      <c r="U1373" s="228"/>
      <c r="V1373" s="222"/>
      <c r="W1373" s="229"/>
      <c r="X1373" s="227"/>
      <c r="Y1373" s="229"/>
      <c r="Z1373" s="236"/>
      <c r="AA1373" s="237"/>
      <c r="AB1373" s="238"/>
      <c r="AC1373" s="223"/>
      <c r="AD1373" s="222"/>
    </row>
    <row r="1374" spans="1:30" x14ac:dyDescent="0.4">
      <c r="A1374" s="230"/>
      <c r="B1374" s="8">
        <v>276</v>
      </c>
      <c r="C1374" s="14">
        <f t="shared" ca="1" si="795"/>
        <v>0.54</v>
      </c>
      <c r="D1374" s="20">
        <f t="shared" ca="1" si="766"/>
        <v>0.64800000000000002</v>
      </c>
      <c r="E1374" s="225"/>
      <c r="F1374" s="231"/>
      <c r="G1374" s="172" t="str">
        <f t="shared" ca="1" si="785"/>
        <v/>
      </c>
      <c r="H1374" s="93" t="str">
        <f t="shared" ca="1" si="786"/>
        <v/>
      </c>
      <c r="I1374" s="21">
        <v>300</v>
      </c>
      <c r="J1374" s="68">
        <f t="shared" si="787"/>
        <v>1.0666666666666667</v>
      </c>
      <c r="K1374" s="70">
        <v>1.28</v>
      </c>
      <c r="L1374" s="72">
        <f t="shared" ca="1" si="782"/>
        <v>0.42133333333333328</v>
      </c>
      <c r="M1374" s="73">
        <f t="shared" ca="1" si="783"/>
        <v>126.39999999999999</v>
      </c>
      <c r="N1374" s="12" t="s">
        <v>42</v>
      </c>
      <c r="O1374" s="47" t="s">
        <v>45</v>
      </c>
      <c r="P1374" s="13">
        <f t="shared" si="772"/>
        <v>1.28</v>
      </c>
      <c r="Q1374" s="1" t="str">
        <f t="shared" si="774"/>
        <v>300-490 шт - 1,28 руб / шт с НДС</v>
      </c>
      <c r="R1374" s="235"/>
      <c r="S1374" s="239"/>
      <c r="T1374" s="226"/>
      <c r="U1374" s="228"/>
      <c r="V1374" s="222"/>
      <c r="W1374" s="229"/>
      <c r="X1374" s="227"/>
      <c r="Y1374" s="229"/>
      <c r="Z1374" s="236"/>
      <c r="AA1374" s="237"/>
      <c r="AB1374" s="238"/>
      <c r="AC1374" s="223"/>
      <c r="AD1374" s="222"/>
    </row>
    <row r="1375" spans="1:30" x14ac:dyDescent="0.4">
      <c r="A1375" s="230"/>
      <c r="B1375" s="8">
        <v>276</v>
      </c>
      <c r="C1375" s="14">
        <f t="shared" ca="1" si="795"/>
        <v>0.54</v>
      </c>
      <c r="D1375" s="20">
        <f t="shared" ca="1" si="766"/>
        <v>0.64800000000000002</v>
      </c>
      <c r="E1375" s="225"/>
      <c r="F1375" s="231"/>
      <c r="G1375" s="172" t="str">
        <f t="shared" ca="1" si="785"/>
        <v/>
      </c>
      <c r="H1375" s="93" t="str">
        <f t="shared" ca="1" si="786"/>
        <v/>
      </c>
      <c r="I1375" s="21">
        <v>500</v>
      </c>
      <c r="J1375" s="68">
        <f t="shared" si="787"/>
        <v>0.98333333333333328</v>
      </c>
      <c r="K1375" s="70">
        <v>1.18</v>
      </c>
      <c r="L1375" s="72">
        <f t="shared" ca="1" si="782"/>
        <v>0.35466666666666657</v>
      </c>
      <c r="M1375" s="73">
        <f t="shared" ca="1" si="783"/>
        <v>177.33333333333329</v>
      </c>
      <c r="N1375" s="12" t="s">
        <v>43</v>
      </c>
      <c r="O1375" s="47" t="s">
        <v>45</v>
      </c>
      <c r="P1375" s="13">
        <f t="shared" si="772"/>
        <v>1.18</v>
      </c>
      <c r="Q1375" s="1" t="str">
        <f t="shared" si="774"/>
        <v>500-990 шт - 1,18 руб / шт с НДС</v>
      </c>
      <c r="R1375" s="235"/>
      <c r="S1375" s="239"/>
      <c r="T1375" s="226"/>
      <c r="U1375" s="228"/>
      <c r="V1375" s="222"/>
      <c r="W1375" s="229"/>
      <c r="X1375" s="227"/>
      <c r="Y1375" s="229"/>
      <c r="Z1375" s="236"/>
      <c r="AA1375" s="237"/>
      <c r="AB1375" s="238"/>
      <c r="AC1375" s="223"/>
      <c r="AD1375" s="222"/>
    </row>
    <row r="1376" spans="1:30" x14ac:dyDescent="0.4">
      <c r="A1376" s="230"/>
      <c r="B1376" s="8">
        <v>276</v>
      </c>
      <c r="C1376" s="14">
        <f t="shared" ca="1" si="795"/>
        <v>0.54</v>
      </c>
      <c r="D1376" s="20">
        <f t="shared" ca="1" si="766"/>
        <v>0.64800000000000002</v>
      </c>
      <c r="E1376" s="225"/>
      <c r="F1376" s="231"/>
      <c r="G1376" s="172" t="str">
        <f t="shared" ca="1" si="785"/>
        <v/>
      </c>
      <c r="H1376" s="93" t="str">
        <f t="shared" ca="1" si="786"/>
        <v/>
      </c>
      <c r="I1376" s="21">
        <v>1000</v>
      </c>
      <c r="J1376" s="68">
        <f t="shared" si="787"/>
        <v>0.89166666666666672</v>
      </c>
      <c r="K1376" s="70">
        <v>1.07</v>
      </c>
      <c r="L1376" s="72">
        <f t="shared" ca="1" si="782"/>
        <v>0.28133333333333332</v>
      </c>
      <c r="M1376" s="73">
        <f t="shared" ca="1" si="783"/>
        <v>281.33333333333331</v>
      </c>
      <c r="N1376" s="12" t="s">
        <v>44</v>
      </c>
      <c r="O1376" s="47" t="s">
        <v>45</v>
      </c>
      <c r="P1376" s="13">
        <f t="shared" si="772"/>
        <v>1.07</v>
      </c>
      <c r="Q1376" s="1" t="str">
        <f t="shared" si="774"/>
        <v>1000 + шт - 1,07 руб / шт с НДС</v>
      </c>
      <c r="R1376" s="235"/>
      <c r="S1376" s="239"/>
      <c r="T1376" s="226"/>
      <c r="U1376" s="228"/>
      <c r="V1376" s="222"/>
      <c r="W1376" s="229"/>
      <c r="X1376" s="227"/>
      <c r="Y1376" s="229"/>
      <c r="Z1376" s="236"/>
      <c r="AA1376" s="237"/>
      <c r="AB1376" s="238"/>
      <c r="AC1376" s="223"/>
      <c r="AD1376" s="222"/>
    </row>
    <row r="1377" spans="1:30" x14ac:dyDescent="0.4">
      <c r="A1377" s="230">
        <v>277</v>
      </c>
      <c r="B1377" s="8">
        <v>277</v>
      </c>
      <c r="C1377" s="14">
        <f t="shared" ca="1" si="795"/>
        <v>0.23</v>
      </c>
      <c r="D1377" s="20">
        <f t="shared" ref="D1377:D1440" ca="1" si="800">C1377*1.2</f>
        <v>0.27600000000000002</v>
      </c>
      <c r="E1377" s="224" t="str">
        <f ca="1">INDIRECT("'Закуп'!D" &amp; A1377)</f>
        <v>У</v>
      </c>
      <c r="F1377" s="231" t="str">
        <f t="shared" ref="F1377" ca="1" si="801">INDIRECT("'Закуп'!E" &amp; B1377)</f>
        <v>155х83х73</v>
      </c>
      <c r="G1377" s="172" t="str">
        <f t="shared" ca="1" si="785"/>
        <v/>
      </c>
      <c r="H1377" s="93" t="str">
        <f t="shared" ca="1" si="786"/>
        <v/>
      </c>
      <c r="I1377" s="21">
        <v>50</v>
      </c>
      <c r="J1377" s="68">
        <f t="shared" si="787"/>
        <v>0.98333333333333328</v>
      </c>
      <c r="K1377" s="70">
        <v>1.18</v>
      </c>
      <c r="L1377" s="72">
        <f t="shared" ca="1" si="782"/>
        <v>0.60266666666666668</v>
      </c>
      <c r="M1377" s="73">
        <f t="shared" ca="1" si="783"/>
        <v>30.133333333333333</v>
      </c>
      <c r="N1377" s="12" t="s">
        <v>40</v>
      </c>
      <c r="O1377" s="47" t="s">
        <v>45</v>
      </c>
      <c r="P1377" s="13">
        <f t="shared" si="772"/>
        <v>1.18</v>
      </c>
      <c r="Q1377" s="1" t="str">
        <f t="shared" si="774"/>
        <v>50-90 шт - 1,18 руб / шт с НДС</v>
      </c>
      <c r="R1377" s="235" t="str">
        <f ca="1">INDIRECT("'Закуп'!k" &amp; A1377)</f>
        <v>K243</v>
      </c>
      <c r="S1377" s="239">
        <f ca="1">INDIRECT("'Закуп'!o" &amp; A1377)</f>
        <v>0.94</v>
      </c>
      <c r="T1377" s="226" t="str">
        <f ca="1">INDIRECT("'Закуп'!p" &amp; A1377)</f>
        <v>0,1-0,9 литров</v>
      </c>
      <c r="U1377" s="228" t="str">
        <f ca="1">INDIRECT("'Закуп'!v" &amp; A1377)</f>
        <v/>
      </c>
      <c r="V1377" s="222" t="str">
        <f ca="1">INDIRECT("'Закуп'!w" &amp; A1377)</f>
        <v/>
      </c>
      <c r="W1377" s="229" t="str">
        <f ca="1">INDIRECT("'Закуп'!H" &amp; A1377)</f>
        <v>0471</v>
      </c>
      <c r="X1377" s="227" t="str">
        <f t="shared" ref="X1377" ca="1" si="802">INDIRECT("'Закуп'!g" &amp; A1377)</f>
        <v>С</v>
      </c>
      <c r="Y1377" s="229" t="str">
        <f ca="1">INDIRECT("'Закуп'!i" &amp; A1377)</f>
        <v>Е</v>
      </c>
      <c r="Z1377" s="236" t="str">
        <f ca="1">INDIRECT("'Закуп'!x" &amp; A1377)</f>
        <v>100-199 мм</v>
      </c>
      <c r="AA1377" s="237" t="str">
        <f ca="1">INDIRECT("'Закуп'!y" &amp; A1377)</f>
        <v>10-99 мм</v>
      </c>
      <c r="AB1377" s="238" t="str">
        <f ca="1">INDIRECT("'Закуп'!z" &amp; A1377)</f>
        <v>10-99 мм</v>
      </c>
      <c r="AC1377" s="223" t="str">
        <f t="shared" ca="1" si="779"/>
        <v>155x83x73</v>
      </c>
      <c r="AD1377" s="222" t="str">
        <f t="shared" ref="AD1377:AD1437" ca="1" si="803">SUBSTITUTE(INDEX(F:F, ROUNDUP((ROW(A1376))/5,0)*5 - 3), "х", "x") &amp; " - " &amp; SUBSTITUTE(SUBSTITUTE(INDEX(F:F, ROUNDUP((ROW(A1376))/5,0)*5 - 3), "х", "*"), "x", "*") &amp; " мм"</f>
        <v>155x83x73 - 155*83*73 мм</v>
      </c>
    </row>
    <row r="1378" spans="1:30" x14ac:dyDescent="0.4">
      <c r="A1378" s="230"/>
      <c r="B1378" s="8">
        <v>277</v>
      </c>
      <c r="C1378" s="14">
        <f t="shared" ca="1" si="795"/>
        <v>0.23</v>
      </c>
      <c r="D1378" s="20">
        <f t="shared" ca="1" si="800"/>
        <v>0.27600000000000002</v>
      </c>
      <c r="E1378" s="225"/>
      <c r="F1378" s="231"/>
      <c r="G1378" s="172" t="str">
        <f t="shared" ca="1" si="785"/>
        <v/>
      </c>
      <c r="H1378" s="93" t="str">
        <f t="shared" ca="1" si="786"/>
        <v/>
      </c>
      <c r="I1378" s="21">
        <v>100</v>
      </c>
      <c r="J1378" s="68">
        <f t="shared" si="787"/>
        <v>0.89166666666666672</v>
      </c>
      <c r="K1378" s="70">
        <v>1.07</v>
      </c>
      <c r="L1378" s="72">
        <f t="shared" ca="1" si="782"/>
        <v>0.52933333333333343</v>
      </c>
      <c r="M1378" s="73">
        <f t="shared" ca="1" si="783"/>
        <v>52.933333333333344</v>
      </c>
      <c r="N1378" s="12" t="s">
        <v>41</v>
      </c>
      <c r="O1378" s="47" t="s">
        <v>45</v>
      </c>
      <c r="P1378" s="13">
        <f t="shared" si="772"/>
        <v>1.07</v>
      </c>
      <c r="Q1378" s="1" t="str">
        <f t="shared" si="774"/>
        <v>100-290 шт - 1,07 руб / шт с НДС</v>
      </c>
      <c r="R1378" s="235"/>
      <c r="S1378" s="239"/>
      <c r="T1378" s="226"/>
      <c r="U1378" s="228"/>
      <c r="V1378" s="222"/>
      <c r="W1378" s="229"/>
      <c r="X1378" s="227"/>
      <c r="Y1378" s="229"/>
      <c r="Z1378" s="236"/>
      <c r="AA1378" s="237"/>
      <c r="AB1378" s="238"/>
      <c r="AC1378" s="223"/>
      <c r="AD1378" s="222"/>
    </row>
    <row r="1379" spans="1:30" x14ac:dyDescent="0.4">
      <c r="A1379" s="230"/>
      <c r="B1379" s="8">
        <v>277</v>
      </c>
      <c r="C1379" s="14">
        <f t="shared" ca="1" si="795"/>
        <v>0.23</v>
      </c>
      <c r="D1379" s="20">
        <f t="shared" ca="1" si="800"/>
        <v>0.27600000000000002</v>
      </c>
      <c r="E1379" s="225"/>
      <c r="F1379" s="231"/>
      <c r="G1379" s="172" t="str">
        <f t="shared" ca="1" si="785"/>
        <v/>
      </c>
      <c r="H1379" s="93" t="str">
        <f t="shared" ca="1" si="786"/>
        <v/>
      </c>
      <c r="I1379" s="21">
        <v>300</v>
      </c>
      <c r="J1379" s="68">
        <f t="shared" si="787"/>
        <v>0.75833333333333341</v>
      </c>
      <c r="K1379" s="70">
        <v>0.91</v>
      </c>
      <c r="L1379" s="72">
        <f t="shared" ca="1" si="782"/>
        <v>0.42266666666666675</v>
      </c>
      <c r="M1379" s="73">
        <f t="shared" ca="1" si="783"/>
        <v>126.80000000000003</v>
      </c>
      <c r="N1379" s="12" t="s">
        <v>42</v>
      </c>
      <c r="O1379" s="47" t="s">
        <v>45</v>
      </c>
      <c r="P1379" s="13">
        <f t="shared" si="772"/>
        <v>0.91</v>
      </c>
      <c r="Q1379" s="1" t="str">
        <f t="shared" si="774"/>
        <v>300-490 шт - 0,91 руб / шт с НДС</v>
      </c>
      <c r="R1379" s="235"/>
      <c r="S1379" s="239"/>
      <c r="T1379" s="226"/>
      <c r="U1379" s="228"/>
      <c r="V1379" s="222"/>
      <c r="W1379" s="229"/>
      <c r="X1379" s="227"/>
      <c r="Y1379" s="229"/>
      <c r="Z1379" s="236"/>
      <c r="AA1379" s="237"/>
      <c r="AB1379" s="238"/>
      <c r="AC1379" s="223"/>
      <c r="AD1379" s="222"/>
    </row>
    <row r="1380" spans="1:30" x14ac:dyDescent="0.4">
      <c r="A1380" s="230"/>
      <c r="B1380" s="8">
        <v>277</v>
      </c>
      <c r="C1380" s="14">
        <f t="shared" ca="1" si="795"/>
        <v>0.23</v>
      </c>
      <c r="D1380" s="20">
        <f t="shared" ca="1" si="800"/>
        <v>0.27600000000000002</v>
      </c>
      <c r="E1380" s="225"/>
      <c r="F1380" s="231"/>
      <c r="G1380" s="172" t="str">
        <f t="shared" ca="1" si="785"/>
        <v/>
      </c>
      <c r="H1380" s="93" t="str">
        <f t="shared" ca="1" si="786"/>
        <v/>
      </c>
      <c r="I1380" s="21">
        <v>500</v>
      </c>
      <c r="J1380" s="68">
        <f t="shared" si="787"/>
        <v>0.625</v>
      </c>
      <c r="K1380" s="70">
        <v>0.75</v>
      </c>
      <c r="L1380" s="72">
        <f t="shared" ca="1" si="782"/>
        <v>0.316</v>
      </c>
      <c r="M1380" s="73">
        <f t="shared" ca="1" si="783"/>
        <v>158</v>
      </c>
      <c r="N1380" s="12" t="s">
        <v>43</v>
      </c>
      <c r="O1380" s="47" t="s">
        <v>45</v>
      </c>
      <c r="P1380" s="13">
        <f t="shared" si="772"/>
        <v>0.75</v>
      </c>
      <c r="Q1380" s="1" t="str">
        <f t="shared" si="774"/>
        <v>500-990 шт - 0,75 руб / шт с НДС</v>
      </c>
      <c r="R1380" s="235"/>
      <c r="S1380" s="239"/>
      <c r="T1380" s="226"/>
      <c r="U1380" s="228"/>
      <c r="V1380" s="222"/>
      <c r="W1380" s="229"/>
      <c r="X1380" s="227"/>
      <c r="Y1380" s="229"/>
      <c r="Z1380" s="236"/>
      <c r="AA1380" s="237"/>
      <c r="AB1380" s="238"/>
      <c r="AC1380" s="223"/>
      <c r="AD1380" s="222"/>
    </row>
    <row r="1381" spans="1:30" x14ac:dyDescent="0.4">
      <c r="A1381" s="230"/>
      <c r="B1381" s="8">
        <v>277</v>
      </c>
      <c r="C1381" s="14">
        <f t="shared" ca="1" si="795"/>
        <v>0.23</v>
      </c>
      <c r="D1381" s="20">
        <f t="shared" ca="1" si="800"/>
        <v>0.27600000000000002</v>
      </c>
      <c r="E1381" s="225"/>
      <c r="F1381" s="231"/>
      <c r="G1381" s="172" t="str">
        <f t="shared" ca="1" si="785"/>
        <v/>
      </c>
      <c r="H1381" s="93" t="str">
        <f t="shared" ca="1" si="786"/>
        <v/>
      </c>
      <c r="I1381" s="21">
        <v>1000</v>
      </c>
      <c r="J1381" s="68">
        <f t="shared" si="787"/>
        <v>0.49166666666666664</v>
      </c>
      <c r="K1381" s="70">
        <v>0.59</v>
      </c>
      <c r="L1381" s="72">
        <f t="shared" ca="1" si="782"/>
        <v>0.20933333333333329</v>
      </c>
      <c r="M1381" s="73">
        <f t="shared" ca="1" si="783"/>
        <v>209.33333333333329</v>
      </c>
      <c r="N1381" s="12" t="s">
        <v>44</v>
      </c>
      <c r="O1381" s="47" t="s">
        <v>45</v>
      </c>
      <c r="P1381" s="13">
        <f t="shared" si="772"/>
        <v>0.59</v>
      </c>
      <c r="Q1381" s="1" t="str">
        <f t="shared" si="774"/>
        <v>1000 + шт - 0,59 руб / шт с НДС</v>
      </c>
      <c r="R1381" s="235"/>
      <c r="S1381" s="239"/>
      <c r="T1381" s="226"/>
      <c r="U1381" s="228"/>
      <c r="V1381" s="222"/>
      <c r="W1381" s="229"/>
      <c r="X1381" s="227"/>
      <c r="Y1381" s="229"/>
      <c r="Z1381" s="236"/>
      <c r="AA1381" s="237"/>
      <c r="AB1381" s="238"/>
      <c r="AC1381" s="223"/>
      <c r="AD1381" s="222"/>
    </row>
    <row r="1382" spans="1:30" x14ac:dyDescent="0.4">
      <c r="A1382" s="230">
        <v>278</v>
      </c>
      <c r="B1382" s="8">
        <v>278</v>
      </c>
      <c r="C1382" s="14">
        <f t="shared" ca="1" si="795"/>
        <v>0.18</v>
      </c>
      <c r="D1382" s="20">
        <f t="shared" ca="1" si="800"/>
        <v>0.216</v>
      </c>
      <c r="E1382" s="224" t="str">
        <f ca="1">INDIRECT("'Закуп'!D" &amp; A1382)</f>
        <v>У</v>
      </c>
      <c r="F1382" s="231" t="str">
        <f t="shared" ref="F1382" ca="1" si="804">INDIRECT("'Закуп'!E" &amp; B1382)</f>
        <v>100х100х40</v>
      </c>
      <c r="G1382" s="172" t="str">
        <f t="shared" ca="1" si="785"/>
        <v/>
      </c>
      <c r="H1382" s="93" t="str">
        <f t="shared" ca="1" si="786"/>
        <v/>
      </c>
      <c r="I1382" s="21">
        <v>50</v>
      </c>
      <c r="J1382" s="68">
        <f t="shared" si="787"/>
        <v>1.0333333333333334</v>
      </c>
      <c r="K1382" s="70">
        <v>1.24</v>
      </c>
      <c r="L1382" s="72">
        <f t="shared" ca="1" si="782"/>
        <v>0.68266666666666675</v>
      </c>
      <c r="M1382" s="73">
        <f t="shared" ca="1" si="783"/>
        <v>34.13333333333334</v>
      </c>
      <c r="N1382" s="12" t="s">
        <v>40</v>
      </c>
      <c r="O1382" s="47" t="s">
        <v>45</v>
      </c>
      <c r="P1382" s="13">
        <f t="shared" si="772"/>
        <v>1.24</v>
      </c>
      <c r="Q1382" s="1" t="str">
        <f t="shared" si="774"/>
        <v>50-90 шт - 1,24 руб / шт с НДС</v>
      </c>
      <c r="R1382" s="235" t="str">
        <f ca="1">INDIRECT("'Закуп'!k" &amp; A1382)</f>
        <v>K244</v>
      </c>
      <c r="S1382" s="239">
        <f ca="1">INDIRECT("'Закуп'!o" &amp; A1382)</f>
        <v>0.4</v>
      </c>
      <c r="T1382" s="226" t="str">
        <f ca="1">INDIRECT("'Закуп'!p" &amp; A1382)</f>
        <v>0,1-0,9 литров</v>
      </c>
      <c r="U1382" s="228" t="str">
        <f ca="1">INDIRECT("'Закуп'!v" &amp; A1382)</f>
        <v/>
      </c>
      <c r="V1382" s="222" t="str">
        <f ca="1">INDIRECT("'Закуп'!w" &amp; A1382)</f>
        <v>Плоские</v>
      </c>
      <c r="W1382" s="229" t="str">
        <f ca="1">INDIRECT("'Закуп'!H" &amp; A1382)</f>
        <v>0427</v>
      </c>
      <c r="X1382" s="227" t="str">
        <f t="shared" ref="X1382" ca="1" si="805">INDIRECT("'Закуп'!g" &amp; A1382)</f>
        <v>С</v>
      </c>
      <c r="Y1382" s="229" t="str">
        <f ca="1">INDIRECT("'Закуп'!i" &amp; A1382)</f>
        <v>E</v>
      </c>
      <c r="Z1382" s="236" t="str">
        <f ca="1">INDIRECT("'Закуп'!x" &amp; A1382)</f>
        <v>100-199 мм</v>
      </c>
      <c r="AA1382" s="237" t="str">
        <f ca="1">INDIRECT("'Закуп'!y" &amp; A1382)</f>
        <v>100-199 мм</v>
      </c>
      <c r="AB1382" s="238" t="str">
        <f ca="1">INDIRECT("'Закуп'!z" &amp; A1382)</f>
        <v>10-99 мм</v>
      </c>
      <c r="AC1382" s="223" t="str">
        <f t="shared" ca="1" si="779"/>
        <v>100x100x40</v>
      </c>
      <c r="AD1382" s="222" t="str">
        <f t="shared" ca="1" si="803"/>
        <v>100x100x40 - 100*100*40 мм</v>
      </c>
    </row>
    <row r="1383" spans="1:30" x14ac:dyDescent="0.4">
      <c r="A1383" s="230"/>
      <c r="B1383" s="8">
        <v>278</v>
      </c>
      <c r="C1383" s="14">
        <f t="shared" ca="1" si="795"/>
        <v>0.18</v>
      </c>
      <c r="D1383" s="20">
        <f t="shared" ca="1" si="800"/>
        <v>0.216</v>
      </c>
      <c r="E1383" s="225"/>
      <c r="F1383" s="231"/>
      <c r="G1383" s="172" t="str">
        <f t="shared" ca="1" si="785"/>
        <v/>
      </c>
      <c r="H1383" s="93" t="str">
        <f t="shared" ca="1" si="786"/>
        <v/>
      </c>
      <c r="I1383" s="21">
        <v>100</v>
      </c>
      <c r="J1383" s="68">
        <f t="shared" si="787"/>
        <v>0.94166666666666665</v>
      </c>
      <c r="K1383" s="70">
        <v>1.1299999999999999</v>
      </c>
      <c r="L1383" s="72">
        <f t="shared" ca="1" si="782"/>
        <v>0.60933333333333339</v>
      </c>
      <c r="M1383" s="73">
        <f t="shared" ca="1" si="783"/>
        <v>60.933333333333337</v>
      </c>
      <c r="N1383" s="12" t="s">
        <v>41</v>
      </c>
      <c r="O1383" s="47" t="s">
        <v>45</v>
      </c>
      <c r="P1383" s="13">
        <f t="shared" si="772"/>
        <v>1.1299999999999999</v>
      </c>
      <c r="Q1383" s="1" t="str">
        <f t="shared" si="774"/>
        <v>100-290 шт - 1,13 руб / шт с НДС</v>
      </c>
      <c r="R1383" s="235"/>
      <c r="S1383" s="239"/>
      <c r="T1383" s="226"/>
      <c r="U1383" s="228"/>
      <c r="V1383" s="222"/>
      <c r="W1383" s="229"/>
      <c r="X1383" s="227"/>
      <c r="Y1383" s="229"/>
      <c r="Z1383" s="236"/>
      <c r="AA1383" s="237"/>
      <c r="AB1383" s="238"/>
      <c r="AC1383" s="223"/>
      <c r="AD1383" s="222"/>
    </row>
    <row r="1384" spans="1:30" x14ac:dyDescent="0.4">
      <c r="A1384" s="230"/>
      <c r="B1384" s="8">
        <v>278</v>
      </c>
      <c r="C1384" s="14">
        <f t="shared" ca="1" si="795"/>
        <v>0.18</v>
      </c>
      <c r="D1384" s="20">
        <f t="shared" ca="1" si="800"/>
        <v>0.216</v>
      </c>
      <c r="E1384" s="225"/>
      <c r="F1384" s="231"/>
      <c r="G1384" s="172" t="str">
        <f t="shared" ca="1" si="785"/>
        <v/>
      </c>
      <c r="H1384" s="93" t="str">
        <f t="shared" ca="1" si="786"/>
        <v/>
      </c>
      <c r="I1384" s="21">
        <v>300</v>
      </c>
      <c r="J1384" s="68">
        <f t="shared" si="787"/>
        <v>0.75</v>
      </c>
      <c r="K1384" s="70">
        <v>0.9</v>
      </c>
      <c r="L1384" s="72">
        <f t="shared" ca="1" si="782"/>
        <v>0.45600000000000007</v>
      </c>
      <c r="M1384" s="73">
        <f t="shared" ca="1" si="783"/>
        <v>136.80000000000001</v>
      </c>
      <c r="N1384" s="12" t="s">
        <v>42</v>
      </c>
      <c r="O1384" s="47" t="s">
        <v>45</v>
      </c>
      <c r="P1384" s="13">
        <f t="shared" si="772"/>
        <v>0.9</v>
      </c>
      <c r="Q1384" s="1" t="str">
        <f t="shared" si="774"/>
        <v>300-490 шт - 0,9 руб / шт с НДС</v>
      </c>
      <c r="R1384" s="235"/>
      <c r="S1384" s="239"/>
      <c r="T1384" s="226"/>
      <c r="U1384" s="228"/>
      <c r="V1384" s="222"/>
      <c r="W1384" s="229"/>
      <c r="X1384" s="227"/>
      <c r="Y1384" s="229"/>
      <c r="Z1384" s="236"/>
      <c r="AA1384" s="237"/>
      <c r="AB1384" s="238"/>
      <c r="AC1384" s="223"/>
      <c r="AD1384" s="222"/>
    </row>
    <row r="1385" spans="1:30" x14ac:dyDescent="0.4">
      <c r="A1385" s="230"/>
      <c r="B1385" s="8">
        <v>278</v>
      </c>
      <c r="C1385" s="14">
        <f t="shared" ca="1" si="795"/>
        <v>0.18</v>
      </c>
      <c r="D1385" s="20">
        <f t="shared" ca="1" si="800"/>
        <v>0.216</v>
      </c>
      <c r="E1385" s="225"/>
      <c r="F1385" s="231"/>
      <c r="G1385" s="172" t="str">
        <f t="shared" ca="1" si="785"/>
        <v/>
      </c>
      <c r="H1385" s="93" t="str">
        <f t="shared" ca="1" si="786"/>
        <v/>
      </c>
      <c r="I1385" s="21">
        <v>500</v>
      </c>
      <c r="J1385" s="68">
        <f t="shared" si="787"/>
        <v>0.67500000000000004</v>
      </c>
      <c r="K1385" s="70">
        <v>0.81</v>
      </c>
      <c r="L1385" s="72">
        <f t="shared" ca="1" si="782"/>
        <v>0.39600000000000002</v>
      </c>
      <c r="M1385" s="73">
        <f t="shared" ca="1" si="783"/>
        <v>198</v>
      </c>
      <c r="N1385" s="12" t="s">
        <v>43</v>
      </c>
      <c r="O1385" s="47" t="s">
        <v>45</v>
      </c>
      <c r="P1385" s="13">
        <f t="shared" si="772"/>
        <v>0.81</v>
      </c>
      <c r="Q1385" s="1" t="str">
        <f t="shared" si="774"/>
        <v>500-990 шт - 0,81 руб / шт с НДС</v>
      </c>
      <c r="R1385" s="235"/>
      <c r="S1385" s="239"/>
      <c r="T1385" s="226"/>
      <c r="U1385" s="228"/>
      <c r="V1385" s="222"/>
      <c r="W1385" s="229"/>
      <c r="X1385" s="227"/>
      <c r="Y1385" s="229"/>
      <c r="Z1385" s="236"/>
      <c r="AA1385" s="237"/>
      <c r="AB1385" s="238"/>
      <c r="AC1385" s="223"/>
      <c r="AD1385" s="222"/>
    </row>
    <row r="1386" spans="1:30" x14ac:dyDescent="0.4">
      <c r="A1386" s="230"/>
      <c r="B1386" s="8">
        <v>278</v>
      </c>
      <c r="C1386" s="14">
        <f t="shared" ca="1" si="795"/>
        <v>0.18</v>
      </c>
      <c r="D1386" s="20">
        <f t="shared" ca="1" si="800"/>
        <v>0.216</v>
      </c>
      <c r="E1386" s="225"/>
      <c r="F1386" s="231"/>
      <c r="G1386" s="172" t="str">
        <f t="shared" ca="1" si="785"/>
        <v/>
      </c>
      <c r="H1386" s="93" t="str">
        <f t="shared" ca="1" si="786"/>
        <v/>
      </c>
      <c r="I1386" s="21">
        <v>1000</v>
      </c>
      <c r="J1386" s="68">
        <f t="shared" si="787"/>
        <v>0.51666666666666672</v>
      </c>
      <c r="K1386" s="70">
        <v>0.62</v>
      </c>
      <c r="L1386" s="72">
        <f t="shared" ca="1" si="782"/>
        <v>0.26933333333333337</v>
      </c>
      <c r="M1386" s="73">
        <f t="shared" ca="1" si="783"/>
        <v>269.33333333333337</v>
      </c>
      <c r="N1386" s="12" t="s">
        <v>44</v>
      </c>
      <c r="O1386" s="47" t="s">
        <v>45</v>
      </c>
      <c r="P1386" s="13">
        <f t="shared" si="772"/>
        <v>0.62</v>
      </c>
      <c r="Q1386" s="1" t="str">
        <f t="shared" si="774"/>
        <v>1000 + шт - 0,62 руб / шт с НДС</v>
      </c>
      <c r="R1386" s="235"/>
      <c r="S1386" s="239"/>
      <c r="T1386" s="226"/>
      <c r="U1386" s="228"/>
      <c r="V1386" s="222"/>
      <c r="W1386" s="229"/>
      <c r="X1386" s="227"/>
      <c r="Y1386" s="229"/>
      <c r="Z1386" s="236"/>
      <c r="AA1386" s="237"/>
      <c r="AB1386" s="238"/>
      <c r="AC1386" s="223"/>
      <c r="AD1386" s="222"/>
    </row>
    <row r="1387" spans="1:30" x14ac:dyDescent="0.4">
      <c r="A1387" s="230">
        <v>279</v>
      </c>
      <c r="B1387" s="8">
        <v>279</v>
      </c>
      <c r="C1387" s="14">
        <f t="shared" ca="1" si="795"/>
        <v>0.56000000000000005</v>
      </c>
      <c r="D1387" s="20">
        <f t="shared" ca="1" si="800"/>
        <v>0.67200000000000004</v>
      </c>
      <c r="E1387" s="224" t="str">
        <f ca="1">INDIRECT("'Закуп'!D" &amp; A1387)</f>
        <v>У</v>
      </c>
      <c r="F1387" s="231" t="str">
        <f t="shared" ref="F1387" ca="1" si="806">INDIRECT("'Закуп'!E" &amp; B1387)</f>
        <v>350х45х235</v>
      </c>
      <c r="G1387" s="172" t="str">
        <f t="shared" ca="1" si="785"/>
        <v/>
      </c>
      <c r="H1387" s="93" t="str">
        <f t="shared" ca="1" si="786"/>
        <v/>
      </c>
      <c r="I1387" s="21">
        <v>50</v>
      </c>
      <c r="J1387" s="68">
        <f t="shared" si="787"/>
        <v>1.3166666666666669</v>
      </c>
      <c r="K1387" s="70">
        <v>1.58</v>
      </c>
      <c r="L1387" s="72">
        <f t="shared" ca="1" si="782"/>
        <v>0.6053333333333335</v>
      </c>
      <c r="M1387" s="73">
        <f t="shared" ca="1" si="783"/>
        <v>30.266666666666676</v>
      </c>
      <c r="N1387" s="12" t="s">
        <v>40</v>
      </c>
      <c r="O1387" s="47" t="s">
        <v>45</v>
      </c>
      <c r="P1387" s="13">
        <f t="shared" si="772"/>
        <v>1.58</v>
      </c>
      <c r="Q1387" s="1" t="str">
        <f t="shared" si="774"/>
        <v>50-90 шт - 1,58 руб / шт с НДС</v>
      </c>
      <c r="R1387" s="235" t="str">
        <f ca="1">INDIRECT("'Закуп'!k" &amp; A1387)</f>
        <v>K245</v>
      </c>
      <c r="S1387" s="239">
        <f ca="1">INDIRECT("'Закуп'!o" &amp; A1387)</f>
        <v>3.7</v>
      </c>
      <c r="T1387" s="226" t="str">
        <f ca="1">INDIRECT("'Закуп'!p" &amp; A1387)</f>
        <v>3-3,9 литра</v>
      </c>
      <c r="U1387" s="228" t="str">
        <f ca="1">INDIRECT("'Закуп'!v" &amp; A1387)</f>
        <v/>
      </c>
      <c r="V1387" s="222" t="str">
        <f ca="1">INDIRECT("'Закуп'!w" &amp; A1387)</f>
        <v>Плоские</v>
      </c>
      <c r="W1387" s="229" t="str">
        <f ca="1">INDIRECT("'Закуп'!H" &amp; A1387)</f>
        <v>0211</v>
      </c>
      <c r="X1387" s="227" t="str">
        <f t="shared" ref="X1387" ca="1" si="807">INDIRECT("'Закуп'!g" &amp; A1387)</f>
        <v>С</v>
      </c>
      <c r="Y1387" s="229" t="str">
        <f ca="1">INDIRECT("'Закуп'!i" &amp; A1387)</f>
        <v>В</v>
      </c>
      <c r="Z1387" s="236" t="str">
        <f ca="1">INDIRECT("'Закуп'!x" &amp; A1387)</f>
        <v>300-399 мм</v>
      </c>
      <c r="AA1387" s="237" t="str">
        <f ca="1">INDIRECT("'Закуп'!y" &amp; A1387)</f>
        <v>200-299 мм</v>
      </c>
      <c r="AB1387" s="238" t="str">
        <f ca="1">INDIRECT("'Закуп'!z" &amp; A1387)</f>
        <v>10-99 мм</v>
      </c>
      <c r="AC1387" s="223" t="str">
        <f t="shared" ca="1" si="779"/>
        <v>350x45x235</v>
      </c>
      <c r="AD1387" s="222" t="str">
        <f t="shared" ca="1" si="803"/>
        <v>350x45x235 - 350*45*235 мм</v>
      </c>
    </row>
    <row r="1388" spans="1:30" x14ac:dyDescent="0.4">
      <c r="A1388" s="230"/>
      <c r="B1388" s="8">
        <v>279</v>
      </c>
      <c r="C1388" s="14">
        <f t="shared" ca="1" si="795"/>
        <v>0.56000000000000005</v>
      </c>
      <c r="D1388" s="20">
        <f t="shared" ca="1" si="800"/>
        <v>0.67200000000000004</v>
      </c>
      <c r="E1388" s="225"/>
      <c r="F1388" s="231"/>
      <c r="G1388" s="172" t="str">
        <f t="shared" ca="1" si="785"/>
        <v/>
      </c>
      <c r="H1388" s="93" t="str">
        <f t="shared" ca="1" si="786"/>
        <v/>
      </c>
      <c r="I1388" s="21">
        <v>100</v>
      </c>
      <c r="J1388" s="68">
        <f t="shared" si="787"/>
        <v>1.1916666666666667</v>
      </c>
      <c r="K1388" s="70">
        <v>1.43</v>
      </c>
      <c r="L1388" s="72">
        <f t="shared" ca="1" si="782"/>
        <v>0.5053333333333333</v>
      </c>
      <c r="M1388" s="73">
        <f t="shared" ca="1" si="783"/>
        <v>50.533333333333331</v>
      </c>
      <c r="N1388" s="12" t="s">
        <v>41</v>
      </c>
      <c r="O1388" s="47" t="s">
        <v>45</v>
      </c>
      <c r="P1388" s="13">
        <f t="shared" si="772"/>
        <v>1.43</v>
      </c>
      <c r="Q1388" s="1" t="str">
        <f t="shared" si="774"/>
        <v>100-290 шт - 1,43 руб / шт с НДС</v>
      </c>
      <c r="R1388" s="235"/>
      <c r="S1388" s="239"/>
      <c r="T1388" s="226"/>
      <c r="U1388" s="228"/>
      <c r="V1388" s="222"/>
      <c r="W1388" s="229"/>
      <c r="X1388" s="227"/>
      <c r="Y1388" s="229"/>
      <c r="Z1388" s="236"/>
      <c r="AA1388" s="237"/>
      <c r="AB1388" s="238"/>
      <c r="AC1388" s="223"/>
      <c r="AD1388" s="222"/>
    </row>
    <row r="1389" spans="1:30" x14ac:dyDescent="0.4">
      <c r="A1389" s="230"/>
      <c r="B1389" s="8">
        <v>279</v>
      </c>
      <c r="C1389" s="14">
        <f t="shared" ca="1" si="795"/>
        <v>0.56000000000000005</v>
      </c>
      <c r="D1389" s="20">
        <f t="shared" ca="1" si="800"/>
        <v>0.67200000000000004</v>
      </c>
      <c r="E1389" s="225"/>
      <c r="F1389" s="231"/>
      <c r="G1389" s="172" t="str">
        <f t="shared" ca="1" si="785"/>
        <v/>
      </c>
      <c r="H1389" s="93" t="str">
        <f t="shared" ca="1" si="786"/>
        <v/>
      </c>
      <c r="I1389" s="21">
        <v>300</v>
      </c>
      <c r="J1389" s="68">
        <f t="shared" si="787"/>
        <v>0.94166666666666665</v>
      </c>
      <c r="K1389" s="70">
        <v>1.1299999999999999</v>
      </c>
      <c r="L1389" s="72">
        <f t="shared" ca="1" si="782"/>
        <v>0.30533333333333329</v>
      </c>
      <c r="M1389" s="73">
        <f t="shared" ca="1" si="783"/>
        <v>91.59999999999998</v>
      </c>
      <c r="N1389" s="12" t="s">
        <v>42</v>
      </c>
      <c r="O1389" s="47" t="s">
        <v>45</v>
      </c>
      <c r="P1389" s="13">
        <f t="shared" si="772"/>
        <v>1.1299999999999999</v>
      </c>
      <c r="Q1389" s="1" t="str">
        <f t="shared" si="774"/>
        <v>300-490 шт - 1,13 руб / шт с НДС</v>
      </c>
      <c r="R1389" s="235"/>
      <c r="S1389" s="239"/>
      <c r="T1389" s="226"/>
      <c r="U1389" s="228"/>
      <c r="V1389" s="222"/>
      <c r="W1389" s="229"/>
      <c r="X1389" s="227"/>
      <c r="Y1389" s="229"/>
      <c r="Z1389" s="236"/>
      <c r="AA1389" s="237"/>
      <c r="AB1389" s="238"/>
      <c r="AC1389" s="223"/>
      <c r="AD1389" s="222"/>
    </row>
    <row r="1390" spans="1:30" x14ac:dyDescent="0.4">
      <c r="A1390" s="230"/>
      <c r="B1390" s="8">
        <v>279</v>
      </c>
      <c r="C1390" s="14">
        <f t="shared" ca="1" si="795"/>
        <v>0.56000000000000005</v>
      </c>
      <c r="D1390" s="20">
        <f t="shared" ca="1" si="800"/>
        <v>0.67200000000000004</v>
      </c>
      <c r="E1390" s="225"/>
      <c r="F1390" s="231"/>
      <c r="G1390" s="172" t="str">
        <f t="shared" ca="1" si="785"/>
        <v/>
      </c>
      <c r="H1390" s="93" t="str">
        <f t="shared" ca="1" si="786"/>
        <v/>
      </c>
      <c r="I1390" s="21">
        <v>500</v>
      </c>
      <c r="J1390" s="68">
        <f t="shared" si="787"/>
        <v>0.88333333333333341</v>
      </c>
      <c r="K1390" s="70">
        <v>1.06</v>
      </c>
      <c r="L1390" s="72">
        <f t="shared" ca="1" si="782"/>
        <v>0.25866666666666671</v>
      </c>
      <c r="M1390" s="73">
        <f t="shared" ca="1" si="783"/>
        <v>129.33333333333334</v>
      </c>
      <c r="N1390" s="12" t="s">
        <v>43</v>
      </c>
      <c r="O1390" s="47" t="s">
        <v>45</v>
      </c>
      <c r="P1390" s="13">
        <f t="shared" si="772"/>
        <v>1.06</v>
      </c>
      <c r="Q1390" s="1" t="str">
        <f t="shared" si="774"/>
        <v>500-990 шт - 1,06 руб / шт с НДС</v>
      </c>
      <c r="R1390" s="235"/>
      <c r="S1390" s="239"/>
      <c r="T1390" s="226"/>
      <c r="U1390" s="228"/>
      <c r="V1390" s="222"/>
      <c r="W1390" s="229"/>
      <c r="X1390" s="227"/>
      <c r="Y1390" s="229"/>
      <c r="Z1390" s="236"/>
      <c r="AA1390" s="237"/>
      <c r="AB1390" s="238"/>
      <c r="AC1390" s="223"/>
      <c r="AD1390" s="222"/>
    </row>
    <row r="1391" spans="1:30" x14ac:dyDescent="0.4">
      <c r="A1391" s="230"/>
      <c r="B1391" s="8">
        <v>279</v>
      </c>
      <c r="C1391" s="14">
        <f t="shared" ca="1" si="795"/>
        <v>0.56000000000000005</v>
      </c>
      <c r="D1391" s="20">
        <f t="shared" ca="1" si="800"/>
        <v>0.67200000000000004</v>
      </c>
      <c r="E1391" s="225"/>
      <c r="F1391" s="231"/>
      <c r="G1391" s="172" t="str">
        <f t="shared" ca="1" si="785"/>
        <v/>
      </c>
      <c r="H1391" s="93" t="str">
        <f t="shared" ca="1" si="786"/>
        <v/>
      </c>
      <c r="I1391" s="21">
        <v>1000</v>
      </c>
      <c r="J1391" s="68">
        <f t="shared" si="787"/>
        <v>0.84166666666666667</v>
      </c>
      <c r="K1391" s="70">
        <v>1.01</v>
      </c>
      <c r="L1391" s="72">
        <f t="shared" ca="1" si="782"/>
        <v>0.2253333333333333</v>
      </c>
      <c r="M1391" s="73">
        <f t="shared" ca="1" si="783"/>
        <v>225.33333333333331</v>
      </c>
      <c r="N1391" s="12" t="s">
        <v>44</v>
      </c>
      <c r="O1391" s="47" t="s">
        <v>45</v>
      </c>
      <c r="P1391" s="13">
        <f t="shared" ref="P1391:P1454" si="808">ROUND(K1391,2)</f>
        <v>1.01</v>
      </c>
      <c r="Q1391" s="1" t="str">
        <f t="shared" si="774"/>
        <v>1000 + шт - 1,01 руб / шт с НДС</v>
      </c>
      <c r="R1391" s="235"/>
      <c r="S1391" s="239"/>
      <c r="T1391" s="226"/>
      <c r="U1391" s="228"/>
      <c r="V1391" s="222"/>
      <c r="W1391" s="229"/>
      <c r="X1391" s="227"/>
      <c r="Y1391" s="229"/>
      <c r="Z1391" s="236"/>
      <c r="AA1391" s="237"/>
      <c r="AB1391" s="238"/>
      <c r="AC1391" s="223"/>
      <c r="AD1391" s="222"/>
    </row>
    <row r="1392" spans="1:30" x14ac:dyDescent="0.4">
      <c r="A1392" s="230">
        <v>280</v>
      </c>
      <c r="B1392" s="8">
        <v>280</v>
      </c>
      <c r="C1392" s="14">
        <f t="shared" ca="1" si="795"/>
        <v>0.35</v>
      </c>
      <c r="D1392" s="20">
        <f t="shared" ca="1" si="800"/>
        <v>0.42</v>
      </c>
      <c r="E1392" s="224" t="str">
        <f ca="1">INDIRECT("'Закуп'!D" &amp; A1392)</f>
        <v>У</v>
      </c>
      <c r="F1392" s="231" t="str">
        <f t="shared" ref="F1392" ca="1" si="809">INDIRECT("'Закуп'!E" &amp; B1392)</f>
        <v>260х185х35</v>
      </c>
      <c r="G1392" s="172" t="str">
        <f t="shared" ca="1" si="785"/>
        <v/>
      </c>
      <c r="H1392" s="93" t="str">
        <f t="shared" ca="1" si="786"/>
        <v/>
      </c>
      <c r="I1392" s="21">
        <v>50</v>
      </c>
      <c r="J1392" s="68">
        <f t="shared" si="787"/>
        <v>0.95833333333333326</v>
      </c>
      <c r="K1392" s="70">
        <v>1.1499999999999999</v>
      </c>
      <c r="L1392" s="72">
        <f t="shared" ca="1" si="782"/>
        <v>0.48666666666666664</v>
      </c>
      <c r="M1392" s="73">
        <f t="shared" ca="1" si="783"/>
        <v>24.333333333333332</v>
      </c>
      <c r="N1392" s="12" t="s">
        <v>40</v>
      </c>
      <c r="O1392" s="47" t="s">
        <v>45</v>
      </c>
      <c r="P1392" s="13">
        <f t="shared" si="808"/>
        <v>1.1499999999999999</v>
      </c>
      <c r="Q1392" s="1" t="str">
        <f t="shared" ref="Q1392:Q1455" si="810">CONCATENATE(N1392,P1392,O1392,)</f>
        <v>50-90 шт - 1,15 руб / шт с НДС</v>
      </c>
      <c r="R1392" s="235" t="str">
        <f ca="1">INDIRECT("'Закуп'!k" &amp; A1392)</f>
        <v>K246</v>
      </c>
      <c r="S1392" s="239">
        <f ca="1">INDIRECT("'Закуп'!o" &amp; A1392)</f>
        <v>1.68</v>
      </c>
      <c r="T1392" s="226" t="str">
        <f ca="1">INDIRECT("'Закуп'!p" &amp; A1392)</f>
        <v>1-1,9 литра</v>
      </c>
      <c r="U1392" s="228" t="str">
        <f ca="1">INDIRECT("'Закуп'!v" &amp; A1392)</f>
        <v/>
      </c>
      <c r="V1392" s="222" t="str">
        <f ca="1">INDIRECT("'Закуп'!w" &amp; A1392)</f>
        <v>Плоские</v>
      </c>
      <c r="W1392" s="229" t="str">
        <f ca="1">INDIRECT("'Закуп'!H" &amp; A1392)</f>
        <v>0427</v>
      </c>
      <c r="X1392" s="227" t="str">
        <f t="shared" ref="X1392" ca="1" si="811">INDIRECT("'Закуп'!g" &amp; A1392)</f>
        <v>С</v>
      </c>
      <c r="Y1392" s="229" t="str">
        <f ca="1">INDIRECT("'Закуп'!i" &amp; A1392)</f>
        <v>В</v>
      </c>
      <c r="Z1392" s="236" t="str">
        <f ca="1">INDIRECT("'Закуп'!x" &amp; A1392)</f>
        <v>200-299 мм</v>
      </c>
      <c r="AA1392" s="237" t="str">
        <f ca="1">INDIRECT("'Закуп'!y" &amp; A1392)</f>
        <v>100-199 мм</v>
      </c>
      <c r="AB1392" s="238" t="str">
        <f ca="1">INDIRECT("'Закуп'!z" &amp; A1392)</f>
        <v>10-99 мм</v>
      </c>
      <c r="AC1392" s="223" t="str">
        <f t="shared" ca="1" si="779"/>
        <v>260x185x35</v>
      </c>
      <c r="AD1392" s="222" t="str">
        <f t="shared" ca="1" si="803"/>
        <v>260x185x35 - 260*185*35 мм</v>
      </c>
    </row>
    <row r="1393" spans="1:30" x14ac:dyDescent="0.4">
      <c r="A1393" s="230"/>
      <c r="B1393" s="8">
        <v>280</v>
      </c>
      <c r="C1393" s="14">
        <f t="shared" ca="1" si="795"/>
        <v>0.35</v>
      </c>
      <c r="D1393" s="20">
        <f t="shared" ca="1" si="800"/>
        <v>0.42</v>
      </c>
      <c r="E1393" s="225"/>
      <c r="F1393" s="231"/>
      <c r="G1393" s="172" t="str">
        <f t="shared" ca="1" si="785"/>
        <v/>
      </c>
      <c r="H1393" s="93" t="str">
        <f t="shared" ca="1" si="786"/>
        <v/>
      </c>
      <c r="I1393" s="21">
        <v>100</v>
      </c>
      <c r="J1393" s="68">
        <f t="shared" si="787"/>
        <v>0.79166666666666663</v>
      </c>
      <c r="K1393" s="70">
        <v>0.95</v>
      </c>
      <c r="L1393" s="72">
        <f t="shared" ca="1" si="782"/>
        <v>0.35333333333333333</v>
      </c>
      <c r="M1393" s="73">
        <f t="shared" ca="1" si="783"/>
        <v>35.333333333333336</v>
      </c>
      <c r="N1393" s="12" t="s">
        <v>41</v>
      </c>
      <c r="O1393" s="47" t="s">
        <v>45</v>
      </c>
      <c r="P1393" s="13">
        <f t="shared" si="808"/>
        <v>0.95</v>
      </c>
      <c r="Q1393" s="1" t="str">
        <f t="shared" si="810"/>
        <v>100-290 шт - 0,95 руб / шт с НДС</v>
      </c>
      <c r="R1393" s="235"/>
      <c r="S1393" s="239"/>
      <c r="T1393" s="226"/>
      <c r="U1393" s="228"/>
      <c r="V1393" s="222"/>
      <c r="W1393" s="229"/>
      <c r="X1393" s="227"/>
      <c r="Y1393" s="229"/>
      <c r="Z1393" s="236"/>
      <c r="AA1393" s="237"/>
      <c r="AB1393" s="238"/>
      <c r="AC1393" s="223"/>
      <c r="AD1393" s="222"/>
    </row>
    <row r="1394" spans="1:30" x14ac:dyDescent="0.4">
      <c r="A1394" s="230"/>
      <c r="B1394" s="8">
        <v>280</v>
      </c>
      <c r="C1394" s="14">
        <f t="shared" ca="1" si="795"/>
        <v>0.35</v>
      </c>
      <c r="D1394" s="20">
        <f t="shared" ca="1" si="800"/>
        <v>0.42</v>
      </c>
      <c r="E1394" s="225"/>
      <c r="F1394" s="231"/>
      <c r="G1394" s="172" t="str">
        <f t="shared" ca="1" si="785"/>
        <v/>
      </c>
      <c r="H1394" s="93" t="str">
        <f t="shared" ca="1" si="786"/>
        <v/>
      </c>
      <c r="I1394" s="21">
        <v>300</v>
      </c>
      <c r="J1394" s="68">
        <f t="shared" si="787"/>
        <v>0.70833333333333337</v>
      </c>
      <c r="K1394" s="70">
        <v>0.85</v>
      </c>
      <c r="L1394" s="72">
        <f t="shared" ca="1" si="782"/>
        <v>0.28666666666666674</v>
      </c>
      <c r="M1394" s="73">
        <f t="shared" ca="1" si="783"/>
        <v>86.000000000000014</v>
      </c>
      <c r="N1394" s="12" t="s">
        <v>42</v>
      </c>
      <c r="O1394" s="47" t="s">
        <v>45</v>
      </c>
      <c r="P1394" s="13">
        <f t="shared" si="808"/>
        <v>0.85</v>
      </c>
      <c r="Q1394" s="1" t="str">
        <f t="shared" si="810"/>
        <v>300-490 шт - 0,85 руб / шт с НДС</v>
      </c>
      <c r="R1394" s="235"/>
      <c r="S1394" s="239"/>
      <c r="T1394" s="226"/>
      <c r="U1394" s="228"/>
      <c r="V1394" s="222"/>
      <c r="W1394" s="229"/>
      <c r="X1394" s="227"/>
      <c r="Y1394" s="229"/>
      <c r="Z1394" s="236"/>
      <c r="AA1394" s="237"/>
      <c r="AB1394" s="238"/>
      <c r="AC1394" s="223"/>
      <c r="AD1394" s="222"/>
    </row>
    <row r="1395" spans="1:30" x14ac:dyDescent="0.4">
      <c r="A1395" s="230"/>
      <c r="B1395" s="8">
        <v>280</v>
      </c>
      <c r="C1395" s="14">
        <f t="shared" ca="1" si="795"/>
        <v>0.35</v>
      </c>
      <c r="D1395" s="20">
        <f t="shared" ca="1" si="800"/>
        <v>0.42</v>
      </c>
      <c r="E1395" s="225"/>
      <c r="F1395" s="231"/>
      <c r="G1395" s="172" t="str">
        <f t="shared" ca="1" si="785"/>
        <v/>
      </c>
      <c r="H1395" s="93" t="str">
        <f t="shared" ca="1" si="786"/>
        <v/>
      </c>
      <c r="I1395" s="21">
        <v>500</v>
      </c>
      <c r="J1395" s="68">
        <f t="shared" si="787"/>
        <v>0.625</v>
      </c>
      <c r="K1395" s="70">
        <v>0.75</v>
      </c>
      <c r="L1395" s="72">
        <f t="shared" ca="1" si="782"/>
        <v>0.22000000000000003</v>
      </c>
      <c r="M1395" s="73">
        <f t="shared" ca="1" si="783"/>
        <v>110.00000000000001</v>
      </c>
      <c r="N1395" s="12" t="s">
        <v>43</v>
      </c>
      <c r="O1395" s="47" t="s">
        <v>45</v>
      </c>
      <c r="P1395" s="13">
        <f t="shared" si="808"/>
        <v>0.75</v>
      </c>
      <c r="Q1395" s="1" t="str">
        <f t="shared" si="810"/>
        <v>500-990 шт - 0,75 руб / шт с НДС</v>
      </c>
      <c r="R1395" s="235"/>
      <c r="S1395" s="239"/>
      <c r="T1395" s="226"/>
      <c r="U1395" s="228"/>
      <c r="V1395" s="222"/>
      <c r="W1395" s="229"/>
      <c r="X1395" s="227"/>
      <c r="Y1395" s="229"/>
      <c r="Z1395" s="236"/>
      <c r="AA1395" s="237"/>
      <c r="AB1395" s="238"/>
      <c r="AC1395" s="223"/>
      <c r="AD1395" s="222"/>
    </row>
    <row r="1396" spans="1:30" x14ac:dyDescent="0.4">
      <c r="A1396" s="230"/>
      <c r="B1396" s="8">
        <v>280</v>
      </c>
      <c r="C1396" s="14">
        <f t="shared" ca="1" si="795"/>
        <v>0.35</v>
      </c>
      <c r="D1396" s="20">
        <f t="shared" ca="1" si="800"/>
        <v>0.42</v>
      </c>
      <c r="E1396" s="225"/>
      <c r="F1396" s="231"/>
      <c r="G1396" s="172" t="str">
        <f t="shared" ca="1" si="785"/>
        <v/>
      </c>
      <c r="H1396" s="93" t="str">
        <f t="shared" ca="1" si="786"/>
        <v/>
      </c>
      <c r="I1396" s="21">
        <v>1000</v>
      </c>
      <c r="J1396" s="68">
        <f t="shared" si="787"/>
        <v>0.54166666666666674</v>
      </c>
      <c r="K1396" s="70">
        <v>0.65</v>
      </c>
      <c r="L1396" s="72">
        <f t="shared" ca="1" si="782"/>
        <v>0.1533333333333334</v>
      </c>
      <c r="M1396" s="73">
        <f t="shared" ca="1" si="783"/>
        <v>153.3333333333334</v>
      </c>
      <c r="N1396" s="12" t="s">
        <v>44</v>
      </c>
      <c r="O1396" s="47" t="s">
        <v>45</v>
      </c>
      <c r="P1396" s="13">
        <f t="shared" si="808"/>
        <v>0.65</v>
      </c>
      <c r="Q1396" s="1" t="str">
        <f t="shared" si="810"/>
        <v>1000 + шт - 0,65 руб / шт с НДС</v>
      </c>
      <c r="R1396" s="235"/>
      <c r="S1396" s="239"/>
      <c r="T1396" s="226"/>
      <c r="U1396" s="228"/>
      <c r="V1396" s="222"/>
      <c r="W1396" s="229"/>
      <c r="X1396" s="227"/>
      <c r="Y1396" s="229"/>
      <c r="Z1396" s="236"/>
      <c r="AA1396" s="237"/>
      <c r="AB1396" s="238"/>
      <c r="AC1396" s="223"/>
      <c r="AD1396" s="222"/>
    </row>
    <row r="1397" spans="1:30" x14ac:dyDescent="0.4">
      <c r="A1397" s="230">
        <v>281</v>
      </c>
      <c r="B1397" s="8">
        <v>281</v>
      </c>
      <c r="C1397" s="14">
        <f t="shared" ca="1" si="795"/>
        <v>0.2</v>
      </c>
      <c r="D1397" s="20">
        <f t="shared" ca="1" si="800"/>
        <v>0.24</v>
      </c>
      <c r="E1397" s="224" t="str">
        <f ca="1">INDIRECT("'Закуп'!D" &amp; A1397)</f>
        <v>У</v>
      </c>
      <c r="F1397" s="231" t="str">
        <f t="shared" ref="F1397" ca="1" si="812">INDIRECT("'Закуп'!E" &amp; B1397)</f>
        <v>210х140х10</v>
      </c>
      <c r="G1397" s="172" t="str">
        <f t="shared" ca="1" si="785"/>
        <v/>
      </c>
      <c r="H1397" s="93" t="str">
        <f t="shared" ca="1" si="786"/>
        <v/>
      </c>
      <c r="I1397" s="21">
        <v>50</v>
      </c>
      <c r="J1397" s="68">
        <f t="shared" si="787"/>
        <v>0.83333333333333337</v>
      </c>
      <c r="K1397" s="70">
        <v>1</v>
      </c>
      <c r="L1397" s="72">
        <f t="shared" ca="1" si="782"/>
        <v>0.5066666666666666</v>
      </c>
      <c r="M1397" s="73">
        <f t="shared" ca="1" si="783"/>
        <v>25.333333333333329</v>
      </c>
      <c r="N1397" s="12" t="s">
        <v>40</v>
      </c>
      <c r="O1397" s="47" t="s">
        <v>45</v>
      </c>
      <c r="P1397" s="13">
        <f t="shared" si="808"/>
        <v>1</v>
      </c>
      <c r="Q1397" s="1" t="str">
        <f t="shared" si="810"/>
        <v>50-90 шт - 1 руб / шт с НДС</v>
      </c>
      <c r="R1397" s="235" t="str">
        <f ca="1">INDIRECT("'Закуп'!k" &amp; A1397)</f>
        <v>K247</v>
      </c>
      <c r="S1397" s="239">
        <f ca="1">INDIRECT("'Закуп'!o" &amp; A1397)</f>
        <v>0.28999999999999998</v>
      </c>
      <c r="T1397" s="226" t="str">
        <f ca="1">INDIRECT("'Закуп'!p" &amp; A1397)</f>
        <v>0,1-0,9 литров</v>
      </c>
      <c r="U1397" s="228" t="str">
        <f ca="1">INDIRECT("'Закуп'!v" &amp; A1397)</f>
        <v/>
      </c>
      <c r="V1397" s="222" t="str">
        <f ca="1">INDIRECT("'Закуп'!w" &amp; A1397)</f>
        <v>Плоские</v>
      </c>
      <c r="W1397" s="229" t="str">
        <f ca="1">INDIRECT("'Закуп'!H" &amp; A1397)</f>
        <v>0401</v>
      </c>
      <c r="X1397" s="227" t="str">
        <f t="shared" ref="X1397" ca="1" si="813">INDIRECT("'Закуп'!g" &amp; A1397)</f>
        <v>С</v>
      </c>
      <c r="Y1397" s="229" t="str">
        <f ca="1">INDIRECT("'Закуп'!i" &amp; A1397)</f>
        <v>Е</v>
      </c>
      <c r="Z1397" s="236" t="str">
        <f ca="1">INDIRECT("'Закуп'!x" &amp; A1397)</f>
        <v>200-299 мм</v>
      </c>
      <c r="AA1397" s="237" t="str">
        <f ca="1">INDIRECT("'Закуп'!y" &amp; A1397)</f>
        <v>100-199 мм</v>
      </c>
      <c r="AB1397" s="238" t="str">
        <f ca="1">INDIRECT("'Закуп'!z" &amp; A1397)</f>
        <v>10-99 мм</v>
      </c>
      <c r="AC1397" s="223" t="str">
        <f t="shared" ca="1" si="779"/>
        <v>210x140x10</v>
      </c>
      <c r="AD1397" s="222" t="str">
        <f t="shared" ca="1" si="803"/>
        <v>210x140x10 - 210*140*10 мм</v>
      </c>
    </row>
    <row r="1398" spans="1:30" x14ac:dyDescent="0.4">
      <c r="A1398" s="230"/>
      <c r="B1398" s="8">
        <v>281</v>
      </c>
      <c r="C1398" s="14">
        <f t="shared" ca="1" si="795"/>
        <v>0.2</v>
      </c>
      <c r="D1398" s="20">
        <f t="shared" ca="1" si="800"/>
        <v>0.24</v>
      </c>
      <c r="E1398" s="225"/>
      <c r="F1398" s="231"/>
      <c r="G1398" s="172" t="str">
        <f t="shared" ca="1" si="785"/>
        <v/>
      </c>
      <c r="H1398" s="93" t="str">
        <f t="shared" ca="1" si="786"/>
        <v/>
      </c>
      <c r="I1398" s="21">
        <v>100</v>
      </c>
      <c r="J1398" s="68">
        <f t="shared" si="787"/>
        <v>0.70833333333333337</v>
      </c>
      <c r="K1398" s="70">
        <v>0.85</v>
      </c>
      <c r="L1398" s="72">
        <f t="shared" ca="1" si="782"/>
        <v>0.40666666666666662</v>
      </c>
      <c r="M1398" s="73">
        <f t="shared" ca="1" si="783"/>
        <v>40.666666666666664</v>
      </c>
      <c r="N1398" s="12" t="s">
        <v>41</v>
      </c>
      <c r="O1398" s="47" t="s">
        <v>45</v>
      </c>
      <c r="P1398" s="13">
        <f t="shared" si="808"/>
        <v>0.85</v>
      </c>
      <c r="Q1398" s="1" t="str">
        <f t="shared" si="810"/>
        <v>100-290 шт - 0,85 руб / шт с НДС</v>
      </c>
      <c r="R1398" s="235"/>
      <c r="S1398" s="239"/>
      <c r="T1398" s="226"/>
      <c r="U1398" s="228"/>
      <c r="V1398" s="222"/>
      <c r="W1398" s="229"/>
      <c r="X1398" s="227"/>
      <c r="Y1398" s="229"/>
      <c r="Z1398" s="236"/>
      <c r="AA1398" s="237"/>
      <c r="AB1398" s="238"/>
      <c r="AC1398" s="223"/>
      <c r="AD1398" s="222"/>
    </row>
    <row r="1399" spans="1:30" x14ac:dyDescent="0.4">
      <c r="A1399" s="230"/>
      <c r="B1399" s="8">
        <v>281</v>
      </c>
      <c r="C1399" s="14">
        <f t="shared" ca="1" si="795"/>
        <v>0.2</v>
      </c>
      <c r="D1399" s="20">
        <f t="shared" ca="1" si="800"/>
        <v>0.24</v>
      </c>
      <c r="E1399" s="225"/>
      <c r="F1399" s="231"/>
      <c r="G1399" s="172" t="str">
        <f t="shared" ca="1" si="785"/>
        <v/>
      </c>
      <c r="H1399" s="93" t="str">
        <f t="shared" ca="1" si="786"/>
        <v/>
      </c>
      <c r="I1399" s="21">
        <v>300</v>
      </c>
      <c r="J1399" s="68">
        <f t="shared" si="787"/>
        <v>0.58333333333333337</v>
      </c>
      <c r="K1399" s="70">
        <v>0.7</v>
      </c>
      <c r="L1399" s="72">
        <f t="shared" ca="1" si="782"/>
        <v>0.3066666666666667</v>
      </c>
      <c r="M1399" s="73">
        <f t="shared" ca="1" si="783"/>
        <v>92.000000000000014</v>
      </c>
      <c r="N1399" s="12" t="s">
        <v>42</v>
      </c>
      <c r="O1399" s="47" t="s">
        <v>45</v>
      </c>
      <c r="P1399" s="13">
        <f t="shared" si="808"/>
        <v>0.7</v>
      </c>
      <c r="Q1399" s="1" t="str">
        <f t="shared" si="810"/>
        <v>300-490 шт - 0,7 руб / шт с НДС</v>
      </c>
      <c r="R1399" s="235"/>
      <c r="S1399" s="239"/>
      <c r="T1399" s="226"/>
      <c r="U1399" s="228"/>
      <c r="V1399" s="222"/>
      <c r="W1399" s="229"/>
      <c r="X1399" s="227"/>
      <c r="Y1399" s="229"/>
      <c r="Z1399" s="236"/>
      <c r="AA1399" s="237"/>
      <c r="AB1399" s="238"/>
      <c r="AC1399" s="223"/>
      <c r="AD1399" s="222"/>
    </row>
    <row r="1400" spans="1:30" x14ac:dyDescent="0.4">
      <c r="A1400" s="230"/>
      <c r="B1400" s="8">
        <v>281</v>
      </c>
      <c r="C1400" s="14">
        <f t="shared" ca="1" si="795"/>
        <v>0.2</v>
      </c>
      <c r="D1400" s="20">
        <f t="shared" ca="1" si="800"/>
        <v>0.24</v>
      </c>
      <c r="E1400" s="225"/>
      <c r="F1400" s="231"/>
      <c r="G1400" s="172" t="str">
        <f t="shared" ca="1" si="785"/>
        <v/>
      </c>
      <c r="H1400" s="93" t="str">
        <f t="shared" ca="1" si="786"/>
        <v/>
      </c>
      <c r="I1400" s="21">
        <v>500</v>
      </c>
      <c r="J1400" s="68">
        <f t="shared" si="787"/>
        <v>0.5</v>
      </c>
      <c r="K1400" s="70">
        <v>0.6</v>
      </c>
      <c r="L1400" s="72">
        <f t="shared" ca="1" si="782"/>
        <v>0.24</v>
      </c>
      <c r="M1400" s="73">
        <f t="shared" ca="1" si="783"/>
        <v>120</v>
      </c>
      <c r="N1400" s="12" t="s">
        <v>43</v>
      </c>
      <c r="O1400" s="47" t="s">
        <v>45</v>
      </c>
      <c r="P1400" s="13">
        <f t="shared" si="808"/>
        <v>0.6</v>
      </c>
      <c r="Q1400" s="1" t="str">
        <f t="shared" si="810"/>
        <v>500-990 шт - 0,6 руб / шт с НДС</v>
      </c>
      <c r="R1400" s="235"/>
      <c r="S1400" s="239"/>
      <c r="T1400" s="226"/>
      <c r="U1400" s="228"/>
      <c r="V1400" s="222"/>
      <c r="W1400" s="229"/>
      <c r="X1400" s="227"/>
      <c r="Y1400" s="229"/>
      <c r="Z1400" s="236"/>
      <c r="AA1400" s="237"/>
      <c r="AB1400" s="238"/>
      <c r="AC1400" s="223"/>
      <c r="AD1400" s="222"/>
    </row>
    <row r="1401" spans="1:30" x14ac:dyDescent="0.4">
      <c r="A1401" s="230"/>
      <c r="B1401" s="8">
        <v>281</v>
      </c>
      <c r="C1401" s="14">
        <f t="shared" ca="1" si="795"/>
        <v>0.2</v>
      </c>
      <c r="D1401" s="20">
        <f t="shared" ca="1" si="800"/>
        <v>0.24</v>
      </c>
      <c r="E1401" s="225"/>
      <c r="F1401" s="231"/>
      <c r="G1401" s="172" t="str">
        <f t="shared" ca="1" si="785"/>
        <v/>
      </c>
      <c r="H1401" s="93" t="str">
        <f t="shared" ca="1" si="786"/>
        <v/>
      </c>
      <c r="I1401" s="21">
        <v>1000</v>
      </c>
      <c r="J1401" s="68">
        <f t="shared" si="787"/>
        <v>0.41666666666666669</v>
      </c>
      <c r="K1401" s="70">
        <v>0.5</v>
      </c>
      <c r="L1401" s="72">
        <f t="shared" ca="1" si="782"/>
        <v>0.17333333333333334</v>
      </c>
      <c r="M1401" s="73">
        <f t="shared" ca="1" si="783"/>
        <v>173.33333333333334</v>
      </c>
      <c r="N1401" s="12" t="s">
        <v>44</v>
      </c>
      <c r="O1401" s="47" t="s">
        <v>45</v>
      </c>
      <c r="P1401" s="13">
        <f t="shared" si="808"/>
        <v>0.5</v>
      </c>
      <c r="Q1401" s="1" t="str">
        <f t="shared" si="810"/>
        <v>1000 + шт - 0,5 руб / шт с НДС</v>
      </c>
      <c r="R1401" s="235"/>
      <c r="S1401" s="239"/>
      <c r="T1401" s="226"/>
      <c r="U1401" s="228"/>
      <c r="V1401" s="222"/>
      <c r="W1401" s="229"/>
      <c r="X1401" s="227"/>
      <c r="Y1401" s="229"/>
      <c r="Z1401" s="236"/>
      <c r="AA1401" s="237"/>
      <c r="AB1401" s="238"/>
      <c r="AC1401" s="223"/>
      <c r="AD1401" s="222"/>
    </row>
    <row r="1402" spans="1:30" x14ac:dyDescent="0.4">
      <c r="A1402" s="230">
        <v>282</v>
      </c>
      <c r="B1402" s="8">
        <v>282</v>
      </c>
      <c r="C1402" s="14">
        <f t="shared" ca="1" si="795"/>
        <v>1.47</v>
      </c>
      <c r="D1402" s="20">
        <f t="shared" ca="1" si="800"/>
        <v>1.764</v>
      </c>
      <c r="E1402" s="224" t="str">
        <f ca="1">INDIRECT("'Закуп'!D" &amp; A1402)</f>
        <v>У</v>
      </c>
      <c r="F1402" s="231" t="str">
        <f t="shared" ref="F1402" ca="1" si="814">INDIRECT("'Закуп'!E" &amp; B1402)</f>
        <v>640х340х70</v>
      </c>
      <c r="G1402" s="172" t="str">
        <f t="shared" ca="1" si="785"/>
        <v/>
      </c>
      <c r="H1402" s="93" t="str">
        <f t="shared" ca="1" si="786"/>
        <v/>
      </c>
      <c r="I1402" s="21">
        <v>50</v>
      </c>
      <c r="J1402" s="68">
        <f t="shared" si="787"/>
        <v>2.8333333333333335</v>
      </c>
      <c r="K1402" s="70">
        <v>3.4</v>
      </c>
      <c r="L1402" s="72">
        <f t="shared" ca="1" si="782"/>
        <v>1.0906666666666669</v>
      </c>
      <c r="M1402" s="73">
        <f t="shared" ca="1" si="783"/>
        <v>54.533333333333346</v>
      </c>
      <c r="N1402" s="12" t="s">
        <v>40</v>
      </c>
      <c r="O1402" s="47" t="s">
        <v>45</v>
      </c>
      <c r="P1402" s="13">
        <f t="shared" si="808"/>
        <v>3.4</v>
      </c>
      <c r="Q1402" s="1" t="str">
        <f t="shared" si="810"/>
        <v>50-90 шт - 3,4 руб / шт с НДС</v>
      </c>
      <c r="R1402" s="235" t="str">
        <f ca="1">INDIRECT("'Закуп'!k" &amp; A1402)</f>
        <v>K248</v>
      </c>
      <c r="S1402" s="239">
        <f ca="1">INDIRECT("'Закуп'!o" &amp; A1402)</f>
        <v>15.23</v>
      </c>
      <c r="T1402" s="226" t="str">
        <f ca="1">INDIRECT("'Закуп'!p" &amp; A1402)</f>
        <v>15-19,9 литров</v>
      </c>
      <c r="U1402" s="228" t="str">
        <f ca="1">INDIRECT("'Закуп'!v" &amp; A1402)</f>
        <v/>
      </c>
      <c r="V1402" s="222" t="str">
        <f ca="1">INDIRECT("'Закуп'!w" &amp; A1402)</f>
        <v>Плоские</v>
      </c>
      <c r="W1402" s="229" t="str">
        <f ca="1">INDIRECT("'Закуп'!H" &amp; A1402)</f>
        <v>0427</v>
      </c>
      <c r="X1402" s="227" t="str">
        <f t="shared" ref="X1402" ca="1" si="815">INDIRECT("'Закуп'!g" &amp; A1402)</f>
        <v>С</v>
      </c>
      <c r="Y1402" s="229" t="str">
        <f ca="1">INDIRECT("'Закуп'!i" &amp; A1402)</f>
        <v>В</v>
      </c>
      <c r="Z1402" s="236" t="str">
        <f ca="1">INDIRECT("'Закуп'!x" &amp; A1402)</f>
        <v>600-699 мм</v>
      </c>
      <c r="AA1402" s="237" t="str">
        <f ca="1">INDIRECT("'Закуп'!y" &amp; A1402)</f>
        <v>300-399 мм</v>
      </c>
      <c r="AB1402" s="238" t="str">
        <f ca="1">INDIRECT("'Закуп'!z" &amp; A1402)</f>
        <v>10-99 мм</v>
      </c>
      <c r="AC1402" s="223" t="str">
        <f t="shared" ref="AC1402:AC1462" ca="1" si="816">SUBSTITUTE(INDEX(F:F, ROUNDUP((ROW(A1401))/5,0)*5 - 3), "х", "x")</f>
        <v>640x340x70</v>
      </c>
      <c r="AD1402" s="222" t="str">
        <f t="shared" ca="1" si="803"/>
        <v>640x340x70 - 640*340*70 мм</v>
      </c>
    </row>
    <row r="1403" spans="1:30" x14ac:dyDescent="0.4">
      <c r="A1403" s="230"/>
      <c r="B1403" s="8">
        <v>282</v>
      </c>
      <c r="C1403" s="14">
        <f t="shared" ca="1" si="795"/>
        <v>1.47</v>
      </c>
      <c r="D1403" s="20">
        <f t="shared" ca="1" si="800"/>
        <v>1.764</v>
      </c>
      <c r="E1403" s="225"/>
      <c r="F1403" s="231"/>
      <c r="G1403" s="172" t="str">
        <f t="shared" ca="1" si="785"/>
        <v/>
      </c>
      <c r="H1403" s="93" t="str">
        <f t="shared" ca="1" si="786"/>
        <v/>
      </c>
      <c r="I1403" s="21">
        <v>100</v>
      </c>
      <c r="J1403" s="68">
        <f t="shared" si="787"/>
        <v>2.4166666666666665</v>
      </c>
      <c r="K1403" s="70">
        <v>2.9</v>
      </c>
      <c r="L1403" s="72">
        <f t="shared" ca="1" si="782"/>
        <v>0.75733333333333319</v>
      </c>
      <c r="M1403" s="73">
        <f t="shared" ca="1" si="783"/>
        <v>75.73333333333332</v>
      </c>
      <c r="N1403" s="12" t="s">
        <v>41</v>
      </c>
      <c r="O1403" s="47" t="s">
        <v>45</v>
      </c>
      <c r="P1403" s="13">
        <f t="shared" si="808"/>
        <v>2.9</v>
      </c>
      <c r="Q1403" s="1" t="str">
        <f t="shared" si="810"/>
        <v>100-290 шт - 2,9 руб / шт с НДС</v>
      </c>
      <c r="R1403" s="235"/>
      <c r="S1403" s="239"/>
      <c r="T1403" s="226"/>
      <c r="U1403" s="228"/>
      <c r="V1403" s="222"/>
      <c r="W1403" s="229"/>
      <c r="X1403" s="227"/>
      <c r="Y1403" s="229"/>
      <c r="Z1403" s="236"/>
      <c r="AA1403" s="237"/>
      <c r="AB1403" s="238"/>
      <c r="AC1403" s="223"/>
      <c r="AD1403" s="222"/>
    </row>
    <row r="1404" spans="1:30" x14ac:dyDescent="0.4">
      <c r="A1404" s="230"/>
      <c r="B1404" s="8">
        <v>282</v>
      </c>
      <c r="C1404" s="14">
        <f t="shared" ca="1" si="795"/>
        <v>1.47</v>
      </c>
      <c r="D1404" s="20">
        <f t="shared" ca="1" si="800"/>
        <v>1.764</v>
      </c>
      <c r="E1404" s="225"/>
      <c r="F1404" s="231"/>
      <c r="G1404" s="172" t="str">
        <f t="shared" ca="1" si="785"/>
        <v/>
      </c>
      <c r="H1404" s="93" t="str">
        <f t="shared" ca="1" si="786"/>
        <v/>
      </c>
      <c r="I1404" s="21">
        <v>300</v>
      </c>
      <c r="J1404" s="68">
        <f t="shared" si="787"/>
        <v>2.125</v>
      </c>
      <c r="K1404" s="70">
        <v>2.5499999999999998</v>
      </c>
      <c r="L1404" s="72">
        <f t="shared" ca="1" si="782"/>
        <v>0.52400000000000002</v>
      </c>
      <c r="M1404" s="73">
        <f t="shared" ca="1" si="783"/>
        <v>157.20000000000002</v>
      </c>
      <c r="N1404" s="12" t="s">
        <v>42</v>
      </c>
      <c r="O1404" s="47" t="s">
        <v>45</v>
      </c>
      <c r="P1404" s="13">
        <f t="shared" si="808"/>
        <v>2.5499999999999998</v>
      </c>
      <c r="Q1404" s="1" t="str">
        <f t="shared" si="810"/>
        <v>300-490 шт - 2,55 руб / шт с НДС</v>
      </c>
      <c r="R1404" s="235"/>
      <c r="S1404" s="239"/>
      <c r="T1404" s="226"/>
      <c r="U1404" s="228"/>
      <c r="V1404" s="222"/>
      <c r="W1404" s="229"/>
      <c r="X1404" s="227"/>
      <c r="Y1404" s="229"/>
      <c r="Z1404" s="236"/>
      <c r="AA1404" s="237"/>
      <c r="AB1404" s="238"/>
      <c r="AC1404" s="223"/>
      <c r="AD1404" s="222"/>
    </row>
    <row r="1405" spans="1:30" x14ac:dyDescent="0.4">
      <c r="A1405" s="230"/>
      <c r="B1405" s="8">
        <v>282</v>
      </c>
      <c r="C1405" s="14">
        <f t="shared" ca="1" si="795"/>
        <v>1.47</v>
      </c>
      <c r="D1405" s="20">
        <f t="shared" ca="1" si="800"/>
        <v>1.764</v>
      </c>
      <c r="E1405" s="225"/>
      <c r="F1405" s="231"/>
      <c r="G1405" s="172" t="str">
        <f t="shared" ca="1" si="785"/>
        <v/>
      </c>
      <c r="H1405" s="93" t="str">
        <f t="shared" ca="1" si="786"/>
        <v/>
      </c>
      <c r="I1405" s="21">
        <v>500</v>
      </c>
      <c r="J1405" s="68">
        <f t="shared" si="787"/>
        <v>2.0166666666666666</v>
      </c>
      <c r="K1405" s="70">
        <v>2.42</v>
      </c>
      <c r="L1405" s="72">
        <f t="shared" ca="1" si="782"/>
        <v>0.4373333333333333</v>
      </c>
      <c r="M1405" s="73">
        <f t="shared" ca="1" si="783"/>
        <v>218.66666666666666</v>
      </c>
      <c r="N1405" s="12" t="s">
        <v>43</v>
      </c>
      <c r="O1405" s="47" t="s">
        <v>45</v>
      </c>
      <c r="P1405" s="13">
        <f t="shared" si="808"/>
        <v>2.42</v>
      </c>
      <c r="Q1405" s="1" t="str">
        <f t="shared" si="810"/>
        <v>500-990 шт - 2,42 руб / шт с НДС</v>
      </c>
      <c r="R1405" s="235"/>
      <c r="S1405" s="239"/>
      <c r="T1405" s="226"/>
      <c r="U1405" s="228"/>
      <c r="V1405" s="222"/>
      <c r="W1405" s="229"/>
      <c r="X1405" s="227"/>
      <c r="Y1405" s="229"/>
      <c r="Z1405" s="236"/>
      <c r="AA1405" s="237"/>
      <c r="AB1405" s="238"/>
      <c r="AC1405" s="223"/>
      <c r="AD1405" s="222"/>
    </row>
    <row r="1406" spans="1:30" x14ac:dyDescent="0.4">
      <c r="A1406" s="230"/>
      <c r="B1406" s="8">
        <v>282</v>
      </c>
      <c r="C1406" s="14">
        <f t="shared" ca="1" si="795"/>
        <v>1.47</v>
      </c>
      <c r="D1406" s="20">
        <f t="shared" ca="1" si="800"/>
        <v>1.764</v>
      </c>
      <c r="E1406" s="225"/>
      <c r="F1406" s="231"/>
      <c r="G1406" s="172" t="str">
        <f t="shared" ca="1" si="785"/>
        <v/>
      </c>
      <c r="H1406" s="93" t="str">
        <f t="shared" ca="1" si="786"/>
        <v/>
      </c>
      <c r="I1406" s="21">
        <v>1000</v>
      </c>
      <c r="J1406" s="68">
        <f t="shared" si="787"/>
        <v>1.9166666666666665</v>
      </c>
      <c r="K1406" s="70">
        <v>2.2999999999999998</v>
      </c>
      <c r="L1406" s="72">
        <f t="shared" ca="1" si="782"/>
        <v>0.35733333333333323</v>
      </c>
      <c r="M1406" s="73">
        <f t="shared" ca="1" si="783"/>
        <v>357.3333333333332</v>
      </c>
      <c r="N1406" s="12" t="s">
        <v>44</v>
      </c>
      <c r="O1406" s="47" t="s">
        <v>45</v>
      </c>
      <c r="P1406" s="13">
        <f t="shared" si="808"/>
        <v>2.2999999999999998</v>
      </c>
      <c r="Q1406" s="1" t="str">
        <f t="shared" si="810"/>
        <v>1000 + шт - 2,3 руб / шт с НДС</v>
      </c>
      <c r="R1406" s="235"/>
      <c r="S1406" s="239"/>
      <c r="T1406" s="226"/>
      <c r="U1406" s="228"/>
      <c r="V1406" s="222"/>
      <c r="W1406" s="229"/>
      <c r="X1406" s="227"/>
      <c r="Y1406" s="229"/>
      <c r="Z1406" s="236"/>
      <c r="AA1406" s="237"/>
      <c r="AB1406" s="238"/>
      <c r="AC1406" s="223"/>
      <c r="AD1406" s="222"/>
    </row>
    <row r="1407" spans="1:30" x14ac:dyDescent="0.4">
      <c r="A1407" s="230">
        <v>283</v>
      </c>
      <c r="B1407" s="8">
        <v>283</v>
      </c>
      <c r="C1407" s="14">
        <f t="shared" ca="1" si="795"/>
        <v>0.2</v>
      </c>
      <c r="D1407" s="20">
        <f t="shared" ca="1" si="800"/>
        <v>0.24</v>
      </c>
      <c r="E1407" s="224" t="str">
        <f ca="1">INDIRECT("'Закуп'!D" &amp; A1407)</f>
        <v>У</v>
      </c>
      <c r="F1407" s="231" t="str">
        <f t="shared" ref="F1407" ca="1" si="817">INDIRECT("'Закуп'!E" &amp; B1407)</f>
        <v>230х140х20</v>
      </c>
      <c r="G1407" s="172" t="str">
        <f t="shared" ca="1" si="785"/>
        <v/>
      </c>
      <c r="H1407" s="93" t="str">
        <f t="shared" ca="1" si="786"/>
        <v/>
      </c>
      <c r="I1407" s="21">
        <v>50</v>
      </c>
      <c r="J1407" s="68">
        <f t="shared" si="787"/>
        <v>0.83333333333333337</v>
      </c>
      <c r="K1407" s="70">
        <v>1</v>
      </c>
      <c r="L1407" s="72">
        <f t="shared" ca="1" si="782"/>
        <v>0.5066666666666666</v>
      </c>
      <c r="M1407" s="73">
        <f t="shared" ca="1" si="783"/>
        <v>25.333333333333329</v>
      </c>
      <c r="N1407" s="12" t="s">
        <v>40</v>
      </c>
      <c r="O1407" s="47" t="s">
        <v>45</v>
      </c>
      <c r="P1407" s="13">
        <f t="shared" si="808"/>
        <v>1</v>
      </c>
      <c r="Q1407" s="1" t="str">
        <f t="shared" si="810"/>
        <v>50-90 шт - 1 руб / шт с НДС</v>
      </c>
      <c r="R1407" s="235" t="str">
        <f ca="1">INDIRECT("'Закуп'!k" &amp; A1407)</f>
        <v>K249</v>
      </c>
      <c r="S1407" s="239">
        <f ca="1">INDIRECT("'Закуп'!o" &amp; A1407)</f>
        <v>0.64</v>
      </c>
      <c r="T1407" s="226" t="str">
        <f ca="1">INDIRECT("'Закуп'!p" &amp; A1407)</f>
        <v>0,1-0,9 литров</v>
      </c>
      <c r="U1407" s="228" t="str">
        <f ca="1">INDIRECT("'Закуп'!v" &amp; A1407)</f>
        <v/>
      </c>
      <c r="V1407" s="222" t="str">
        <f ca="1">INDIRECT("'Закуп'!w" &amp; A1407)</f>
        <v>Плоские</v>
      </c>
      <c r="W1407" s="229" t="str">
        <f ca="1">INDIRECT("'Закуп'!H" &amp; A1407)</f>
        <v>0427</v>
      </c>
      <c r="X1407" s="227" t="str">
        <f t="shared" ref="X1407" ca="1" si="818">INDIRECT("'Закуп'!g" &amp; A1407)</f>
        <v>С</v>
      </c>
      <c r="Y1407" s="229" t="str">
        <f ca="1">INDIRECT("'Закуп'!i" &amp; A1407)</f>
        <v>Е</v>
      </c>
      <c r="Z1407" s="236" t="str">
        <f ca="1">INDIRECT("'Закуп'!x" &amp; A1407)</f>
        <v>200-299 мм</v>
      </c>
      <c r="AA1407" s="237" t="str">
        <f ca="1">INDIRECT("'Закуп'!y" &amp; A1407)</f>
        <v>100-199 мм</v>
      </c>
      <c r="AB1407" s="238" t="str">
        <f ca="1">INDIRECT("'Закуп'!z" &amp; A1407)</f>
        <v>10-99 мм</v>
      </c>
      <c r="AC1407" s="223" t="str">
        <f t="shared" ca="1" si="816"/>
        <v>230x140x20</v>
      </c>
      <c r="AD1407" s="222" t="str">
        <f t="shared" ca="1" si="803"/>
        <v>230x140x20 - 230*140*20 мм</v>
      </c>
    </row>
    <row r="1408" spans="1:30" x14ac:dyDescent="0.4">
      <c r="A1408" s="230"/>
      <c r="B1408" s="8">
        <v>283</v>
      </c>
      <c r="C1408" s="14">
        <f t="shared" ca="1" si="795"/>
        <v>0.2</v>
      </c>
      <c r="D1408" s="20">
        <f t="shared" ca="1" si="800"/>
        <v>0.24</v>
      </c>
      <c r="E1408" s="225"/>
      <c r="F1408" s="231"/>
      <c r="G1408" s="172" t="str">
        <f t="shared" ca="1" si="785"/>
        <v/>
      </c>
      <c r="H1408" s="93" t="str">
        <f t="shared" ca="1" si="786"/>
        <v/>
      </c>
      <c r="I1408" s="21">
        <v>100</v>
      </c>
      <c r="J1408" s="68">
        <f t="shared" si="787"/>
        <v>0.70833333333333337</v>
      </c>
      <c r="K1408" s="70">
        <v>0.85</v>
      </c>
      <c r="L1408" s="72">
        <f t="shared" ca="1" si="782"/>
        <v>0.40666666666666662</v>
      </c>
      <c r="M1408" s="73">
        <f t="shared" ca="1" si="783"/>
        <v>40.666666666666664</v>
      </c>
      <c r="N1408" s="12" t="s">
        <v>41</v>
      </c>
      <c r="O1408" s="47" t="s">
        <v>45</v>
      </c>
      <c r="P1408" s="13">
        <f t="shared" si="808"/>
        <v>0.85</v>
      </c>
      <c r="Q1408" s="1" t="str">
        <f t="shared" si="810"/>
        <v>100-290 шт - 0,85 руб / шт с НДС</v>
      </c>
      <c r="R1408" s="235"/>
      <c r="S1408" s="239"/>
      <c r="T1408" s="226"/>
      <c r="U1408" s="228"/>
      <c r="V1408" s="222"/>
      <c r="W1408" s="229"/>
      <c r="X1408" s="227"/>
      <c r="Y1408" s="229"/>
      <c r="Z1408" s="236"/>
      <c r="AA1408" s="237"/>
      <c r="AB1408" s="238"/>
      <c r="AC1408" s="223"/>
      <c r="AD1408" s="222"/>
    </row>
    <row r="1409" spans="1:30" x14ac:dyDescent="0.4">
      <c r="A1409" s="230"/>
      <c r="B1409" s="8">
        <v>283</v>
      </c>
      <c r="C1409" s="14">
        <f t="shared" ca="1" si="795"/>
        <v>0.2</v>
      </c>
      <c r="D1409" s="20">
        <f t="shared" ca="1" si="800"/>
        <v>0.24</v>
      </c>
      <c r="E1409" s="225"/>
      <c r="F1409" s="231"/>
      <c r="G1409" s="172" t="str">
        <f t="shared" ca="1" si="785"/>
        <v/>
      </c>
      <c r="H1409" s="93" t="str">
        <f t="shared" ca="1" si="786"/>
        <v/>
      </c>
      <c r="I1409" s="21">
        <v>300</v>
      </c>
      <c r="J1409" s="68">
        <f t="shared" si="787"/>
        <v>0.58333333333333337</v>
      </c>
      <c r="K1409" s="70">
        <v>0.7</v>
      </c>
      <c r="L1409" s="72">
        <f t="shared" ca="1" si="782"/>
        <v>0.3066666666666667</v>
      </c>
      <c r="M1409" s="73">
        <f t="shared" ca="1" si="783"/>
        <v>92.000000000000014</v>
      </c>
      <c r="N1409" s="12" t="s">
        <v>42</v>
      </c>
      <c r="O1409" s="47" t="s">
        <v>45</v>
      </c>
      <c r="P1409" s="13">
        <f t="shared" si="808"/>
        <v>0.7</v>
      </c>
      <c r="Q1409" s="1" t="str">
        <f t="shared" si="810"/>
        <v>300-490 шт - 0,7 руб / шт с НДС</v>
      </c>
      <c r="R1409" s="235"/>
      <c r="S1409" s="239"/>
      <c r="T1409" s="226"/>
      <c r="U1409" s="228"/>
      <c r="V1409" s="222"/>
      <c r="W1409" s="229"/>
      <c r="X1409" s="227"/>
      <c r="Y1409" s="229"/>
      <c r="Z1409" s="236"/>
      <c r="AA1409" s="237"/>
      <c r="AB1409" s="238"/>
      <c r="AC1409" s="223"/>
      <c r="AD1409" s="222"/>
    </row>
    <row r="1410" spans="1:30" x14ac:dyDescent="0.4">
      <c r="A1410" s="230"/>
      <c r="B1410" s="8">
        <v>283</v>
      </c>
      <c r="C1410" s="14">
        <f t="shared" ca="1" si="795"/>
        <v>0.2</v>
      </c>
      <c r="D1410" s="20">
        <f t="shared" ca="1" si="800"/>
        <v>0.24</v>
      </c>
      <c r="E1410" s="225"/>
      <c r="F1410" s="231"/>
      <c r="G1410" s="172" t="str">
        <f t="shared" ca="1" si="785"/>
        <v/>
      </c>
      <c r="H1410" s="93" t="str">
        <f t="shared" ca="1" si="786"/>
        <v/>
      </c>
      <c r="I1410" s="21">
        <v>500</v>
      </c>
      <c r="J1410" s="68">
        <f t="shared" si="787"/>
        <v>0.5</v>
      </c>
      <c r="K1410" s="70">
        <v>0.6</v>
      </c>
      <c r="L1410" s="72">
        <f t="shared" ref="L1410:L1473" ca="1" si="819">J1410-C1410-(J1410-C1410)*0.2</f>
        <v>0.24</v>
      </c>
      <c r="M1410" s="73">
        <f t="shared" ref="M1410:M1473" ca="1" si="820">L1410*I1410</f>
        <v>120</v>
      </c>
      <c r="N1410" s="12" t="s">
        <v>43</v>
      </c>
      <c r="O1410" s="47" t="s">
        <v>45</v>
      </c>
      <c r="P1410" s="13">
        <f t="shared" si="808"/>
        <v>0.6</v>
      </c>
      <c r="Q1410" s="1" t="str">
        <f t="shared" si="810"/>
        <v>500-990 шт - 0,6 руб / шт с НДС</v>
      </c>
      <c r="R1410" s="235"/>
      <c r="S1410" s="239"/>
      <c r="T1410" s="226"/>
      <c r="U1410" s="228"/>
      <c r="V1410" s="222"/>
      <c r="W1410" s="229"/>
      <c r="X1410" s="227"/>
      <c r="Y1410" s="229"/>
      <c r="Z1410" s="236"/>
      <c r="AA1410" s="237"/>
      <c r="AB1410" s="238"/>
      <c r="AC1410" s="223"/>
      <c r="AD1410" s="222"/>
    </row>
    <row r="1411" spans="1:30" x14ac:dyDescent="0.4">
      <c r="A1411" s="230"/>
      <c r="B1411" s="8">
        <v>283</v>
      </c>
      <c r="C1411" s="14">
        <f t="shared" ca="1" si="795"/>
        <v>0.2</v>
      </c>
      <c r="D1411" s="20">
        <f t="shared" ca="1" si="800"/>
        <v>0.24</v>
      </c>
      <c r="E1411" s="225"/>
      <c r="F1411" s="231"/>
      <c r="G1411" s="172" t="str">
        <f t="shared" ref="G1411:G1474" ca="1" si="821">IF(INDIRECT("'Закуп'!L" &amp; B1411)="Sale","Sale","")</f>
        <v/>
      </c>
      <c r="H1411" s="93" t="str">
        <f t="shared" ref="H1411:H1474" ca="1" si="822">IF(INDIRECT("'Закуп'!F" &amp; B1411)=0,"",INDIRECT("'Закуп'!F" &amp; B1411))</f>
        <v/>
      </c>
      <c r="I1411" s="21">
        <v>1000</v>
      </c>
      <c r="J1411" s="68">
        <f t="shared" ref="J1411:J1474" si="823">K1411/1.2</f>
        <v>0.41666666666666669</v>
      </c>
      <c r="K1411" s="70">
        <v>0.5</v>
      </c>
      <c r="L1411" s="72">
        <f t="shared" ca="1" si="819"/>
        <v>0.17333333333333334</v>
      </c>
      <c r="M1411" s="73">
        <f t="shared" ca="1" si="820"/>
        <v>173.33333333333334</v>
      </c>
      <c r="N1411" s="12" t="s">
        <v>44</v>
      </c>
      <c r="O1411" s="47" t="s">
        <v>45</v>
      </c>
      <c r="P1411" s="13">
        <f t="shared" si="808"/>
        <v>0.5</v>
      </c>
      <c r="Q1411" s="1" t="str">
        <f t="shared" si="810"/>
        <v>1000 + шт - 0,5 руб / шт с НДС</v>
      </c>
      <c r="R1411" s="235"/>
      <c r="S1411" s="239"/>
      <c r="T1411" s="226"/>
      <c r="U1411" s="228"/>
      <c r="V1411" s="222"/>
      <c r="W1411" s="229"/>
      <c r="X1411" s="227"/>
      <c r="Y1411" s="229"/>
      <c r="Z1411" s="236"/>
      <c r="AA1411" s="237"/>
      <c r="AB1411" s="238"/>
      <c r="AC1411" s="223"/>
      <c r="AD1411" s="222"/>
    </row>
    <row r="1412" spans="1:30" x14ac:dyDescent="0.4">
      <c r="A1412" s="230">
        <v>284</v>
      </c>
      <c r="B1412" s="8">
        <v>284</v>
      </c>
      <c r="C1412" s="14">
        <f t="shared" ca="1" si="795"/>
        <v>0.24</v>
      </c>
      <c r="D1412" s="20">
        <f t="shared" ca="1" si="800"/>
        <v>0.28799999999999998</v>
      </c>
      <c r="E1412" s="224" t="str">
        <f ca="1">INDIRECT("'Закуп'!D" &amp; A1412)</f>
        <v>У</v>
      </c>
      <c r="F1412" s="231" t="str">
        <f t="shared" ref="F1412" ca="1" si="824">INDIRECT("'Закуп'!E" &amp; B1412)</f>
        <v>220х168х23</v>
      </c>
      <c r="G1412" s="172" t="str">
        <f t="shared" ca="1" si="821"/>
        <v/>
      </c>
      <c r="H1412" s="93" t="str">
        <f t="shared" ca="1" si="822"/>
        <v/>
      </c>
      <c r="I1412" s="21">
        <v>50</v>
      </c>
      <c r="J1412" s="68">
        <f t="shared" si="823"/>
        <v>0.89166666666666672</v>
      </c>
      <c r="K1412" s="70">
        <v>1.07</v>
      </c>
      <c r="L1412" s="72">
        <f t="shared" ca="1" si="819"/>
        <v>0.52133333333333343</v>
      </c>
      <c r="M1412" s="73">
        <f t="shared" ca="1" si="820"/>
        <v>26.06666666666667</v>
      </c>
      <c r="N1412" s="12" t="s">
        <v>40</v>
      </c>
      <c r="O1412" s="47" t="s">
        <v>45</v>
      </c>
      <c r="P1412" s="13">
        <f t="shared" si="808"/>
        <v>1.07</v>
      </c>
      <c r="Q1412" s="1" t="str">
        <f t="shared" si="810"/>
        <v>50-90 шт - 1,07 руб / шт с НДС</v>
      </c>
      <c r="R1412" s="235" t="str">
        <f ca="1">INDIRECT("'Закуп'!k" &amp; A1412)</f>
        <v>K250</v>
      </c>
      <c r="S1412" s="239">
        <f ca="1">INDIRECT("'Закуп'!o" &amp; A1412)</f>
        <v>0.85</v>
      </c>
      <c r="T1412" s="226" t="str">
        <f ca="1">INDIRECT("'Закуп'!p" &amp; A1412)</f>
        <v>0,1-0,9 литров</v>
      </c>
      <c r="U1412" s="228" t="str">
        <f ca="1">INDIRECT("'Закуп'!v" &amp; A1412)</f>
        <v/>
      </c>
      <c r="V1412" s="222" t="str">
        <f ca="1">INDIRECT("'Закуп'!w" &amp; A1412)</f>
        <v>Плоские</v>
      </c>
      <c r="W1412" s="229" t="str">
        <f ca="1">INDIRECT("'Закуп'!H" &amp; A1412)</f>
        <v>0427</v>
      </c>
      <c r="X1412" s="227" t="str">
        <f t="shared" ref="X1412" ca="1" si="825">INDIRECT("'Закуп'!g" &amp; A1412)</f>
        <v>С</v>
      </c>
      <c r="Y1412" s="229" t="str">
        <f ca="1">INDIRECT("'Закуп'!i" &amp; A1412)</f>
        <v>В</v>
      </c>
      <c r="Z1412" s="236" t="str">
        <f ca="1">INDIRECT("'Закуп'!x" &amp; A1412)</f>
        <v>200-299 мм</v>
      </c>
      <c r="AA1412" s="237" t="str">
        <f ca="1">INDIRECT("'Закуп'!y" &amp; A1412)</f>
        <v>100-199 мм</v>
      </c>
      <c r="AB1412" s="238" t="str">
        <f ca="1">INDIRECT("'Закуп'!z" &amp; A1412)</f>
        <v>10-99 мм</v>
      </c>
      <c r="AC1412" s="223" t="str">
        <f t="shared" ca="1" si="816"/>
        <v>220x168x23</v>
      </c>
      <c r="AD1412" s="222" t="str">
        <f t="shared" ca="1" si="803"/>
        <v>220x168x23 - 220*168*23 мм</v>
      </c>
    </row>
    <row r="1413" spans="1:30" x14ac:dyDescent="0.4">
      <c r="A1413" s="230"/>
      <c r="B1413" s="8">
        <v>284</v>
      </c>
      <c r="C1413" s="14">
        <f t="shared" ca="1" si="795"/>
        <v>0.24</v>
      </c>
      <c r="D1413" s="20">
        <f t="shared" ca="1" si="800"/>
        <v>0.28799999999999998</v>
      </c>
      <c r="E1413" s="225"/>
      <c r="F1413" s="231"/>
      <c r="G1413" s="172" t="str">
        <f t="shared" ca="1" si="821"/>
        <v/>
      </c>
      <c r="H1413" s="93" t="str">
        <f t="shared" ca="1" si="822"/>
        <v/>
      </c>
      <c r="I1413" s="21">
        <v>100</v>
      </c>
      <c r="J1413" s="68">
        <f t="shared" si="823"/>
        <v>0.75833333333333341</v>
      </c>
      <c r="K1413" s="70">
        <v>0.91</v>
      </c>
      <c r="L1413" s="72">
        <f t="shared" ca="1" si="819"/>
        <v>0.41466666666666674</v>
      </c>
      <c r="M1413" s="73">
        <f t="shared" ca="1" si="820"/>
        <v>41.466666666666676</v>
      </c>
      <c r="N1413" s="12" t="s">
        <v>41</v>
      </c>
      <c r="O1413" s="47" t="s">
        <v>45</v>
      </c>
      <c r="P1413" s="13">
        <f t="shared" si="808"/>
        <v>0.91</v>
      </c>
      <c r="Q1413" s="1" t="str">
        <f t="shared" si="810"/>
        <v>100-290 шт - 0,91 руб / шт с НДС</v>
      </c>
      <c r="R1413" s="235"/>
      <c r="S1413" s="239"/>
      <c r="T1413" s="226"/>
      <c r="U1413" s="228"/>
      <c r="V1413" s="222"/>
      <c r="W1413" s="229"/>
      <c r="X1413" s="227"/>
      <c r="Y1413" s="229"/>
      <c r="Z1413" s="236"/>
      <c r="AA1413" s="237"/>
      <c r="AB1413" s="238"/>
      <c r="AC1413" s="223"/>
      <c r="AD1413" s="222"/>
    </row>
    <row r="1414" spans="1:30" x14ac:dyDescent="0.4">
      <c r="A1414" s="230"/>
      <c r="B1414" s="8">
        <v>284</v>
      </c>
      <c r="C1414" s="14">
        <f t="shared" ca="1" si="795"/>
        <v>0.24</v>
      </c>
      <c r="D1414" s="20">
        <f t="shared" ca="1" si="800"/>
        <v>0.28799999999999998</v>
      </c>
      <c r="E1414" s="225"/>
      <c r="F1414" s="231"/>
      <c r="G1414" s="172" t="str">
        <f t="shared" ca="1" si="821"/>
        <v/>
      </c>
      <c r="H1414" s="93" t="str">
        <f t="shared" ca="1" si="822"/>
        <v/>
      </c>
      <c r="I1414" s="21">
        <v>300</v>
      </c>
      <c r="J1414" s="68">
        <f t="shared" si="823"/>
        <v>0.625</v>
      </c>
      <c r="K1414" s="70">
        <v>0.75</v>
      </c>
      <c r="L1414" s="72">
        <f t="shared" ca="1" si="819"/>
        <v>0.308</v>
      </c>
      <c r="M1414" s="73">
        <f t="shared" ca="1" si="820"/>
        <v>92.4</v>
      </c>
      <c r="N1414" s="12" t="s">
        <v>42</v>
      </c>
      <c r="O1414" s="47" t="s">
        <v>45</v>
      </c>
      <c r="P1414" s="13">
        <f t="shared" si="808"/>
        <v>0.75</v>
      </c>
      <c r="Q1414" s="1" t="str">
        <f t="shared" si="810"/>
        <v>300-490 шт - 0,75 руб / шт с НДС</v>
      </c>
      <c r="R1414" s="235"/>
      <c r="S1414" s="239"/>
      <c r="T1414" s="226"/>
      <c r="U1414" s="228"/>
      <c r="V1414" s="222"/>
      <c r="W1414" s="229"/>
      <c r="X1414" s="227"/>
      <c r="Y1414" s="229"/>
      <c r="Z1414" s="236"/>
      <c r="AA1414" s="237"/>
      <c r="AB1414" s="238"/>
      <c r="AC1414" s="223"/>
      <c r="AD1414" s="222"/>
    </row>
    <row r="1415" spans="1:30" x14ac:dyDescent="0.4">
      <c r="A1415" s="230"/>
      <c r="B1415" s="8">
        <v>284</v>
      </c>
      <c r="C1415" s="14">
        <f t="shared" ca="1" si="795"/>
        <v>0.24</v>
      </c>
      <c r="D1415" s="20">
        <f t="shared" ca="1" si="800"/>
        <v>0.28799999999999998</v>
      </c>
      <c r="E1415" s="225"/>
      <c r="F1415" s="231"/>
      <c r="G1415" s="172" t="str">
        <f t="shared" ca="1" si="821"/>
        <v/>
      </c>
      <c r="H1415" s="93" t="str">
        <f t="shared" ca="1" si="822"/>
        <v/>
      </c>
      <c r="I1415" s="21">
        <v>500</v>
      </c>
      <c r="J1415" s="68">
        <f t="shared" si="823"/>
        <v>0.53333333333333333</v>
      </c>
      <c r="K1415" s="70">
        <v>0.64</v>
      </c>
      <c r="L1415" s="72">
        <f t="shared" ca="1" si="819"/>
        <v>0.23466666666666666</v>
      </c>
      <c r="M1415" s="73">
        <f t="shared" ca="1" si="820"/>
        <v>117.33333333333333</v>
      </c>
      <c r="N1415" s="12" t="s">
        <v>43</v>
      </c>
      <c r="O1415" s="47" t="s">
        <v>45</v>
      </c>
      <c r="P1415" s="13">
        <f t="shared" si="808"/>
        <v>0.64</v>
      </c>
      <c r="Q1415" s="1" t="str">
        <f t="shared" si="810"/>
        <v>500-990 шт - 0,64 руб / шт с НДС</v>
      </c>
      <c r="R1415" s="235"/>
      <c r="S1415" s="239"/>
      <c r="T1415" s="226"/>
      <c r="U1415" s="228"/>
      <c r="V1415" s="222"/>
      <c r="W1415" s="229"/>
      <c r="X1415" s="227"/>
      <c r="Y1415" s="229"/>
      <c r="Z1415" s="236"/>
      <c r="AA1415" s="237"/>
      <c r="AB1415" s="238"/>
      <c r="AC1415" s="223"/>
      <c r="AD1415" s="222"/>
    </row>
    <row r="1416" spans="1:30" x14ac:dyDescent="0.4">
      <c r="A1416" s="230"/>
      <c r="B1416" s="8">
        <v>284</v>
      </c>
      <c r="C1416" s="14">
        <f t="shared" ca="1" si="795"/>
        <v>0.24</v>
      </c>
      <c r="D1416" s="20">
        <f t="shared" ca="1" si="800"/>
        <v>0.28799999999999998</v>
      </c>
      <c r="E1416" s="225"/>
      <c r="F1416" s="231"/>
      <c r="G1416" s="172" t="str">
        <f t="shared" ca="1" si="821"/>
        <v/>
      </c>
      <c r="H1416" s="93" t="str">
        <f t="shared" ca="1" si="822"/>
        <v/>
      </c>
      <c r="I1416" s="21">
        <v>1000</v>
      </c>
      <c r="J1416" s="68">
        <f t="shared" si="823"/>
        <v>0.45000000000000007</v>
      </c>
      <c r="K1416" s="70">
        <v>0.54</v>
      </c>
      <c r="L1416" s="72">
        <f t="shared" ca="1" si="819"/>
        <v>0.16800000000000007</v>
      </c>
      <c r="M1416" s="73">
        <f t="shared" ca="1" si="820"/>
        <v>168.00000000000006</v>
      </c>
      <c r="N1416" s="12" t="s">
        <v>44</v>
      </c>
      <c r="O1416" s="47" t="s">
        <v>45</v>
      </c>
      <c r="P1416" s="13">
        <f t="shared" si="808"/>
        <v>0.54</v>
      </c>
      <c r="Q1416" s="1" t="str">
        <f t="shared" si="810"/>
        <v>1000 + шт - 0,54 руб / шт с НДС</v>
      </c>
      <c r="R1416" s="235"/>
      <c r="S1416" s="239"/>
      <c r="T1416" s="226"/>
      <c r="U1416" s="228"/>
      <c r="V1416" s="222"/>
      <c r="W1416" s="229"/>
      <c r="X1416" s="227"/>
      <c r="Y1416" s="229"/>
      <c r="Z1416" s="236"/>
      <c r="AA1416" s="237"/>
      <c r="AB1416" s="238"/>
      <c r="AC1416" s="223"/>
      <c r="AD1416" s="222"/>
    </row>
    <row r="1417" spans="1:30" x14ac:dyDescent="0.4">
      <c r="A1417" s="230">
        <v>285</v>
      </c>
      <c r="B1417" s="8">
        <v>285</v>
      </c>
      <c r="C1417" s="14">
        <f t="shared" ca="1" si="795"/>
        <v>0.46</v>
      </c>
      <c r="D1417" s="20">
        <f t="shared" ca="1" si="800"/>
        <v>0.55200000000000005</v>
      </c>
      <c r="E1417" s="224" t="str">
        <f ca="1">INDIRECT("'Закуп'!D" &amp; A1417)</f>
        <v>У</v>
      </c>
      <c r="F1417" s="231" t="str">
        <f t="shared" ref="F1417" ca="1" si="826">INDIRECT("'Закуп'!E" &amp; B1417)</f>
        <v>150х150х250</v>
      </c>
      <c r="G1417" s="172" t="str">
        <f t="shared" ca="1" si="821"/>
        <v/>
      </c>
      <c r="H1417" s="93" t="str">
        <f t="shared" ca="1" si="822"/>
        <v/>
      </c>
      <c r="I1417" s="21">
        <v>50</v>
      </c>
      <c r="J1417" s="68">
        <f t="shared" si="823"/>
        <v>1.1333333333333335</v>
      </c>
      <c r="K1417" s="70">
        <v>1.36</v>
      </c>
      <c r="L1417" s="72">
        <f t="shared" ca="1" si="819"/>
        <v>0.53866666666666685</v>
      </c>
      <c r="M1417" s="73">
        <f t="shared" ca="1" si="820"/>
        <v>26.933333333333344</v>
      </c>
      <c r="N1417" s="12" t="s">
        <v>40</v>
      </c>
      <c r="O1417" s="47" t="s">
        <v>45</v>
      </c>
      <c r="P1417" s="13">
        <f t="shared" si="808"/>
        <v>1.36</v>
      </c>
      <c r="Q1417" s="1" t="str">
        <f t="shared" si="810"/>
        <v>50-90 шт - 1,36 руб / шт с НДС</v>
      </c>
      <c r="R1417" s="235" t="str">
        <f ca="1">INDIRECT("'Закуп'!k" &amp; A1417)</f>
        <v>K251</v>
      </c>
      <c r="S1417" s="239">
        <f ca="1">INDIRECT("'Закуп'!o" &amp; A1417)</f>
        <v>5.63</v>
      </c>
      <c r="T1417" s="226" t="str">
        <f ca="1">INDIRECT("'Закуп'!p" &amp; A1417)</f>
        <v>4-5,9 литра</v>
      </c>
      <c r="U1417" s="228" t="str">
        <f ca="1">INDIRECT("'Закуп'!v" &amp; A1417)</f>
        <v/>
      </c>
      <c r="V1417" s="222" t="str">
        <f ca="1">INDIRECT("'Закуп'!w" &amp; A1417)</f>
        <v/>
      </c>
      <c r="W1417" s="229" t="str">
        <f ca="1">INDIRECT("'Закуп'!H" &amp; A1417)</f>
        <v>0201</v>
      </c>
      <c r="X1417" s="227" t="str">
        <f t="shared" ref="X1417" ca="1" si="827">INDIRECT("'Закуп'!g" &amp; A1417)</f>
        <v>Ч</v>
      </c>
      <c r="Y1417" s="229" t="str">
        <f ca="1">INDIRECT("'Закуп'!i" &amp; A1417)</f>
        <v>В</v>
      </c>
      <c r="Z1417" s="236" t="str">
        <f ca="1">INDIRECT("'Закуп'!x" &amp; A1417)</f>
        <v>200-299 мм</v>
      </c>
      <c r="AA1417" s="237" t="str">
        <f ca="1">INDIRECT("'Закуп'!y" &amp; A1417)</f>
        <v>100-199 мм</v>
      </c>
      <c r="AB1417" s="238" t="str">
        <f ca="1">INDIRECT("'Закуп'!z" &amp; A1417)</f>
        <v>100-199 мм</v>
      </c>
      <c r="AC1417" s="223" t="str">
        <f t="shared" ca="1" si="816"/>
        <v>150x150x250</v>
      </c>
      <c r="AD1417" s="222" t="str">
        <f t="shared" ca="1" si="803"/>
        <v>150x150x250 - 150*150*250 мм</v>
      </c>
    </row>
    <row r="1418" spans="1:30" x14ac:dyDescent="0.4">
      <c r="A1418" s="230"/>
      <c r="B1418" s="8">
        <v>285</v>
      </c>
      <c r="C1418" s="14">
        <f t="shared" ca="1" si="795"/>
        <v>0.46</v>
      </c>
      <c r="D1418" s="20">
        <f t="shared" ca="1" si="800"/>
        <v>0.55200000000000005</v>
      </c>
      <c r="E1418" s="225"/>
      <c r="F1418" s="231"/>
      <c r="G1418" s="172" t="str">
        <f t="shared" ca="1" si="821"/>
        <v/>
      </c>
      <c r="H1418" s="93" t="str">
        <f t="shared" ca="1" si="822"/>
        <v/>
      </c>
      <c r="I1418" s="21">
        <v>100</v>
      </c>
      <c r="J1418" s="68">
        <f t="shared" si="823"/>
        <v>0.98333333333333328</v>
      </c>
      <c r="K1418" s="70">
        <v>1.18</v>
      </c>
      <c r="L1418" s="72">
        <f t="shared" ca="1" si="819"/>
        <v>0.41866666666666658</v>
      </c>
      <c r="M1418" s="73">
        <f t="shared" ca="1" si="820"/>
        <v>41.86666666666666</v>
      </c>
      <c r="N1418" s="12" t="s">
        <v>41</v>
      </c>
      <c r="O1418" s="47" t="s">
        <v>45</v>
      </c>
      <c r="P1418" s="13">
        <f t="shared" si="808"/>
        <v>1.18</v>
      </c>
      <c r="Q1418" s="1" t="str">
        <f t="shared" si="810"/>
        <v>100-290 шт - 1,18 руб / шт с НДС</v>
      </c>
      <c r="R1418" s="235"/>
      <c r="S1418" s="239"/>
      <c r="T1418" s="226"/>
      <c r="U1418" s="228"/>
      <c r="V1418" s="222"/>
      <c r="W1418" s="229"/>
      <c r="X1418" s="227"/>
      <c r="Y1418" s="229"/>
      <c r="Z1418" s="236"/>
      <c r="AA1418" s="237"/>
      <c r="AB1418" s="238"/>
      <c r="AC1418" s="223"/>
      <c r="AD1418" s="222"/>
    </row>
    <row r="1419" spans="1:30" x14ac:dyDescent="0.4">
      <c r="A1419" s="230"/>
      <c r="B1419" s="8">
        <v>285</v>
      </c>
      <c r="C1419" s="14">
        <f t="shared" ca="1" si="795"/>
        <v>0.46</v>
      </c>
      <c r="D1419" s="20">
        <f t="shared" ca="1" si="800"/>
        <v>0.55200000000000005</v>
      </c>
      <c r="E1419" s="225"/>
      <c r="F1419" s="231"/>
      <c r="G1419" s="172" t="str">
        <f t="shared" ca="1" si="821"/>
        <v/>
      </c>
      <c r="H1419" s="93" t="str">
        <f t="shared" ca="1" si="822"/>
        <v/>
      </c>
      <c r="I1419" s="21">
        <v>300</v>
      </c>
      <c r="J1419" s="68">
        <f t="shared" si="823"/>
        <v>0.83333333333333337</v>
      </c>
      <c r="K1419" s="70">
        <v>1</v>
      </c>
      <c r="L1419" s="72">
        <f t="shared" ca="1" si="819"/>
        <v>0.29866666666666669</v>
      </c>
      <c r="M1419" s="73">
        <f t="shared" ca="1" si="820"/>
        <v>89.600000000000009</v>
      </c>
      <c r="N1419" s="12" t="s">
        <v>42</v>
      </c>
      <c r="O1419" s="47" t="s">
        <v>45</v>
      </c>
      <c r="P1419" s="13">
        <f t="shared" si="808"/>
        <v>1</v>
      </c>
      <c r="Q1419" s="1" t="str">
        <f t="shared" si="810"/>
        <v>300-490 шт - 1 руб / шт с НДС</v>
      </c>
      <c r="R1419" s="235"/>
      <c r="S1419" s="239"/>
      <c r="T1419" s="226"/>
      <c r="U1419" s="228"/>
      <c r="V1419" s="222"/>
      <c r="W1419" s="229"/>
      <c r="X1419" s="227"/>
      <c r="Y1419" s="229"/>
      <c r="Z1419" s="236"/>
      <c r="AA1419" s="237"/>
      <c r="AB1419" s="238"/>
      <c r="AC1419" s="223"/>
      <c r="AD1419" s="222"/>
    </row>
    <row r="1420" spans="1:30" x14ac:dyDescent="0.4">
      <c r="A1420" s="230"/>
      <c r="B1420" s="8">
        <v>285</v>
      </c>
      <c r="C1420" s="14">
        <f t="shared" ca="1" si="795"/>
        <v>0.46</v>
      </c>
      <c r="D1420" s="20">
        <f t="shared" ca="1" si="800"/>
        <v>0.55200000000000005</v>
      </c>
      <c r="E1420" s="225"/>
      <c r="F1420" s="231"/>
      <c r="G1420" s="172" t="str">
        <f t="shared" ca="1" si="821"/>
        <v/>
      </c>
      <c r="H1420" s="93" t="str">
        <f t="shared" ca="1" si="822"/>
        <v/>
      </c>
      <c r="I1420" s="21">
        <v>500</v>
      </c>
      <c r="J1420" s="68">
        <f t="shared" si="823"/>
        <v>0.79166666666666663</v>
      </c>
      <c r="K1420" s="70">
        <v>0.95</v>
      </c>
      <c r="L1420" s="72">
        <f t="shared" ca="1" si="819"/>
        <v>0.26533333333333331</v>
      </c>
      <c r="M1420" s="73">
        <f t="shared" ca="1" si="820"/>
        <v>132.66666666666666</v>
      </c>
      <c r="N1420" s="12" t="s">
        <v>43</v>
      </c>
      <c r="O1420" s="47" t="s">
        <v>45</v>
      </c>
      <c r="P1420" s="13">
        <f t="shared" si="808"/>
        <v>0.95</v>
      </c>
      <c r="Q1420" s="1" t="str">
        <f t="shared" si="810"/>
        <v>500-990 шт - 0,95 руб / шт с НДС</v>
      </c>
      <c r="R1420" s="235"/>
      <c r="S1420" s="239"/>
      <c r="T1420" s="226"/>
      <c r="U1420" s="228"/>
      <c r="V1420" s="222"/>
      <c r="W1420" s="229"/>
      <c r="X1420" s="227"/>
      <c r="Y1420" s="229"/>
      <c r="Z1420" s="236"/>
      <c r="AA1420" s="237"/>
      <c r="AB1420" s="238"/>
      <c r="AC1420" s="223"/>
      <c r="AD1420" s="222"/>
    </row>
    <row r="1421" spans="1:30" x14ac:dyDescent="0.4">
      <c r="A1421" s="230"/>
      <c r="B1421" s="8">
        <v>285</v>
      </c>
      <c r="C1421" s="14">
        <f t="shared" ca="1" si="795"/>
        <v>0.46</v>
      </c>
      <c r="D1421" s="20">
        <f t="shared" ca="1" si="800"/>
        <v>0.55200000000000005</v>
      </c>
      <c r="E1421" s="225"/>
      <c r="F1421" s="231"/>
      <c r="G1421" s="172" t="str">
        <f t="shared" ca="1" si="821"/>
        <v/>
      </c>
      <c r="H1421" s="93" t="str">
        <f t="shared" ca="1" si="822"/>
        <v/>
      </c>
      <c r="I1421" s="21">
        <v>1000</v>
      </c>
      <c r="J1421" s="68">
        <f t="shared" si="823"/>
        <v>0.73333333333333339</v>
      </c>
      <c r="K1421" s="70">
        <v>0.88</v>
      </c>
      <c r="L1421" s="72">
        <f t="shared" ca="1" si="819"/>
        <v>0.2186666666666667</v>
      </c>
      <c r="M1421" s="73">
        <f t="shared" ca="1" si="820"/>
        <v>218.66666666666671</v>
      </c>
      <c r="N1421" s="12" t="s">
        <v>44</v>
      </c>
      <c r="O1421" s="47" t="s">
        <v>45</v>
      </c>
      <c r="P1421" s="13">
        <f t="shared" si="808"/>
        <v>0.88</v>
      </c>
      <c r="Q1421" s="1" t="str">
        <f t="shared" si="810"/>
        <v>1000 + шт - 0,88 руб / шт с НДС</v>
      </c>
      <c r="R1421" s="235"/>
      <c r="S1421" s="239"/>
      <c r="T1421" s="226"/>
      <c r="U1421" s="228"/>
      <c r="V1421" s="222"/>
      <c r="W1421" s="229"/>
      <c r="X1421" s="227"/>
      <c r="Y1421" s="229"/>
      <c r="Z1421" s="236"/>
      <c r="AA1421" s="237"/>
      <c r="AB1421" s="238"/>
      <c r="AC1421" s="223"/>
      <c r="AD1421" s="222"/>
    </row>
    <row r="1422" spans="1:30" x14ac:dyDescent="0.4">
      <c r="A1422" s="230">
        <v>286</v>
      </c>
      <c r="B1422" s="8">
        <v>286</v>
      </c>
      <c r="C1422" s="14">
        <f t="shared" ca="1" si="795"/>
        <v>0.53</v>
      </c>
      <c r="D1422" s="20">
        <f t="shared" ca="1" si="800"/>
        <v>0.63600000000000001</v>
      </c>
      <c r="E1422" s="224" t="str">
        <f ca="1">INDIRECT("'Закуп'!D" &amp; A1422)</f>
        <v>У</v>
      </c>
      <c r="F1422" s="231" t="str">
        <f t="shared" ref="F1422" ca="1" si="828">INDIRECT("'Закуп'!E" &amp; B1422)</f>
        <v>200х200х150</v>
      </c>
      <c r="G1422" s="172" t="str">
        <f t="shared" ca="1" si="821"/>
        <v/>
      </c>
      <c r="H1422" s="93" t="str">
        <f t="shared" ca="1" si="822"/>
        <v/>
      </c>
      <c r="I1422" s="21">
        <v>50</v>
      </c>
      <c r="J1422" s="68">
        <f t="shared" si="823"/>
        <v>1.25</v>
      </c>
      <c r="K1422" s="70">
        <v>1.5</v>
      </c>
      <c r="L1422" s="72">
        <f t="shared" ca="1" si="819"/>
        <v>0.57599999999999996</v>
      </c>
      <c r="M1422" s="73">
        <f t="shared" ca="1" si="820"/>
        <v>28.799999999999997</v>
      </c>
      <c r="N1422" s="12" t="s">
        <v>40</v>
      </c>
      <c r="O1422" s="47" t="s">
        <v>45</v>
      </c>
      <c r="P1422" s="13">
        <f t="shared" si="808"/>
        <v>1.5</v>
      </c>
      <c r="Q1422" s="1" t="str">
        <f t="shared" si="810"/>
        <v>50-90 шт - 1,5 руб / шт с НДС</v>
      </c>
      <c r="R1422" s="235" t="str">
        <f ca="1">INDIRECT("'Закуп'!k" &amp; A1422)</f>
        <v>K252</v>
      </c>
      <c r="S1422" s="239">
        <f ca="1">INDIRECT("'Закуп'!o" &amp; A1422)</f>
        <v>6</v>
      </c>
      <c r="T1422" s="226" t="str">
        <f ca="1">INDIRECT("'Закуп'!p" &amp; A1422)</f>
        <v>6-7,9 литра</v>
      </c>
      <c r="U1422" s="228" t="str">
        <f ca="1">INDIRECT("'Закуп'!v" &amp; A1422)</f>
        <v/>
      </c>
      <c r="V1422" s="222" t="str">
        <f ca="1">INDIRECT("'Закуп'!w" &amp; A1422)</f>
        <v/>
      </c>
      <c r="W1422" s="229" t="str">
        <f ca="1">INDIRECT("'Закуп'!H" &amp; A1422)</f>
        <v>0201</v>
      </c>
      <c r="X1422" s="227" t="str">
        <f t="shared" ref="X1422" ca="1" si="829">INDIRECT("'Закуп'!g" &amp; A1422)</f>
        <v>Ч</v>
      </c>
      <c r="Y1422" s="229" t="str">
        <f ca="1">INDIRECT("'Закуп'!i" &amp; A1422)</f>
        <v>В</v>
      </c>
      <c r="Z1422" s="236" t="str">
        <f ca="1">INDIRECT("'Закуп'!x" &amp; A1422)</f>
        <v>200-299 мм</v>
      </c>
      <c r="AA1422" s="237" t="str">
        <f ca="1">INDIRECT("'Закуп'!y" &amp; A1422)</f>
        <v>200-299 мм</v>
      </c>
      <c r="AB1422" s="238" t="str">
        <f ca="1">INDIRECT("'Закуп'!z" &amp; A1422)</f>
        <v>100-199 мм</v>
      </c>
      <c r="AC1422" s="223" t="str">
        <f t="shared" ca="1" si="816"/>
        <v>200x200x150</v>
      </c>
      <c r="AD1422" s="222" t="str">
        <f t="shared" ca="1" si="803"/>
        <v>200x200x150 - 200*200*150 мм</v>
      </c>
    </row>
    <row r="1423" spans="1:30" x14ac:dyDescent="0.4">
      <c r="A1423" s="230"/>
      <c r="B1423" s="8">
        <v>286</v>
      </c>
      <c r="C1423" s="14">
        <f t="shared" ca="1" si="795"/>
        <v>0.53</v>
      </c>
      <c r="D1423" s="20">
        <f t="shared" ca="1" si="800"/>
        <v>0.63600000000000001</v>
      </c>
      <c r="E1423" s="225"/>
      <c r="F1423" s="231"/>
      <c r="G1423" s="172" t="str">
        <f t="shared" ca="1" si="821"/>
        <v/>
      </c>
      <c r="H1423" s="93" t="str">
        <f t="shared" ca="1" si="822"/>
        <v/>
      </c>
      <c r="I1423" s="21">
        <v>100</v>
      </c>
      <c r="J1423" s="68">
        <f t="shared" si="823"/>
        <v>1.1333333333333335</v>
      </c>
      <c r="K1423" s="70">
        <v>1.36</v>
      </c>
      <c r="L1423" s="72">
        <f t="shared" ca="1" si="819"/>
        <v>0.4826666666666668</v>
      </c>
      <c r="M1423" s="73">
        <f t="shared" ca="1" si="820"/>
        <v>48.26666666666668</v>
      </c>
      <c r="N1423" s="12" t="s">
        <v>41</v>
      </c>
      <c r="O1423" s="47" t="s">
        <v>45</v>
      </c>
      <c r="P1423" s="13">
        <f t="shared" si="808"/>
        <v>1.36</v>
      </c>
      <c r="Q1423" s="1" t="str">
        <f t="shared" si="810"/>
        <v>100-290 шт - 1,36 руб / шт с НДС</v>
      </c>
      <c r="R1423" s="235"/>
      <c r="S1423" s="239"/>
      <c r="T1423" s="226"/>
      <c r="U1423" s="228"/>
      <c r="V1423" s="222"/>
      <c r="W1423" s="229"/>
      <c r="X1423" s="227"/>
      <c r="Y1423" s="229"/>
      <c r="Z1423" s="236"/>
      <c r="AA1423" s="237"/>
      <c r="AB1423" s="238"/>
      <c r="AC1423" s="223"/>
      <c r="AD1423" s="222"/>
    </row>
    <row r="1424" spans="1:30" x14ac:dyDescent="0.4">
      <c r="A1424" s="230"/>
      <c r="B1424" s="8">
        <v>286</v>
      </c>
      <c r="C1424" s="14">
        <f t="shared" ca="1" si="795"/>
        <v>0.53</v>
      </c>
      <c r="D1424" s="20">
        <f t="shared" ca="1" si="800"/>
        <v>0.63600000000000001</v>
      </c>
      <c r="E1424" s="225"/>
      <c r="F1424" s="231"/>
      <c r="G1424" s="172" t="str">
        <f t="shared" ca="1" si="821"/>
        <v/>
      </c>
      <c r="H1424" s="93" t="str">
        <f t="shared" ca="1" si="822"/>
        <v/>
      </c>
      <c r="I1424" s="21">
        <v>300</v>
      </c>
      <c r="J1424" s="68">
        <f t="shared" si="823"/>
        <v>0.90000000000000013</v>
      </c>
      <c r="K1424" s="70">
        <v>1.08</v>
      </c>
      <c r="L1424" s="72">
        <f t="shared" ca="1" si="819"/>
        <v>0.2960000000000001</v>
      </c>
      <c r="M1424" s="73">
        <f t="shared" ca="1" si="820"/>
        <v>88.800000000000026</v>
      </c>
      <c r="N1424" s="12" t="s">
        <v>42</v>
      </c>
      <c r="O1424" s="47" t="s">
        <v>45</v>
      </c>
      <c r="P1424" s="13">
        <f t="shared" si="808"/>
        <v>1.08</v>
      </c>
      <c r="Q1424" s="1" t="str">
        <f t="shared" si="810"/>
        <v>300-490 шт - 1,08 руб / шт с НДС</v>
      </c>
      <c r="R1424" s="235"/>
      <c r="S1424" s="239"/>
      <c r="T1424" s="226"/>
      <c r="U1424" s="228"/>
      <c r="V1424" s="222"/>
      <c r="W1424" s="229"/>
      <c r="X1424" s="227"/>
      <c r="Y1424" s="229"/>
      <c r="Z1424" s="236"/>
      <c r="AA1424" s="237"/>
      <c r="AB1424" s="238"/>
      <c r="AC1424" s="223"/>
      <c r="AD1424" s="222"/>
    </row>
    <row r="1425" spans="1:30" x14ac:dyDescent="0.4">
      <c r="A1425" s="230"/>
      <c r="B1425" s="8">
        <v>286</v>
      </c>
      <c r="C1425" s="14">
        <f t="shared" ca="1" si="795"/>
        <v>0.53</v>
      </c>
      <c r="D1425" s="20">
        <f t="shared" ca="1" si="800"/>
        <v>0.63600000000000001</v>
      </c>
      <c r="E1425" s="225"/>
      <c r="F1425" s="231"/>
      <c r="G1425" s="172" t="str">
        <f t="shared" ca="1" si="821"/>
        <v/>
      </c>
      <c r="H1425" s="93" t="str">
        <f t="shared" ca="1" si="822"/>
        <v/>
      </c>
      <c r="I1425" s="21">
        <v>500</v>
      </c>
      <c r="J1425" s="68">
        <f t="shared" si="823"/>
        <v>0.84166666666666667</v>
      </c>
      <c r="K1425" s="70">
        <v>1.01</v>
      </c>
      <c r="L1425" s="72">
        <f t="shared" ca="1" si="819"/>
        <v>0.24933333333333332</v>
      </c>
      <c r="M1425" s="73">
        <f t="shared" ca="1" si="820"/>
        <v>124.66666666666666</v>
      </c>
      <c r="N1425" s="12" t="s">
        <v>43</v>
      </c>
      <c r="O1425" s="47" t="s">
        <v>45</v>
      </c>
      <c r="P1425" s="13">
        <f t="shared" si="808"/>
        <v>1.01</v>
      </c>
      <c r="Q1425" s="1" t="str">
        <f t="shared" si="810"/>
        <v>500-990 шт - 1,01 руб / шт с НДС</v>
      </c>
      <c r="R1425" s="235"/>
      <c r="S1425" s="239"/>
      <c r="T1425" s="226"/>
      <c r="U1425" s="228"/>
      <c r="V1425" s="222"/>
      <c r="W1425" s="229"/>
      <c r="X1425" s="227"/>
      <c r="Y1425" s="229"/>
      <c r="Z1425" s="236"/>
      <c r="AA1425" s="237"/>
      <c r="AB1425" s="238"/>
      <c r="AC1425" s="223"/>
      <c r="AD1425" s="222"/>
    </row>
    <row r="1426" spans="1:30" x14ac:dyDescent="0.4">
      <c r="A1426" s="230"/>
      <c r="B1426" s="8">
        <v>286</v>
      </c>
      <c r="C1426" s="14">
        <f t="shared" ca="1" si="795"/>
        <v>0.53</v>
      </c>
      <c r="D1426" s="20">
        <f t="shared" ca="1" si="800"/>
        <v>0.63600000000000001</v>
      </c>
      <c r="E1426" s="225"/>
      <c r="F1426" s="231"/>
      <c r="G1426" s="172" t="str">
        <f t="shared" ca="1" si="821"/>
        <v/>
      </c>
      <c r="H1426" s="93" t="str">
        <f t="shared" ca="1" si="822"/>
        <v/>
      </c>
      <c r="I1426" s="21">
        <v>1000</v>
      </c>
      <c r="J1426" s="68">
        <f t="shared" si="823"/>
        <v>0.79166666666666663</v>
      </c>
      <c r="K1426" s="70">
        <v>0.95</v>
      </c>
      <c r="L1426" s="72">
        <f t="shared" ca="1" si="819"/>
        <v>0.20933333333333329</v>
      </c>
      <c r="M1426" s="73">
        <f t="shared" ca="1" si="820"/>
        <v>209.33333333333329</v>
      </c>
      <c r="N1426" s="12" t="s">
        <v>44</v>
      </c>
      <c r="O1426" s="47" t="s">
        <v>45</v>
      </c>
      <c r="P1426" s="13">
        <f t="shared" si="808"/>
        <v>0.95</v>
      </c>
      <c r="Q1426" s="1" t="str">
        <f t="shared" si="810"/>
        <v>1000 + шт - 0,95 руб / шт с НДС</v>
      </c>
      <c r="R1426" s="235"/>
      <c r="S1426" s="239"/>
      <c r="T1426" s="226"/>
      <c r="U1426" s="228"/>
      <c r="V1426" s="222"/>
      <c r="W1426" s="229"/>
      <c r="X1426" s="227"/>
      <c r="Y1426" s="229"/>
      <c r="Z1426" s="236"/>
      <c r="AA1426" s="237"/>
      <c r="AB1426" s="238"/>
      <c r="AC1426" s="223"/>
      <c r="AD1426" s="222"/>
    </row>
    <row r="1427" spans="1:30" x14ac:dyDescent="0.4">
      <c r="A1427" s="230">
        <v>287</v>
      </c>
      <c r="B1427" s="8">
        <v>287</v>
      </c>
      <c r="C1427" s="14">
        <f t="shared" ca="1" si="795"/>
        <v>2.02</v>
      </c>
      <c r="D1427" s="20">
        <f t="shared" ca="1" si="800"/>
        <v>2.4239999999999999</v>
      </c>
      <c r="E1427" s="225" t="str">
        <f ca="1">INDIRECT("'Закуп'!D" &amp; A1427)</f>
        <v>К</v>
      </c>
      <c r="F1427" s="231" t="str">
        <f t="shared" ref="F1427" ca="1" si="830">INDIRECT("'Закуп'!E" &amp; B1427)</f>
        <v>630х380х380</v>
      </c>
      <c r="G1427" s="172" t="str">
        <f t="shared" ca="1" si="821"/>
        <v/>
      </c>
      <c r="H1427" s="93" t="str">
        <f t="shared" ca="1" si="822"/>
        <v/>
      </c>
      <c r="I1427" s="21">
        <v>50</v>
      </c>
      <c r="J1427" s="68">
        <f t="shared" si="823"/>
        <v>3.2333333333333334</v>
      </c>
      <c r="K1427" s="70">
        <v>3.88</v>
      </c>
      <c r="L1427" s="72">
        <f t="shared" ca="1" si="819"/>
        <v>0.97066666666666668</v>
      </c>
      <c r="M1427" s="73">
        <f t="shared" ca="1" si="820"/>
        <v>48.533333333333331</v>
      </c>
      <c r="N1427" s="12" t="s">
        <v>40</v>
      </c>
      <c r="O1427" s="47" t="s">
        <v>45</v>
      </c>
      <c r="P1427" s="13">
        <f t="shared" si="808"/>
        <v>3.88</v>
      </c>
      <c r="Q1427" s="1" t="str">
        <f t="shared" si="810"/>
        <v>50-90 шт - 3,88 руб / шт с НДС</v>
      </c>
      <c r="R1427" s="235" t="str">
        <f ca="1">INDIRECT("'Закуп'!k" &amp; A1427)</f>
        <v>K1038</v>
      </c>
      <c r="S1427" s="239">
        <f ca="1">INDIRECT("'Закуп'!o" &amp; A1427)</f>
        <v>90.97</v>
      </c>
      <c r="T1427" s="226" t="str">
        <f ca="1">INDIRECT("'Закуп'!p" &amp; A1427)</f>
        <v>90-99 литров</v>
      </c>
      <c r="U1427" s="228" t="str">
        <f ca="1">INDIRECT("'Закуп'!v" &amp; A1427)</f>
        <v/>
      </c>
      <c r="V1427" s="222" t="str">
        <f ca="1">INDIRECT("'Закуп'!w" &amp; A1427)</f>
        <v/>
      </c>
      <c r="W1427" s="229" t="str">
        <f ca="1">INDIRECT("'Закуп'!H" &amp; A1427)</f>
        <v>0201</v>
      </c>
      <c r="X1427" s="227" t="str">
        <f t="shared" ref="X1427" ca="1" si="831">INDIRECT("'Закуп'!g" &amp; A1427)</f>
        <v>Ч</v>
      </c>
      <c r="Y1427" s="229" t="str">
        <f ca="1">INDIRECT("'Закуп'!i" &amp; A1427)</f>
        <v>В</v>
      </c>
      <c r="Z1427" s="236" t="str">
        <f ca="1">INDIRECT("'Закуп'!x" &amp; A1427)</f>
        <v>600-699 мм</v>
      </c>
      <c r="AA1427" s="237" t="str">
        <f ca="1">INDIRECT("'Закуп'!y" &amp; A1427)</f>
        <v>300-399 мм</v>
      </c>
      <c r="AB1427" s="238" t="str">
        <f ca="1">INDIRECT("'Закуп'!z" &amp; A1427)</f>
        <v>300-399 мм</v>
      </c>
      <c r="AC1427" s="223" t="str">
        <f t="shared" ca="1" si="816"/>
        <v>630x380x380</v>
      </c>
      <c r="AD1427" s="222" t="str">
        <f t="shared" ca="1" si="803"/>
        <v>630x380x380 - 630*380*380 мм</v>
      </c>
    </row>
    <row r="1428" spans="1:30" x14ac:dyDescent="0.4">
      <c r="A1428" s="230"/>
      <c r="B1428" s="8">
        <v>287</v>
      </c>
      <c r="C1428" s="14">
        <f t="shared" ca="1" si="795"/>
        <v>2.02</v>
      </c>
      <c r="D1428" s="20">
        <f t="shared" ca="1" si="800"/>
        <v>2.4239999999999999</v>
      </c>
      <c r="E1428" s="225"/>
      <c r="F1428" s="231"/>
      <c r="G1428" s="172" t="str">
        <f t="shared" ca="1" si="821"/>
        <v/>
      </c>
      <c r="H1428" s="93" t="str">
        <f t="shared" ca="1" si="822"/>
        <v/>
      </c>
      <c r="I1428" s="21">
        <v>100</v>
      </c>
      <c r="J1428" s="68">
        <f t="shared" si="823"/>
        <v>3.15</v>
      </c>
      <c r="K1428" s="70">
        <v>3.78</v>
      </c>
      <c r="L1428" s="72">
        <f t="shared" ca="1" si="819"/>
        <v>0.90399999999999991</v>
      </c>
      <c r="M1428" s="73">
        <f t="shared" ca="1" si="820"/>
        <v>90.399999999999991</v>
      </c>
      <c r="N1428" s="12" t="s">
        <v>41</v>
      </c>
      <c r="O1428" s="47" t="s">
        <v>45</v>
      </c>
      <c r="P1428" s="13">
        <f t="shared" si="808"/>
        <v>3.78</v>
      </c>
      <c r="Q1428" s="1" t="str">
        <f t="shared" si="810"/>
        <v>100-290 шт - 3,78 руб / шт с НДС</v>
      </c>
      <c r="R1428" s="235"/>
      <c r="S1428" s="239"/>
      <c r="T1428" s="226"/>
      <c r="U1428" s="228"/>
      <c r="V1428" s="222"/>
      <c r="W1428" s="229"/>
      <c r="X1428" s="227"/>
      <c r="Y1428" s="229"/>
      <c r="Z1428" s="236"/>
      <c r="AA1428" s="237"/>
      <c r="AB1428" s="238"/>
      <c r="AC1428" s="223"/>
      <c r="AD1428" s="222"/>
    </row>
    <row r="1429" spans="1:30" x14ac:dyDescent="0.4">
      <c r="A1429" s="230"/>
      <c r="B1429" s="8">
        <v>287</v>
      </c>
      <c r="C1429" s="14">
        <f t="shared" ca="1" si="795"/>
        <v>2.02</v>
      </c>
      <c r="D1429" s="20">
        <f t="shared" ca="1" si="800"/>
        <v>2.4239999999999999</v>
      </c>
      <c r="E1429" s="225"/>
      <c r="F1429" s="231"/>
      <c r="G1429" s="172" t="str">
        <f t="shared" ca="1" si="821"/>
        <v/>
      </c>
      <c r="H1429" s="93" t="str">
        <f t="shared" ca="1" si="822"/>
        <v/>
      </c>
      <c r="I1429" s="21">
        <v>300</v>
      </c>
      <c r="J1429" s="68">
        <f t="shared" si="823"/>
        <v>2.625</v>
      </c>
      <c r="K1429" s="70">
        <v>3.15</v>
      </c>
      <c r="L1429" s="72">
        <f t="shared" ca="1" si="819"/>
        <v>0.48399999999999999</v>
      </c>
      <c r="M1429" s="73">
        <f t="shared" ca="1" si="820"/>
        <v>145.19999999999999</v>
      </c>
      <c r="N1429" s="12" t="s">
        <v>42</v>
      </c>
      <c r="O1429" s="47" t="s">
        <v>45</v>
      </c>
      <c r="P1429" s="13">
        <f t="shared" si="808"/>
        <v>3.15</v>
      </c>
      <c r="Q1429" s="1" t="str">
        <f t="shared" si="810"/>
        <v>300-490 шт - 3,15 руб / шт с НДС</v>
      </c>
      <c r="R1429" s="235"/>
      <c r="S1429" s="239"/>
      <c r="T1429" s="226"/>
      <c r="U1429" s="228"/>
      <c r="V1429" s="222"/>
      <c r="W1429" s="229"/>
      <c r="X1429" s="227"/>
      <c r="Y1429" s="229"/>
      <c r="Z1429" s="236"/>
      <c r="AA1429" s="237"/>
      <c r="AB1429" s="238"/>
      <c r="AC1429" s="223"/>
      <c r="AD1429" s="222"/>
    </row>
    <row r="1430" spans="1:30" x14ac:dyDescent="0.4">
      <c r="A1430" s="230"/>
      <c r="B1430" s="8">
        <v>287</v>
      </c>
      <c r="C1430" s="14">
        <f t="shared" ref="C1430:C1493" ca="1" si="832">INDIRECT("'Закуп'!A" &amp; B1430)</f>
        <v>2.02</v>
      </c>
      <c r="D1430" s="20">
        <f t="shared" ca="1" si="800"/>
        <v>2.4239999999999999</v>
      </c>
      <c r="E1430" s="225"/>
      <c r="F1430" s="231"/>
      <c r="G1430" s="172" t="str">
        <f t="shared" ca="1" si="821"/>
        <v/>
      </c>
      <c r="H1430" s="93" t="str">
        <f t="shared" ca="1" si="822"/>
        <v/>
      </c>
      <c r="I1430" s="21">
        <v>500</v>
      </c>
      <c r="J1430" s="68">
        <f t="shared" si="823"/>
        <v>2.5416666666666665</v>
      </c>
      <c r="K1430" s="70">
        <v>3.05</v>
      </c>
      <c r="L1430" s="72">
        <f t="shared" ca="1" si="819"/>
        <v>0.41733333333333322</v>
      </c>
      <c r="M1430" s="73">
        <f t="shared" ca="1" si="820"/>
        <v>208.6666666666666</v>
      </c>
      <c r="N1430" s="12" t="s">
        <v>43</v>
      </c>
      <c r="O1430" s="47" t="s">
        <v>45</v>
      </c>
      <c r="P1430" s="13">
        <f t="shared" si="808"/>
        <v>3.05</v>
      </c>
      <c r="Q1430" s="1" t="str">
        <f t="shared" si="810"/>
        <v>500-990 шт - 3,05 руб / шт с НДС</v>
      </c>
      <c r="R1430" s="235"/>
      <c r="S1430" s="239"/>
      <c r="T1430" s="226"/>
      <c r="U1430" s="228"/>
      <c r="V1430" s="222"/>
      <c r="W1430" s="229"/>
      <c r="X1430" s="227"/>
      <c r="Y1430" s="229"/>
      <c r="Z1430" s="236"/>
      <c r="AA1430" s="237"/>
      <c r="AB1430" s="238"/>
      <c r="AC1430" s="223"/>
      <c r="AD1430" s="222"/>
    </row>
    <row r="1431" spans="1:30" x14ac:dyDescent="0.4">
      <c r="A1431" s="230"/>
      <c r="B1431" s="8">
        <v>287</v>
      </c>
      <c r="C1431" s="14">
        <f t="shared" ca="1" si="832"/>
        <v>2.02</v>
      </c>
      <c r="D1431" s="20">
        <f t="shared" ca="1" si="800"/>
        <v>2.4239999999999999</v>
      </c>
      <c r="E1431" s="225"/>
      <c r="F1431" s="231"/>
      <c r="G1431" s="172" t="str">
        <f t="shared" ca="1" si="821"/>
        <v/>
      </c>
      <c r="H1431" s="93" t="str">
        <f t="shared" ca="1" si="822"/>
        <v/>
      </c>
      <c r="I1431" s="21">
        <v>1000</v>
      </c>
      <c r="J1431" s="68">
        <f t="shared" si="823"/>
        <v>2.4666666666666668</v>
      </c>
      <c r="K1431" s="70">
        <v>2.96</v>
      </c>
      <c r="L1431" s="72">
        <f t="shared" ca="1" si="819"/>
        <v>0.35733333333333339</v>
      </c>
      <c r="M1431" s="73">
        <f t="shared" ca="1" si="820"/>
        <v>357.33333333333337</v>
      </c>
      <c r="N1431" s="12" t="s">
        <v>44</v>
      </c>
      <c r="O1431" s="47" t="s">
        <v>45</v>
      </c>
      <c r="P1431" s="13">
        <f t="shared" si="808"/>
        <v>2.96</v>
      </c>
      <c r="Q1431" s="1" t="str">
        <f t="shared" si="810"/>
        <v>1000 + шт - 2,96 руб / шт с НДС</v>
      </c>
      <c r="R1431" s="235"/>
      <c r="S1431" s="239"/>
      <c r="T1431" s="226"/>
      <c r="U1431" s="228"/>
      <c r="V1431" s="222"/>
      <c r="W1431" s="229"/>
      <c r="X1431" s="227"/>
      <c r="Y1431" s="229"/>
      <c r="Z1431" s="236"/>
      <c r="AA1431" s="237"/>
      <c r="AB1431" s="238"/>
      <c r="AC1431" s="223"/>
      <c r="AD1431" s="222"/>
    </row>
    <row r="1432" spans="1:30" x14ac:dyDescent="0.4">
      <c r="A1432" s="230">
        <v>288</v>
      </c>
      <c r="B1432" s="8">
        <v>288</v>
      </c>
      <c r="C1432" s="14">
        <f t="shared" ca="1" si="832"/>
        <v>1.25</v>
      </c>
      <c r="D1432" s="20">
        <f t="shared" ca="1" si="800"/>
        <v>1.5</v>
      </c>
      <c r="E1432" s="224" t="str">
        <f ca="1">INDIRECT("'Закуп'!D" &amp; A1432)</f>
        <v>У</v>
      </c>
      <c r="F1432" s="231" t="str">
        <f t="shared" ref="F1432" ca="1" si="833">INDIRECT("'Закуп'!E" &amp; B1432)</f>
        <v>400х400х70</v>
      </c>
      <c r="G1432" s="172" t="str">
        <f t="shared" ca="1" si="821"/>
        <v/>
      </c>
      <c r="H1432" s="93" t="str">
        <f t="shared" ca="1" si="822"/>
        <v/>
      </c>
      <c r="I1432" s="21">
        <v>50</v>
      </c>
      <c r="J1432" s="68">
        <f t="shared" si="823"/>
        <v>2.3333333333333335</v>
      </c>
      <c r="K1432" s="70">
        <v>2.8</v>
      </c>
      <c r="L1432" s="72">
        <f t="shared" ca="1" si="819"/>
        <v>0.86666666666666681</v>
      </c>
      <c r="M1432" s="73">
        <f t="shared" ca="1" si="820"/>
        <v>43.333333333333343</v>
      </c>
      <c r="N1432" s="12" t="s">
        <v>40</v>
      </c>
      <c r="O1432" s="47" t="s">
        <v>45</v>
      </c>
      <c r="P1432" s="13">
        <f t="shared" si="808"/>
        <v>2.8</v>
      </c>
      <c r="Q1432" s="1" t="str">
        <f t="shared" si="810"/>
        <v>50-90 шт - 2,8 руб / шт с НДС</v>
      </c>
      <c r="R1432" s="235" t="str">
        <f ca="1">INDIRECT("'Закуп'!k" &amp; A1432)</f>
        <v>K253</v>
      </c>
      <c r="S1432" s="239">
        <f ca="1">INDIRECT("'Закуп'!o" &amp; A1432)</f>
        <v>11.2</v>
      </c>
      <c r="T1432" s="226" t="str">
        <f ca="1">INDIRECT("'Закуп'!p" &amp; A1432)</f>
        <v>10-14,9 литров</v>
      </c>
      <c r="U1432" s="228" t="str">
        <f ca="1">INDIRECT("'Закуп'!v" &amp; A1432)</f>
        <v/>
      </c>
      <c r="V1432" s="222" t="str">
        <f ca="1">INDIRECT("'Закуп'!w" &amp; A1432)</f>
        <v>Плоские</v>
      </c>
      <c r="W1432" s="229" t="str">
        <f ca="1">INDIRECT("'Закуп'!H" &amp; A1432)</f>
        <v>0427</v>
      </c>
      <c r="X1432" s="227" t="str">
        <f t="shared" ref="X1432" ca="1" si="834">INDIRECT("'Закуп'!g" &amp; A1432)</f>
        <v>С</v>
      </c>
      <c r="Y1432" s="229" t="str">
        <f ca="1">INDIRECT("'Закуп'!i" &amp; A1432)</f>
        <v>В</v>
      </c>
      <c r="Z1432" s="236" t="str">
        <f ca="1">INDIRECT("'Закуп'!x" &amp; A1432)</f>
        <v>400-499 мм</v>
      </c>
      <c r="AA1432" s="237" t="str">
        <f ca="1">INDIRECT("'Закуп'!y" &amp; A1432)</f>
        <v>400-499 мм</v>
      </c>
      <c r="AB1432" s="238" t="str">
        <f ca="1">INDIRECT("'Закуп'!z" &amp; A1432)</f>
        <v>10-99 мм</v>
      </c>
      <c r="AC1432" s="223" t="str">
        <f t="shared" ca="1" si="816"/>
        <v>400x400x70</v>
      </c>
      <c r="AD1432" s="222" t="str">
        <f t="shared" ca="1" si="803"/>
        <v>400x400x70 - 400*400*70 мм</v>
      </c>
    </row>
    <row r="1433" spans="1:30" x14ac:dyDescent="0.4">
      <c r="A1433" s="230"/>
      <c r="B1433" s="8">
        <v>288</v>
      </c>
      <c r="C1433" s="14">
        <f t="shared" ca="1" si="832"/>
        <v>1.25</v>
      </c>
      <c r="D1433" s="20">
        <f t="shared" ca="1" si="800"/>
        <v>1.5</v>
      </c>
      <c r="E1433" s="225"/>
      <c r="F1433" s="231"/>
      <c r="G1433" s="172" t="str">
        <f t="shared" ca="1" si="821"/>
        <v/>
      </c>
      <c r="H1433" s="93" t="str">
        <f t="shared" ca="1" si="822"/>
        <v/>
      </c>
      <c r="I1433" s="21">
        <v>100</v>
      </c>
      <c r="J1433" s="68">
        <f t="shared" si="823"/>
        <v>2</v>
      </c>
      <c r="K1433" s="70">
        <v>2.4</v>
      </c>
      <c r="L1433" s="72">
        <f t="shared" ca="1" si="819"/>
        <v>0.6</v>
      </c>
      <c r="M1433" s="73">
        <f t="shared" ca="1" si="820"/>
        <v>60</v>
      </c>
      <c r="N1433" s="12" t="s">
        <v>41</v>
      </c>
      <c r="O1433" s="47" t="s">
        <v>45</v>
      </c>
      <c r="P1433" s="13">
        <f t="shared" si="808"/>
        <v>2.4</v>
      </c>
      <c r="Q1433" s="1" t="str">
        <f t="shared" si="810"/>
        <v>100-290 шт - 2,4 руб / шт с НДС</v>
      </c>
      <c r="R1433" s="235"/>
      <c r="S1433" s="239"/>
      <c r="T1433" s="226"/>
      <c r="U1433" s="228"/>
      <c r="V1433" s="222"/>
      <c r="W1433" s="229"/>
      <c r="X1433" s="227"/>
      <c r="Y1433" s="229"/>
      <c r="Z1433" s="236"/>
      <c r="AA1433" s="237"/>
      <c r="AB1433" s="238"/>
      <c r="AC1433" s="223"/>
      <c r="AD1433" s="222"/>
    </row>
    <row r="1434" spans="1:30" x14ac:dyDescent="0.4">
      <c r="A1434" s="230"/>
      <c r="B1434" s="8">
        <v>288</v>
      </c>
      <c r="C1434" s="14">
        <f t="shared" ca="1" si="832"/>
        <v>1.25</v>
      </c>
      <c r="D1434" s="20">
        <f t="shared" ca="1" si="800"/>
        <v>1.5</v>
      </c>
      <c r="E1434" s="225"/>
      <c r="F1434" s="231"/>
      <c r="G1434" s="172" t="str">
        <f t="shared" ca="1" si="821"/>
        <v/>
      </c>
      <c r="H1434" s="93" t="str">
        <f t="shared" ca="1" si="822"/>
        <v/>
      </c>
      <c r="I1434" s="21">
        <v>300</v>
      </c>
      <c r="J1434" s="68">
        <f t="shared" si="823"/>
        <v>1.8000000000000003</v>
      </c>
      <c r="K1434" s="70">
        <v>2.16</v>
      </c>
      <c r="L1434" s="72">
        <f t="shared" ca="1" si="819"/>
        <v>0.44000000000000022</v>
      </c>
      <c r="M1434" s="73">
        <f t="shared" ca="1" si="820"/>
        <v>132.00000000000006</v>
      </c>
      <c r="N1434" s="12" t="s">
        <v>42</v>
      </c>
      <c r="O1434" s="47" t="s">
        <v>45</v>
      </c>
      <c r="P1434" s="13">
        <f t="shared" si="808"/>
        <v>2.16</v>
      </c>
      <c r="Q1434" s="1" t="str">
        <f t="shared" si="810"/>
        <v>300-490 шт - 2,16 руб / шт с НДС</v>
      </c>
      <c r="R1434" s="235"/>
      <c r="S1434" s="239"/>
      <c r="T1434" s="226"/>
      <c r="U1434" s="228"/>
      <c r="V1434" s="222"/>
      <c r="W1434" s="229"/>
      <c r="X1434" s="227"/>
      <c r="Y1434" s="229"/>
      <c r="Z1434" s="236"/>
      <c r="AA1434" s="237"/>
      <c r="AB1434" s="238"/>
      <c r="AC1434" s="223"/>
      <c r="AD1434" s="222"/>
    </row>
    <row r="1435" spans="1:30" x14ac:dyDescent="0.4">
      <c r="A1435" s="230"/>
      <c r="B1435" s="8">
        <v>288</v>
      </c>
      <c r="C1435" s="14">
        <f t="shared" ca="1" si="832"/>
        <v>1.25</v>
      </c>
      <c r="D1435" s="20">
        <f t="shared" ca="1" si="800"/>
        <v>1.5</v>
      </c>
      <c r="E1435" s="225"/>
      <c r="F1435" s="231"/>
      <c r="G1435" s="172" t="str">
        <f t="shared" ca="1" si="821"/>
        <v/>
      </c>
      <c r="H1435" s="93" t="str">
        <f t="shared" ca="1" si="822"/>
        <v/>
      </c>
      <c r="I1435" s="21">
        <v>500</v>
      </c>
      <c r="J1435" s="68">
        <f t="shared" si="823"/>
        <v>1.625</v>
      </c>
      <c r="K1435" s="70">
        <v>1.95</v>
      </c>
      <c r="L1435" s="72">
        <f t="shared" ca="1" si="819"/>
        <v>0.3</v>
      </c>
      <c r="M1435" s="73">
        <f t="shared" ca="1" si="820"/>
        <v>150</v>
      </c>
      <c r="N1435" s="12" t="s">
        <v>43</v>
      </c>
      <c r="O1435" s="47" t="s">
        <v>45</v>
      </c>
      <c r="P1435" s="13">
        <f t="shared" si="808"/>
        <v>1.95</v>
      </c>
      <c r="Q1435" s="1" t="str">
        <f t="shared" si="810"/>
        <v>500-990 шт - 1,95 руб / шт с НДС</v>
      </c>
      <c r="R1435" s="235"/>
      <c r="S1435" s="239"/>
      <c r="T1435" s="226"/>
      <c r="U1435" s="228"/>
      <c r="V1435" s="222"/>
      <c r="W1435" s="229"/>
      <c r="X1435" s="227"/>
      <c r="Y1435" s="229"/>
      <c r="Z1435" s="236"/>
      <c r="AA1435" s="237"/>
      <c r="AB1435" s="238"/>
      <c r="AC1435" s="223"/>
      <c r="AD1435" s="222"/>
    </row>
    <row r="1436" spans="1:30" x14ac:dyDescent="0.4">
      <c r="A1436" s="230"/>
      <c r="B1436" s="8">
        <v>288</v>
      </c>
      <c r="C1436" s="14">
        <f t="shared" ca="1" si="832"/>
        <v>1.25</v>
      </c>
      <c r="D1436" s="20">
        <f t="shared" ca="1" si="800"/>
        <v>1.5</v>
      </c>
      <c r="E1436" s="225"/>
      <c r="F1436" s="231"/>
      <c r="G1436" s="172" t="str">
        <f t="shared" ca="1" si="821"/>
        <v/>
      </c>
      <c r="H1436" s="93" t="str">
        <f t="shared" ca="1" si="822"/>
        <v/>
      </c>
      <c r="I1436" s="21">
        <v>1000</v>
      </c>
      <c r="J1436" s="68">
        <f t="shared" si="823"/>
        <v>1.55</v>
      </c>
      <c r="K1436" s="70">
        <v>1.86</v>
      </c>
      <c r="L1436" s="72">
        <f t="shared" ca="1" si="819"/>
        <v>0.24000000000000005</v>
      </c>
      <c r="M1436" s="73">
        <f t="shared" ca="1" si="820"/>
        <v>240.00000000000006</v>
      </c>
      <c r="N1436" s="12" t="s">
        <v>44</v>
      </c>
      <c r="O1436" s="47" t="s">
        <v>45</v>
      </c>
      <c r="P1436" s="13">
        <f t="shared" si="808"/>
        <v>1.86</v>
      </c>
      <c r="Q1436" s="1" t="str">
        <f t="shared" si="810"/>
        <v>1000 + шт - 1,86 руб / шт с НДС</v>
      </c>
      <c r="R1436" s="235"/>
      <c r="S1436" s="239"/>
      <c r="T1436" s="226"/>
      <c r="U1436" s="228"/>
      <c r="V1436" s="222"/>
      <c r="W1436" s="229"/>
      <c r="X1436" s="227"/>
      <c r="Y1436" s="229"/>
      <c r="Z1436" s="236"/>
      <c r="AA1436" s="237"/>
      <c r="AB1436" s="238"/>
      <c r="AC1436" s="223"/>
      <c r="AD1436" s="222"/>
    </row>
    <row r="1437" spans="1:30" x14ac:dyDescent="0.4">
      <c r="A1437" s="230">
        <v>289</v>
      </c>
      <c r="B1437" s="8">
        <v>289</v>
      </c>
      <c r="C1437" s="14">
        <f t="shared" ca="1" si="832"/>
        <v>0.28999999999999998</v>
      </c>
      <c r="D1437" s="20">
        <f t="shared" ca="1" si="800"/>
        <v>0.34799999999999998</v>
      </c>
      <c r="E1437" s="224" t="str">
        <f ca="1">INDIRECT("'Закуп'!D" &amp; A1437)</f>
        <v>У</v>
      </c>
      <c r="F1437" s="231" t="str">
        <f t="shared" ref="F1437" ca="1" si="835">INDIRECT("'Закуп'!E" &amp; B1437)</f>
        <v>120х100х250</v>
      </c>
      <c r="G1437" s="172" t="str">
        <f t="shared" ca="1" si="821"/>
        <v/>
      </c>
      <c r="H1437" s="93" t="str">
        <f t="shared" ca="1" si="822"/>
        <v/>
      </c>
      <c r="I1437" s="21">
        <v>50</v>
      </c>
      <c r="J1437" s="68">
        <f t="shared" si="823"/>
        <v>0.91666666666666674</v>
      </c>
      <c r="K1437" s="70">
        <v>1.1000000000000001</v>
      </c>
      <c r="L1437" s="72">
        <f t="shared" ca="1" si="819"/>
        <v>0.50133333333333341</v>
      </c>
      <c r="M1437" s="73">
        <f t="shared" ca="1" si="820"/>
        <v>25.06666666666667</v>
      </c>
      <c r="N1437" s="12" t="s">
        <v>40</v>
      </c>
      <c r="O1437" s="47" t="s">
        <v>45</v>
      </c>
      <c r="P1437" s="13">
        <f t="shared" si="808"/>
        <v>1.1000000000000001</v>
      </c>
      <c r="Q1437" s="1" t="str">
        <f t="shared" si="810"/>
        <v>50-90 шт - 1,1 руб / шт с НДС</v>
      </c>
      <c r="R1437" s="235" t="str">
        <f ca="1">INDIRECT("'Закуп'!k" &amp; A1437)</f>
        <v>K254</v>
      </c>
      <c r="S1437" s="239">
        <f ca="1">INDIRECT("'Закуп'!o" &amp; A1437)</f>
        <v>3</v>
      </c>
      <c r="T1437" s="226" t="str">
        <f ca="1">INDIRECT("'Закуп'!p" &amp; A1437)</f>
        <v>3-3,9 литра</v>
      </c>
      <c r="U1437" s="228" t="str">
        <f ca="1">INDIRECT("'Закуп'!v" &amp; A1437)</f>
        <v>Длинные</v>
      </c>
      <c r="V1437" s="222" t="str">
        <f ca="1">INDIRECT("'Закуп'!w" &amp; A1437)</f>
        <v/>
      </c>
      <c r="W1437" s="229" t="str">
        <f ca="1">INDIRECT("'Закуп'!H" &amp; A1437)</f>
        <v>0201</v>
      </c>
      <c r="X1437" s="227" t="str">
        <f t="shared" ref="X1437" ca="1" si="836">INDIRECT("'Закуп'!g" &amp; A1437)</f>
        <v>Ч</v>
      </c>
      <c r="Y1437" s="229" t="str">
        <f ca="1">INDIRECT("'Закуп'!i" &amp; A1437)</f>
        <v>В</v>
      </c>
      <c r="Z1437" s="236" t="str">
        <f ca="1">INDIRECT("'Закуп'!x" &amp; A1437)</f>
        <v>200-299 мм</v>
      </c>
      <c r="AA1437" s="237" t="str">
        <f ca="1">INDIRECT("'Закуп'!y" &amp; A1437)</f>
        <v>100-199 мм</v>
      </c>
      <c r="AB1437" s="238" t="str">
        <f ca="1">INDIRECT("'Закуп'!z" &amp; A1437)</f>
        <v>100-199 мм</v>
      </c>
      <c r="AC1437" s="223" t="str">
        <f t="shared" ca="1" si="816"/>
        <v>120x100x250</v>
      </c>
      <c r="AD1437" s="222" t="str">
        <f t="shared" ca="1" si="803"/>
        <v>120x100x250 - 120*100*250 мм</v>
      </c>
    </row>
    <row r="1438" spans="1:30" x14ac:dyDescent="0.4">
      <c r="A1438" s="230"/>
      <c r="B1438" s="8">
        <v>289</v>
      </c>
      <c r="C1438" s="14">
        <f t="shared" ca="1" si="832"/>
        <v>0.28999999999999998</v>
      </c>
      <c r="D1438" s="20">
        <f t="shared" ca="1" si="800"/>
        <v>0.34799999999999998</v>
      </c>
      <c r="E1438" s="225"/>
      <c r="F1438" s="231"/>
      <c r="G1438" s="172" t="str">
        <f t="shared" ca="1" si="821"/>
        <v/>
      </c>
      <c r="H1438" s="93" t="str">
        <f t="shared" ca="1" si="822"/>
        <v/>
      </c>
      <c r="I1438" s="21">
        <v>100</v>
      </c>
      <c r="J1438" s="68">
        <f t="shared" si="823"/>
        <v>0.83333333333333337</v>
      </c>
      <c r="K1438" s="70">
        <v>1</v>
      </c>
      <c r="L1438" s="72">
        <f t="shared" ca="1" si="819"/>
        <v>0.43466666666666676</v>
      </c>
      <c r="M1438" s="73">
        <f t="shared" ca="1" si="820"/>
        <v>43.466666666666676</v>
      </c>
      <c r="N1438" s="12" t="s">
        <v>41</v>
      </c>
      <c r="O1438" s="47" t="s">
        <v>45</v>
      </c>
      <c r="P1438" s="13">
        <f t="shared" si="808"/>
        <v>1</v>
      </c>
      <c r="Q1438" s="1" t="str">
        <f t="shared" si="810"/>
        <v>100-290 шт - 1 руб / шт с НДС</v>
      </c>
      <c r="R1438" s="235"/>
      <c r="S1438" s="239"/>
      <c r="T1438" s="226"/>
      <c r="U1438" s="228"/>
      <c r="V1438" s="222"/>
      <c r="W1438" s="229"/>
      <c r="X1438" s="227"/>
      <c r="Y1438" s="229"/>
      <c r="Z1438" s="236"/>
      <c r="AA1438" s="237"/>
      <c r="AB1438" s="238"/>
      <c r="AC1438" s="223"/>
      <c r="AD1438" s="222"/>
    </row>
    <row r="1439" spans="1:30" x14ac:dyDescent="0.4">
      <c r="A1439" s="230"/>
      <c r="B1439" s="8">
        <v>289</v>
      </c>
      <c r="C1439" s="14">
        <f t="shared" ca="1" si="832"/>
        <v>0.28999999999999998</v>
      </c>
      <c r="D1439" s="20">
        <f t="shared" ca="1" si="800"/>
        <v>0.34799999999999998</v>
      </c>
      <c r="E1439" s="225"/>
      <c r="F1439" s="231"/>
      <c r="G1439" s="172" t="str">
        <f t="shared" ca="1" si="821"/>
        <v/>
      </c>
      <c r="H1439" s="93" t="str">
        <f t="shared" ca="1" si="822"/>
        <v/>
      </c>
      <c r="I1439" s="21">
        <v>300</v>
      </c>
      <c r="J1439" s="68">
        <f t="shared" si="823"/>
        <v>0.75</v>
      </c>
      <c r="K1439" s="70">
        <v>0.9</v>
      </c>
      <c r="L1439" s="72">
        <f t="shared" ca="1" si="819"/>
        <v>0.36799999999999999</v>
      </c>
      <c r="M1439" s="73">
        <f t="shared" ca="1" si="820"/>
        <v>110.39999999999999</v>
      </c>
      <c r="N1439" s="12" t="s">
        <v>42</v>
      </c>
      <c r="O1439" s="47" t="s">
        <v>45</v>
      </c>
      <c r="P1439" s="13">
        <f t="shared" si="808"/>
        <v>0.9</v>
      </c>
      <c r="Q1439" s="1" t="str">
        <f t="shared" si="810"/>
        <v>300-490 шт - 0,9 руб / шт с НДС</v>
      </c>
      <c r="R1439" s="235"/>
      <c r="S1439" s="239"/>
      <c r="T1439" s="226"/>
      <c r="U1439" s="228"/>
      <c r="V1439" s="222"/>
      <c r="W1439" s="229"/>
      <c r="X1439" s="227"/>
      <c r="Y1439" s="229"/>
      <c r="Z1439" s="236"/>
      <c r="AA1439" s="237"/>
      <c r="AB1439" s="238"/>
      <c r="AC1439" s="223"/>
      <c r="AD1439" s="222"/>
    </row>
    <row r="1440" spans="1:30" x14ac:dyDescent="0.4">
      <c r="A1440" s="230"/>
      <c r="B1440" s="8">
        <v>289</v>
      </c>
      <c r="C1440" s="14">
        <f t="shared" ca="1" si="832"/>
        <v>0.28999999999999998</v>
      </c>
      <c r="D1440" s="20">
        <f t="shared" ca="1" si="800"/>
        <v>0.34799999999999998</v>
      </c>
      <c r="E1440" s="225"/>
      <c r="F1440" s="231"/>
      <c r="G1440" s="172" t="str">
        <f t="shared" ca="1" si="821"/>
        <v/>
      </c>
      <c r="H1440" s="93" t="str">
        <f t="shared" ca="1" si="822"/>
        <v/>
      </c>
      <c r="I1440" s="21">
        <v>500</v>
      </c>
      <c r="J1440" s="68">
        <f t="shared" si="823"/>
        <v>0.66666666666666674</v>
      </c>
      <c r="K1440" s="70">
        <v>0.8</v>
      </c>
      <c r="L1440" s="72">
        <f t="shared" ca="1" si="819"/>
        <v>0.3013333333333334</v>
      </c>
      <c r="M1440" s="73">
        <f t="shared" ca="1" si="820"/>
        <v>150.66666666666669</v>
      </c>
      <c r="N1440" s="12" t="s">
        <v>43</v>
      </c>
      <c r="O1440" s="47" t="s">
        <v>45</v>
      </c>
      <c r="P1440" s="13">
        <f t="shared" si="808"/>
        <v>0.8</v>
      </c>
      <c r="Q1440" s="1" t="str">
        <f t="shared" si="810"/>
        <v>500-990 шт - 0,8 руб / шт с НДС</v>
      </c>
      <c r="R1440" s="235"/>
      <c r="S1440" s="239"/>
      <c r="T1440" s="226"/>
      <c r="U1440" s="228"/>
      <c r="V1440" s="222"/>
      <c r="W1440" s="229"/>
      <c r="X1440" s="227"/>
      <c r="Y1440" s="229"/>
      <c r="Z1440" s="236"/>
      <c r="AA1440" s="237"/>
      <c r="AB1440" s="238"/>
      <c r="AC1440" s="223"/>
      <c r="AD1440" s="222"/>
    </row>
    <row r="1441" spans="1:30" x14ac:dyDescent="0.4">
      <c r="A1441" s="230"/>
      <c r="B1441" s="8">
        <v>289</v>
      </c>
      <c r="C1441" s="14">
        <f t="shared" ca="1" si="832"/>
        <v>0.28999999999999998</v>
      </c>
      <c r="D1441" s="20">
        <f t="shared" ref="D1441:D1504" ca="1" si="837">C1441*1.2</f>
        <v>0.34799999999999998</v>
      </c>
      <c r="E1441" s="225"/>
      <c r="F1441" s="231"/>
      <c r="G1441" s="172" t="str">
        <f t="shared" ca="1" si="821"/>
        <v/>
      </c>
      <c r="H1441" s="93" t="str">
        <f t="shared" ca="1" si="822"/>
        <v/>
      </c>
      <c r="I1441" s="21">
        <v>1000</v>
      </c>
      <c r="J1441" s="68">
        <f t="shared" si="823"/>
        <v>0.58333333333333337</v>
      </c>
      <c r="K1441" s="70">
        <v>0.7</v>
      </c>
      <c r="L1441" s="72">
        <f t="shared" ca="1" si="819"/>
        <v>0.23466666666666672</v>
      </c>
      <c r="M1441" s="73">
        <f t="shared" ca="1" si="820"/>
        <v>234.66666666666671</v>
      </c>
      <c r="N1441" s="12" t="s">
        <v>44</v>
      </c>
      <c r="O1441" s="47" t="s">
        <v>45</v>
      </c>
      <c r="P1441" s="13">
        <f t="shared" si="808"/>
        <v>0.7</v>
      </c>
      <c r="Q1441" s="1" t="str">
        <f t="shared" si="810"/>
        <v>1000 + шт - 0,7 руб / шт с НДС</v>
      </c>
      <c r="R1441" s="235"/>
      <c r="S1441" s="239"/>
      <c r="T1441" s="226"/>
      <c r="U1441" s="228"/>
      <c r="V1441" s="222"/>
      <c r="W1441" s="229"/>
      <c r="X1441" s="227"/>
      <c r="Y1441" s="229"/>
      <c r="Z1441" s="236"/>
      <c r="AA1441" s="237"/>
      <c r="AB1441" s="238"/>
      <c r="AC1441" s="223"/>
      <c r="AD1441" s="222"/>
    </row>
    <row r="1442" spans="1:30" x14ac:dyDescent="0.4">
      <c r="A1442" s="230">
        <v>290</v>
      </c>
      <c r="B1442" s="8">
        <v>290</v>
      </c>
      <c r="C1442" s="14">
        <f t="shared" ca="1" si="832"/>
        <v>0.79</v>
      </c>
      <c r="D1442" s="20">
        <f t="shared" ca="1" si="837"/>
        <v>0.94799999999999995</v>
      </c>
      <c r="E1442" s="224" t="str">
        <f ca="1">INDIRECT("'Закуп'!D" &amp; A1442)</f>
        <v>У</v>
      </c>
      <c r="F1442" s="231" t="str">
        <f t="shared" ref="F1442" ca="1" si="838">INDIRECT("'Закуп'!E" &amp; B1442)</f>
        <v>370х255х95</v>
      </c>
      <c r="G1442" s="172" t="str">
        <f t="shared" ca="1" si="821"/>
        <v/>
      </c>
      <c r="H1442" s="93" t="str">
        <f t="shared" ca="1" si="822"/>
        <v/>
      </c>
      <c r="I1442" s="21">
        <v>50</v>
      </c>
      <c r="J1442" s="68">
        <f t="shared" si="823"/>
        <v>1.4833333333333334</v>
      </c>
      <c r="K1442" s="70">
        <v>1.78</v>
      </c>
      <c r="L1442" s="72">
        <f t="shared" ca="1" si="819"/>
        <v>0.55466666666666664</v>
      </c>
      <c r="M1442" s="73">
        <f t="shared" ca="1" si="820"/>
        <v>27.733333333333331</v>
      </c>
      <c r="N1442" s="12" t="s">
        <v>40</v>
      </c>
      <c r="O1442" s="47" t="s">
        <v>45</v>
      </c>
      <c r="P1442" s="13">
        <f t="shared" si="808"/>
        <v>1.78</v>
      </c>
      <c r="Q1442" s="1" t="str">
        <f t="shared" si="810"/>
        <v>50-90 шт - 1,78 руб / шт с НДС</v>
      </c>
      <c r="R1442" s="235" t="str">
        <f ca="1">INDIRECT("'Закуп'!k" &amp; A1442)</f>
        <v>K255</v>
      </c>
      <c r="S1442" s="239">
        <f ca="1">INDIRECT("'Закуп'!o" &amp; A1442)</f>
        <v>8.9600000000000009</v>
      </c>
      <c r="T1442" s="226" t="str">
        <f ca="1">INDIRECT("'Закуп'!p" &amp; A1442)</f>
        <v>8-9,9 литров</v>
      </c>
      <c r="U1442" s="228" t="str">
        <f ca="1">INDIRECT("'Закуп'!v" &amp; A1442)</f>
        <v/>
      </c>
      <c r="V1442" s="222" t="str">
        <f ca="1">INDIRECT("'Закуп'!w" &amp; A1442)</f>
        <v>Плоские</v>
      </c>
      <c r="W1442" s="229" t="str">
        <f ca="1">INDIRECT("'Закуп'!H" &amp; A1442)</f>
        <v>0201</v>
      </c>
      <c r="X1442" s="227" t="str">
        <f t="shared" ref="X1442" ca="1" si="839">INDIRECT("'Закуп'!g" &amp; A1442)</f>
        <v>Ч</v>
      </c>
      <c r="Y1442" s="229" t="str">
        <f ca="1">INDIRECT("'Закуп'!i" &amp; A1442)</f>
        <v>В</v>
      </c>
      <c r="Z1442" s="236" t="str">
        <f ca="1">INDIRECT("'Закуп'!x" &amp; A1442)</f>
        <v>300-399 мм</v>
      </c>
      <c r="AA1442" s="237" t="str">
        <f ca="1">INDIRECT("'Закуп'!y" &amp; A1442)</f>
        <v>200-299 мм</v>
      </c>
      <c r="AB1442" s="238" t="str">
        <f ca="1">INDIRECT("'Закуп'!z" &amp; A1442)</f>
        <v>10-99 мм</v>
      </c>
      <c r="AC1442" s="223" t="str">
        <f t="shared" ca="1" si="816"/>
        <v>370x255x95</v>
      </c>
      <c r="AD1442" s="222" t="str">
        <f t="shared" ref="AD1442:AD1502" ca="1" si="840">SUBSTITUTE(INDEX(F:F, ROUNDUP((ROW(A1441))/5,0)*5 - 3), "х", "x") &amp; " - " &amp; SUBSTITUTE(SUBSTITUTE(INDEX(F:F, ROUNDUP((ROW(A1441))/5,0)*5 - 3), "х", "*"), "x", "*") &amp; " мм"</f>
        <v>370x255x95 - 370*255*95 мм</v>
      </c>
    </row>
    <row r="1443" spans="1:30" x14ac:dyDescent="0.4">
      <c r="A1443" s="230"/>
      <c r="B1443" s="8">
        <v>290</v>
      </c>
      <c r="C1443" s="14">
        <f t="shared" ca="1" si="832"/>
        <v>0.79</v>
      </c>
      <c r="D1443" s="20">
        <f t="shared" ca="1" si="837"/>
        <v>0.94799999999999995</v>
      </c>
      <c r="E1443" s="225"/>
      <c r="F1443" s="231"/>
      <c r="G1443" s="172" t="str">
        <f t="shared" ca="1" si="821"/>
        <v/>
      </c>
      <c r="H1443" s="93" t="str">
        <f t="shared" ca="1" si="822"/>
        <v/>
      </c>
      <c r="I1443" s="21">
        <v>100</v>
      </c>
      <c r="J1443" s="68">
        <f t="shared" si="823"/>
        <v>1.35</v>
      </c>
      <c r="K1443" s="70">
        <v>1.62</v>
      </c>
      <c r="L1443" s="72">
        <f t="shared" ca="1" si="819"/>
        <v>0.44800000000000006</v>
      </c>
      <c r="M1443" s="73">
        <f t="shared" ca="1" si="820"/>
        <v>44.800000000000004</v>
      </c>
      <c r="N1443" s="12" t="s">
        <v>41</v>
      </c>
      <c r="O1443" s="47" t="s">
        <v>45</v>
      </c>
      <c r="P1443" s="13">
        <f t="shared" si="808"/>
        <v>1.62</v>
      </c>
      <c r="Q1443" s="1" t="str">
        <f t="shared" si="810"/>
        <v>100-290 шт - 1,62 руб / шт с НДС</v>
      </c>
      <c r="R1443" s="235"/>
      <c r="S1443" s="239"/>
      <c r="T1443" s="226"/>
      <c r="U1443" s="228"/>
      <c r="V1443" s="222"/>
      <c r="W1443" s="229"/>
      <c r="X1443" s="227"/>
      <c r="Y1443" s="229"/>
      <c r="Z1443" s="236"/>
      <c r="AA1443" s="237"/>
      <c r="AB1443" s="238"/>
      <c r="AC1443" s="223"/>
      <c r="AD1443" s="222"/>
    </row>
    <row r="1444" spans="1:30" x14ac:dyDescent="0.4">
      <c r="A1444" s="230"/>
      <c r="B1444" s="8">
        <v>290</v>
      </c>
      <c r="C1444" s="14">
        <f t="shared" ca="1" si="832"/>
        <v>0.79</v>
      </c>
      <c r="D1444" s="20">
        <f t="shared" ca="1" si="837"/>
        <v>0.94799999999999995</v>
      </c>
      <c r="E1444" s="225"/>
      <c r="F1444" s="231"/>
      <c r="G1444" s="172" t="str">
        <f t="shared" ca="1" si="821"/>
        <v/>
      </c>
      <c r="H1444" s="93" t="str">
        <f t="shared" ca="1" si="822"/>
        <v/>
      </c>
      <c r="I1444" s="21">
        <v>300</v>
      </c>
      <c r="J1444" s="68">
        <f t="shared" si="823"/>
        <v>1.2333333333333334</v>
      </c>
      <c r="K1444" s="70">
        <v>1.48</v>
      </c>
      <c r="L1444" s="72">
        <f t="shared" ca="1" si="819"/>
        <v>0.35466666666666669</v>
      </c>
      <c r="M1444" s="73">
        <f t="shared" ca="1" si="820"/>
        <v>106.4</v>
      </c>
      <c r="N1444" s="12" t="s">
        <v>42</v>
      </c>
      <c r="O1444" s="47" t="s">
        <v>45</v>
      </c>
      <c r="P1444" s="13">
        <f t="shared" si="808"/>
        <v>1.48</v>
      </c>
      <c r="Q1444" s="1" t="str">
        <f t="shared" si="810"/>
        <v>300-490 шт - 1,48 руб / шт с НДС</v>
      </c>
      <c r="R1444" s="235"/>
      <c r="S1444" s="239"/>
      <c r="T1444" s="226"/>
      <c r="U1444" s="228"/>
      <c r="V1444" s="222"/>
      <c r="W1444" s="229"/>
      <c r="X1444" s="227"/>
      <c r="Y1444" s="229"/>
      <c r="Z1444" s="236"/>
      <c r="AA1444" s="237"/>
      <c r="AB1444" s="238"/>
      <c r="AC1444" s="223"/>
      <c r="AD1444" s="222"/>
    </row>
    <row r="1445" spans="1:30" x14ac:dyDescent="0.4">
      <c r="A1445" s="230"/>
      <c r="B1445" s="8">
        <v>290</v>
      </c>
      <c r="C1445" s="14">
        <f t="shared" ca="1" si="832"/>
        <v>0.79</v>
      </c>
      <c r="D1445" s="20">
        <f t="shared" ca="1" si="837"/>
        <v>0.94799999999999995</v>
      </c>
      <c r="E1445" s="225"/>
      <c r="F1445" s="231"/>
      <c r="G1445" s="172" t="str">
        <f t="shared" ca="1" si="821"/>
        <v/>
      </c>
      <c r="H1445" s="93" t="str">
        <f t="shared" ca="1" si="822"/>
        <v/>
      </c>
      <c r="I1445" s="21">
        <v>500</v>
      </c>
      <c r="J1445" s="68">
        <f t="shared" si="823"/>
        <v>1.1416666666666668</v>
      </c>
      <c r="K1445" s="70">
        <v>1.37</v>
      </c>
      <c r="L1445" s="72">
        <f t="shared" ca="1" si="819"/>
        <v>0.28133333333333344</v>
      </c>
      <c r="M1445" s="73">
        <f t="shared" ca="1" si="820"/>
        <v>140.66666666666671</v>
      </c>
      <c r="N1445" s="12" t="s">
        <v>43</v>
      </c>
      <c r="O1445" s="47" t="s">
        <v>45</v>
      </c>
      <c r="P1445" s="13">
        <f t="shared" si="808"/>
        <v>1.37</v>
      </c>
      <c r="Q1445" s="1" t="str">
        <f t="shared" si="810"/>
        <v>500-990 шт - 1,37 руб / шт с НДС</v>
      </c>
      <c r="R1445" s="235"/>
      <c r="S1445" s="239"/>
      <c r="T1445" s="226"/>
      <c r="U1445" s="228"/>
      <c r="V1445" s="222"/>
      <c r="W1445" s="229"/>
      <c r="X1445" s="227"/>
      <c r="Y1445" s="229"/>
      <c r="Z1445" s="236"/>
      <c r="AA1445" s="237"/>
      <c r="AB1445" s="238"/>
      <c r="AC1445" s="223"/>
      <c r="AD1445" s="222"/>
    </row>
    <row r="1446" spans="1:30" x14ac:dyDescent="0.4">
      <c r="A1446" s="230"/>
      <c r="B1446" s="8">
        <v>290</v>
      </c>
      <c r="C1446" s="14">
        <f t="shared" ca="1" si="832"/>
        <v>0.79</v>
      </c>
      <c r="D1446" s="20">
        <f t="shared" ca="1" si="837"/>
        <v>0.94799999999999995</v>
      </c>
      <c r="E1446" s="225"/>
      <c r="F1446" s="231"/>
      <c r="G1446" s="172" t="str">
        <f t="shared" ca="1" si="821"/>
        <v/>
      </c>
      <c r="H1446" s="93" t="str">
        <f t="shared" ca="1" si="822"/>
        <v/>
      </c>
      <c r="I1446" s="21">
        <v>1000</v>
      </c>
      <c r="J1446" s="68">
        <f t="shared" si="823"/>
        <v>1.0083333333333333</v>
      </c>
      <c r="K1446" s="70">
        <v>1.21</v>
      </c>
      <c r="L1446" s="72">
        <f t="shared" ca="1" si="819"/>
        <v>0.17466666666666661</v>
      </c>
      <c r="M1446" s="73">
        <f t="shared" ca="1" si="820"/>
        <v>174.6666666666666</v>
      </c>
      <c r="N1446" s="12" t="s">
        <v>44</v>
      </c>
      <c r="O1446" s="47" t="s">
        <v>45</v>
      </c>
      <c r="P1446" s="13">
        <f t="shared" si="808"/>
        <v>1.21</v>
      </c>
      <c r="Q1446" s="1" t="str">
        <f t="shared" si="810"/>
        <v>1000 + шт - 1,21 руб / шт с НДС</v>
      </c>
      <c r="R1446" s="235"/>
      <c r="S1446" s="239"/>
      <c r="T1446" s="226"/>
      <c r="U1446" s="228"/>
      <c r="V1446" s="222"/>
      <c r="W1446" s="229"/>
      <c r="X1446" s="227"/>
      <c r="Y1446" s="229"/>
      <c r="Z1446" s="236"/>
      <c r="AA1446" s="237"/>
      <c r="AB1446" s="238"/>
      <c r="AC1446" s="223"/>
      <c r="AD1446" s="222"/>
    </row>
    <row r="1447" spans="1:30" x14ac:dyDescent="0.4">
      <c r="A1447" s="230">
        <v>291</v>
      </c>
      <c r="B1447" s="8">
        <v>291</v>
      </c>
      <c r="C1447" s="14">
        <f t="shared" ca="1" si="832"/>
        <v>0.28999999999999998</v>
      </c>
      <c r="D1447" s="20">
        <f t="shared" ca="1" si="837"/>
        <v>0.34799999999999998</v>
      </c>
      <c r="E1447" s="224" t="str">
        <f ca="1">INDIRECT("'Закуп'!D" &amp; A1447)</f>
        <v>У</v>
      </c>
      <c r="F1447" s="231" t="str">
        <f t="shared" ref="F1447" ca="1" si="841">INDIRECT("'Закуп'!E" &amp; B1447)</f>
        <v>180х130х100</v>
      </c>
      <c r="G1447" s="172" t="str">
        <f t="shared" ca="1" si="821"/>
        <v/>
      </c>
      <c r="H1447" s="93" t="str">
        <f t="shared" ca="1" si="822"/>
        <v/>
      </c>
      <c r="I1447" s="21">
        <v>50</v>
      </c>
      <c r="J1447" s="68">
        <f t="shared" si="823"/>
        <v>0.88333333333333341</v>
      </c>
      <c r="K1447" s="70">
        <v>1.06</v>
      </c>
      <c r="L1447" s="72">
        <f t="shared" ca="1" si="819"/>
        <v>0.47466666666666679</v>
      </c>
      <c r="M1447" s="73">
        <f t="shared" ca="1" si="820"/>
        <v>23.733333333333341</v>
      </c>
      <c r="N1447" s="12" t="s">
        <v>40</v>
      </c>
      <c r="O1447" s="47" t="s">
        <v>45</v>
      </c>
      <c r="P1447" s="13">
        <f t="shared" si="808"/>
        <v>1.06</v>
      </c>
      <c r="Q1447" s="1" t="str">
        <f t="shared" si="810"/>
        <v>50-90 шт - 1,06 руб / шт с НДС</v>
      </c>
      <c r="R1447" s="235" t="str">
        <f ca="1">INDIRECT("'Закуп'!k" &amp; A1447)</f>
        <v>K256</v>
      </c>
      <c r="S1447" s="239">
        <f ca="1">INDIRECT("'Закуп'!o" &amp; A1447)</f>
        <v>2.34</v>
      </c>
      <c r="T1447" s="226" t="str">
        <f ca="1">INDIRECT("'Закуп'!p" &amp; A1447)</f>
        <v>2-2,9 литра</v>
      </c>
      <c r="U1447" s="228" t="str">
        <f ca="1">INDIRECT("'Закуп'!v" &amp; A1447)</f>
        <v/>
      </c>
      <c r="V1447" s="222" t="str">
        <f ca="1">INDIRECT("'Закуп'!w" &amp; A1447)</f>
        <v/>
      </c>
      <c r="W1447" s="229" t="str">
        <f ca="1">INDIRECT("'Закуп'!H" &amp; A1447)</f>
        <v>0201</v>
      </c>
      <c r="X1447" s="227" t="str">
        <f t="shared" ref="X1447" ca="1" si="842">INDIRECT("'Закуп'!g" &amp; A1447)</f>
        <v>Ч</v>
      </c>
      <c r="Y1447" s="229" t="str">
        <f ca="1">INDIRECT("'Закуп'!i" &amp; A1447)</f>
        <v>В</v>
      </c>
      <c r="Z1447" s="236" t="str">
        <f ca="1">INDIRECT("'Закуп'!x" &amp; A1447)</f>
        <v>100-199 мм</v>
      </c>
      <c r="AA1447" s="237" t="str">
        <f ca="1">INDIRECT("'Закуп'!y" &amp; A1447)</f>
        <v>100-199 мм</v>
      </c>
      <c r="AB1447" s="238" t="str">
        <f ca="1">INDIRECT("'Закуп'!z" &amp; A1447)</f>
        <v>100-199 мм</v>
      </c>
      <c r="AC1447" s="223" t="str">
        <f t="shared" ca="1" si="816"/>
        <v>180x130x100</v>
      </c>
      <c r="AD1447" s="222" t="str">
        <f t="shared" ca="1" si="840"/>
        <v>180x130x100 - 180*130*100 мм</v>
      </c>
    </row>
    <row r="1448" spans="1:30" x14ac:dyDescent="0.4">
      <c r="A1448" s="230"/>
      <c r="B1448" s="8">
        <v>291</v>
      </c>
      <c r="C1448" s="14">
        <f t="shared" ca="1" si="832"/>
        <v>0.28999999999999998</v>
      </c>
      <c r="D1448" s="20">
        <f t="shared" ca="1" si="837"/>
        <v>0.34799999999999998</v>
      </c>
      <c r="E1448" s="225"/>
      <c r="F1448" s="231"/>
      <c r="G1448" s="172" t="str">
        <f t="shared" ca="1" si="821"/>
        <v/>
      </c>
      <c r="H1448" s="93" t="str">
        <f t="shared" ca="1" si="822"/>
        <v/>
      </c>
      <c r="I1448" s="21">
        <v>100</v>
      </c>
      <c r="J1448" s="68">
        <f t="shared" si="823"/>
        <v>0.75833333333333341</v>
      </c>
      <c r="K1448" s="70">
        <v>0.91</v>
      </c>
      <c r="L1448" s="72">
        <f t="shared" ca="1" si="819"/>
        <v>0.37466666666666676</v>
      </c>
      <c r="M1448" s="73">
        <f t="shared" ca="1" si="820"/>
        <v>37.466666666666676</v>
      </c>
      <c r="N1448" s="12" t="s">
        <v>41</v>
      </c>
      <c r="O1448" s="47" t="s">
        <v>45</v>
      </c>
      <c r="P1448" s="13">
        <f t="shared" si="808"/>
        <v>0.91</v>
      </c>
      <c r="Q1448" s="1" t="str">
        <f t="shared" si="810"/>
        <v>100-290 шт - 0,91 руб / шт с НДС</v>
      </c>
      <c r="R1448" s="235"/>
      <c r="S1448" s="239"/>
      <c r="T1448" s="226"/>
      <c r="U1448" s="228"/>
      <c r="V1448" s="222"/>
      <c r="W1448" s="229"/>
      <c r="X1448" s="227"/>
      <c r="Y1448" s="229"/>
      <c r="Z1448" s="236"/>
      <c r="AA1448" s="237"/>
      <c r="AB1448" s="238"/>
      <c r="AC1448" s="223"/>
      <c r="AD1448" s="222"/>
    </row>
    <row r="1449" spans="1:30" x14ac:dyDescent="0.4">
      <c r="A1449" s="230"/>
      <c r="B1449" s="8">
        <v>291</v>
      </c>
      <c r="C1449" s="14">
        <f t="shared" ca="1" si="832"/>
        <v>0.28999999999999998</v>
      </c>
      <c r="D1449" s="20">
        <f t="shared" ca="1" si="837"/>
        <v>0.34799999999999998</v>
      </c>
      <c r="E1449" s="225"/>
      <c r="F1449" s="231"/>
      <c r="G1449" s="172" t="str">
        <f t="shared" ca="1" si="821"/>
        <v/>
      </c>
      <c r="H1449" s="93" t="str">
        <f t="shared" ca="1" si="822"/>
        <v/>
      </c>
      <c r="I1449" s="21">
        <v>300</v>
      </c>
      <c r="J1449" s="68">
        <f t="shared" si="823"/>
        <v>0.60833333333333339</v>
      </c>
      <c r="K1449" s="70">
        <v>0.73</v>
      </c>
      <c r="L1449" s="72">
        <f t="shared" ca="1" si="819"/>
        <v>0.25466666666666671</v>
      </c>
      <c r="M1449" s="73">
        <f t="shared" ca="1" si="820"/>
        <v>76.400000000000006</v>
      </c>
      <c r="N1449" s="12" t="s">
        <v>42</v>
      </c>
      <c r="O1449" s="47" t="s">
        <v>45</v>
      </c>
      <c r="P1449" s="13">
        <f t="shared" si="808"/>
        <v>0.73</v>
      </c>
      <c r="Q1449" s="1" t="str">
        <f t="shared" si="810"/>
        <v>300-490 шт - 0,73 руб / шт с НДС</v>
      </c>
      <c r="R1449" s="235"/>
      <c r="S1449" s="239"/>
      <c r="T1449" s="226"/>
      <c r="U1449" s="228"/>
      <c r="V1449" s="222"/>
      <c r="W1449" s="229"/>
      <c r="X1449" s="227"/>
      <c r="Y1449" s="229"/>
      <c r="Z1449" s="236"/>
      <c r="AA1449" s="237"/>
      <c r="AB1449" s="238"/>
      <c r="AC1449" s="223"/>
      <c r="AD1449" s="222"/>
    </row>
    <row r="1450" spans="1:30" x14ac:dyDescent="0.4">
      <c r="A1450" s="230"/>
      <c r="B1450" s="8">
        <v>291</v>
      </c>
      <c r="C1450" s="14">
        <f t="shared" ca="1" si="832"/>
        <v>0.28999999999999998</v>
      </c>
      <c r="D1450" s="20">
        <f t="shared" ca="1" si="837"/>
        <v>0.34799999999999998</v>
      </c>
      <c r="E1450" s="225"/>
      <c r="F1450" s="231"/>
      <c r="G1450" s="172" t="str">
        <f t="shared" ca="1" si="821"/>
        <v/>
      </c>
      <c r="H1450" s="93" t="str">
        <f t="shared" ca="1" si="822"/>
        <v/>
      </c>
      <c r="I1450" s="21">
        <v>500</v>
      </c>
      <c r="J1450" s="68">
        <f t="shared" si="823"/>
        <v>0.55833333333333335</v>
      </c>
      <c r="K1450" s="70">
        <v>0.67</v>
      </c>
      <c r="L1450" s="72">
        <f t="shared" ca="1" si="819"/>
        <v>0.2146666666666667</v>
      </c>
      <c r="M1450" s="73">
        <f t="shared" ca="1" si="820"/>
        <v>107.33333333333336</v>
      </c>
      <c r="N1450" s="12" t="s">
        <v>43</v>
      </c>
      <c r="O1450" s="47" t="s">
        <v>45</v>
      </c>
      <c r="P1450" s="13">
        <f t="shared" si="808"/>
        <v>0.67</v>
      </c>
      <c r="Q1450" s="1" t="str">
        <f t="shared" si="810"/>
        <v>500-990 шт - 0,67 руб / шт с НДС</v>
      </c>
      <c r="R1450" s="235"/>
      <c r="S1450" s="239"/>
      <c r="T1450" s="226"/>
      <c r="U1450" s="228"/>
      <c r="V1450" s="222"/>
      <c r="W1450" s="229"/>
      <c r="X1450" s="227"/>
      <c r="Y1450" s="229"/>
      <c r="Z1450" s="236"/>
      <c r="AA1450" s="237"/>
      <c r="AB1450" s="238"/>
      <c r="AC1450" s="223"/>
      <c r="AD1450" s="222"/>
    </row>
    <row r="1451" spans="1:30" x14ac:dyDescent="0.4">
      <c r="A1451" s="230"/>
      <c r="B1451" s="8">
        <v>291</v>
      </c>
      <c r="C1451" s="14">
        <f t="shared" ca="1" si="832"/>
        <v>0.28999999999999998</v>
      </c>
      <c r="D1451" s="20">
        <f t="shared" ca="1" si="837"/>
        <v>0.34799999999999998</v>
      </c>
      <c r="E1451" s="225"/>
      <c r="F1451" s="231"/>
      <c r="G1451" s="172" t="str">
        <f t="shared" ca="1" si="821"/>
        <v/>
      </c>
      <c r="H1451" s="93" t="str">
        <f t="shared" ca="1" si="822"/>
        <v/>
      </c>
      <c r="I1451" s="21">
        <v>1000</v>
      </c>
      <c r="J1451" s="68">
        <f t="shared" si="823"/>
        <v>0.47499999999999998</v>
      </c>
      <c r="K1451" s="70">
        <v>0.56999999999999995</v>
      </c>
      <c r="L1451" s="72">
        <f t="shared" ca="1" si="819"/>
        <v>0.14799999999999999</v>
      </c>
      <c r="M1451" s="73">
        <f t="shared" ca="1" si="820"/>
        <v>148</v>
      </c>
      <c r="N1451" s="12" t="s">
        <v>44</v>
      </c>
      <c r="O1451" s="47" t="s">
        <v>45</v>
      </c>
      <c r="P1451" s="13">
        <f t="shared" si="808"/>
        <v>0.56999999999999995</v>
      </c>
      <c r="Q1451" s="1" t="str">
        <f t="shared" si="810"/>
        <v>1000 + шт - 0,57 руб / шт с НДС</v>
      </c>
      <c r="R1451" s="235"/>
      <c r="S1451" s="239"/>
      <c r="T1451" s="226"/>
      <c r="U1451" s="228"/>
      <c r="V1451" s="222"/>
      <c r="W1451" s="229"/>
      <c r="X1451" s="227"/>
      <c r="Y1451" s="229"/>
      <c r="Z1451" s="236"/>
      <c r="AA1451" s="237"/>
      <c r="AB1451" s="238"/>
      <c r="AC1451" s="223"/>
      <c r="AD1451" s="222"/>
    </row>
    <row r="1452" spans="1:30" x14ac:dyDescent="0.4">
      <c r="A1452" s="230">
        <v>292</v>
      </c>
      <c r="B1452" s="8">
        <v>292</v>
      </c>
      <c r="C1452" s="14">
        <f t="shared" ca="1" si="832"/>
        <v>0.2</v>
      </c>
      <c r="D1452" s="20">
        <f t="shared" ca="1" si="837"/>
        <v>0.24</v>
      </c>
      <c r="E1452" s="225" t="str">
        <f ca="1">INDIRECT("'Закуп'!D" &amp; A1452)</f>
        <v>К</v>
      </c>
      <c r="F1452" s="231" t="str">
        <f t="shared" ref="F1452" ca="1" si="843">INDIRECT("'Закуп'!E" &amp; B1452)</f>
        <v>180х80х80</v>
      </c>
      <c r="G1452" s="172" t="str">
        <f t="shared" ca="1" si="821"/>
        <v/>
      </c>
      <c r="H1452" s="93" t="str">
        <f t="shared" ca="1" si="822"/>
        <v/>
      </c>
      <c r="I1452" s="21">
        <v>50</v>
      </c>
      <c r="J1452" s="68">
        <f t="shared" si="823"/>
        <v>0.83333333333333337</v>
      </c>
      <c r="K1452" s="70">
        <v>1</v>
      </c>
      <c r="L1452" s="72">
        <f t="shared" ca="1" si="819"/>
        <v>0.5066666666666666</v>
      </c>
      <c r="M1452" s="73">
        <f t="shared" ca="1" si="820"/>
        <v>25.333333333333329</v>
      </c>
      <c r="N1452" s="12" t="s">
        <v>40</v>
      </c>
      <c r="O1452" s="47" t="s">
        <v>45</v>
      </c>
      <c r="P1452" s="13">
        <f t="shared" si="808"/>
        <v>1</v>
      </c>
      <c r="Q1452" s="1" t="str">
        <f t="shared" si="810"/>
        <v>50-90 шт - 1 руб / шт с НДС</v>
      </c>
      <c r="R1452" s="235" t="str">
        <f ca="1">INDIRECT("'Закуп'!k" &amp; A1452)</f>
        <v>K1039</v>
      </c>
      <c r="S1452" s="239">
        <f ca="1">INDIRECT("'Закуп'!o" &amp; A1452)</f>
        <v>1.1499999999999999</v>
      </c>
      <c r="T1452" s="226" t="str">
        <f ca="1">INDIRECT("'Закуп'!p" &amp; A1452)</f>
        <v>1-1,9 литра</v>
      </c>
      <c r="U1452" s="228" t="str">
        <f ca="1">INDIRECT("'Закуп'!v" &amp; A1452)</f>
        <v>Длинные</v>
      </c>
      <c r="V1452" s="222" t="str">
        <f ca="1">INDIRECT("'Закуп'!w" &amp; A1452)</f>
        <v/>
      </c>
      <c r="W1452" s="229" t="str">
        <f ca="1">INDIRECT("'Закуп'!H" &amp; A1452)</f>
        <v>0201</v>
      </c>
      <c r="X1452" s="227" t="str">
        <f t="shared" ref="X1452" ca="1" si="844">INDIRECT("'Закуп'!g" &amp; A1452)</f>
        <v>Ч</v>
      </c>
      <c r="Y1452" s="229" t="str">
        <f ca="1">INDIRECT("'Закуп'!i" &amp; A1452)</f>
        <v>В</v>
      </c>
      <c r="Z1452" s="236" t="str">
        <f ca="1">INDIRECT("'Закуп'!x" &amp; A1452)</f>
        <v>100-199 мм</v>
      </c>
      <c r="AA1452" s="237" t="str">
        <f ca="1">INDIRECT("'Закуп'!y" &amp; A1452)</f>
        <v>10-99 мм</v>
      </c>
      <c r="AB1452" s="238" t="str">
        <f ca="1">INDIRECT("'Закуп'!z" &amp; A1452)</f>
        <v>10-99 мм</v>
      </c>
      <c r="AC1452" s="223" t="str">
        <f t="shared" ca="1" si="816"/>
        <v>180x80x80</v>
      </c>
      <c r="AD1452" s="222" t="str">
        <f t="shared" ca="1" si="840"/>
        <v>180x80x80 - 180*80*80 мм</v>
      </c>
    </row>
    <row r="1453" spans="1:30" x14ac:dyDescent="0.4">
      <c r="A1453" s="230"/>
      <c r="B1453" s="8">
        <v>292</v>
      </c>
      <c r="C1453" s="14">
        <f t="shared" ca="1" si="832"/>
        <v>0.2</v>
      </c>
      <c r="D1453" s="20">
        <f t="shared" ca="1" si="837"/>
        <v>0.24</v>
      </c>
      <c r="E1453" s="225"/>
      <c r="F1453" s="231"/>
      <c r="G1453" s="172" t="str">
        <f t="shared" ca="1" si="821"/>
        <v/>
      </c>
      <c r="H1453" s="93" t="str">
        <f t="shared" ca="1" si="822"/>
        <v/>
      </c>
      <c r="I1453" s="21">
        <v>100</v>
      </c>
      <c r="J1453" s="68">
        <f t="shared" si="823"/>
        <v>0.75</v>
      </c>
      <c r="K1453" s="70">
        <v>0.9</v>
      </c>
      <c r="L1453" s="72">
        <f t="shared" ca="1" si="819"/>
        <v>0.44000000000000006</v>
      </c>
      <c r="M1453" s="73">
        <f t="shared" ca="1" si="820"/>
        <v>44.000000000000007</v>
      </c>
      <c r="N1453" s="12" t="s">
        <v>41</v>
      </c>
      <c r="O1453" s="47" t="s">
        <v>45</v>
      </c>
      <c r="P1453" s="13">
        <f t="shared" si="808"/>
        <v>0.9</v>
      </c>
      <c r="Q1453" s="1" t="str">
        <f t="shared" si="810"/>
        <v>100-290 шт - 0,9 руб / шт с НДС</v>
      </c>
      <c r="R1453" s="235"/>
      <c r="S1453" s="239"/>
      <c r="T1453" s="226"/>
      <c r="U1453" s="228"/>
      <c r="V1453" s="222"/>
      <c r="W1453" s="229"/>
      <c r="X1453" s="227"/>
      <c r="Y1453" s="229"/>
      <c r="Z1453" s="236"/>
      <c r="AA1453" s="237"/>
      <c r="AB1453" s="238"/>
      <c r="AC1453" s="223"/>
      <c r="AD1453" s="222"/>
    </row>
    <row r="1454" spans="1:30" x14ac:dyDescent="0.4">
      <c r="A1454" s="230"/>
      <c r="B1454" s="8">
        <v>292</v>
      </c>
      <c r="C1454" s="14">
        <f t="shared" ca="1" si="832"/>
        <v>0.2</v>
      </c>
      <c r="D1454" s="20">
        <f t="shared" ca="1" si="837"/>
        <v>0.24</v>
      </c>
      <c r="E1454" s="225"/>
      <c r="F1454" s="231"/>
      <c r="G1454" s="172" t="str">
        <f t="shared" ca="1" si="821"/>
        <v/>
      </c>
      <c r="H1454" s="93" t="str">
        <f t="shared" ca="1" si="822"/>
        <v/>
      </c>
      <c r="I1454" s="21">
        <v>300</v>
      </c>
      <c r="J1454" s="68">
        <f t="shared" si="823"/>
        <v>0.66666666666666674</v>
      </c>
      <c r="K1454" s="70">
        <v>0.8</v>
      </c>
      <c r="L1454" s="72">
        <f t="shared" ca="1" si="819"/>
        <v>0.37333333333333341</v>
      </c>
      <c r="M1454" s="73">
        <f t="shared" ca="1" si="820"/>
        <v>112.00000000000003</v>
      </c>
      <c r="N1454" s="12" t="s">
        <v>42</v>
      </c>
      <c r="O1454" s="47" t="s">
        <v>45</v>
      </c>
      <c r="P1454" s="13">
        <f t="shared" si="808"/>
        <v>0.8</v>
      </c>
      <c r="Q1454" s="1" t="str">
        <f t="shared" si="810"/>
        <v>300-490 шт - 0,8 руб / шт с НДС</v>
      </c>
      <c r="R1454" s="235"/>
      <c r="S1454" s="239"/>
      <c r="T1454" s="226"/>
      <c r="U1454" s="228"/>
      <c r="V1454" s="222"/>
      <c r="W1454" s="229"/>
      <c r="X1454" s="227"/>
      <c r="Y1454" s="229"/>
      <c r="Z1454" s="236"/>
      <c r="AA1454" s="237"/>
      <c r="AB1454" s="238"/>
      <c r="AC1454" s="223"/>
      <c r="AD1454" s="222"/>
    </row>
    <row r="1455" spans="1:30" x14ac:dyDescent="0.4">
      <c r="A1455" s="230"/>
      <c r="B1455" s="8">
        <v>292</v>
      </c>
      <c r="C1455" s="14">
        <f t="shared" ca="1" si="832"/>
        <v>0.2</v>
      </c>
      <c r="D1455" s="20">
        <f t="shared" ca="1" si="837"/>
        <v>0.24</v>
      </c>
      <c r="E1455" s="225"/>
      <c r="F1455" s="231"/>
      <c r="G1455" s="172" t="str">
        <f t="shared" ca="1" si="821"/>
        <v/>
      </c>
      <c r="H1455" s="93" t="str">
        <f t="shared" ca="1" si="822"/>
        <v/>
      </c>
      <c r="I1455" s="21">
        <v>500</v>
      </c>
      <c r="J1455" s="68">
        <f t="shared" si="823"/>
        <v>0.58333333333333337</v>
      </c>
      <c r="K1455" s="70">
        <v>0.7</v>
      </c>
      <c r="L1455" s="72">
        <f t="shared" ca="1" si="819"/>
        <v>0.3066666666666667</v>
      </c>
      <c r="M1455" s="73">
        <f t="shared" ca="1" si="820"/>
        <v>153.33333333333334</v>
      </c>
      <c r="N1455" s="12" t="s">
        <v>43</v>
      </c>
      <c r="O1455" s="47" t="s">
        <v>45</v>
      </c>
      <c r="P1455" s="13">
        <f t="shared" ref="P1455:P1518" si="845">ROUND(K1455,2)</f>
        <v>0.7</v>
      </c>
      <c r="Q1455" s="1" t="str">
        <f t="shared" si="810"/>
        <v>500-990 шт - 0,7 руб / шт с НДС</v>
      </c>
      <c r="R1455" s="235"/>
      <c r="S1455" s="239"/>
      <c r="T1455" s="226"/>
      <c r="U1455" s="228"/>
      <c r="V1455" s="222"/>
      <c r="W1455" s="229"/>
      <c r="X1455" s="227"/>
      <c r="Y1455" s="229"/>
      <c r="Z1455" s="236"/>
      <c r="AA1455" s="237"/>
      <c r="AB1455" s="238"/>
      <c r="AC1455" s="223"/>
      <c r="AD1455" s="222"/>
    </row>
    <row r="1456" spans="1:30" x14ac:dyDescent="0.4">
      <c r="A1456" s="230"/>
      <c r="B1456" s="8">
        <v>292</v>
      </c>
      <c r="C1456" s="14">
        <f t="shared" ca="1" si="832"/>
        <v>0.2</v>
      </c>
      <c r="D1456" s="20">
        <f t="shared" ca="1" si="837"/>
        <v>0.24</v>
      </c>
      <c r="E1456" s="225"/>
      <c r="F1456" s="231"/>
      <c r="G1456" s="172" t="str">
        <f t="shared" ca="1" si="821"/>
        <v/>
      </c>
      <c r="H1456" s="93" t="str">
        <f t="shared" ca="1" si="822"/>
        <v/>
      </c>
      <c r="I1456" s="21">
        <v>1000</v>
      </c>
      <c r="J1456" s="68">
        <f t="shared" si="823"/>
        <v>0.5</v>
      </c>
      <c r="K1456" s="70">
        <v>0.6</v>
      </c>
      <c r="L1456" s="72">
        <f t="shared" ca="1" si="819"/>
        <v>0.24</v>
      </c>
      <c r="M1456" s="73">
        <f t="shared" ca="1" si="820"/>
        <v>240</v>
      </c>
      <c r="N1456" s="12" t="s">
        <v>44</v>
      </c>
      <c r="O1456" s="47" t="s">
        <v>45</v>
      </c>
      <c r="P1456" s="13">
        <f t="shared" si="845"/>
        <v>0.6</v>
      </c>
      <c r="Q1456" s="1" t="str">
        <f t="shared" ref="Q1456:Q1519" si="846">CONCATENATE(N1456,P1456,O1456,)</f>
        <v>1000 + шт - 0,6 руб / шт с НДС</v>
      </c>
      <c r="R1456" s="235"/>
      <c r="S1456" s="239"/>
      <c r="T1456" s="226"/>
      <c r="U1456" s="228"/>
      <c r="V1456" s="222"/>
      <c r="W1456" s="229"/>
      <c r="X1456" s="227"/>
      <c r="Y1456" s="229"/>
      <c r="Z1456" s="236"/>
      <c r="AA1456" s="237"/>
      <c r="AB1456" s="238"/>
      <c r="AC1456" s="223"/>
      <c r="AD1456" s="222"/>
    </row>
    <row r="1457" spans="1:30" x14ac:dyDescent="0.4">
      <c r="A1457" s="230">
        <v>293</v>
      </c>
      <c r="B1457" s="8">
        <v>293</v>
      </c>
      <c r="C1457" s="14">
        <f t="shared" ca="1" si="832"/>
        <v>0.64</v>
      </c>
      <c r="D1457" s="20">
        <f t="shared" ca="1" si="837"/>
        <v>0.76800000000000002</v>
      </c>
      <c r="E1457" s="224" t="str">
        <f ca="1">INDIRECT("'Закуп'!D" &amp; A1457)</f>
        <v>У</v>
      </c>
      <c r="F1457" s="231" t="str">
        <f t="shared" ref="F1457" ca="1" si="847">INDIRECT("'Закуп'!E" &amp; B1457)</f>
        <v>220х165х100</v>
      </c>
      <c r="G1457" s="172" t="str">
        <f t="shared" ca="1" si="821"/>
        <v/>
      </c>
      <c r="H1457" s="93" t="str">
        <f t="shared" ca="1" si="822"/>
        <v/>
      </c>
      <c r="I1457" s="21">
        <v>50</v>
      </c>
      <c r="J1457" s="68">
        <f t="shared" si="823"/>
        <v>1.45</v>
      </c>
      <c r="K1457" s="70">
        <v>1.74</v>
      </c>
      <c r="L1457" s="72">
        <f t="shared" ca="1" si="819"/>
        <v>0.64799999999999991</v>
      </c>
      <c r="M1457" s="73">
        <f t="shared" ca="1" si="820"/>
        <v>32.4</v>
      </c>
      <c r="N1457" s="12" t="s">
        <v>40</v>
      </c>
      <c r="O1457" s="47" t="s">
        <v>45</v>
      </c>
      <c r="P1457" s="13">
        <f t="shared" si="845"/>
        <v>1.74</v>
      </c>
      <c r="Q1457" s="1" t="str">
        <f t="shared" si="846"/>
        <v>50-90 шт - 1,74 руб / шт с НДС</v>
      </c>
      <c r="R1457" s="235" t="str">
        <f ca="1">INDIRECT("'Закуп'!k" &amp; A1457)</f>
        <v>K257</v>
      </c>
      <c r="S1457" s="239">
        <f ca="1">INDIRECT("'Закуп'!o" &amp; A1457)</f>
        <v>3.63</v>
      </c>
      <c r="T1457" s="226" t="str">
        <f ca="1">INDIRECT("'Закуп'!p" &amp; A1457)</f>
        <v>3-3,9 литра</v>
      </c>
      <c r="U1457" s="228" t="str">
        <f ca="1">INDIRECT("'Закуп'!v" &amp; A1457)</f>
        <v/>
      </c>
      <c r="V1457" s="222" t="str">
        <f ca="1">INDIRECT("'Закуп'!w" &amp; A1457)</f>
        <v/>
      </c>
      <c r="W1457" s="229" t="str">
        <f ca="1">INDIRECT("'Закуп'!H" &amp; A1457)</f>
        <v>0471</v>
      </c>
      <c r="X1457" s="227" t="str">
        <f t="shared" ref="X1457" ca="1" si="848">INDIRECT("'Закуп'!g" &amp; A1457)</f>
        <v>С</v>
      </c>
      <c r="Y1457" s="229" t="str">
        <f ca="1">INDIRECT("'Закуп'!i" &amp; A1457)</f>
        <v>В</v>
      </c>
      <c r="Z1457" s="236" t="str">
        <f ca="1">INDIRECT("'Закуп'!x" &amp; A1457)</f>
        <v>200-299 мм</v>
      </c>
      <c r="AA1457" s="237" t="str">
        <f ca="1">INDIRECT("'Закуп'!y" &amp; A1457)</f>
        <v>100-199 мм</v>
      </c>
      <c r="AB1457" s="238" t="str">
        <f ca="1">INDIRECT("'Закуп'!z" &amp; A1457)</f>
        <v>100-199 мм</v>
      </c>
      <c r="AC1457" s="223" t="str">
        <f t="shared" ca="1" si="816"/>
        <v>220x165x100</v>
      </c>
      <c r="AD1457" s="222" t="str">
        <f t="shared" ca="1" si="840"/>
        <v>220x165x100 - 220*165*100 мм</v>
      </c>
    </row>
    <row r="1458" spans="1:30" x14ac:dyDescent="0.4">
      <c r="A1458" s="230"/>
      <c r="B1458" s="8">
        <v>293</v>
      </c>
      <c r="C1458" s="14">
        <f t="shared" ca="1" si="832"/>
        <v>0.64</v>
      </c>
      <c r="D1458" s="20">
        <f t="shared" ca="1" si="837"/>
        <v>0.76800000000000002</v>
      </c>
      <c r="E1458" s="225"/>
      <c r="F1458" s="231"/>
      <c r="G1458" s="172" t="str">
        <f t="shared" ca="1" si="821"/>
        <v/>
      </c>
      <c r="H1458" s="93" t="str">
        <f t="shared" ca="1" si="822"/>
        <v/>
      </c>
      <c r="I1458" s="21">
        <v>100</v>
      </c>
      <c r="J1458" s="68">
        <f t="shared" si="823"/>
        <v>1.3166666666666669</v>
      </c>
      <c r="K1458" s="70">
        <v>1.58</v>
      </c>
      <c r="L1458" s="72">
        <f t="shared" ca="1" si="819"/>
        <v>0.54133333333333344</v>
      </c>
      <c r="M1458" s="73">
        <f t="shared" ca="1" si="820"/>
        <v>54.133333333333347</v>
      </c>
      <c r="N1458" s="12" t="s">
        <v>41</v>
      </c>
      <c r="O1458" s="47" t="s">
        <v>45</v>
      </c>
      <c r="P1458" s="13">
        <f t="shared" si="845"/>
        <v>1.58</v>
      </c>
      <c r="Q1458" s="1" t="str">
        <f t="shared" si="846"/>
        <v>100-290 шт - 1,58 руб / шт с НДС</v>
      </c>
      <c r="R1458" s="235"/>
      <c r="S1458" s="239"/>
      <c r="T1458" s="226"/>
      <c r="U1458" s="228"/>
      <c r="V1458" s="222"/>
      <c r="W1458" s="229"/>
      <c r="X1458" s="227"/>
      <c r="Y1458" s="229"/>
      <c r="Z1458" s="236"/>
      <c r="AA1458" s="237"/>
      <c r="AB1458" s="238"/>
      <c r="AC1458" s="223"/>
      <c r="AD1458" s="222"/>
    </row>
    <row r="1459" spans="1:30" x14ac:dyDescent="0.4">
      <c r="A1459" s="230"/>
      <c r="B1459" s="8">
        <v>293</v>
      </c>
      <c r="C1459" s="14">
        <f t="shared" ca="1" si="832"/>
        <v>0.64</v>
      </c>
      <c r="D1459" s="20">
        <f t="shared" ca="1" si="837"/>
        <v>0.76800000000000002</v>
      </c>
      <c r="E1459" s="225"/>
      <c r="F1459" s="231"/>
      <c r="G1459" s="172" t="str">
        <f t="shared" ca="1" si="821"/>
        <v/>
      </c>
      <c r="H1459" s="93" t="str">
        <f t="shared" ca="1" si="822"/>
        <v/>
      </c>
      <c r="I1459" s="21">
        <v>300</v>
      </c>
      <c r="J1459" s="68">
        <f t="shared" si="823"/>
        <v>1.0416666666666667</v>
      </c>
      <c r="K1459" s="70">
        <v>1.25</v>
      </c>
      <c r="L1459" s="72">
        <f t="shared" ca="1" si="819"/>
        <v>0.32133333333333336</v>
      </c>
      <c r="M1459" s="73">
        <f t="shared" ca="1" si="820"/>
        <v>96.4</v>
      </c>
      <c r="N1459" s="12" t="s">
        <v>42</v>
      </c>
      <c r="O1459" s="47" t="s">
        <v>45</v>
      </c>
      <c r="P1459" s="13">
        <f t="shared" si="845"/>
        <v>1.25</v>
      </c>
      <c r="Q1459" s="1" t="str">
        <f t="shared" si="846"/>
        <v>300-490 шт - 1,25 руб / шт с НДС</v>
      </c>
      <c r="R1459" s="235"/>
      <c r="S1459" s="239"/>
      <c r="T1459" s="226"/>
      <c r="U1459" s="228"/>
      <c r="V1459" s="222"/>
      <c r="W1459" s="229"/>
      <c r="X1459" s="227"/>
      <c r="Y1459" s="229"/>
      <c r="Z1459" s="236"/>
      <c r="AA1459" s="237"/>
      <c r="AB1459" s="238"/>
      <c r="AC1459" s="223"/>
      <c r="AD1459" s="222"/>
    </row>
    <row r="1460" spans="1:30" x14ac:dyDescent="0.4">
      <c r="A1460" s="230"/>
      <c r="B1460" s="8">
        <v>293</v>
      </c>
      <c r="C1460" s="14">
        <f t="shared" ca="1" si="832"/>
        <v>0.64</v>
      </c>
      <c r="D1460" s="20">
        <f t="shared" ca="1" si="837"/>
        <v>0.76800000000000002</v>
      </c>
      <c r="E1460" s="225"/>
      <c r="F1460" s="231"/>
      <c r="G1460" s="172" t="str">
        <f t="shared" ca="1" si="821"/>
        <v/>
      </c>
      <c r="H1460" s="93" t="str">
        <f t="shared" ca="1" si="822"/>
        <v/>
      </c>
      <c r="I1460" s="21">
        <v>500</v>
      </c>
      <c r="J1460" s="68">
        <f t="shared" si="823"/>
        <v>0.97499999999999998</v>
      </c>
      <c r="K1460" s="70">
        <v>1.17</v>
      </c>
      <c r="L1460" s="72">
        <f t="shared" ca="1" si="819"/>
        <v>0.26799999999999996</v>
      </c>
      <c r="M1460" s="73">
        <f t="shared" ca="1" si="820"/>
        <v>133.99999999999997</v>
      </c>
      <c r="N1460" s="12" t="s">
        <v>43</v>
      </c>
      <c r="O1460" s="47" t="s">
        <v>45</v>
      </c>
      <c r="P1460" s="13">
        <f t="shared" si="845"/>
        <v>1.17</v>
      </c>
      <c r="Q1460" s="1" t="str">
        <f t="shared" si="846"/>
        <v>500-990 шт - 1,17 руб / шт с НДС</v>
      </c>
      <c r="R1460" s="235"/>
      <c r="S1460" s="239"/>
      <c r="T1460" s="226"/>
      <c r="U1460" s="228"/>
      <c r="V1460" s="222"/>
      <c r="W1460" s="229"/>
      <c r="X1460" s="227"/>
      <c r="Y1460" s="229"/>
      <c r="Z1460" s="236"/>
      <c r="AA1460" s="237"/>
      <c r="AB1460" s="238"/>
      <c r="AC1460" s="223"/>
      <c r="AD1460" s="222"/>
    </row>
    <row r="1461" spans="1:30" x14ac:dyDescent="0.4">
      <c r="A1461" s="230"/>
      <c r="B1461" s="8">
        <v>293</v>
      </c>
      <c r="C1461" s="14">
        <f t="shared" ca="1" si="832"/>
        <v>0.64</v>
      </c>
      <c r="D1461" s="20">
        <f t="shared" ca="1" si="837"/>
        <v>0.76800000000000002</v>
      </c>
      <c r="E1461" s="225"/>
      <c r="F1461" s="231"/>
      <c r="G1461" s="172" t="str">
        <f t="shared" ca="1" si="821"/>
        <v/>
      </c>
      <c r="H1461" s="93" t="str">
        <f t="shared" ca="1" si="822"/>
        <v/>
      </c>
      <c r="I1461" s="21">
        <v>1000</v>
      </c>
      <c r="J1461" s="68">
        <f t="shared" si="823"/>
        <v>0.85833333333333339</v>
      </c>
      <c r="K1461" s="70">
        <v>1.03</v>
      </c>
      <c r="L1461" s="72">
        <f t="shared" ca="1" si="819"/>
        <v>0.17466666666666669</v>
      </c>
      <c r="M1461" s="73">
        <f t="shared" ca="1" si="820"/>
        <v>174.66666666666669</v>
      </c>
      <c r="N1461" s="12" t="s">
        <v>44</v>
      </c>
      <c r="O1461" s="47" t="s">
        <v>45</v>
      </c>
      <c r="P1461" s="13">
        <f t="shared" si="845"/>
        <v>1.03</v>
      </c>
      <c r="Q1461" s="1" t="str">
        <f t="shared" si="846"/>
        <v>1000 + шт - 1,03 руб / шт с НДС</v>
      </c>
      <c r="R1461" s="235"/>
      <c r="S1461" s="239"/>
      <c r="T1461" s="226"/>
      <c r="U1461" s="228"/>
      <c r="V1461" s="222"/>
      <c r="W1461" s="229"/>
      <c r="X1461" s="227"/>
      <c r="Y1461" s="229"/>
      <c r="Z1461" s="236"/>
      <c r="AA1461" s="237"/>
      <c r="AB1461" s="238"/>
      <c r="AC1461" s="223"/>
      <c r="AD1461" s="222"/>
    </row>
    <row r="1462" spans="1:30" x14ac:dyDescent="0.4">
      <c r="A1462" s="230">
        <v>294</v>
      </c>
      <c r="B1462" s="8">
        <v>294</v>
      </c>
      <c r="C1462" s="14">
        <f t="shared" ca="1" si="832"/>
        <v>0.82</v>
      </c>
      <c r="D1462" s="20">
        <f t="shared" ca="1" si="837"/>
        <v>0.98399999999999987</v>
      </c>
      <c r="E1462" s="224" t="str">
        <f ca="1">INDIRECT("'Закуп'!D" &amp; A1462)</f>
        <v>У</v>
      </c>
      <c r="F1462" s="231" t="str">
        <f t="shared" ref="F1462" ca="1" si="849">INDIRECT("'Закуп'!E" &amp; B1462)</f>
        <v>250х250х200</v>
      </c>
      <c r="G1462" s="172" t="str">
        <f t="shared" ca="1" si="821"/>
        <v/>
      </c>
      <c r="H1462" s="93" t="str">
        <f t="shared" ca="1" si="822"/>
        <v/>
      </c>
      <c r="I1462" s="21">
        <v>50</v>
      </c>
      <c r="J1462" s="68">
        <f t="shared" si="823"/>
        <v>1.8000000000000003</v>
      </c>
      <c r="K1462" s="70">
        <v>2.16</v>
      </c>
      <c r="L1462" s="72">
        <f t="shared" ca="1" si="819"/>
        <v>0.78400000000000025</v>
      </c>
      <c r="M1462" s="73">
        <f t="shared" ca="1" si="820"/>
        <v>39.20000000000001</v>
      </c>
      <c r="N1462" s="12" t="s">
        <v>40</v>
      </c>
      <c r="O1462" s="47" t="s">
        <v>45</v>
      </c>
      <c r="P1462" s="13">
        <f t="shared" si="845"/>
        <v>2.16</v>
      </c>
      <c r="Q1462" s="1" t="str">
        <f t="shared" si="846"/>
        <v>50-90 шт - 2,16 руб / шт с НДС</v>
      </c>
      <c r="R1462" s="235" t="str">
        <f ca="1">INDIRECT("'Закуп'!k" &amp; A1462)</f>
        <v>K258</v>
      </c>
      <c r="S1462" s="239">
        <f ca="1">INDIRECT("'Закуп'!o" &amp; A1462)</f>
        <v>12.5</v>
      </c>
      <c r="T1462" s="226" t="str">
        <f ca="1">INDIRECT("'Закуп'!p" &amp; A1462)</f>
        <v>10-14,9 литров</v>
      </c>
      <c r="U1462" s="228" t="str">
        <f ca="1">INDIRECT("'Закуп'!v" &amp; A1462)</f>
        <v/>
      </c>
      <c r="V1462" s="222" t="str">
        <f ca="1">INDIRECT("'Закуп'!w" &amp; A1462)</f>
        <v/>
      </c>
      <c r="W1462" s="229" t="str">
        <f ca="1">INDIRECT("'Закуп'!H" &amp; A1462)</f>
        <v>0201</v>
      </c>
      <c r="X1462" s="227" t="str">
        <f t="shared" ref="X1462" ca="1" si="850">INDIRECT("'Закуп'!g" &amp; A1462)</f>
        <v>Ч</v>
      </c>
      <c r="Y1462" s="229" t="str">
        <f ca="1">INDIRECT("'Закуп'!i" &amp; A1462)</f>
        <v>В</v>
      </c>
      <c r="Z1462" s="236" t="str">
        <f ca="1">INDIRECT("'Закуп'!x" &amp; A1462)</f>
        <v>200-299 мм</v>
      </c>
      <c r="AA1462" s="237" t="str">
        <f ca="1">INDIRECT("'Закуп'!y" &amp; A1462)</f>
        <v>200-299 мм</v>
      </c>
      <c r="AB1462" s="238" t="str">
        <f ca="1">INDIRECT("'Закуп'!z" &amp; A1462)</f>
        <v>200-299 мм</v>
      </c>
      <c r="AC1462" s="223" t="str">
        <f t="shared" ca="1" si="816"/>
        <v>250x250x200</v>
      </c>
      <c r="AD1462" s="222" t="str">
        <f t="shared" ca="1" si="840"/>
        <v>250x250x200 - 250*250*200 мм</v>
      </c>
    </row>
    <row r="1463" spans="1:30" x14ac:dyDescent="0.4">
      <c r="A1463" s="230"/>
      <c r="B1463" s="8">
        <v>294</v>
      </c>
      <c r="C1463" s="14">
        <f t="shared" ca="1" si="832"/>
        <v>0.82</v>
      </c>
      <c r="D1463" s="20">
        <f t="shared" ca="1" si="837"/>
        <v>0.98399999999999987</v>
      </c>
      <c r="E1463" s="225"/>
      <c r="F1463" s="231"/>
      <c r="G1463" s="172" t="str">
        <f t="shared" ca="1" si="821"/>
        <v/>
      </c>
      <c r="H1463" s="93" t="str">
        <f t="shared" ca="1" si="822"/>
        <v/>
      </c>
      <c r="I1463" s="21">
        <v>100</v>
      </c>
      <c r="J1463" s="68">
        <f t="shared" si="823"/>
        <v>1.6416666666666666</v>
      </c>
      <c r="K1463" s="70">
        <v>1.97</v>
      </c>
      <c r="L1463" s="72">
        <f t="shared" ca="1" si="819"/>
        <v>0.65733333333333333</v>
      </c>
      <c r="M1463" s="73">
        <f t="shared" ca="1" si="820"/>
        <v>65.733333333333334</v>
      </c>
      <c r="N1463" s="12" t="s">
        <v>41</v>
      </c>
      <c r="O1463" s="47" t="s">
        <v>45</v>
      </c>
      <c r="P1463" s="13">
        <f t="shared" si="845"/>
        <v>1.97</v>
      </c>
      <c r="Q1463" s="1" t="str">
        <f t="shared" si="846"/>
        <v>100-290 шт - 1,97 руб / шт с НДС</v>
      </c>
      <c r="R1463" s="235"/>
      <c r="S1463" s="239"/>
      <c r="T1463" s="226"/>
      <c r="U1463" s="228"/>
      <c r="V1463" s="222"/>
      <c r="W1463" s="229"/>
      <c r="X1463" s="227"/>
      <c r="Y1463" s="229"/>
      <c r="Z1463" s="236"/>
      <c r="AA1463" s="237"/>
      <c r="AB1463" s="238"/>
      <c r="AC1463" s="223"/>
      <c r="AD1463" s="222"/>
    </row>
    <row r="1464" spans="1:30" x14ac:dyDescent="0.4">
      <c r="A1464" s="230"/>
      <c r="B1464" s="8">
        <v>294</v>
      </c>
      <c r="C1464" s="14">
        <f t="shared" ca="1" si="832"/>
        <v>0.82</v>
      </c>
      <c r="D1464" s="20">
        <f t="shared" ca="1" si="837"/>
        <v>0.98399999999999987</v>
      </c>
      <c r="E1464" s="225"/>
      <c r="F1464" s="231"/>
      <c r="G1464" s="172" t="str">
        <f t="shared" ca="1" si="821"/>
        <v/>
      </c>
      <c r="H1464" s="93" t="str">
        <f t="shared" ca="1" si="822"/>
        <v/>
      </c>
      <c r="I1464" s="21">
        <v>300</v>
      </c>
      <c r="J1464" s="68">
        <f t="shared" si="823"/>
        <v>1.2833333333333334</v>
      </c>
      <c r="K1464" s="70">
        <v>1.54</v>
      </c>
      <c r="L1464" s="72">
        <f t="shared" ca="1" si="819"/>
        <v>0.37066666666666681</v>
      </c>
      <c r="M1464" s="73">
        <f t="shared" ca="1" si="820"/>
        <v>111.20000000000005</v>
      </c>
      <c r="N1464" s="12" t="s">
        <v>42</v>
      </c>
      <c r="O1464" s="47" t="s">
        <v>45</v>
      </c>
      <c r="P1464" s="13">
        <f t="shared" si="845"/>
        <v>1.54</v>
      </c>
      <c r="Q1464" s="1" t="str">
        <f t="shared" si="846"/>
        <v>300-490 шт - 1,54 руб / шт с НДС</v>
      </c>
      <c r="R1464" s="235"/>
      <c r="S1464" s="239"/>
      <c r="T1464" s="226"/>
      <c r="U1464" s="228"/>
      <c r="V1464" s="222"/>
      <c r="W1464" s="229"/>
      <c r="X1464" s="227"/>
      <c r="Y1464" s="229"/>
      <c r="Z1464" s="236"/>
      <c r="AA1464" s="237"/>
      <c r="AB1464" s="238"/>
      <c r="AC1464" s="223"/>
      <c r="AD1464" s="222"/>
    </row>
    <row r="1465" spans="1:30" x14ac:dyDescent="0.4">
      <c r="A1465" s="230"/>
      <c r="B1465" s="8">
        <v>294</v>
      </c>
      <c r="C1465" s="14">
        <f t="shared" ca="1" si="832"/>
        <v>0.82</v>
      </c>
      <c r="D1465" s="20">
        <f t="shared" ca="1" si="837"/>
        <v>0.98399999999999987</v>
      </c>
      <c r="E1465" s="225"/>
      <c r="F1465" s="231"/>
      <c r="G1465" s="172" t="str">
        <f t="shared" ca="1" si="821"/>
        <v/>
      </c>
      <c r="H1465" s="93" t="str">
        <f t="shared" ca="1" si="822"/>
        <v/>
      </c>
      <c r="I1465" s="21">
        <v>500</v>
      </c>
      <c r="J1465" s="68">
        <f t="shared" si="823"/>
        <v>1.1083333333333334</v>
      </c>
      <c r="K1465" s="70">
        <v>1.33</v>
      </c>
      <c r="L1465" s="72">
        <f t="shared" ca="1" si="819"/>
        <v>0.23066666666666674</v>
      </c>
      <c r="M1465" s="73">
        <f t="shared" ca="1" si="820"/>
        <v>115.33333333333337</v>
      </c>
      <c r="N1465" s="12" t="s">
        <v>43</v>
      </c>
      <c r="O1465" s="47" t="s">
        <v>45</v>
      </c>
      <c r="P1465" s="13">
        <f t="shared" si="845"/>
        <v>1.33</v>
      </c>
      <c r="Q1465" s="1" t="str">
        <f t="shared" si="846"/>
        <v>500-990 шт - 1,33 руб / шт с НДС</v>
      </c>
      <c r="R1465" s="235"/>
      <c r="S1465" s="239"/>
      <c r="T1465" s="226"/>
      <c r="U1465" s="228"/>
      <c r="V1465" s="222"/>
      <c r="W1465" s="229"/>
      <c r="X1465" s="227"/>
      <c r="Y1465" s="229"/>
      <c r="Z1465" s="236"/>
      <c r="AA1465" s="237"/>
      <c r="AB1465" s="238"/>
      <c r="AC1465" s="223"/>
      <c r="AD1465" s="222"/>
    </row>
    <row r="1466" spans="1:30" x14ac:dyDescent="0.4">
      <c r="A1466" s="230"/>
      <c r="B1466" s="8">
        <v>294</v>
      </c>
      <c r="C1466" s="14">
        <f t="shared" ca="1" si="832"/>
        <v>0.82</v>
      </c>
      <c r="D1466" s="20">
        <f t="shared" ca="1" si="837"/>
        <v>0.98399999999999987</v>
      </c>
      <c r="E1466" s="225"/>
      <c r="F1466" s="231"/>
      <c r="G1466" s="172" t="str">
        <f t="shared" ca="1" si="821"/>
        <v/>
      </c>
      <c r="H1466" s="93" t="str">
        <f t="shared" ca="1" si="822"/>
        <v/>
      </c>
      <c r="I1466" s="21">
        <v>1000</v>
      </c>
      <c r="J1466" s="68">
        <f t="shared" si="823"/>
        <v>1.0333333333333334</v>
      </c>
      <c r="K1466" s="70">
        <v>1.24</v>
      </c>
      <c r="L1466" s="72">
        <f t="shared" ca="1" si="819"/>
        <v>0.1706666666666668</v>
      </c>
      <c r="M1466" s="73">
        <f t="shared" ca="1" si="820"/>
        <v>170.6666666666668</v>
      </c>
      <c r="N1466" s="12" t="s">
        <v>44</v>
      </c>
      <c r="O1466" s="47" t="s">
        <v>45</v>
      </c>
      <c r="P1466" s="13">
        <f t="shared" si="845"/>
        <v>1.24</v>
      </c>
      <c r="Q1466" s="1" t="str">
        <f t="shared" si="846"/>
        <v>1000 + шт - 1,24 руб / шт с НДС</v>
      </c>
      <c r="R1466" s="235"/>
      <c r="S1466" s="239"/>
      <c r="T1466" s="226"/>
      <c r="U1466" s="228"/>
      <c r="V1466" s="222"/>
      <c r="W1466" s="229"/>
      <c r="X1466" s="227"/>
      <c r="Y1466" s="229"/>
      <c r="Z1466" s="236"/>
      <c r="AA1466" s="237"/>
      <c r="AB1466" s="238"/>
      <c r="AC1466" s="223"/>
      <c r="AD1466" s="222"/>
    </row>
    <row r="1467" spans="1:30" x14ac:dyDescent="0.4">
      <c r="A1467" s="230">
        <v>295</v>
      </c>
      <c r="B1467" s="8">
        <v>295</v>
      </c>
      <c r="C1467" s="14">
        <f t="shared" ca="1" si="832"/>
        <v>0.24</v>
      </c>
      <c r="D1467" s="20">
        <f t="shared" ca="1" si="837"/>
        <v>0.28799999999999998</v>
      </c>
      <c r="E1467" s="224" t="str">
        <f ca="1">INDIRECT("'Закуп'!D" &amp; A1467)</f>
        <v>У</v>
      </c>
      <c r="F1467" s="231" t="str">
        <f t="shared" ref="F1467" ca="1" si="851">INDIRECT("'Закуп'!E" &amp; B1467)</f>
        <v>203х203х25</v>
      </c>
      <c r="G1467" s="172" t="str">
        <f t="shared" ca="1" si="821"/>
        <v/>
      </c>
      <c r="H1467" s="93" t="str">
        <f t="shared" ca="1" si="822"/>
        <v/>
      </c>
      <c r="I1467" s="21">
        <v>50</v>
      </c>
      <c r="J1467" s="68">
        <f t="shared" si="823"/>
        <v>0.91666666666666674</v>
      </c>
      <c r="K1467" s="70">
        <v>1.1000000000000001</v>
      </c>
      <c r="L1467" s="72">
        <f t="shared" ca="1" si="819"/>
        <v>0.54133333333333344</v>
      </c>
      <c r="M1467" s="73">
        <f t="shared" ca="1" si="820"/>
        <v>27.066666666666674</v>
      </c>
      <c r="N1467" s="12" t="s">
        <v>40</v>
      </c>
      <c r="O1467" s="47" t="s">
        <v>45</v>
      </c>
      <c r="P1467" s="13">
        <f t="shared" si="845"/>
        <v>1.1000000000000001</v>
      </c>
      <c r="Q1467" s="1" t="str">
        <f t="shared" si="846"/>
        <v>50-90 шт - 1,1 руб / шт с НДС</v>
      </c>
      <c r="R1467" s="235" t="str">
        <f ca="1">INDIRECT("'Закуп'!k" &amp; A1467)</f>
        <v>K259</v>
      </c>
      <c r="S1467" s="239">
        <f ca="1">INDIRECT("'Закуп'!o" &amp; A1467)</f>
        <v>1.03</v>
      </c>
      <c r="T1467" s="226" t="str">
        <f ca="1">INDIRECT("'Закуп'!p" &amp; A1467)</f>
        <v>1-1,9 литра</v>
      </c>
      <c r="U1467" s="228" t="str">
        <f ca="1">INDIRECT("'Закуп'!v" &amp; A1467)</f>
        <v/>
      </c>
      <c r="V1467" s="222" t="str">
        <f ca="1">INDIRECT("'Закуп'!w" &amp; A1467)</f>
        <v>Плоские</v>
      </c>
      <c r="W1467" s="229" t="str">
        <f ca="1">INDIRECT("'Закуп'!H" &amp; A1467)</f>
        <v>0426</v>
      </c>
      <c r="X1467" s="227" t="str">
        <f t="shared" ref="X1467" ca="1" si="852">INDIRECT("'Закуп'!g" &amp; A1467)</f>
        <v>С</v>
      </c>
      <c r="Y1467" s="229" t="str">
        <f ca="1">INDIRECT("'Закуп'!i" &amp; A1467)</f>
        <v>Е</v>
      </c>
      <c r="Z1467" s="236" t="str">
        <f ca="1">INDIRECT("'Закуп'!x" &amp; A1467)</f>
        <v>200-299 мм</v>
      </c>
      <c r="AA1467" s="237" t="str">
        <f ca="1">INDIRECT("'Закуп'!y" &amp; A1467)</f>
        <v>200-299 мм</v>
      </c>
      <c r="AB1467" s="238" t="str">
        <f ca="1">INDIRECT("'Закуп'!z" &amp; A1467)</f>
        <v>10-99 мм</v>
      </c>
      <c r="AC1467" s="223" t="str">
        <f t="shared" ref="AC1467:AC1527" ca="1" si="853">SUBSTITUTE(INDEX(F:F, ROUNDUP((ROW(A1466))/5,0)*5 - 3), "х", "x")</f>
        <v>203x203x25</v>
      </c>
      <c r="AD1467" s="222" t="str">
        <f t="shared" ca="1" si="840"/>
        <v>203x203x25 - 203*203*25 мм</v>
      </c>
    </row>
    <row r="1468" spans="1:30" x14ac:dyDescent="0.4">
      <c r="A1468" s="230"/>
      <c r="B1468" s="8">
        <v>295</v>
      </c>
      <c r="C1468" s="14">
        <f t="shared" ca="1" si="832"/>
        <v>0.24</v>
      </c>
      <c r="D1468" s="20">
        <f t="shared" ca="1" si="837"/>
        <v>0.28799999999999998</v>
      </c>
      <c r="E1468" s="225"/>
      <c r="F1468" s="231"/>
      <c r="G1468" s="172" t="str">
        <f t="shared" ca="1" si="821"/>
        <v/>
      </c>
      <c r="H1468" s="93" t="str">
        <f t="shared" ca="1" si="822"/>
        <v/>
      </c>
      <c r="I1468" s="21">
        <v>100</v>
      </c>
      <c r="J1468" s="68">
        <f t="shared" si="823"/>
        <v>0.78333333333333333</v>
      </c>
      <c r="K1468" s="70">
        <v>0.94</v>
      </c>
      <c r="L1468" s="72">
        <f t="shared" ca="1" si="819"/>
        <v>0.43466666666666665</v>
      </c>
      <c r="M1468" s="73">
        <f t="shared" ca="1" si="820"/>
        <v>43.466666666666661</v>
      </c>
      <c r="N1468" s="12" t="s">
        <v>41</v>
      </c>
      <c r="O1468" s="47" t="s">
        <v>45</v>
      </c>
      <c r="P1468" s="13">
        <f t="shared" si="845"/>
        <v>0.94</v>
      </c>
      <c r="Q1468" s="1" t="str">
        <f t="shared" si="846"/>
        <v>100-290 шт - 0,94 руб / шт с НДС</v>
      </c>
      <c r="R1468" s="235"/>
      <c r="S1468" s="239"/>
      <c r="T1468" s="226"/>
      <c r="U1468" s="228"/>
      <c r="V1468" s="222"/>
      <c r="W1468" s="229"/>
      <c r="X1468" s="227"/>
      <c r="Y1468" s="229"/>
      <c r="Z1468" s="236"/>
      <c r="AA1468" s="237"/>
      <c r="AB1468" s="238"/>
      <c r="AC1468" s="223"/>
      <c r="AD1468" s="222"/>
    </row>
    <row r="1469" spans="1:30" x14ac:dyDescent="0.4">
      <c r="A1469" s="230"/>
      <c r="B1469" s="8">
        <v>295</v>
      </c>
      <c r="C1469" s="14">
        <f t="shared" ca="1" si="832"/>
        <v>0.24</v>
      </c>
      <c r="D1469" s="20">
        <f t="shared" ca="1" si="837"/>
        <v>0.28799999999999998</v>
      </c>
      <c r="E1469" s="225"/>
      <c r="F1469" s="231"/>
      <c r="G1469" s="172" t="str">
        <f t="shared" ca="1" si="821"/>
        <v/>
      </c>
      <c r="H1469" s="93" t="str">
        <f t="shared" ca="1" si="822"/>
        <v/>
      </c>
      <c r="I1469" s="21">
        <v>300</v>
      </c>
      <c r="J1469" s="68">
        <f t="shared" si="823"/>
        <v>0.64166666666666672</v>
      </c>
      <c r="K1469" s="70">
        <v>0.77</v>
      </c>
      <c r="L1469" s="72">
        <f t="shared" ca="1" si="819"/>
        <v>0.32133333333333336</v>
      </c>
      <c r="M1469" s="73">
        <f t="shared" ca="1" si="820"/>
        <v>96.4</v>
      </c>
      <c r="N1469" s="12" t="s">
        <v>42</v>
      </c>
      <c r="O1469" s="47" t="s">
        <v>45</v>
      </c>
      <c r="P1469" s="13">
        <f t="shared" si="845"/>
        <v>0.77</v>
      </c>
      <c r="Q1469" s="1" t="str">
        <f t="shared" si="846"/>
        <v>300-490 шт - 0,77 руб / шт с НДС</v>
      </c>
      <c r="R1469" s="235"/>
      <c r="S1469" s="239"/>
      <c r="T1469" s="226"/>
      <c r="U1469" s="228"/>
      <c r="V1469" s="222"/>
      <c r="W1469" s="229"/>
      <c r="X1469" s="227"/>
      <c r="Y1469" s="229"/>
      <c r="Z1469" s="236"/>
      <c r="AA1469" s="237"/>
      <c r="AB1469" s="238"/>
      <c r="AC1469" s="223"/>
      <c r="AD1469" s="222"/>
    </row>
    <row r="1470" spans="1:30" x14ac:dyDescent="0.4">
      <c r="A1470" s="230"/>
      <c r="B1470" s="8">
        <v>295</v>
      </c>
      <c r="C1470" s="14">
        <f t="shared" ca="1" si="832"/>
        <v>0.24</v>
      </c>
      <c r="D1470" s="20">
        <f t="shared" ca="1" si="837"/>
        <v>0.28799999999999998</v>
      </c>
      <c r="E1470" s="225"/>
      <c r="F1470" s="231"/>
      <c r="G1470" s="172" t="str">
        <f t="shared" ca="1" si="821"/>
        <v/>
      </c>
      <c r="H1470" s="93" t="str">
        <f t="shared" ca="1" si="822"/>
        <v/>
      </c>
      <c r="I1470" s="21">
        <v>500</v>
      </c>
      <c r="J1470" s="68">
        <f t="shared" si="823"/>
        <v>0.56666666666666676</v>
      </c>
      <c r="K1470" s="70">
        <v>0.68</v>
      </c>
      <c r="L1470" s="72">
        <f t="shared" ca="1" si="819"/>
        <v>0.26133333333333342</v>
      </c>
      <c r="M1470" s="73">
        <f t="shared" ca="1" si="820"/>
        <v>130.66666666666671</v>
      </c>
      <c r="N1470" s="12" t="s">
        <v>43</v>
      </c>
      <c r="O1470" s="47" t="s">
        <v>45</v>
      </c>
      <c r="P1470" s="13">
        <f t="shared" si="845"/>
        <v>0.68</v>
      </c>
      <c r="Q1470" s="1" t="str">
        <f t="shared" si="846"/>
        <v>500-990 шт - 0,68 руб / шт с НДС</v>
      </c>
      <c r="R1470" s="235"/>
      <c r="S1470" s="239"/>
      <c r="T1470" s="226"/>
      <c r="U1470" s="228"/>
      <c r="V1470" s="222"/>
      <c r="W1470" s="229"/>
      <c r="X1470" s="227"/>
      <c r="Y1470" s="229"/>
      <c r="Z1470" s="236"/>
      <c r="AA1470" s="237"/>
      <c r="AB1470" s="238"/>
      <c r="AC1470" s="223"/>
      <c r="AD1470" s="222"/>
    </row>
    <row r="1471" spans="1:30" x14ac:dyDescent="0.4">
      <c r="A1471" s="230"/>
      <c r="B1471" s="8">
        <v>295</v>
      </c>
      <c r="C1471" s="14">
        <f t="shared" ca="1" si="832"/>
        <v>0.24</v>
      </c>
      <c r="D1471" s="20">
        <f t="shared" ca="1" si="837"/>
        <v>0.28799999999999998</v>
      </c>
      <c r="E1471" s="225"/>
      <c r="F1471" s="231"/>
      <c r="G1471" s="172" t="str">
        <f t="shared" ca="1" si="821"/>
        <v/>
      </c>
      <c r="H1471" s="93" t="str">
        <f t="shared" ca="1" si="822"/>
        <v/>
      </c>
      <c r="I1471" s="21">
        <v>1000</v>
      </c>
      <c r="J1471" s="68">
        <f t="shared" si="823"/>
        <v>0.47499999999999998</v>
      </c>
      <c r="K1471" s="70">
        <v>0.56999999999999995</v>
      </c>
      <c r="L1471" s="72">
        <f t="shared" ca="1" si="819"/>
        <v>0.188</v>
      </c>
      <c r="M1471" s="73">
        <f t="shared" ca="1" si="820"/>
        <v>188</v>
      </c>
      <c r="N1471" s="12" t="s">
        <v>44</v>
      </c>
      <c r="O1471" s="47" t="s">
        <v>45</v>
      </c>
      <c r="P1471" s="13">
        <f t="shared" si="845"/>
        <v>0.56999999999999995</v>
      </c>
      <c r="Q1471" s="1" t="str">
        <f t="shared" si="846"/>
        <v>1000 + шт - 0,57 руб / шт с НДС</v>
      </c>
      <c r="R1471" s="235"/>
      <c r="S1471" s="239"/>
      <c r="T1471" s="226"/>
      <c r="U1471" s="228"/>
      <c r="V1471" s="222"/>
      <c r="W1471" s="229"/>
      <c r="X1471" s="227"/>
      <c r="Y1471" s="229"/>
      <c r="Z1471" s="236"/>
      <c r="AA1471" s="237"/>
      <c r="AB1471" s="238"/>
      <c r="AC1471" s="223"/>
      <c r="AD1471" s="222"/>
    </row>
    <row r="1472" spans="1:30" x14ac:dyDescent="0.4">
      <c r="A1472" s="230">
        <v>296</v>
      </c>
      <c r="B1472" s="8">
        <v>296</v>
      </c>
      <c r="C1472" s="14">
        <f t="shared" ca="1" si="832"/>
        <v>0.28999999999999998</v>
      </c>
      <c r="D1472" s="20">
        <f t="shared" ca="1" si="837"/>
        <v>0.34799999999999998</v>
      </c>
      <c r="E1472" s="225" t="str">
        <f ca="1">INDIRECT("'Закуп'!D" &amp; A1472)</f>
        <v>К</v>
      </c>
      <c r="F1472" s="231" t="str">
        <f t="shared" ref="F1472" ca="1" si="854">INDIRECT("'Закуп'!E" &amp; B1472)</f>
        <v>260х85х85</v>
      </c>
      <c r="G1472" s="172" t="str">
        <f t="shared" ca="1" si="821"/>
        <v/>
      </c>
      <c r="H1472" s="93" t="str">
        <f t="shared" ca="1" si="822"/>
        <v/>
      </c>
      <c r="I1472" s="21">
        <v>50</v>
      </c>
      <c r="J1472" s="68">
        <f t="shared" si="823"/>
        <v>0.88333333333333341</v>
      </c>
      <c r="K1472" s="70">
        <v>1.06</v>
      </c>
      <c r="L1472" s="72">
        <f t="shared" ca="1" si="819"/>
        <v>0.47466666666666679</v>
      </c>
      <c r="M1472" s="73">
        <f t="shared" ca="1" si="820"/>
        <v>23.733333333333341</v>
      </c>
      <c r="N1472" s="12" t="s">
        <v>40</v>
      </c>
      <c r="O1472" s="47" t="s">
        <v>45</v>
      </c>
      <c r="P1472" s="13">
        <f t="shared" si="845"/>
        <v>1.06</v>
      </c>
      <c r="Q1472" s="1" t="str">
        <f t="shared" si="846"/>
        <v>50-90 шт - 1,06 руб / шт с НДС</v>
      </c>
      <c r="R1472" s="235" t="str">
        <f ca="1">INDIRECT("'Закуп'!k" &amp; A1472)</f>
        <v>K1040</v>
      </c>
      <c r="S1472" s="239">
        <f ca="1">INDIRECT("'Закуп'!o" &amp; A1472)</f>
        <v>1.88</v>
      </c>
      <c r="T1472" s="226" t="str">
        <f ca="1">INDIRECT("'Закуп'!p" &amp; A1472)</f>
        <v>1-1,9 литра</v>
      </c>
      <c r="U1472" s="228" t="str">
        <f ca="1">INDIRECT("'Закуп'!v" &amp; A1472)</f>
        <v>Длинные</v>
      </c>
      <c r="V1472" s="222" t="str">
        <f ca="1">INDIRECT("'Закуп'!w" &amp; A1472)</f>
        <v/>
      </c>
      <c r="W1472" s="229" t="str">
        <f ca="1">INDIRECT("'Закуп'!H" &amp; A1472)</f>
        <v>0470</v>
      </c>
      <c r="X1472" s="227" t="str">
        <f t="shared" ref="X1472" ca="1" si="855">INDIRECT("'Закуп'!g" &amp; A1472)</f>
        <v>С</v>
      </c>
      <c r="Y1472" s="229" t="str">
        <f ca="1">INDIRECT("'Закуп'!i" &amp; A1472)</f>
        <v>В</v>
      </c>
      <c r="Z1472" s="236" t="str">
        <f ca="1">INDIRECT("'Закуп'!x" &amp; A1472)</f>
        <v>200-299 мм</v>
      </c>
      <c r="AA1472" s="237" t="str">
        <f ca="1">INDIRECT("'Закуп'!y" &amp; A1472)</f>
        <v>10-99 мм</v>
      </c>
      <c r="AB1472" s="238" t="str">
        <f ca="1">INDIRECT("'Закуп'!z" &amp; A1472)</f>
        <v>10-99 мм</v>
      </c>
      <c r="AC1472" s="223" t="str">
        <f t="shared" ca="1" si="853"/>
        <v>260x85x85</v>
      </c>
      <c r="AD1472" s="222" t="str">
        <f t="shared" ca="1" si="840"/>
        <v>260x85x85 - 260*85*85 мм</v>
      </c>
    </row>
    <row r="1473" spans="1:30" x14ac:dyDescent="0.4">
      <c r="A1473" s="230"/>
      <c r="B1473" s="8">
        <v>296</v>
      </c>
      <c r="C1473" s="14">
        <f t="shared" ca="1" si="832"/>
        <v>0.28999999999999998</v>
      </c>
      <c r="D1473" s="20">
        <f t="shared" ca="1" si="837"/>
        <v>0.34799999999999998</v>
      </c>
      <c r="E1473" s="225"/>
      <c r="F1473" s="231"/>
      <c r="G1473" s="172" t="str">
        <f t="shared" ca="1" si="821"/>
        <v/>
      </c>
      <c r="H1473" s="93" t="str">
        <f t="shared" ca="1" si="822"/>
        <v/>
      </c>
      <c r="I1473" s="21">
        <v>100</v>
      </c>
      <c r="J1473" s="68">
        <f t="shared" si="823"/>
        <v>0.75833333333333341</v>
      </c>
      <c r="K1473" s="70">
        <v>0.91</v>
      </c>
      <c r="L1473" s="72">
        <f t="shared" ca="1" si="819"/>
        <v>0.37466666666666676</v>
      </c>
      <c r="M1473" s="73">
        <f t="shared" ca="1" si="820"/>
        <v>37.466666666666676</v>
      </c>
      <c r="N1473" s="12" t="s">
        <v>41</v>
      </c>
      <c r="O1473" s="47" t="s">
        <v>45</v>
      </c>
      <c r="P1473" s="13">
        <f t="shared" si="845"/>
        <v>0.91</v>
      </c>
      <c r="Q1473" s="1" t="str">
        <f t="shared" si="846"/>
        <v>100-290 шт - 0,91 руб / шт с НДС</v>
      </c>
      <c r="R1473" s="235"/>
      <c r="S1473" s="239"/>
      <c r="T1473" s="226"/>
      <c r="U1473" s="228"/>
      <c r="V1473" s="222"/>
      <c r="W1473" s="229"/>
      <c r="X1473" s="227"/>
      <c r="Y1473" s="229"/>
      <c r="Z1473" s="236"/>
      <c r="AA1473" s="237"/>
      <c r="AB1473" s="238"/>
      <c r="AC1473" s="223"/>
      <c r="AD1473" s="222"/>
    </row>
    <row r="1474" spans="1:30" x14ac:dyDescent="0.4">
      <c r="A1474" s="230"/>
      <c r="B1474" s="8">
        <v>296</v>
      </c>
      <c r="C1474" s="14">
        <f t="shared" ca="1" si="832"/>
        <v>0.28999999999999998</v>
      </c>
      <c r="D1474" s="20">
        <f t="shared" ca="1" si="837"/>
        <v>0.34799999999999998</v>
      </c>
      <c r="E1474" s="225"/>
      <c r="F1474" s="231"/>
      <c r="G1474" s="172" t="str">
        <f t="shared" ca="1" si="821"/>
        <v/>
      </c>
      <c r="H1474" s="93" t="str">
        <f t="shared" ca="1" si="822"/>
        <v/>
      </c>
      <c r="I1474" s="21">
        <v>300</v>
      </c>
      <c r="J1474" s="68">
        <f t="shared" si="823"/>
        <v>0.60833333333333339</v>
      </c>
      <c r="K1474" s="70">
        <v>0.73</v>
      </c>
      <c r="L1474" s="72">
        <f t="shared" ref="L1474:L1537" ca="1" si="856">J1474-C1474-(J1474-C1474)*0.2</f>
        <v>0.25466666666666671</v>
      </c>
      <c r="M1474" s="73">
        <f t="shared" ref="M1474:M1537" ca="1" si="857">L1474*I1474</f>
        <v>76.400000000000006</v>
      </c>
      <c r="N1474" s="12" t="s">
        <v>42</v>
      </c>
      <c r="O1474" s="47" t="s">
        <v>45</v>
      </c>
      <c r="P1474" s="13">
        <f t="shared" si="845"/>
        <v>0.73</v>
      </c>
      <c r="Q1474" s="1" t="str">
        <f t="shared" si="846"/>
        <v>300-490 шт - 0,73 руб / шт с НДС</v>
      </c>
      <c r="R1474" s="235"/>
      <c r="S1474" s="239"/>
      <c r="T1474" s="226"/>
      <c r="U1474" s="228"/>
      <c r="V1474" s="222"/>
      <c r="W1474" s="229"/>
      <c r="X1474" s="227"/>
      <c r="Y1474" s="229"/>
      <c r="Z1474" s="236"/>
      <c r="AA1474" s="237"/>
      <c r="AB1474" s="238"/>
      <c r="AC1474" s="223"/>
      <c r="AD1474" s="222"/>
    </row>
    <row r="1475" spans="1:30" x14ac:dyDescent="0.4">
      <c r="A1475" s="230"/>
      <c r="B1475" s="8">
        <v>296</v>
      </c>
      <c r="C1475" s="14">
        <f t="shared" ca="1" si="832"/>
        <v>0.28999999999999998</v>
      </c>
      <c r="D1475" s="20">
        <f t="shared" ca="1" si="837"/>
        <v>0.34799999999999998</v>
      </c>
      <c r="E1475" s="225"/>
      <c r="F1475" s="231"/>
      <c r="G1475" s="172" t="str">
        <f t="shared" ref="G1475:G1538" ca="1" si="858">IF(INDIRECT("'Закуп'!L" &amp; B1475)="Sale","Sale","")</f>
        <v/>
      </c>
      <c r="H1475" s="93" t="str">
        <f t="shared" ref="H1475:H1538" ca="1" si="859">IF(INDIRECT("'Закуп'!F" &amp; B1475)=0,"",INDIRECT("'Закуп'!F" &amp; B1475))</f>
        <v/>
      </c>
      <c r="I1475" s="21">
        <v>500</v>
      </c>
      <c r="J1475" s="68">
        <f t="shared" ref="J1475:J1538" si="860">K1475/1.2</f>
        <v>0.55833333333333335</v>
      </c>
      <c r="K1475" s="70">
        <v>0.67</v>
      </c>
      <c r="L1475" s="72">
        <f t="shared" ca="1" si="856"/>
        <v>0.2146666666666667</v>
      </c>
      <c r="M1475" s="73">
        <f t="shared" ca="1" si="857"/>
        <v>107.33333333333336</v>
      </c>
      <c r="N1475" s="12" t="s">
        <v>43</v>
      </c>
      <c r="O1475" s="47" t="s">
        <v>45</v>
      </c>
      <c r="P1475" s="13">
        <f t="shared" si="845"/>
        <v>0.67</v>
      </c>
      <c r="Q1475" s="1" t="str">
        <f t="shared" si="846"/>
        <v>500-990 шт - 0,67 руб / шт с НДС</v>
      </c>
      <c r="R1475" s="235"/>
      <c r="S1475" s="239"/>
      <c r="T1475" s="226"/>
      <c r="U1475" s="228"/>
      <c r="V1475" s="222"/>
      <c r="W1475" s="229"/>
      <c r="X1475" s="227"/>
      <c r="Y1475" s="229"/>
      <c r="Z1475" s="236"/>
      <c r="AA1475" s="237"/>
      <c r="AB1475" s="238"/>
      <c r="AC1475" s="223"/>
      <c r="AD1475" s="222"/>
    </row>
    <row r="1476" spans="1:30" x14ac:dyDescent="0.4">
      <c r="A1476" s="230"/>
      <c r="B1476" s="8">
        <v>296</v>
      </c>
      <c r="C1476" s="14">
        <f t="shared" ca="1" si="832"/>
        <v>0.28999999999999998</v>
      </c>
      <c r="D1476" s="20">
        <f t="shared" ca="1" si="837"/>
        <v>0.34799999999999998</v>
      </c>
      <c r="E1476" s="225"/>
      <c r="F1476" s="231"/>
      <c r="G1476" s="172" t="str">
        <f t="shared" ca="1" si="858"/>
        <v/>
      </c>
      <c r="H1476" s="93" t="str">
        <f t="shared" ca="1" si="859"/>
        <v/>
      </c>
      <c r="I1476" s="21">
        <v>1000</v>
      </c>
      <c r="J1476" s="68">
        <f t="shared" si="860"/>
        <v>0.47499999999999998</v>
      </c>
      <c r="K1476" s="70">
        <v>0.56999999999999995</v>
      </c>
      <c r="L1476" s="72">
        <f t="shared" ca="1" si="856"/>
        <v>0.14799999999999999</v>
      </c>
      <c r="M1476" s="73">
        <f t="shared" ca="1" si="857"/>
        <v>148</v>
      </c>
      <c r="N1476" s="12" t="s">
        <v>44</v>
      </c>
      <c r="O1476" s="47" t="s">
        <v>45</v>
      </c>
      <c r="P1476" s="13">
        <f t="shared" si="845"/>
        <v>0.56999999999999995</v>
      </c>
      <c r="Q1476" s="1" t="str">
        <f t="shared" si="846"/>
        <v>1000 + шт - 0,57 руб / шт с НДС</v>
      </c>
      <c r="R1476" s="235"/>
      <c r="S1476" s="239"/>
      <c r="T1476" s="226"/>
      <c r="U1476" s="228"/>
      <c r="V1476" s="222"/>
      <c r="W1476" s="229"/>
      <c r="X1476" s="227"/>
      <c r="Y1476" s="229"/>
      <c r="Z1476" s="236"/>
      <c r="AA1476" s="237"/>
      <c r="AB1476" s="238"/>
      <c r="AC1476" s="223"/>
      <c r="AD1476" s="222"/>
    </row>
    <row r="1477" spans="1:30" x14ac:dyDescent="0.4">
      <c r="A1477" s="230">
        <v>297</v>
      </c>
      <c r="B1477" s="8">
        <v>297</v>
      </c>
      <c r="C1477" s="14">
        <f t="shared" ca="1" si="832"/>
        <v>0.45</v>
      </c>
      <c r="D1477" s="20">
        <f t="shared" ca="1" si="837"/>
        <v>0.54</v>
      </c>
      <c r="E1477" s="224" t="str">
        <f ca="1">INDIRECT("'Закуп'!D" &amp; A1477)</f>
        <v>У</v>
      </c>
      <c r="F1477" s="231" t="str">
        <f t="shared" ref="F1477" ca="1" si="861">INDIRECT("'Закуп'!E" &amp; B1477)</f>
        <v>125х125х350</v>
      </c>
      <c r="G1477" s="172" t="str">
        <f t="shared" ca="1" si="858"/>
        <v/>
      </c>
      <c r="H1477" s="93" t="str">
        <f t="shared" ca="1" si="859"/>
        <v/>
      </c>
      <c r="I1477" s="21">
        <v>50</v>
      </c>
      <c r="J1477" s="68">
        <f t="shared" si="860"/>
        <v>1.1083333333333334</v>
      </c>
      <c r="K1477" s="70">
        <v>1.33</v>
      </c>
      <c r="L1477" s="72">
        <f t="shared" ca="1" si="856"/>
        <v>0.52666666666666673</v>
      </c>
      <c r="M1477" s="73">
        <f t="shared" ca="1" si="857"/>
        <v>26.333333333333336</v>
      </c>
      <c r="N1477" s="12" t="s">
        <v>40</v>
      </c>
      <c r="O1477" s="47" t="s">
        <v>45</v>
      </c>
      <c r="P1477" s="13">
        <f t="shared" si="845"/>
        <v>1.33</v>
      </c>
      <c r="Q1477" s="1" t="str">
        <f t="shared" si="846"/>
        <v>50-90 шт - 1,33 руб / шт с НДС</v>
      </c>
      <c r="R1477" s="235" t="str">
        <f ca="1">INDIRECT("'Закуп'!k" &amp; A1477)</f>
        <v>K260</v>
      </c>
      <c r="S1477" s="239">
        <f ca="1">INDIRECT("'Закуп'!o" &amp; A1477)</f>
        <v>5.47</v>
      </c>
      <c r="T1477" s="226" t="str">
        <f ca="1">INDIRECT("'Закуп'!p" &amp; A1477)</f>
        <v>4-5,9 литра</v>
      </c>
      <c r="U1477" s="228" t="str">
        <f ca="1">INDIRECT("'Закуп'!v" &amp; A1477)</f>
        <v>Длинные</v>
      </c>
      <c r="V1477" s="222" t="str">
        <f ca="1">INDIRECT("'Закуп'!w" &amp; A1477)</f>
        <v/>
      </c>
      <c r="W1477" s="229" t="str">
        <f ca="1">INDIRECT("'Закуп'!H" &amp; A1477)</f>
        <v>0201</v>
      </c>
      <c r="X1477" s="227" t="str">
        <f t="shared" ref="X1477" ca="1" si="862">INDIRECT("'Закуп'!g" &amp; A1477)</f>
        <v>Ч</v>
      </c>
      <c r="Y1477" s="229" t="str">
        <f ca="1">INDIRECT("'Закуп'!i" &amp; A1477)</f>
        <v>В</v>
      </c>
      <c r="Z1477" s="236" t="str">
        <f ca="1">INDIRECT("'Закуп'!x" &amp; A1477)</f>
        <v>300-399 мм</v>
      </c>
      <c r="AA1477" s="237" t="str">
        <f ca="1">INDIRECT("'Закуп'!y" &amp; A1477)</f>
        <v>100-199 мм</v>
      </c>
      <c r="AB1477" s="238" t="str">
        <f ca="1">INDIRECT("'Закуп'!z" &amp; A1477)</f>
        <v>100-199 мм</v>
      </c>
      <c r="AC1477" s="223" t="str">
        <f t="shared" ca="1" si="853"/>
        <v>125x125x350</v>
      </c>
      <c r="AD1477" s="222" t="str">
        <f t="shared" ca="1" si="840"/>
        <v>125x125x350 - 125*125*350 мм</v>
      </c>
    </row>
    <row r="1478" spans="1:30" x14ac:dyDescent="0.4">
      <c r="A1478" s="230"/>
      <c r="B1478" s="8">
        <v>297</v>
      </c>
      <c r="C1478" s="14">
        <f t="shared" ca="1" si="832"/>
        <v>0.45</v>
      </c>
      <c r="D1478" s="20">
        <f t="shared" ca="1" si="837"/>
        <v>0.54</v>
      </c>
      <c r="E1478" s="225"/>
      <c r="F1478" s="231"/>
      <c r="G1478" s="172" t="str">
        <f t="shared" ca="1" si="858"/>
        <v/>
      </c>
      <c r="H1478" s="93" t="str">
        <f t="shared" ca="1" si="859"/>
        <v/>
      </c>
      <c r="I1478" s="21">
        <v>100</v>
      </c>
      <c r="J1478" s="68">
        <f t="shared" si="860"/>
        <v>0.96666666666666667</v>
      </c>
      <c r="K1478" s="70">
        <v>1.1599999999999999</v>
      </c>
      <c r="L1478" s="72">
        <f t="shared" ca="1" si="856"/>
        <v>0.41333333333333327</v>
      </c>
      <c r="M1478" s="73">
        <f t="shared" ca="1" si="857"/>
        <v>41.333333333333329</v>
      </c>
      <c r="N1478" s="12" t="s">
        <v>41</v>
      </c>
      <c r="O1478" s="47" t="s">
        <v>45</v>
      </c>
      <c r="P1478" s="13">
        <f t="shared" si="845"/>
        <v>1.1599999999999999</v>
      </c>
      <c r="Q1478" s="1" t="str">
        <f t="shared" si="846"/>
        <v>100-290 шт - 1,16 руб / шт с НДС</v>
      </c>
      <c r="R1478" s="235"/>
      <c r="S1478" s="239"/>
      <c r="T1478" s="226"/>
      <c r="U1478" s="228"/>
      <c r="V1478" s="222"/>
      <c r="W1478" s="229"/>
      <c r="X1478" s="227"/>
      <c r="Y1478" s="229"/>
      <c r="Z1478" s="236"/>
      <c r="AA1478" s="237"/>
      <c r="AB1478" s="238"/>
      <c r="AC1478" s="223"/>
      <c r="AD1478" s="222"/>
    </row>
    <row r="1479" spans="1:30" x14ac:dyDescent="0.4">
      <c r="A1479" s="230"/>
      <c r="B1479" s="8">
        <v>297</v>
      </c>
      <c r="C1479" s="14">
        <f t="shared" ca="1" si="832"/>
        <v>0.45</v>
      </c>
      <c r="D1479" s="20">
        <f t="shared" ca="1" si="837"/>
        <v>0.54</v>
      </c>
      <c r="E1479" s="225"/>
      <c r="F1479" s="231"/>
      <c r="G1479" s="172" t="str">
        <f t="shared" ca="1" si="858"/>
        <v/>
      </c>
      <c r="H1479" s="93" t="str">
        <f t="shared" ca="1" si="859"/>
        <v/>
      </c>
      <c r="I1479" s="21">
        <v>300</v>
      </c>
      <c r="J1479" s="68">
        <f t="shared" si="860"/>
        <v>0.81666666666666665</v>
      </c>
      <c r="K1479" s="70">
        <v>0.98</v>
      </c>
      <c r="L1479" s="72">
        <f t="shared" ca="1" si="856"/>
        <v>0.29333333333333333</v>
      </c>
      <c r="M1479" s="73">
        <f t="shared" ca="1" si="857"/>
        <v>88</v>
      </c>
      <c r="N1479" s="12" t="s">
        <v>42</v>
      </c>
      <c r="O1479" s="47" t="s">
        <v>45</v>
      </c>
      <c r="P1479" s="13">
        <f t="shared" si="845"/>
        <v>0.98</v>
      </c>
      <c r="Q1479" s="1" t="str">
        <f t="shared" si="846"/>
        <v>300-490 шт - 0,98 руб / шт с НДС</v>
      </c>
      <c r="R1479" s="235"/>
      <c r="S1479" s="239"/>
      <c r="T1479" s="226"/>
      <c r="U1479" s="228"/>
      <c r="V1479" s="222"/>
      <c r="W1479" s="229"/>
      <c r="X1479" s="227"/>
      <c r="Y1479" s="229"/>
      <c r="Z1479" s="236"/>
      <c r="AA1479" s="237"/>
      <c r="AB1479" s="238"/>
      <c r="AC1479" s="223"/>
      <c r="AD1479" s="222"/>
    </row>
    <row r="1480" spans="1:30" x14ac:dyDescent="0.4">
      <c r="A1480" s="230"/>
      <c r="B1480" s="8">
        <v>297</v>
      </c>
      <c r="C1480" s="14">
        <f t="shared" ca="1" si="832"/>
        <v>0.45</v>
      </c>
      <c r="D1480" s="20">
        <f t="shared" ca="1" si="837"/>
        <v>0.54</v>
      </c>
      <c r="E1480" s="225"/>
      <c r="F1480" s="231"/>
      <c r="G1480" s="172" t="str">
        <f t="shared" ca="1" si="858"/>
        <v/>
      </c>
      <c r="H1480" s="93" t="str">
        <f t="shared" ca="1" si="859"/>
        <v/>
      </c>
      <c r="I1480" s="21">
        <v>500</v>
      </c>
      <c r="J1480" s="68">
        <f t="shared" si="860"/>
        <v>0.76666666666666672</v>
      </c>
      <c r="K1480" s="70">
        <v>0.92</v>
      </c>
      <c r="L1480" s="72">
        <f t="shared" ca="1" si="856"/>
        <v>0.25333333333333335</v>
      </c>
      <c r="M1480" s="73">
        <f t="shared" ca="1" si="857"/>
        <v>126.66666666666667</v>
      </c>
      <c r="N1480" s="12" t="s">
        <v>43</v>
      </c>
      <c r="O1480" s="47" t="s">
        <v>45</v>
      </c>
      <c r="P1480" s="13">
        <f t="shared" si="845"/>
        <v>0.92</v>
      </c>
      <c r="Q1480" s="1" t="str">
        <f t="shared" si="846"/>
        <v>500-990 шт - 0,92 руб / шт с НДС</v>
      </c>
      <c r="R1480" s="235"/>
      <c r="S1480" s="239"/>
      <c r="T1480" s="226"/>
      <c r="U1480" s="228"/>
      <c r="V1480" s="222"/>
      <c r="W1480" s="229"/>
      <c r="X1480" s="227"/>
      <c r="Y1480" s="229"/>
      <c r="Z1480" s="236"/>
      <c r="AA1480" s="237"/>
      <c r="AB1480" s="238"/>
      <c r="AC1480" s="223"/>
      <c r="AD1480" s="222"/>
    </row>
    <row r="1481" spans="1:30" x14ac:dyDescent="0.4">
      <c r="A1481" s="230"/>
      <c r="B1481" s="8">
        <v>297</v>
      </c>
      <c r="C1481" s="14">
        <f t="shared" ca="1" si="832"/>
        <v>0.45</v>
      </c>
      <c r="D1481" s="20">
        <f t="shared" ca="1" si="837"/>
        <v>0.54</v>
      </c>
      <c r="E1481" s="225"/>
      <c r="F1481" s="231"/>
      <c r="G1481" s="172" t="str">
        <f t="shared" ca="1" si="858"/>
        <v/>
      </c>
      <c r="H1481" s="93" t="str">
        <f t="shared" ca="1" si="859"/>
        <v/>
      </c>
      <c r="I1481" s="21">
        <v>1000</v>
      </c>
      <c r="J1481" s="68">
        <f t="shared" si="860"/>
        <v>0.71666666666666667</v>
      </c>
      <c r="K1481" s="70">
        <v>0.86</v>
      </c>
      <c r="L1481" s="72">
        <f t="shared" ca="1" si="856"/>
        <v>0.21333333333333332</v>
      </c>
      <c r="M1481" s="73">
        <f t="shared" ca="1" si="857"/>
        <v>213.33333333333331</v>
      </c>
      <c r="N1481" s="12" t="s">
        <v>44</v>
      </c>
      <c r="O1481" s="47" t="s">
        <v>45</v>
      </c>
      <c r="P1481" s="13">
        <f t="shared" si="845"/>
        <v>0.86</v>
      </c>
      <c r="Q1481" s="1" t="str">
        <f t="shared" si="846"/>
        <v>1000 + шт - 0,86 руб / шт с НДС</v>
      </c>
      <c r="R1481" s="235"/>
      <c r="S1481" s="239"/>
      <c r="T1481" s="226"/>
      <c r="U1481" s="228"/>
      <c r="V1481" s="222"/>
      <c r="W1481" s="229"/>
      <c r="X1481" s="227"/>
      <c r="Y1481" s="229"/>
      <c r="Z1481" s="236"/>
      <c r="AA1481" s="237"/>
      <c r="AB1481" s="238"/>
      <c r="AC1481" s="223"/>
      <c r="AD1481" s="222"/>
    </row>
    <row r="1482" spans="1:30" x14ac:dyDescent="0.4">
      <c r="A1482" s="230">
        <v>298</v>
      </c>
      <c r="B1482" s="8">
        <v>298</v>
      </c>
      <c r="C1482" s="14">
        <f t="shared" ca="1" si="832"/>
        <v>0.49</v>
      </c>
      <c r="D1482" s="20">
        <f t="shared" ca="1" si="837"/>
        <v>0.58799999999999997</v>
      </c>
      <c r="E1482" s="224" t="str">
        <f ca="1">INDIRECT("'Закуп'!D" &amp; A1482)</f>
        <v>У</v>
      </c>
      <c r="F1482" s="231" t="str">
        <f t="shared" ref="F1482" ca="1" si="863">INDIRECT("'Закуп'!E" &amp; B1482)</f>
        <v>125х125х400</v>
      </c>
      <c r="G1482" s="172" t="str">
        <f t="shared" ca="1" si="858"/>
        <v/>
      </c>
      <c r="H1482" s="93" t="str">
        <f t="shared" ca="1" si="859"/>
        <v/>
      </c>
      <c r="I1482" s="21">
        <v>50</v>
      </c>
      <c r="J1482" s="68">
        <f t="shared" si="860"/>
        <v>1.2083333333333333</v>
      </c>
      <c r="K1482" s="70">
        <v>1.45</v>
      </c>
      <c r="L1482" s="72">
        <f t="shared" ca="1" si="856"/>
        <v>0.57466666666666666</v>
      </c>
      <c r="M1482" s="73">
        <f t="shared" ca="1" si="857"/>
        <v>28.733333333333334</v>
      </c>
      <c r="N1482" s="12" t="s">
        <v>40</v>
      </c>
      <c r="O1482" s="47" t="s">
        <v>45</v>
      </c>
      <c r="P1482" s="13">
        <f t="shared" si="845"/>
        <v>1.45</v>
      </c>
      <c r="Q1482" s="1" t="str">
        <f t="shared" si="846"/>
        <v>50-90 шт - 1,45 руб / шт с НДС</v>
      </c>
      <c r="R1482" s="235" t="str">
        <f ca="1">INDIRECT("'Закуп'!k" &amp; A1482)</f>
        <v>K261</v>
      </c>
      <c r="S1482" s="239">
        <f ca="1">INDIRECT("'Закуп'!o" &amp; A1482)</f>
        <v>6.25</v>
      </c>
      <c r="T1482" s="226" t="str">
        <f ca="1">INDIRECT("'Закуп'!p" &amp; A1482)</f>
        <v>6-7,9 литра</v>
      </c>
      <c r="U1482" s="228" t="str">
        <f ca="1">INDIRECT("'Закуп'!v" &amp; A1482)</f>
        <v>Длинные</v>
      </c>
      <c r="V1482" s="222" t="str">
        <f ca="1">INDIRECT("'Закуп'!w" &amp; A1482)</f>
        <v/>
      </c>
      <c r="W1482" s="229" t="str">
        <f ca="1">INDIRECT("'Закуп'!H" &amp; A1482)</f>
        <v>0201</v>
      </c>
      <c r="X1482" s="227" t="str">
        <f t="shared" ref="X1482" ca="1" si="864">INDIRECT("'Закуп'!g" &amp; A1482)</f>
        <v>Ч</v>
      </c>
      <c r="Y1482" s="229" t="str">
        <f ca="1">INDIRECT("'Закуп'!i" &amp; A1482)</f>
        <v>В</v>
      </c>
      <c r="Z1482" s="236" t="str">
        <f ca="1">INDIRECT("'Закуп'!x" &amp; A1482)</f>
        <v>400-499 мм</v>
      </c>
      <c r="AA1482" s="237" t="str">
        <f ca="1">INDIRECT("'Закуп'!y" &amp; A1482)</f>
        <v>100-199 мм</v>
      </c>
      <c r="AB1482" s="238" t="str">
        <f ca="1">INDIRECT("'Закуп'!z" &amp; A1482)</f>
        <v>100-199 мм</v>
      </c>
      <c r="AC1482" s="223" t="str">
        <f t="shared" ca="1" si="853"/>
        <v>125x125x400</v>
      </c>
      <c r="AD1482" s="222" t="str">
        <f t="shared" ca="1" si="840"/>
        <v>125x125x400 - 125*125*400 мм</v>
      </c>
    </row>
    <row r="1483" spans="1:30" x14ac:dyDescent="0.4">
      <c r="A1483" s="230"/>
      <c r="B1483" s="8">
        <v>298</v>
      </c>
      <c r="C1483" s="14">
        <f t="shared" ca="1" si="832"/>
        <v>0.49</v>
      </c>
      <c r="D1483" s="20">
        <f t="shared" ca="1" si="837"/>
        <v>0.58799999999999997</v>
      </c>
      <c r="E1483" s="225"/>
      <c r="F1483" s="231"/>
      <c r="G1483" s="172" t="str">
        <f t="shared" ca="1" si="858"/>
        <v/>
      </c>
      <c r="H1483" s="93" t="str">
        <f t="shared" ca="1" si="859"/>
        <v/>
      </c>
      <c r="I1483" s="21">
        <v>100</v>
      </c>
      <c r="J1483" s="68">
        <f t="shared" si="860"/>
        <v>1.05</v>
      </c>
      <c r="K1483" s="70">
        <v>1.26</v>
      </c>
      <c r="L1483" s="72">
        <f t="shared" ca="1" si="856"/>
        <v>0.44800000000000006</v>
      </c>
      <c r="M1483" s="73">
        <f t="shared" ca="1" si="857"/>
        <v>44.800000000000004</v>
      </c>
      <c r="N1483" s="12" t="s">
        <v>41</v>
      </c>
      <c r="O1483" s="47" t="s">
        <v>45</v>
      </c>
      <c r="P1483" s="13">
        <f t="shared" si="845"/>
        <v>1.26</v>
      </c>
      <c r="Q1483" s="1" t="str">
        <f t="shared" si="846"/>
        <v>100-290 шт - 1,26 руб / шт с НДС</v>
      </c>
      <c r="R1483" s="235"/>
      <c r="S1483" s="239"/>
      <c r="T1483" s="226"/>
      <c r="U1483" s="228"/>
      <c r="V1483" s="222"/>
      <c r="W1483" s="229"/>
      <c r="X1483" s="227"/>
      <c r="Y1483" s="229"/>
      <c r="Z1483" s="236"/>
      <c r="AA1483" s="237"/>
      <c r="AB1483" s="238"/>
      <c r="AC1483" s="223"/>
      <c r="AD1483" s="222"/>
    </row>
    <row r="1484" spans="1:30" x14ac:dyDescent="0.4">
      <c r="A1484" s="230"/>
      <c r="B1484" s="8">
        <v>298</v>
      </c>
      <c r="C1484" s="14">
        <f t="shared" ca="1" si="832"/>
        <v>0.49</v>
      </c>
      <c r="D1484" s="20">
        <f t="shared" ca="1" si="837"/>
        <v>0.58799999999999997</v>
      </c>
      <c r="E1484" s="225"/>
      <c r="F1484" s="231"/>
      <c r="G1484" s="172" t="str">
        <f t="shared" ca="1" si="858"/>
        <v/>
      </c>
      <c r="H1484" s="93" t="str">
        <f t="shared" ca="1" si="859"/>
        <v/>
      </c>
      <c r="I1484" s="21">
        <v>300</v>
      </c>
      <c r="J1484" s="68">
        <f t="shared" si="860"/>
        <v>0.89166666666666672</v>
      </c>
      <c r="K1484" s="70">
        <v>1.07</v>
      </c>
      <c r="L1484" s="72">
        <f t="shared" ca="1" si="856"/>
        <v>0.32133333333333336</v>
      </c>
      <c r="M1484" s="73">
        <f t="shared" ca="1" si="857"/>
        <v>96.4</v>
      </c>
      <c r="N1484" s="12" t="s">
        <v>42</v>
      </c>
      <c r="O1484" s="47" t="s">
        <v>45</v>
      </c>
      <c r="P1484" s="13">
        <f t="shared" si="845"/>
        <v>1.07</v>
      </c>
      <c r="Q1484" s="1" t="str">
        <f t="shared" si="846"/>
        <v>300-490 шт - 1,07 руб / шт с НДС</v>
      </c>
      <c r="R1484" s="235"/>
      <c r="S1484" s="239"/>
      <c r="T1484" s="226"/>
      <c r="U1484" s="228"/>
      <c r="V1484" s="222"/>
      <c r="W1484" s="229"/>
      <c r="X1484" s="227"/>
      <c r="Y1484" s="229"/>
      <c r="Z1484" s="236"/>
      <c r="AA1484" s="237"/>
      <c r="AB1484" s="238"/>
      <c r="AC1484" s="223"/>
      <c r="AD1484" s="222"/>
    </row>
    <row r="1485" spans="1:30" x14ac:dyDescent="0.4">
      <c r="A1485" s="230"/>
      <c r="B1485" s="8">
        <v>298</v>
      </c>
      <c r="C1485" s="14">
        <f t="shared" ca="1" si="832"/>
        <v>0.49</v>
      </c>
      <c r="D1485" s="20">
        <f t="shared" ca="1" si="837"/>
        <v>0.58799999999999997</v>
      </c>
      <c r="E1485" s="225"/>
      <c r="F1485" s="231"/>
      <c r="G1485" s="172" t="str">
        <f t="shared" ca="1" si="858"/>
        <v/>
      </c>
      <c r="H1485" s="93" t="str">
        <f t="shared" ca="1" si="859"/>
        <v/>
      </c>
      <c r="I1485" s="21">
        <v>500</v>
      </c>
      <c r="J1485" s="68">
        <f t="shared" si="860"/>
        <v>0.84166666666666667</v>
      </c>
      <c r="K1485" s="70">
        <v>1.01</v>
      </c>
      <c r="L1485" s="72">
        <f t="shared" ca="1" si="856"/>
        <v>0.28133333333333332</v>
      </c>
      <c r="M1485" s="73">
        <f t="shared" ca="1" si="857"/>
        <v>140.66666666666666</v>
      </c>
      <c r="N1485" s="12" t="s">
        <v>43</v>
      </c>
      <c r="O1485" s="47" t="s">
        <v>45</v>
      </c>
      <c r="P1485" s="13">
        <f t="shared" si="845"/>
        <v>1.01</v>
      </c>
      <c r="Q1485" s="1" t="str">
        <f t="shared" si="846"/>
        <v>500-990 шт - 1,01 руб / шт с НДС</v>
      </c>
      <c r="R1485" s="235"/>
      <c r="S1485" s="239"/>
      <c r="T1485" s="226"/>
      <c r="U1485" s="228"/>
      <c r="V1485" s="222"/>
      <c r="W1485" s="229"/>
      <c r="X1485" s="227"/>
      <c r="Y1485" s="229"/>
      <c r="Z1485" s="236"/>
      <c r="AA1485" s="237"/>
      <c r="AB1485" s="238"/>
      <c r="AC1485" s="223"/>
      <c r="AD1485" s="222"/>
    </row>
    <row r="1486" spans="1:30" x14ac:dyDescent="0.4">
      <c r="A1486" s="230"/>
      <c r="B1486" s="8">
        <v>298</v>
      </c>
      <c r="C1486" s="14">
        <f t="shared" ca="1" si="832"/>
        <v>0.49</v>
      </c>
      <c r="D1486" s="20">
        <f t="shared" ca="1" si="837"/>
        <v>0.58799999999999997</v>
      </c>
      <c r="E1486" s="225"/>
      <c r="F1486" s="231"/>
      <c r="G1486" s="172" t="str">
        <f t="shared" ca="1" si="858"/>
        <v/>
      </c>
      <c r="H1486" s="93" t="str">
        <f t="shared" ca="1" si="859"/>
        <v/>
      </c>
      <c r="I1486" s="21">
        <v>1000</v>
      </c>
      <c r="J1486" s="68">
        <f t="shared" si="860"/>
        <v>0.78333333333333333</v>
      </c>
      <c r="K1486" s="70">
        <v>0.94</v>
      </c>
      <c r="L1486" s="72">
        <f t="shared" ca="1" si="856"/>
        <v>0.23466666666666666</v>
      </c>
      <c r="M1486" s="73">
        <f t="shared" ca="1" si="857"/>
        <v>234.66666666666666</v>
      </c>
      <c r="N1486" s="12" t="s">
        <v>44</v>
      </c>
      <c r="O1486" s="47" t="s">
        <v>45</v>
      </c>
      <c r="P1486" s="13">
        <f t="shared" si="845"/>
        <v>0.94</v>
      </c>
      <c r="Q1486" s="1" t="str">
        <f t="shared" si="846"/>
        <v>1000 + шт - 0,94 руб / шт с НДС</v>
      </c>
      <c r="R1486" s="235"/>
      <c r="S1486" s="239"/>
      <c r="T1486" s="226"/>
      <c r="U1486" s="228"/>
      <c r="V1486" s="222"/>
      <c r="W1486" s="229"/>
      <c r="X1486" s="227"/>
      <c r="Y1486" s="229"/>
      <c r="Z1486" s="236"/>
      <c r="AA1486" s="237"/>
      <c r="AB1486" s="238"/>
      <c r="AC1486" s="223"/>
      <c r="AD1486" s="222"/>
    </row>
    <row r="1487" spans="1:30" x14ac:dyDescent="0.4">
      <c r="A1487" s="230">
        <v>299</v>
      </c>
      <c r="B1487" s="8">
        <v>299</v>
      </c>
      <c r="C1487" s="14">
        <f t="shared" ca="1" si="832"/>
        <v>0.46</v>
      </c>
      <c r="D1487" s="20">
        <f t="shared" ca="1" si="837"/>
        <v>0.55200000000000005</v>
      </c>
      <c r="E1487" s="225" t="str">
        <f ca="1">INDIRECT("'Закуп'!D" &amp; A1487)</f>
        <v>БМ</v>
      </c>
      <c r="F1487" s="231" t="str">
        <f t="shared" ref="F1487" ca="1" si="865">INDIRECT("'Закуп'!E" &amp; B1487)</f>
        <v>160х160х106</v>
      </c>
      <c r="G1487" s="172" t="str">
        <f t="shared" ca="1" si="858"/>
        <v/>
      </c>
      <c r="H1487" s="93" t="str">
        <f t="shared" ca="1" si="859"/>
        <v/>
      </c>
      <c r="I1487" s="21">
        <v>50</v>
      </c>
      <c r="J1487" s="68">
        <f t="shared" si="860"/>
        <v>1</v>
      </c>
      <c r="K1487" s="70">
        <v>1.2</v>
      </c>
      <c r="L1487" s="72">
        <f t="shared" ca="1" si="856"/>
        <v>0.43200000000000005</v>
      </c>
      <c r="M1487" s="73">
        <f t="shared" ca="1" si="857"/>
        <v>21.6</v>
      </c>
      <c r="N1487" s="12" t="s">
        <v>40</v>
      </c>
      <c r="O1487" s="47" t="s">
        <v>45</v>
      </c>
      <c r="P1487" s="13">
        <f t="shared" si="845"/>
        <v>1.2</v>
      </c>
      <c r="Q1487" s="1" t="str">
        <f t="shared" si="846"/>
        <v>50-90 шт - 1,2 руб / шт с НДС</v>
      </c>
      <c r="R1487" s="235" t="str">
        <f ca="1">INDIRECT("'Закуп'!k" &amp; A1487)</f>
        <v>K500</v>
      </c>
      <c r="S1487" s="239">
        <f ca="1">INDIRECT("'Закуп'!o" &amp; A1487)</f>
        <v>2.71</v>
      </c>
      <c r="T1487" s="226" t="str">
        <f ca="1">INDIRECT("'Закуп'!p" &amp; A1487)</f>
        <v>2-2,9 литра</v>
      </c>
      <c r="U1487" s="228" t="str">
        <f ca="1">INDIRECT("'Закуп'!v" &amp; A1487)</f>
        <v/>
      </c>
      <c r="V1487" s="222" t="str">
        <f ca="1">INDIRECT("'Закуп'!w" &amp; A1487)</f>
        <v/>
      </c>
      <c r="W1487" s="229" t="str">
        <f ca="1">INDIRECT("'Закуп'!H" &amp; A1487)</f>
        <v>0470</v>
      </c>
      <c r="X1487" s="227" t="str">
        <f t="shared" ref="X1487" ca="1" si="866">INDIRECT("'Закуп'!g" &amp; A1487)</f>
        <v>С</v>
      </c>
      <c r="Y1487" s="229" t="str">
        <f ca="1">INDIRECT("'Закуп'!i" &amp; A1487)</f>
        <v>Е</v>
      </c>
      <c r="Z1487" s="236" t="str">
        <f ca="1">INDIRECT("'Закуп'!x" &amp; A1487)</f>
        <v>100-199 мм</v>
      </c>
      <c r="AA1487" s="237" t="str">
        <f ca="1">INDIRECT("'Закуп'!y" &amp; A1487)</f>
        <v>100-199 мм</v>
      </c>
      <c r="AB1487" s="238" t="str">
        <f ca="1">INDIRECT("'Закуп'!z" &amp; A1487)</f>
        <v>100-199 мм</v>
      </c>
      <c r="AC1487" s="223" t="str">
        <f t="shared" ca="1" si="853"/>
        <v>160x160x106</v>
      </c>
      <c r="AD1487" s="222" t="str">
        <f t="shared" ca="1" si="840"/>
        <v>160x160x106 - 160*160*106 мм</v>
      </c>
    </row>
    <row r="1488" spans="1:30" x14ac:dyDescent="0.4">
      <c r="A1488" s="230"/>
      <c r="B1488" s="8">
        <v>299</v>
      </c>
      <c r="C1488" s="14">
        <f t="shared" ca="1" si="832"/>
        <v>0.46</v>
      </c>
      <c r="D1488" s="20">
        <f t="shared" ca="1" si="837"/>
        <v>0.55200000000000005</v>
      </c>
      <c r="E1488" s="225"/>
      <c r="F1488" s="231"/>
      <c r="G1488" s="172" t="str">
        <f t="shared" ca="1" si="858"/>
        <v/>
      </c>
      <c r="H1488" s="93" t="str">
        <f t="shared" ca="1" si="859"/>
        <v/>
      </c>
      <c r="I1488" s="21">
        <v>100</v>
      </c>
      <c r="J1488" s="68">
        <f t="shared" si="860"/>
        <v>0.87500000000000011</v>
      </c>
      <c r="K1488" s="70">
        <v>1.05</v>
      </c>
      <c r="L1488" s="72">
        <f t="shared" ca="1" si="856"/>
        <v>0.33200000000000007</v>
      </c>
      <c r="M1488" s="73">
        <f t="shared" ca="1" si="857"/>
        <v>33.20000000000001</v>
      </c>
      <c r="N1488" s="12" t="s">
        <v>41</v>
      </c>
      <c r="O1488" s="47" t="s">
        <v>45</v>
      </c>
      <c r="P1488" s="13">
        <f t="shared" si="845"/>
        <v>1.05</v>
      </c>
      <c r="Q1488" s="1" t="str">
        <f t="shared" si="846"/>
        <v>100-290 шт - 1,05 руб / шт с НДС</v>
      </c>
      <c r="R1488" s="235"/>
      <c r="S1488" s="239"/>
      <c r="T1488" s="226"/>
      <c r="U1488" s="228"/>
      <c r="V1488" s="222"/>
      <c r="W1488" s="229"/>
      <c r="X1488" s="227"/>
      <c r="Y1488" s="229"/>
      <c r="Z1488" s="236"/>
      <c r="AA1488" s="237"/>
      <c r="AB1488" s="238"/>
      <c r="AC1488" s="223"/>
      <c r="AD1488" s="222"/>
    </row>
    <row r="1489" spans="1:30" x14ac:dyDescent="0.4">
      <c r="A1489" s="230"/>
      <c r="B1489" s="8">
        <v>299</v>
      </c>
      <c r="C1489" s="14">
        <f t="shared" ca="1" si="832"/>
        <v>0.46</v>
      </c>
      <c r="D1489" s="20">
        <f t="shared" ca="1" si="837"/>
        <v>0.55200000000000005</v>
      </c>
      <c r="E1489" s="225"/>
      <c r="F1489" s="231"/>
      <c r="G1489" s="172" t="str">
        <f t="shared" ca="1" si="858"/>
        <v/>
      </c>
      <c r="H1489" s="93" t="str">
        <f t="shared" ca="1" si="859"/>
        <v/>
      </c>
      <c r="I1489" s="21">
        <v>300</v>
      </c>
      <c r="J1489" s="68">
        <f t="shared" si="860"/>
        <v>0.79166666666666663</v>
      </c>
      <c r="K1489" s="70">
        <v>0.95</v>
      </c>
      <c r="L1489" s="72">
        <f t="shared" ca="1" si="856"/>
        <v>0.26533333333333331</v>
      </c>
      <c r="M1489" s="73">
        <f t="shared" ca="1" si="857"/>
        <v>79.599999999999994</v>
      </c>
      <c r="N1489" s="12" t="s">
        <v>42</v>
      </c>
      <c r="O1489" s="47" t="s">
        <v>45</v>
      </c>
      <c r="P1489" s="13">
        <f t="shared" si="845"/>
        <v>0.95</v>
      </c>
      <c r="Q1489" s="1" t="str">
        <f t="shared" si="846"/>
        <v>300-490 шт - 0,95 руб / шт с НДС</v>
      </c>
      <c r="R1489" s="235"/>
      <c r="S1489" s="239"/>
      <c r="T1489" s="226"/>
      <c r="U1489" s="228"/>
      <c r="V1489" s="222"/>
      <c r="W1489" s="229"/>
      <c r="X1489" s="227"/>
      <c r="Y1489" s="229"/>
      <c r="Z1489" s="236"/>
      <c r="AA1489" s="237"/>
      <c r="AB1489" s="238"/>
      <c r="AC1489" s="223"/>
      <c r="AD1489" s="222"/>
    </row>
    <row r="1490" spans="1:30" x14ac:dyDescent="0.4">
      <c r="A1490" s="230"/>
      <c r="B1490" s="8">
        <v>299</v>
      </c>
      <c r="C1490" s="14">
        <f t="shared" ca="1" si="832"/>
        <v>0.46</v>
      </c>
      <c r="D1490" s="20">
        <f t="shared" ca="1" si="837"/>
        <v>0.55200000000000005</v>
      </c>
      <c r="E1490" s="225"/>
      <c r="F1490" s="231"/>
      <c r="G1490" s="172" t="str">
        <f t="shared" ca="1" si="858"/>
        <v/>
      </c>
      <c r="H1490" s="93" t="str">
        <f t="shared" ca="1" si="859"/>
        <v/>
      </c>
      <c r="I1490" s="21">
        <v>500</v>
      </c>
      <c r="J1490" s="68">
        <f t="shared" si="860"/>
        <v>0.70833333333333337</v>
      </c>
      <c r="K1490" s="70">
        <v>0.85</v>
      </c>
      <c r="L1490" s="72">
        <f t="shared" ca="1" si="856"/>
        <v>0.19866666666666669</v>
      </c>
      <c r="M1490" s="73">
        <f t="shared" ca="1" si="857"/>
        <v>99.333333333333343</v>
      </c>
      <c r="N1490" s="12" t="s">
        <v>43</v>
      </c>
      <c r="O1490" s="47" t="s">
        <v>45</v>
      </c>
      <c r="P1490" s="13">
        <f t="shared" si="845"/>
        <v>0.85</v>
      </c>
      <c r="Q1490" s="1" t="str">
        <f t="shared" si="846"/>
        <v>500-990 шт - 0,85 руб / шт с НДС</v>
      </c>
      <c r="R1490" s="235"/>
      <c r="S1490" s="239"/>
      <c r="T1490" s="226"/>
      <c r="U1490" s="228"/>
      <c r="V1490" s="222"/>
      <c r="W1490" s="229"/>
      <c r="X1490" s="227"/>
      <c r="Y1490" s="229"/>
      <c r="Z1490" s="236"/>
      <c r="AA1490" s="237"/>
      <c r="AB1490" s="238"/>
      <c r="AC1490" s="223"/>
      <c r="AD1490" s="222"/>
    </row>
    <row r="1491" spans="1:30" x14ac:dyDescent="0.4">
      <c r="A1491" s="230"/>
      <c r="B1491" s="8">
        <v>299</v>
      </c>
      <c r="C1491" s="14">
        <f t="shared" ca="1" si="832"/>
        <v>0.46</v>
      </c>
      <c r="D1491" s="20">
        <f t="shared" ca="1" si="837"/>
        <v>0.55200000000000005</v>
      </c>
      <c r="E1491" s="225"/>
      <c r="F1491" s="231"/>
      <c r="G1491" s="172" t="str">
        <f t="shared" ca="1" si="858"/>
        <v/>
      </c>
      <c r="H1491" s="93" t="str">
        <f t="shared" ca="1" si="859"/>
        <v/>
      </c>
      <c r="I1491" s="21">
        <v>1000</v>
      </c>
      <c r="J1491" s="68">
        <f t="shared" si="860"/>
        <v>0.625</v>
      </c>
      <c r="K1491" s="70">
        <v>0.75</v>
      </c>
      <c r="L1491" s="72">
        <f t="shared" ca="1" si="856"/>
        <v>0.13199999999999998</v>
      </c>
      <c r="M1491" s="73">
        <f t="shared" ca="1" si="857"/>
        <v>131.99999999999997</v>
      </c>
      <c r="N1491" s="12" t="s">
        <v>44</v>
      </c>
      <c r="O1491" s="47" t="s">
        <v>45</v>
      </c>
      <c r="P1491" s="13">
        <f t="shared" si="845"/>
        <v>0.75</v>
      </c>
      <c r="Q1491" s="1" t="str">
        <f t="shared" si="846"/>
        <v>1000 + шт - 0,75 руб / шт с НДС</v>
      </c>
      <c r="R1491" s="235"/>
      <c r="S1491" s="239"/>
      <c r="T1491" s="226"/>
      <c r="U1491" s="228"/>
      <c r="V1491" s="222"/>
      <c r="W1491" s="229"/>
      <c r="X1491" s="227"/>
      <c r="Y1491" s="229"/>
      <c r="Z1491" s="236"/>
      <c r="AA1491" s="237"/>
      <c r="AB1491" s="238"/>
      <c r="AC1491" s="223"/>
      <c r="AD1491" s="222"/>
    </row>
    <row r="1492" spans="1:30" x14ac:dyDescent="0.4">
      <c r="A1492" s="230">
        <v>300</v>
      </c>
      <c r="B1492" s="8">
        <v>300</v>
      </c>
      <c r="C1492" s="14">
        <f t="shared" ca="1" si="832"/>
        <v>0.87</v>
      </c>
      <c r="D1492" s="20">
        <f t="shared" ca="1" si="837"/>
        <v>1.044</v>
      </c>
      <c r="E1492" s="233" t="str">
        <f ca="1">INDIRECT("'Закуп'!D" &amp; A1492)</f>
        <v>БМ</v>
      </c>
      <c r="F1492" s="231" t="str">
        <f t="shared" ref="F1492" ca="1" si="867">INDIRECT("'Закуп'!E" &amp; B1492)</f>
        <v>240х230х120</v>
      </c>
      <c r="G1492" s="172" t="str">
        <f t="shared" ca="1" si="858"/>
        <v/>
      </c>
      <c r="H1492" s="93" t="str">
        <f t="shared" ca="1" si="859"/>
        <v/>
      </c>
      <c r="I1492" s="21">
        <v>50</v>
      </c>
      <c r="J1492" s="68">
        <f t="shared" si="860"/>
        <v>1.4166666666666667</v>
      </c>
      <c r="K1492" s="70">
        <v>1.7</v>
      </c>
      <c r="L1492" s="72">
        <f t="shared" ca="1" si="856"/>
        <v>0.43733333333333341</v>
      </c>
      <c r="M1492" s="73">
        <f t="shared" ca="1" si="857"/>
        <v>21.866666666666671</v>
      </c>
      <c r="N1492" s="12" t="s">
        <v>40</v>
      </c>
      <c r="O1492" s="47" t="s">
        <v>45</v>
      </c>
      <c r="P1492" s="13">
        <f t="shared" si="845"/>
        <v>1.7</v>
      </c>
      <c r="Q1492" s="1" t="str">
        <f t="shared" si="846"/>
        <v>50-90 шт - 1,7 руб / шт с НДС</v>
      </c>
      <c r="R1492" s="235" t="str">
        <f ca="1">INDIRECT("'Закуп'!k" &amp; A1492)</f>
        <v>K501</v>
      </c>
      <c r="S1492" s="239">
        <f ca="1">INDIRECT("'Закуп'!o" &amp; A1492)</f>
        <v>6.62</v>
      </c>
      <c r="T1492" s="226" t="str">
        <f ca="1">INDIRECT("'Закуп'!p" &amp; A1492)</f>
        <v>6-7,9 литра</v>
      </c>
      <c r="U1492" s="228" t="str">
        <f ca="1">INDIRECT("'Закуп'!v" &amp; A1492)</f>
        <v/>
      </c>
      <c r="V1492" s="222" t="str">
        <f ca="1">INDIRECT("'Закуп'!w" &amp; A1492)</f>
        <v/>
      </c>
      <c r="W1492" s="229" t="str">
        <f ca="1">INDIRECT("'Закуп'!H" &amp; A1492)</f>
        <v>0470</v>
      </c>
      <c r="X1492" s="227" t="str">
        <f t="shared" ref="X1492" ca="1" si="868">INDIRECT("'Закуп'!g" &amp; A1492)</f>
        <v>С</v>
      </c>
      <c r="Y1492" s="229" t="str">
        <f ca="1">INDIRECT("'Закуп'!i" &amp; A1492)</f>
        <v>В</v>
      </c>
      <c r="Z1492" s="236" t="str">
        <f ca="1">INDIRECT("'Закуп'!x" &amp; A1492)</f>
        <v>200-299 мм</v>
      </c>
      <c r="AA1492" s="237" t="str">
        <f ca="1">INDIRECT("'Закуп'!y" &amp; A1492)</f>
        <v>200-299 мм</v>
      </c>
      <c r="AB1492" s="238" t="str">
        <f ca="1">INDIRECT("'Закуп'!z" &amp; A1492)</f>
        <v>100-199 мм</v>
      </c>
      <c r="AC1492" s="223" t="str">
        <f t="shared" ca="1" si="853"/>
        <v>240x230x120</v>
      </c>
      <c r="AD1492" s="222" t="str">
        <f t="shared" ca="1" si="840"/>
        <v>240x230x120 - 240*230*120 мм</v>
      </c>
    </row>
    <row r="1493" spans="1:30" x14ac:dyDescent="0.4">
      <c r="A1493" s="230"/>
      <c r="B1493" s="8">
        <v>300</v>
      </c>
      <c r="C1493" s="14">
        <f t="shared" ca="1" si="832"/>
        <v>0.87</v>
      </c>
      <c r="D1493" s="20">
        <f t="shared" ca="1" si="837"/>
        <v>1.044</v>
      </c>
      <c r="E1493" s="225"/>
      <c r="F1493" s="231"/>
      <c r="G1493" s="172" t="str">
        <f t="shared" ca="1" si="858"/>
        <v/>
      </c>
      <c r="H1493" s="93" t="str">
        <f t="shared" ca="1" si="859"/>
        <v/>
      </c>
      <c r="I1493" s="21">
        <v>100</v>
      </c>
      <c r="J1493" s="68">
        <f t="shared" si="860"/>
        <v>1.2916666666666667</v>
      </c>
      <c r="K1493" s="70">
        <v>1.55</v>
      </c>
      <c r="L1493" s="72">
        <f t="shared" ca="1" si="856"/>
        <v>0.33733333333333337</v>
      </c>
      <c r="M1493" s="73">
        <f t="shared" ca="1" si="857"/>
        <v>33.733333333333334</v>
      </c>
      <c r="N1493" s="12" t="s">
        <v>41</v>
      </c>
      <c r="O1493" s="47" t="s">
        <v>45</v>
      </c>
      <c r="P1493" s="13">
        <f t="shared" si="845"/>
        <v>1.55</v>
      </c>
      <c r="Q1493" s="1" t="str">
        <f t="shared" si="846"/>
        <v>100-290 шт - 1,55 руб / шт с НДС</v>
      </c>
      <c r="R1493" s="235"/>
      <c r="S1493" s="239"/>
      <c r="T1493" s="226"/>
      <c r="U1493" s="228"/>
      <c r="V1493" s="222"/>
      <c r="W1493" s="229"/>
      <c r="X1493" s="227"/>
      <c r="Y1493" s="229"/>
      <c r="Z1493" s="236"/>
      <c r="AA1493" s="237"/>
      <c r="AB1493" s="238"/>
      <c r="AC1493" s="223"/>
      <c r="AD1493" s="222"/>
    </row>
    <row r="1494" spans="1:30" x14ac:dyDescent="0.4">
      <c r="A1494" s="230"/>
      <c r="B1494" s="8">
        <v>300</v>
      </c>
      <c r="C1494" s="14">
        <f t="shared" ref="C1494:C1557" ca="1" si="869">INDIRECT("'Закуп'!A" &amp; B1494)</f>
        <v>0.87</v>
      </c>
      <c r="D1494" s="20">
        <f t="shared" ca="1" si="837"/>
        <v>1.044</v>
      </c>
      <c r="E1494" s="225"/>
      <c r="F1494" s="231"/>
      <c r="G1494" s="172" t="str">
        <f t="shared" ca="1" si="858"/>
        <v/>
      </c>
      <c r="H1494" s="93" t="str">
        <f t="shared" ca="1" si="859"/>
        <v/>
      </c>
      <c r="I1494" s="21">
        <v>300</v>
      </c>
      <c r="J1494" s="68">
        <f t="shared" si="860"/>
        <v>1.1666666666666667</v>
      </c>
      <c r="K1494" s="70">
        <v>1.4</v>
      </c>
      <c r="L1494" s="72">
        <f t="shared" ca="1" si="856"/>
        <v>0.2373333333333334</v>
      </c>
      <c r="M1494" s="73">
        <f t="shared" ca="1" si="857"/>
        <v>71.200000000000017</v>
      </c>
      <c r="N1494" s="12" t="s">
        <v>42</v>
      </c>
      <c r="O1494" s="47" t="s">
        <v>45</v>
      </c>
      <c r="P1494" s="13">
        <f t="shared" si="845"/>
        <v>1.4</v>
      </c>
      <c r="Q1494" s="1" t="str">
        <f t="shared" si="846"/>
        <v>300-490 шт - 1,4 руб / шт с НДС</v>
      </c>
      <c r="R1494" s="235"/>
      <c r="S1494" s="239"/>
      <c r="T1494" s="226"/>
      <c r="U1494" s="228"/>
      <c r="V1494" s="222"/>
      <c r="W1494" s="229"/>
      <c r="X1494" s="227"/>
      <c r="Y1494" s="229"/>
      <c r="Z1494" s="236"/>
      <c r="AA1494" s="237"/>
      <c r="AB1494" s="238"/>
      <c r="AC1494" s="223"/>
      <c r="AD1494" s="222"/>
    </row>
    <row r="1495" spans="1:30" x14ac:dyDescent="0.4">
      <c r="A1495" s="230"/>
      <c r="B1495" s="8">
        <v>300</v>
      </c>
      <c r="C1495" s="14">
        <f t="shared" ca="1" si="869"/>
        <v>0.87</v>
      </c>
      <c r="D1495" s="20">
        <f t="shared" ca="1" si="837"/>
        <v>1.044</v>
      </c>
      <c r="E1495" s="225"/>
      <c r="F1495" s="231"/>
      <c r="G1495" s="172" t="str">
        <f t="shared" ca="1" si="858"/>
        <v/>
      </c>
      <c r="H1495" s="93" t="str">
        <f t="shared" ca="1" si="859"/>
        <v/>
      </c>
      <c r="I1495" s="21">
        <v>500</v>
      </c>
      <c r="J1495" s="68">
        <f t="shared" si="860"/>
        <v>1.0833333333333335</v>
      </c>
      <c r="K1495" s="70">
        <v>1.3</v>
      </c>
      <c r="L1495" s="72">
        <f t="shared" ca="1" si="856"/>
        <v>0.1706666666666668</v>
      </c>
      <c r="M1495" s="73">
        <f t="shared" ca="1" si="857"/>
        <v>85.3333333333334</v>
      </c>
      <c r="N1495" s="12" t="s">
        <v>43</v>
      </c>
      <c r="O1495" s="47" t="s">
        <v>45</v>
      </c>
      <c r="P1495" s="13">
        <f t="shared" si="845"/>
        <v>1.3</v>
      </c>
      <c r="Q1495" s="1" t="str">
        <f t="shared" si="846"/>
        <v>500-990 шт - 1,3 руб / шт с НДС</v>
      </c>
      <c r="R1495" s="235"/>
      <c r="S1495" s="239"/>
      <c r="T1495" s="226"/>
      <c r="U1495" s="228"/>
      <c r="V1495" s="222"/>
      <c r="W1495" s="229"/>
      <c r="X1495" s="227"/>
      <c r="Y1495" s="229"/>
      <c r="Z1495" s="236"/>
      <c r="AA1495" s="237"/>
      <c r="AB1495" s="238"/>
      <c r="AC1495" s="223"/>
      <c r="AD1495" s="222"/>
    </row>
    <row r="1496" spans="1:30" x14ac:dyDescent="0.4">
      <c r="A1496" s="230"/>
      <c r="B1496" s="8">
        <v>300</v>
      </c>
      <c r="C1496" s="14">
        <f t="shared" ca="1" si="869"/>
        <v>0.87</v>
      </c>
      <c r="D1496" s="20">
        <f t="shared" ca="1" si="837"/>
        <v>1.044</v>
      </c>
      <c r="E1496" s="225"/>
      <c r="F1496" s="231"/>
      <c r="G1496" s="172" t="str">
        <f t="shared" ca="1" si="858"/>
        <v/>
      </c>
      <c r="H1496" s="93" t="str">
        <f t="shared" ca="1" si="859"/>
        <v/>
      </c>
      <c r="I1496" s="21">
        <v>1000</v>
      </c>
      <c r="J1496" s="68">
        <f t="shared" si="860"/>
        <v>1</v>
      </c>
      <c r="K1496" s="70">
        <v>1.2</v>
      </c>
      <c r="L1496" s="72">
        <f t="shared" ca="1" si="856"/>
        <v>0.10400000000000001</v>
      </c>
      <c r="M1496" s="73">
        <f t="shared" ca="1" si="857"/>
        <v>104.00000000000001</v>
      </c>
      <c r="N1496" s="12" t="s">
        <v>44</v>
      </c>
      <c r="O1496" s="47" t="s">
        <v>45</v>
      </c>
      <c r="P1496" s="13">
        <f t="shared" si="845"/>
        <v>1.2</v>
      </c>
      <c r="Q1496" s="1" t="str">
        <f t="shared" si="846"/>
        <v>1000 + шт - 1,2 руб / шт с НДС</v>
      </c>
      <c r="R1496" s="235"/>
      <c r="S1496" s="239"/>
      <c r="T1496" s="226"/>
      <c r="U1496" s="228"/>
      <c r="V1496" s="222"/>
      <c r="W1496" s="229"/>
      <c r="X1496" s="227"/>
      <c r="Y1496" s="229"/>
      <c r="Z1496" s="236"/>
      <c r="AA1496" s="237"/>
      <c r="AB1496" s="238"/>
      <c r="AC1496" s="223"/>
      <c r="AD1496" s="222"/>
    </row>
    <row r="1497" spans="1:30" x14ac:dyDescent="0.4">
      <c r="A1497" s="230">
        <v>301</v>
      </c>
      <c r="B1497" s="8">
        <v>301</v>
      </c>
      <c r="C1497" s="14">
        <f t="shared" ca="1" si="869"/>
        <v>0.93420000000000003</v>
      </c>
      <c r="D1497" s="20">
        <f t="shared" ca="1" si="837"/>
        <v>1.12104</v>
      </c>
      <c r="E1497" s="233" t="str">
        <f ca="1">INDIRECT("'Закуп'!D" &amp; A1497)</f>
        <v>БМ</v>
      </c>
      <c r="F1497" s="231" t="str">
        <f t="shared" ref="F1497" ca="1" si="870">INDIRECT("'Закуп'!E" &amp; B1497)</f>
        <v>250х225х95</v>
      </c>
      <c r="G1497" s="172" t="str">
        <f t="shared" ca="1" si="858"/>
        <v/>
      </c>
      <c r="H1497" s="93" t="str">
        <f t="shared" ca="1" si="859"/>
        <v/>
      </c>
      <c r="I1497" s="21">
        <v>50</v>
      </c>
      <c r="J1497" s="68">
        <f t="shared" si="860"/>
        <v>1.5</v>
      </c>
      <c r="K1497" s="70">
        <v>1.8</v>
      </c>
      <c r="L1497" s="72">
        <f t="shared" ca="1" si="856"/>
        <v>0.45263999999999999</v>
      </c>
      <c r="M1497" s="73">
        <f t="shared" ca="1" si="857"/>
        <v>22.631999999999998</v>
      </c>
      <c r="N1497" s="12" t="s">
        <v>40</v>
      </c>
      <c r="O1497" s="47" t="s">
        <v>45</v>
      </c>
      <c r="P1497" s="13">
        <f t="shared" si="845"/>
        <v>1.8</v>
      </c>
      <c r="Q1497" s="1" t="str">
        <f t="shared" si="846"/>
        <v>50-90 шт - 1,8 руб / шт с НДС</v>
      </c>
      <c r="R1497" s="235" t="str">
        <f ca="1">INDIRECT("'Закуп'!k" &amp; A1497)</f>
        <v>K502</v>
      </c>
      <c r="S1497" s="239">
        <f ca="1">INDIRECT("'Закуп'!o" &amp; A1497)</f>
        <v>5.34</v>
      </c>
      <c r="T1497" s="226" t="str">
        <f ca="1">INDIRECT("'Закуп'!p" &amp; A1497)</f>
        <v>4-5,9 литра</v>
      </c>
      <c r="U1497" s="228" t="str">
        <f ca="1">INDIRECT("'Закуп'!v" &amp; A1497)</f>
        <v/>
      </c>
      <c r="V1497" s="222" t="str">
        <f ca="1">INDIRECT("'Закуп'!w" &amp; A1497)</f>
        <v>Плоские</v>
      </c>
      <c r="W1497" s="229" t="str">
        <f ca="1">INDIRECT("'Закуп'!H" &amp; A1497)</f>
        <v>0427</v>
      </c>
      <c r="X1497" s="227" t="str">
        <f t="shared" ref="X1497" ca="1" si="871">INDIRECT("'Закуп'!g" &amp; A1497)</f>
        <v>С</v>
      </c>
      <c r="Y1497" s="229" t="str">
        <f ca="1">INDIRECT("'Закуп'!i" &amp; A1497)</f>
        <v>В</v>
      </c>
      <c r="Z1497" s="236" t="str">
        <f ca="1">INDIRECT("'Закуп'!x" &amp; A1497)</f>
        <v>200-299 мм</v>
      </c>
      <c r="AA1497" s="237" t="str">
        <f ca="1">INDIRECT("'Закуп'!y" &amp; A1497)</f>
        <v>200-299 мм</v>
      </c>
      <c r="AB1497" s="238" t="str">
        <f ca="1">INDIRECT("'Закуп'!z" &amp; A1497)</f>
        <v>10-99 мм</v>
      </c>
      <c r="AC1497" s="223" t="str">
        <f t="shared" ca="1" si="853"/>
        <v>250x225x95</v>
      </c>
      <c r="AD1497" s="222" t="str">
        <f t="shared" ca="1" si="840"/>
        <v>250x225x95 - 250*225*95 мм</v>
      </c>
    </row>
    <row r="1498" spans="1:30" x14ac:dyDescent="0.4">
      <c r="A1498" s="230"/>
      <c r="B1498" s="8">
        <v>301</v>
      </c>
      <c r="C1498" s="14">
        <f t="shared" ca="1" si="869"/>
        <v>0.93420000000000003</v>
      </c>
      <c r="D1498" s="20">
        <f t="shared" ca="1" si="837"/>
        <v>1.12104</v>
      </c>
      <c r="E1498" s="225"/>
      <c r="F1498" s="231"/>
      <c r="G1498" s="172" t="str">
        <f t="shared" ca="1" si="858"/>
        <v/>
      </c>
      <c r="H1498" s="93" t="str">
        <f t="shared" ca="1" si="859"/>
        <v/>
      </c>
      <c r="I1498" s="21">
        <v>100</v>
      </c>
      <c r="J1498" s="68">
        <f t="shared" si="860"/>
        <v>1.375</v>
      </c>
      <c r="K1498" s="70">
        <v>1.65</v>
      </c>
      <c r="L1498" s="72">
        <f t="shared" ca="1" si="856"/>
        <v>0.35263999999999995</v>
      </c>
      <c r="M1498" s="73">
        <f t="shared" ca="1" si="857"/>
        <v>35.263999999999996</v>
      </c>
      <c r="N1498" s="12" t="s">
        <v>41</v>
      </c>
      <c r="O1498" s="47" t="s">
        <v>45</v>
      </c>
      <c r="P1498" s="13">
        <f t="shared" si="845"/>
        <v>1.65</v>
      </c>
      <c r="Q1498" s="1" t="str">
        <f t="shared" si="846"/>
        <v>100-290 шт - 1,65 руб / шт с НДС</v>
      </c>
      <c r="R1498" s="235"/>
      <c r="S1498" s="239"/>
      <c r="T1498" s="226"/>
      <c r="U1498" s="228"/>
      <c r="V1498" s="222"/>
      <c r="W1498" s="229"/>
      <c r="X1498" s="227"/>
      <c r="Y1498" s="229"/>
      <c r="Z1498" s="236"/>
      <c r="AA1498" s="237"/>
      <c r="AB1498" s="238"/>
      <c r="AC1498" s="223"/>
      <c r="AD1498" s="222"/>
    </row>
    <row r="1499" spans="1:30" x14ac:dyDescent="0.4">
      <c r="A1499" s="230"/>
      <c r="B1499" s="8">
        <v>301</v>
      </c>
      <c r="C1499" s="14">
        <f t="shared" ca="1" si="869"/>
        <v>0.93420000000000003</v>
      </c>
      <c r="D1499" s="20">
        <f t="shared" ca="1" si="837"/>
        <v>1.12104</v>
      </c>
      <c r="E1499" s="225"/>
      <c r="F1499" s="231"/>
      <c r="G1499" s="172" t="str">
        <f t="shared" ca="1" si="858"/>
        <v/>
      </c>
      <c r="H1499" s="93" t="str">
        <f t="shared" ca="1" si="859"/>
        <v/>
      </c>
      <c r="I1499" s="21">
        <v>300</v>
      </c>
      <c r="J1499" s="68">
        <f t="shared" si="860"/>
        <v>1.25</v>
      </c>
      <c r="K1499" s="70">
        <v>1.5</v>
      </c>
      <c r="L1499" s="72">
        <f t="shared" ca="1" si="856"/>
        <v>0.25263999999999998</v>
      </c>
      <c r="M1499" s="73">
        <f t="shared" ca="1" si="857"/>
        <v>75.791999999999987</v>
      </c>
      <c r="N1499" s="12" t="s">
        <v>42</v>
      </c>
      <c r="O1499" s="47" t="s">
        <v>45</v>
      </c>
      <c r="P1499" s="13">
        <f t="shared" si="845"/>
        <v>1.5</v>
      </c>
      <c r="Q1499" s="1" t="str">
        <f t="shared" si="846"/>
        <v>300-490 шт - 1,5 руб / шт с НДС</v>
      </c>
      <c r="R1499" s="235"/>
      <c r="S1499" s="239"/>
      <c r="T1499" s="226"/>
      <c r="U1499" s="228"/>
      <c r="V1499" s="222"/>
      <c r="W1499" s="229"/>
      <c r="X1499" s="227"/>
      <c r="Y1499" s="229"/>
      <c r="Z1499" s="236"/>
      <c r="AA1499" s="237"/>
      <c r="AB1499" s="238"/>
      <c r="AC1499" s="223"/>
      <c r="AD1499" s="222"/>
    </row>
    <row r="1500" spans="1:30" x14ac:dyDescent="0.4">
      <c r="A1500" s="230"/>
      <c r="B1500" s="8">
        <v>301</v>
      </c>
      <c r="C1500" s="14">
        <f t="shared" ca="1" si="869"/>
        <v>0.93420000000000003</v>
      </c>
      <c r="D1500" s="20">
        <f t="shared" ca="1" si="837"/>
        <v>1.12104</v>
      </c>
      <c r="E1500" s="225"/>
      <c r="F1500" s="231"/>
      <c r="G1500" s="172" t="str">
        <f t="shared" ca="1" si="858"/>
        <v/>
      </c>
      <c r="H1500" s="93" t="str">
        <f t="shared" ca="1" si="859"/>
        <v/>
      </c>
      <c r="I1500" s="21">
        <v>500</v>
      </c>
      <c r="J1500" s="68">
        <f t="shared" si="860"/>
        <v>1.1666666666666667</v>
      </c>
      <c r="K1500" s="70">
        <v>1.4</v>
      </c>
      <c r="L1500" s="72">
        <f t="shared" ca="1" si="856"/>
        <v>0.18597333333333338</v>
      </c>
      <c r="M1500" s="73">
        <f t="shared" ca="1" si="857"/>
        <v>92.986666666666693</v>
      </c>
      <c r="N1500" s="12" t="s">
        <v>43</v>
      </c>
      <c r="O1500" s="47" t="s">
        <v>45</v>
      </c>
      <c r="P1500" s="13">
        <f t="shared" si="845"/>
        <v>1.4</v>
      </c>
      <c r="Q1500" s="1" t="str">
        <f t="shared" si="846"/>
        <v>500-990 шт - 1,4 руб / шт с НДС</v>
      </c>
      <c r="R1500" s="235"/>
      <c r="S1500" s="239"/>
      <c r="T1500" s="226"/>
      <c r="U1500" s="228"/>
      <c r="V1500" s="222"/>
      <c r="W1500" s="229"/>
      <c r="X1500" s="227"/>
      <c r="Y1500" s="229"/>
      <c r="Z1500" s="236"/>
      <c r="AA1500" s="237"/>
      <c r="AB1500" s="238"/>
      <c r="AC1500" s="223"/>
      <c r="AD1500" s="222"/>
    </row>
    <row r="1501" spans="1:30" x14ac:dyDescent="0.4">
      <c r="A1501" s="230"/>
      <c r="B1501" s="8">
        <v>301</v>
      </c>
      <c r="C1501" s="14">
        <f t="shared" ca="1" si="869"/>
        <v>0.93420000000000003</v>
      </c>
      <c r="D1501" s="20">
        <f t="shared" ca="1" si="837"/>
        <v>1.12104</v>
      </c>
      <c r="E1501" s="225"/>
      <c r="F1501" s="231"/>
      <c r="G1501" s="172" t="str">
        <f t="shared" ca="1" si="858"/>
        <v/>
      </c>
      <c r="H1501" s="93" t="str">
        <f t="shared" ca="1" si="859"/>
        <v/>
      </c>
      <c r="I1501" s="21">
        <v>1000</v>
      </c>
      <c r="J1501" s="68">
        <f t="shared" si="860"/>
        <v>1.0833333333333335</v>
      </c>
      <c r="K1501" s="70">
        <v>1.3</v>
      </c>
      <c r="L1501" s="72">
        <f t="shared" ca="1" si="856"/>
        <v>0.11930666666666676</v>
      </c>
      <c r="M1501" s="73">
        <f t="shared" ca="1" si="857"/>
        <v>119.30666666666676</v>
      </c>
      <c r="N1501" s="12" t="s">
        <v>44</v>
      </c>
      <c r="O1501" s="47" t="s">
        <v>45</v>
      </c>
      <c r="P1501" s="13">
        <f t="shared" si="845"/>
        <v>1.3</v>
      </c>
      <c r="Q1501" s="1" t="str">
        <f t="shared" si="846"/>
        <v>1000 + шт - 1,3 руб / шт с НДС</v>
      </c>
      <c r="R1501" s="235"/>
      <c r="S1501" s="239"/>
      <c r="T1501" s="226"/>
      <c r="U1501" s="228"/>
      <c r="V1501" s="222"/>
      <c r="W1501" s="229"/>
      <c r="X1501" s="227"/>
      <c r="Y1501" s="229"/>
      <c r="Z1501" s="236"/>
      <c r="AA1501" s="237"/>
      <c r="AB1501" s="238"/>
      <c r="AC1501" s="223"/>
      <c r="AD1501" s="222"/>
    </row>
    <row r="1502" spans="1:30" x14ac:dyDescent="0.4">
      <c r="A1502" s="230">
        <v>302</v>
      </c>
      <c r="B1502" s="8">
        <v>302</v>
      </c>
      <c r="C1502" s="14">
        <f t="shared" ca="1" si="869"/>
        <v>0.64</v>
      </c>
      <c r="D1502" s="20">
        <f t="shared" ca="1" si="837"/>
        <v>0.76800000000000002</v>
      </c>
      <c r="E1502" s="233" t="str">
        <f ca="1">INDIRECT("'Закуп'!D" &amp; A1502)</f>
        <v>БМ</v>
      </c>
      <c r="F1502" s="231" t="str">
        <f t="shared" ref="F1502" ca="1" si="872">INDIRECT("'Закуп'!E" &amp; B1502)</f>
        <v>225х175х135</v>
      </c>
      <c r="G1502" s="172" t="str">
        <f t="shared" ca="1" si="858"/>
        <v/>
      </c>
      <c r="H1502" s="93" t="str">
        <f t="shared" ca="1" si="859"/>
        <v/>
      </c>
      <c r="I1502" s="21">
        <v>50</v>
      </c>
      <c r="J1502" s="68">
        <f t="shared" si="860"/>
        <v>1.2083333333333333</v>
      </c>
      <c r="K1502" s="70">
        <v>1.45</v>
      </c>
      <c r="L1502" s="72">
        <f t="shared" ca="1" si="856"/>
        <v>0.45466666666666661</v>
      </c>
      <c r="M1502" s="73">
        <f t="shared" ca="1" si="857"/>
        <v>22.733333333333331</v>
      </c>
      <c r="N1502" s="12" t="s">
        <v>40</v>
      </c>
      <c r="O1502" s="47" t="s">
        <v>45</v>
      </c>
      <c r="P1502" s="13">
        <f t="shared" si="845"/>
        <v>1.45</v>
      </c>
      <c r="Q1502" s="1" t="str">
        <f t="shared" si="846"/>
        <v>50-90 шт - 1,45 руб / шт с НДС</v>
      </c>
      <c r="R1502" s="235" t="str">
        <f ca="1">INDIRECT("'Закуп'!k" &amp; A1502)</f>
        <v>K503</v>
      </c>
      <c r="S1502" s="239">
        <f ca="1">INDIRECT("'Закуп'!o" &amp; A1502)</f>
        <v>5.32</v>
      </c>
      <c r="T1502" s="226" t="str">
        <f ca="1">INDIRECT("'Закуп'!p" &amp; A1502)</f>
        <v>4-5,9 литра</v>
      </c>
      <c r="U1502" s="228" t="str">
        <f ca="1">INDIRECT("'Закуп'!v" &amp; A1502)</f>
        <v/>
      </c>
      <c r="V1502" s="222" t="str">
        <f ca="1">INDIRECT("'Закуп'!w" &amp; A1502)</f>
        <v/>
      </c>
      <c r="W1502" s="229" t="str">
        <f ca="1">INDIRECT("'Закуп'!H" &amp; A1502)</f>
        <v>0470</v>
      </c>
      <c r="X1502" s="227" t="str">
        <f t="shared" ref="X1502" ca="1" si="873">INDIRECT("'Закуп'!g" &amp; A1502)</f>
        <v>С</v>
      </c>
      <c r="Y1502" s="229" t="str">
        <f ca="1">INDIRECT("'Закуп'!i" &amp; A1502)</f>
        <v>В</v>
      </c>
      <c r="Z1502" s="236" t="str">
        <f ca="1">INDIRECT("'Закуп'!x" &amp; A1502)</f>
        <v>200-299 мм</v>
      </c>
      <c r="AA1502" s="237" t="str">
        <f ca="1">INDIRECT("'Закуп'!y" &amp; A1502)</f>
        <v>100-199 мм</v>
      </c>
      <c r="AB1502" s="238" t="str">
        <f ca="1">INDIRECT("'Закуп'!z" &amp; A1502)</f>
        <v>100-199 мм</v>
      </c>
      <c r="AC1502" s="223" t="str">
        <f t="shared" ca="1" si="853"/>
        <v>225x175x135</v>
      </c>
      <c r="AD1502" s="222" t="str">
        <f t="shared" ca="1" si="840"/>
        <v>225x175x135 - 225*175*135 мм</v>
      </c>
    </row>
    <row r="1503" spans="1:30" x14ac:dyDescent="0.4">
      <c r="A1503" s="230"/>
      <c r="B1503" s="8">
        <v>302</v>
      </c>
      <c r="C1503" s="14">
        <f t="shared" ca="1" si="869"/>
        <v>0.64</v>
      </c>
      <c r="D1503" s="20">
        <f t="shared" ca="1" si="837"/>
        <v>0.76800000000000002</v>
      </c>
      <c r="E1503" s="225"/>
      <c r="F1503" s="231"/>
      <c r="G1503" s="172" t="str">
        <f t="shared" ca="1" si="858"/>
        <v/>
      </c>
      <c r="H1503" s="93" t="str">
        <f t="shared" ca="1" si="859"/>
        <v/>
      </c>
      <c r="I1503" s="21">
        <v>100</v>
      </c>
      <c r="J1503" s="68">
        <f t="shared" si="860"/>
        <v>1.0833333333333335</v>
      </c>
      <c r="K1503" s="70">
        <v>1.3</v>
      </c>
      <c r="L1503" s="72">
        <f t="shared" ca="1" si="856"/>
        <v>0.3546666666666668</v>
      </c>
      <c r="M1503" s="73">
        <f t="shared" ca="1" si="857"/>
        <v>35.466666666666683</v>
      </c>
      <c r="N1503" s="12" t="s">
        <v>41</v>
      </c>
      <c r="O1503" s="47" t="s">
        <v>45</v>
      </c>
      <c r="P1503" s="13">
        <f t="shared" si="845"/>
        <v>1.3</v>
      </c>
      <c r="Q1503" s="1" t="str">
        <f t="shared" si="846"/>
        <v>100-290 шт - 1,3 руб / шт с НДС</v>
      </c>
      <c r="R1503" s="235"/>
      <c r="S1503" s="239"/>
      <c r="T1503" s="226"/>
      <c r="U1503" s="228"/>
      <c r="V1503" s="222"/>
      <c r="W1503" s="229"/>
      <c r="X1503" s="227"/>
      <c r="Y1503" s="229"/>
      <c r="Z1503" s="236"/>
      <c r="AA1503" s="237"/>
      <c r="AB1503" s="238"/>
      <c r="AC1503" s="223"/>
      <c r="AD1503" s="222"/>
    </row>
    <row r="1504" spans="1:30" x14ac:dyDescent="0.4">
      <c r="A1504" s="230"/>
      <c r="B1504" s="8">
        <v>302</v>
      </c>
      <c r="C1504" s="14">
        <f t="shared" ca="1" si="869"/>
        <v>0.64</v>
      </c>
      <c r="D1504" s="20">
        <f t="shared" ca="1" si="837"/>
        <v>0.76800000000000002</v>
      </c>
      <c r="E1504" s="225"/>
      <c r="F1504" s="231"/>
      <c r="G1504" s="172" t="str">
        <f t="shared" ca="1" si="858"/>
        <v/>
      </c>
      <c r="H1504" s="93" t="str">
        <f t="shared" ca="1" si="859"/>
        <v/>
      </c>
      <c r="I1504" s="21">
        <v>300</v>
      </c>
      <c r="J1504" s="68">
        <f t="shared" si="860"/>
        <v>0.95833333333333326</v>
      </c>
      <c r="K1504" s="70">
        <v>1.1499999999999999</v>
      </c>
      <c r="L1504" s="72">
        <f t="shared" ca="1" si="856"/>
        <v>0.2546666666666666</v>
      </c>
      <c r="M1504" s="73">
        <f t="shared" ca="1" si="857"/>
        <v>76.399999999999977</v>
      </c>
      <c r="N1504" s="12" t="s">
        <v>42</v>
      </c>
      <c r="O1504" s="47" t="s">
        <v>45</v>
      </c>
      <c r="P1504" s="13">
        <f t="shared" si="845"/>
        <v>1.1499999999999999</v>
      </c>
      <c r="Q1504" s="1" t="str">
        <f t="shared" si="846"/>
        <v>300-490 шт - 1,15 руб / шт с НДС</v>
      </c>
      <c r="R1504" s="235"/>
      <c r="S1504" s="239"/>
      <c r="T1504" s="226"/>
      <c r="U1504" s="228"/>
      <c r="V1504" s="222"/>
      <c r="W1504" s="229"/>
      <c r="X1504" s="227"/>
      <c r="Y1504" s="229"/>
      <c r="Z1504" s="236"/>
      <c r="AA1504" s="237"/>
      <c r="AB1504" s="238"/>
      <c r="AC1504" s="223"/>
      <c r="AD1504" s="222"/>
    </row>
    <row r="1505" spans="1:30" x14ac:dyDescent="0.4">
      <c r="A1505" s="230"/>
      <c r="B1505" s="8">
        <v>302</v>
      </c>
      <c r="C1505" s="14">
        <f t="shared" ca="1" si="869"/>
        <v>0.64</v>
      </c>
      <c r="D1505" s="20">
        <f t="shared" ref="D1505:D1568" ca="1" si="874">C1505*1.2</f>
        <v>0.76800000000000002</v>
      </c>
      <c r="E1505" s="225"/>
      <c r="F1505" s="231"/>
      <c r="G1505" s="172" t="str">
        <f t="shared" ca="1" si="858"/>
        <v/>
      </c>
      <c r="H1505" s="93" t="str">
        <f t="shared" ca="1" si="859"/>
        <v/>
      </c>
      <c r="I1505" s="21">
        <v>500</v>
      </c>
      <c r="J1505" s="68">
        <f t="shared" si="860"/>
        <v>0.87500000000000011</v>
      </c>
      <c r="K1505" s="70">
        <v>1.05</v>
      </c>
      <c r="L1505" s="72">
        <f t="shared" ca="1" si="856"/>
        <v>0.18800000000000008</v>
      </c>
      <c r="M1505" s="73">
        <f t="shared" ca="1" si="857"/>
        <v>94.000000000000043</v>
      </c>
      <c r="N1505" s="12" t="s">
        <v>43</v>
      </c>
      <c r="O1505" s="47" t="s">
        <v>45</v>
      </c>
      <c r="P1505" s="13">
        <f t="shared" si="845"/>
        <v>1.05</v>
      </c>
      <c r="Q1505" s="1" t="str">
        <f t="shared" si="846"/>
        <v>500-990 шт - 1,05 руб / шт с НДС</v>
      </c>
      <c r="R1505" s="235"/>
      <c r="S1505" s="239"/>
      <c r="T1505" s="226"/>
      <c r="U1505" s="228"/>
      <c r="V1505" s="222"/>
      <c r="W1505" s="229"/>
      <c r="X1505" s="227"/>
      <c r="Y1505" s="229"/>
      <c r="Z1505" s="236"/>
      <c r="AA1505" s="237"/>
      <c r="AB1505" s="238"/>
      <c r="AC1505" s="223"/>
      <c r="AD1505" s="222"/>
    </row>
    <row r="1506" spans="1:30" x14ac:dyDescent="0.4">
      <c r="A1506" s="230"/>
      <c r="B1506" s="8">
        <v>302</v>
      </c>
      <c r="C1506" s="14">
        <f t="shared" ca="1" si="869"/>
        <v>0.64</v>
      </c>
      <c r="D1506" s="20">
        <f t="shared" ca="1" si="874"/>
        <v>0.76800000000000002</v>
      </c>
      <c r="E1506" s="225"/>
      <c r="F1506" s="231"/>
      <c r="G1506" s="172" t="str">
        <f t="shared" ca="1" si="858"/>
        <v/>
      </c>
      <c r="H1506" s="93" t="str">
        <f t="shared" ca="1" si="859"/>
        <v/>
      </c>
      <c r="I1506" s="21">
        <v>1000</v>
      </c>
      <c r="J1506" s="68">
        <f t="shared" si="860"/>
        <v>0.79166666666666663</v>
      </c>
      <c r="K1506" s="70">
        <v>0.95</v>
      </c>
      <c r="L1506" s="72">
        <f t="shared" ca="1" si="856"/>
        <v>0.12133333333333329</v>
      </c>
      <c r="M1506" s="73">
        <f t="shared" ca="1" si="857"/>
        <v>121.33333333333329</v>
      </c>
      <c r="N1506" s="12" t="s">
        <v>44</v>
      </c>
      <c r="O1506" s="47" t="s">
        <v>45</v>
      </c>
      <c r="P1506" s="13">
        <f t="shared" si="845"/>
        <v>0.95</v>
      </c>
      <c r="Q1506" s="1" t="str">
        <f t="shared" si="846"/>
        <v>1000 + шт - 0,95 руб / шт с НДС</v>
      </c>
      <c r="R1506" s="235"/>
      <c r="S1506" s="239"/>
      <c r="T1506" s="226"/>
      <c r="U1506" s="228"/>
      <c r="V1506" s="222"/>
      <c r="W1506" s="229"/>
      <c r="X1506" s="227"/>
      <c r="Y1506" s="229"/>
      <c r="Z1506" s="236"/>
      <c r="AA1506" s="237"/>
      <c r="AB1506" s="238"/>
      <c r="AC1506" s="223"/>
      <c r="AD1506" s="222"/>
    </row>
    <row r="1507" spans="1:30" x14ac:dyDescent="0.4">
      <c r="A1507" s="230">
        <v>303</v>
      </c>
      <c r="B1507" s="8">
        <v>303</v>
      </c>
      <c r="C1507" s="14">
        <f t="shared" ca="1" si="869"/>
        <v>0.36</v>
      </c>
      <c r="D1507" s="20">
        <f t="shared" ca="1" si="874"/>
        <v>0.432</v>
      </c>
      <c r="E1507" s="225" t="str">
        <f ca="1">INDIRECT("'Закуп'!D" &amp; A1507)</f>
        <v>БМ</v>
      </c>
      <c r="F1507" s="231" t="str">
        <f t="shared" ref="F1507" ca="1" si="875">INDIRECT("'Закуп'!E" &amp; B1507)</f>
        <v>265х90х55</v>
      </c>
      <c r="G1507" s="172" t="str">
        <f t="shared" ca="1" si="858"/>
        <v/>
      </c>
      <c r="H1507" s="93" t="str">
        <f t="shared" ca="1" si="859"/>
        <v/>
      </c>
      <c r="I1507" s="21">
        <v>50</v>
      </c>
      <c r="J1507" s="68">
        <f t="shared" si="860"/>
        <v>0.88333333333333341</v>
      </c>
      <c r="K1507" s="70">
        <v>1.06</v>
      </c>
      <c r="L1507" s="72">
        <f t="shared" ca="1" si="856"/>
        <v>0.41866666666666674</v>
      </c>
      <c r="M1507" s="73">
        <f t="shared" ca="1" si="857"/>
        <v>20.933333333333337</v>
      </c>
      <c r="N1507" s="12" t="s">
        <v>40</v>
      </c>
      <c r="O1507" s="47" t="s">
        <v>45</v>
      </c>
      <c r="P1507" s="13">
        <f t="shared" si="845"/>
        <v>1.06</v>
      </c>
      <c r="Q1507" s="1" t="str">
        <f t="shared" si="846"/>
        <v>50-90 шт - 1,06 руб / шт с НДС</v>
      </c>
      <c r="R1507" s="235" t="str">
        <f ca="1">INDIRECT("'Закуп'!k" &amp; A1507)</f>
        <v>K504</v>
      </c>
      <c r="S1507" s="239">
        <f ca="1">INDIRECT("'Закуп'!o" &amp; A1507)</f>
        <v>1.31</v>
      </c>
      <c r="T1507" s="226" t="str">
        <f ca="1">INDIRECT("'Закуп'!p" &amp; A1507)</f>
        <v>1-1,9 литра</v>
      </c>
      <c r="U1507" s="228" t="str">
        <f ca="1">INDIRECT("'Закуп'!v" &amp; A1507)</f>
        <v>Длинные</v>
      </c>
      <c r="V1507" s="222" t="str">
        <f ca="1">INDIRECT("'Закуп'!w" &amp; A1507)</f>
        <v/>
      </c>
      <c r="W1507" s="229" t="str">
        <f ca="1">INDIRECT("'Закуп'!H" &amp; A1507)</f>
        <v>0427</v>
      </c>
      <c r="X1507" s="227" t="str">
        <f t="shared" ref="X1507" ca="1" si="876">INDIRECT("'Закуп'!g" &amp; A1507)</f>
        <v>С</v>
      </c>
      <c r="Y1507" s="229" t="str">
        <f ca="1">INDIRECT("'Закуп'!i" &amp; A1507)</f>
        <v>Е</v>
      </c>
      <c r="Z1507" s="236" t="str">
        <f ca="1">INDIRECT("'Закуп'!x" &amp; A1507)</f>
        <v>200-299 мм</v>
      </c>
      <c r="AA1507" s="237" t="str">
        <f ca="1">INDIRECT("'Закуп'!y" &amp; A1507)</f>
        <v>10-99 мм</v>
      </c>
      <c r="AB1507" s="238" t="str">
        <f ca="1">INDIRECT("'Закуп'!z" &amp; A1507)</f>
        <v>10-99 мм</v>
      </c>
      <c r="AC1507" s="223" t="str">
        <f t="shared" ca="1" si="853"/>
        <v>265x90x55</v>
      </c>
      <c r="AD1507" s="222" t="str">
        <f t="shared" ref="AD1507:AD1567" ca="1" si="877">SUBSTITUTE(INDEX(F:F, ROUNDUP((ROW(A1506))/5,0)*5 - 3), "х", "x") &amp; " - " &amp; SUBSTITUTE(SUBSTITUTE(INDEX(F:F, ROUNDUP((ROW(A1506))/5,0)*5 - 3), "х", "*"), "x", "*") &amp; " мм"</f>
        <v>265x90x55 - 265*90*55 мм</v>
      </c>
    </row>
    <row r="1508" spans="1:30" x14ac:dyDescent="0.4">
      <c r="A1508" s="230"/>
      <c r="B1508" s="8">
        <v>303</v>
      </c>
      <c r="C1508" s="14">
        <f t="shared" ca="1" si="869"/>
        <v>0.36</v>
      </c>
      <c r="D1508" s="20">
        <f t="shared" ca="1" si="874"/>
        <v>0.432</v>
      </c>
      <c r="E1508" s="225"/>
      <c r="F1508" s="231"/>
      <c r="G1508" s="172" t="str">
        <f t="shared" ca="1" si="858"/>
        <v/>
      </c>
      <c r="H1508" s="93" t="str">
        <f t="shared" ca="1" si="859"/>
        <v/>
      </c>
      <c r="I1508" s="21">
        <v>100</v>
      </c>
      <c r="J1508" s="68">
        <f t="shared" si="860"/>
        <v>0.76666666666666672</v>
      </c>
      <c r="K1508" s="70">
        <v>0.92</v>
      </c>
      <c r="L1508" s="72">
        <f t="shared" ca="1" si="856"/>
        <v>0.32533333333333336</v>
      </c>
      <c r="M1508" s="73">
        <f t="shared" ca="1" si="857"/>
        <v>32.533333333333339</v>
      </c>
      <c r="N1508" s="12" t="s">
        <v>41</v>
      </c>
      <c r="O1508" s="47" t="s">
        <v>45</v>
      </c>
      <c r="P1508" s="13">
        <f t="shared" si="845"/>
        <v>0.92</v>
      </c>
      <c r="Q1508" s="1" t="str">
        <f t="shared" si="846"/>
        <v>100-290 шт - 0,92 руб / шт с НДС</v>
      </c>
      <c r="R1508" s="235"/>
      <c r="S1508" s="239"/>
      <c r="T1508" s="226"/>
      <c r="U1508" s="228"/>
      <c r="V1508" s="222"/>
      <c r="W1508" s="229"/>
      <c r="X1508" s="227"/>
      <c r="Y1508" s="229"/>
      <c r="Z1508" s="236"/>
      <c r="AA1508" s="237"/>
      <c r="AB1508" s="238"/>
      <c r="AC1508" s="223"/>
      <c r="AD1508" s="222"/>
    </row>
    <row r="1509" spans="1:30" x14ac:dyDescent="0.4">
      <c r="A1509" s="230"/>
      <c r="B1509" s="8">
        <v>303</v>
      </c>
      <c r="C1509" s="14">
        <f t="shared" ca="1" si="869"/>
        <v>0.36</v>
      </c>
      <c r="D1509" s="20">
        <f t="shared" ca="1" si="874"/>
        <v>0.432</v>
      </c>
      <c r="E1509" s="225"/>
      <c r="F1509" s="231"/>
      <c r="G1509" s="172" t="str">
        <f t="shared" ca="1" si="858"/>
        <v/>
      </c>
      <c r="H1509" s="93" t="str">
        <f t="shared" ca="1" si="859"/>
        <v/>
      </c>
      <c r="I1509" s="21">
        <v>300</v>
      </c>
      <c r="J1509" s="68">
        <f t="shared" si="860"/>
        <v>0.70833333333333337</v>
      </c>
      <c r="K1509" s="70">
        <v>0.85</v>
      </c>
      <c r="L1509" s="72">
        <f t="shared" ca="1" si="856"/>
        <v>0.27866666666666673</v>
      </c>
      <c r="M1509" s="73">
        <f t="shared" ca="1" si="857"/>
        <v>83.600000000000023</v>
      </c>
      <c r="N1509" s="12" t="s">
        <v>42</v>
      </c>
      <c r="O1509" s="47" t="s">
        <v>45</v>
      </c>
      <c r="P1509" s="13">
        <f t="shared" si="845"/>
        <v>0.85</v>
      </c>
      <c r="Q1509" s="1" t="str">
        <f t="shared" si="846"/>
        <v>300-490 шт - 0,85 руб / шт с НДС</v>
      </c>
      <c r="R1509" s="235"/>
      <c r="S1509" s="239"/>
      <c r="T1509" s="226"/>
      <c r="U1509" s="228"/>
      <c r="V1509" s="222"/>
      <c r="W1509" s="229"/>
      <c r="X1509" s="227"/>
      <c r="Y1509" s="229"/>
      <c r="Z1509" s="236"/>
      <c r="AA1509" s="237"/>
      <c r="AB1509" s="238"/>
      <c r="AC1509" s="223"/>
      <c r="AD1509" s="222"/>
    </row>
    <row r="1510" spans="1:30" x14ac:dyDescent="0.4">
      <c r="A1510" s="230"/>
      <c r="B1510" s="8">
        <v>303</v>
      </c>
      <c r="C1510" s="14">
        <f t="shared" ca="1" si="869"/>
        <v>0.36</v>
      </c>
      <c r="D1510" s="20">
        <f t="shared" ca="1" si="874"/>
        <v>0.432</v>
      </c>
      <c r="E1510" s="225"/>
      <c r="F1510" s="231"/>
      <c r="G1510" s="172" t="str">
        <f t="shared" ca="1" si="858"/>
        <v/>
      </c>
      <c r="H1510" s="93" t="str">
        <f t="shared" ca="1" si="859"/>
        <v/>
      </c>
      <c r="I1510" s="21">
        <v>500</v>
      </c>
      <c r="J1510" s="68">
        <f t="shared" si="860"/>
        <v>0.64166666666666672</v>
      </c>
      <c r="K1510" s="70">
        <v>0.77</v>
      </c>
      <c r="L1510" s="72">
        <f t="shared" ca="1" si="856"/>
        <v>0.22533333333333339</v>
      </c>
      <c r="M1510" s="73">
        <f t="shared" ca="1" si="857"/>
        <v>112.66666666666669</v>
      </c>
      <c r="N1510" s="12" t="s">
        <v>43</v>
      </c>
      <c r="O1510" s="47" t="s">
        <v>45</v>
      </c>
      <c r="P1510" s="13">
        <f t="shared" si="845"/>
        <v>0.77</v>
      </c>
      <c r="Q1510" s="1" t="str">
        <f t="shared" si="846"/>
        <v>500-990 шт - 0,77 руб / шт с НДС</v>
      </c>
      <c r="R1510" s="235"/>
      <c r="S1510" s="239"/>
      <c r="T1510" s="226"/>
      <c r="U1510" s="228"/>
      <c r="V1510" s="222"/>
      <c r="W1510" s="229"/>
      <c r="X1510" s="227"/>
      <c r="Y1510" s="229"/>
      <c r="Z1510" s="236"/>
      <c r="AA1510" s="237"/>
      <c r="AB1510" s="238"/>
      <c r="AC1510" s="223"/>
      <c r="AD1510" s="222"/>
    </row>
    <row r="1511" spans="1:30" x14ac:dyDescent="0.4">
      <c r="A1511" s="230"/>
      <c r="B1511" s="8">
        <v>303</v>
      </c>
      <c r="C1511" s="14">
        <f t="shared" ca="1" si="869"/>
        <v>0.36</v>
      </c>
      <c r="D1511" s="20">
        <f t="shared" ca="1" si="874"/>
        <v>0.432</v>
      </c>
      <c r="E1511" s="225"/>
      <c r="F1511" s="231"/>
      <c r="G1511" s="172" t="str">
        <f t="shared" ca="1" si="858"/>
        <v/>
      </c>
      <c r="H1511" s="93" t="str">
        <f t="shared" ca="1" si="859"/>
        <v/>
      </c>
      <c r="I1511" s="21">
        <v>1000</v>
      </c>
      <c r="J1511" s="68">
        <f t="shared" si="860"/>
        <v>0.6</v>
      </c>
      <c r="K1511" s="70">
        <v>0.72</v>
      </c>
      <c r="L1511" s="72">
        <f t="shared" ca="1" si="856"/>
        <v>0.192</v>
      </c>
      <c r="M1511" s="73">
        <f t="shared" ca="1" si="857"/>
        <v>192</v>
      </c>
      <c r="N1511" s="12" t="s">
        <v>44</v>
      </c>
      <c r="O1511" s="47" t="s">
        <v>45</v>
      </c>
      <c r="P1511" s="13">
        <f t="shared" si="845"/>
        <v>0.72</v>
      </c>
      <c r="Q1511" s="1" t="str">
        <f t="shared" si="846"/>
        <v>1000 + шт - 0,72 руб / шт с НДС</v>
      </c>
      <c r="R1511" s="235"/>
      <c r="S1511" s="239"/>
      <c r="T1511" s="226"/>
      <c r="U1511" s="228"/>
      <c r="V1511" s="222"/>
      <c r="W1511" s="229"/>
      <c r="X1511" s="227"/>
      <c r="Y1511" s="229"/>
      <c r="Z1511" s="236"/>
      <c r="AA1511" s="237"/>
      <c r="AB1511" s="238"/>
      <c r="AC1511" s="223"/>
      <c r="AD1511" s="222"/>
    </row>
    <row r="1512" spans="1:30" x14ac:dyDescent="0.4">
      <c r="A1512" s="230">
        <v>304</v>
      </c>
      <c r="B1512" s="8">
        <v>304</v>
      </c>
      <c r="C1512" s="14">
        <f t="shared" ca="1" si="869"/>
        <v>0.23</v>
      </c>
      <c r="D1512" s="20">
        <f t="shared" ca="1" si="874"/>
        <v>0.27600000000000002</v>
      </c>
      <c r="E1512" s="225" t="str">
        <f ca="1">INDIRECT("'Закуп'!D" &amp; A1512)</f>
        <v>БМ</v>
      </c>
      <c r="F1512" s="231" t="str">
        <f t="shared" ref="F1512" ca="1" si="878">INDIRECT("'Закуп'!E" &amp; B1512)</f>
        <v>150х105х70</v>
      </c>
      <c r="G1512" s="172" t="str">
        <f t="shared" ca="1" si="858"/>
        <v/>
      </c>
      <c r="H1512" s="93" t="str">
        <f t="shared" ca="1" si="859"/>
        <v/>
      </c>
      <c r="I1512" s="21">
        <v>50</v>
      </c>
      <c r="J1512" s="68">
        <f t="shared" si="860"/>
        <v>0.81666666666666665</v>
      </c>
      <c r="K1512" s="70">
        <v>0.98</v>
      </c>
      <c r="L1512" s="72">
        <f t="shared" ca="1" si="856"/>
        <v>0.46933333333333332</v>
      </c>
      <c r="M1512" s="73">
        <f t="shared" ca="1" si="857"/>
        <v>23.466666666666665</v>
      </c>
      <c r="N1512" s="12" t="s">
        <v>40</v>
      </c>
      <c r="O1512" s="47" t="s">
        <v>45</v>
      </c>
      <c r="P1512" s="13">
        <f t="shared" si="845"/>
        <v>0.98</v>
      </c>
      <c r="Q1512" s="1" t="str">
        <f t="shared" si="846"/>
        <v>50-90 шт - 0,98 руб / шт с НДС</v>
      </c>
      <c r="R1512" s="235" t="str">
        <f ca="1">INDIRECT("'Закуп'!k" &amp; A1512)</f>
        <v>K505</v>
      </c>
      <c r="S1512" s="239">
        <f ca="1">INDIRECT("'Закуп'!o" &amp; A1512)</f>
        <v>1.1000000000000001</v>
      </c>
      <c r="T1512" s="226" t="str">
        <f ca="1">INDIRECT("'Закуп'!p" &amp; A1512)</f>
        <v>1-1,9 литра</v>
      </c>
      <c r="U1512" s="228" t="str">
        <f ca="1">INDIRECT("'Закуп'!v" &amp; A1512)</f>
        <v/>
      </c>
      <c r="V1512" s="222" t="str">
        <f ca="1">INDIRECT("'Закуп'!w" &amp; A1512)</f>
        <v/>
      </c>
      <c r="W1512" s="229" t="str">
        <f ca="1">INDIRECT("'Закуп'!H" &amp; A1512)</f>
        <v>0470</v>
      </c>
      <c r="X1512" s="227" t="str">
        <f t="shared" ref="X1512" ca="1" si="879">INDIRECT("'Закуп'!g" &amp; A1512)</f>
        <v>С</v>
      </c>
      <c r="Y1512" s="229" t="str">
        <f ca="1">INDIRECT("'Закуп'!i" &amp; A1512)</f>
        <v>Е</v>
      </c>
      <c r="Z1512" s="236" t="str">
        <f ca="1">INDIRECT("'Закуп'!x" &amp; A1512)</f>
        <v>100-199 мм</v>
      </c>
      <c r="AA1512" s="237" t="str">
        <f ca="1">INDIRECT("'Закуп'!y" &amp; A1512)</f>
        <v>100-199 мм</v>
      </c>
      <c r="AB1512" s="238" t="str">
        <f ca="1">INDIRECT("'Закуп'!z" &amp; A1512)</f>
        <v>10-99 мм</v>
      </c>
      <c r="AC1512" s="223" t="str">
        <f t="shared" ca="1" si="853"/>
        <v>150x105x70</v>
      </c>
      <c r="AD1512" s="222" t="str">
        <f t="shared" ca="1" si="877"/>
        <v>150x105x70 - 150*105*70 мм</v>
      </c>
    </row>
    <row r="1513" spans="1:30" x14ac:dyDescent="0.4">
      <c r="A1513" s="230"/>
      <c r="B1513" s="8">
        <v>304</v>
      </c>
      <c r="C1513" s="14">
        <f t="shared" ca="1" si="869"/>
        <v>0.23</v>
      </c>
      <c r="D1513" s="20">
        <f t="shared" ca="1" si="874"/>
        <v>0.27600000000000002</v>
      </c>
      <c r="E1513" s="225"/>
      <c r="F1513" s="231"/>
      <c r="G1513" s="172" t="str">
        <f t="shared" ca="1" si="858"/>
        <v/>
      </c>
      <c r="H1513" s="93" t="str">
        <f t="shared" ca="1" si="859"/>
        <v/>
      </c>
      <c r="I1513" s="21">
        <v>100</v>
      </c>
      <c r="J1513" s="68">
        <f t="shared" si="860"/>
        <v>0.69166666666666665</v>
      </c>
      <c r="K1513" s="70">
        <v>0.83</v>
      </c>
      <c r="L1513" s="72">
        <f t="shared" ca="1" si="856"/>
        <v>0.36933333333333335</v>
      </c>
      <c r="M1513" s="73">
        <f t="shared" ca="1" si="857"/>
        <v>36.933333333333337</v>
      </c>
      <c r="N1513" s="12" t="s">
        <v>41</v>
      </c>
      <c r="O1513" s="47" t="s">
        <v>45</v>
      </c>
      <c r="P1513" s="13">
        <f t="shared" si="845"/>
        <v>0.83</v>
      </c>
      <c r="Q1513" s="1" t="str">
        <f t="shared" si="846"/>
        <v>100-290 шт - 0,83 руб / шт с НДС</v>
      </c>
      <c r="R1513" s="235"/>
      <c r="S1513" s="239"/>
      <c r="T1513" s="226"/>
      <c r="U1513" s="228"/>
      <c r="V1513" s="222"/>
      <c r="W1513" s="229"/>
      <c r="X1513" s="227"/>
      <c r="Y1513" s="229"/>
      <c r="Z1513" s="236"/>
      <c r="AA1513" s="237"/>
      <c r="AB1513" s="238"/>
      <c r="AC1513" s="223"/>
      <c r="AD1513" s="222"/>
    </row>
    <row r="1514" spans="1:30" x14ac:dyDescent="0.4">
      <c r="A1514" s="230"/>
      <c r="B1514" s="8">
        <v>304</v>
      </c>
      <c r="C1514" s="14">
        <f t="shared" ca="1" si="869"/>
        <v>0.23</v>
      </c>
      <c r="D1514" s="20">
        <f t="shared" ca="1" si="874"/>
        <v>0.27600000000000002</v>
      </c>
      <c r="E1514" s="225"/>
      <c r="F1514" s="231"/>
      <c r="G1514" s="172" t="str">
        <f t="shared" ca="1" si="858"/>
        <v/>
      </c>
      <c r="H1514" s="93" t="str">
        <f t="shared" ca="1" si="859"/>
        <v/>
      </c>
      <c r="I1514" s="21">
        <v>300</v>
      </c>
      <c r="J1514" s="68">
        <f t="shared" si="860"/>
        <v>0.56666666666666676</v>
      </c>
      <c r="K1514" s="70">
        <v>0.68</v>
      </c>
      <c r="L1514" s="72">
        <f t="shared" ca="1" si="856"/>
        <v>0.26933333333333342</v>
      </c>
      <c r="M1514" s="73">
        <f t="shared" ca="1" si="857"/>
        <v>80.800000000000026</v>
      </c>
      <c r="N1514" s="12" t="s">
        <v>42</v>
      </c>
      <c r="O1514" s="47" t="s">
        <v>45</v>
      </c>
      <c r="P1514" s="13">
        <f t="shared" si="845"/>
        <v>0.68</v>
      </c>
      <c r="Q1514" s="1" t="str">
        <f t="shared" si="846"/>
        <v>300-490 шт - 0,68 руб / шт с НДС</v>
      </c>
      <c r="R1514" s="235"/>
      <c r="S1514" s="239"/>
      <c r="T1514" s="226"/>
      <c r="U1514" s="228"/>
      <c r="V1514" s="222"/>
      <c r="W1514" s="229"/>
      <c r="X1514" s="227"/>
      <c r="Y1514" s="229"/>
      <c r="Z1514" s="236"/>
      <c r="AA1514" s="237"/>
      <c r="AB1514" s="238"/>
      <c r="AC1514" s="223"/>
      <c r="AD1514" s="222"/>
    </row>
    <row r="1515" spans="1:30" x14ac:dyDescent="0.4">
      <c r="A1515" s="230"/>
      <c r="B1515" s="8">
        <v>304</v>
      </c>
      <c r="C1515" s="14">
        <f t="shared" ca="1" si="869"/>
        <v>0.23</v>
      </c>
      <c r="D1515" s="20">
        <f t="shared" ca="1" si="874"/>
        <v>0.27600000000000002</v>
      </c>
      <c r="E1515" s="225"/>
      <c r="F1515" s="231"/>
      <c r="G1515" s="172" t="str">
        <f t="shared" ca="1" si="858"/>
        <v/>
      </c>
      <c r="H1515" s="93" t="str">
        <f t="shared" ca="1" si="859"/>
        <v/>
      </c>
      <c r="I1515" s="21">
        <v>500</v>
      </c>
      <c r="J1515" s="68">
        <f t="shared" si="860"/>
        <v>0.48333333333333334</v>
      </c>
      <c r="K1515" s="70">
        <v>0.57999999999999996</v>
      </c>
      <c r="L1515" s="72">
        <f t="shared" ca="1" si="856"/>
        <v>0.20266666666666663</v>
      </c>
      <c r="M1515" s="73">
        <f t="shared" ca="1" si="857"/>
        <v>101.33333333333331</v>
      </c>
      <c r="N1515" s="12" t="s">
        <v>43</v>
      </c>
      <c r="O1515" s="47" t="s">
        <v>45</v>
      </c>
      <c r="P1515" s="13">
        <f t="shared" si="845"/>
        <v>0.57999999999999996</v>
      </c>
      <c r="Q1515" s="1" t="str">
        <f t="shared" si="846"/>
        <v>500-990 шт - 0,58 руб / шт с НДС</v>
      </c>
      <c r="R1515" s="235"/>
      <c r="S1515" s="239"/>
      <c r="T1515" s="226"/>
      <c r="U1515" s="228"/>
      <c r="V1515" s="222"/>
      <c r="W1515" s="229"/>
      <c r="X1515" s="227"/>
      <c r="Y1515" s="229"/>
      <c r="Z1515" s="236"/>
      <c r="AA1515" s="237"/>
      <c r="AB1515" s="238"/>
      <c r="AC1515" s="223"/>
      <c r="AD1515" s="222"/>
    </row>
    <row r="1516" spans="1:30" x14ac:dyDescent="0.4">
      <c r="A1516" s="230"/>
      <c r="B1516" s="8">
        <v>304</v>
      </c>
      <c r="C1516" s="14">
        <f t="shared" ca="1" si="869"/>
        <v>0.23</v>
      </c>
      <c r="D1516" s="20">
        <f t="shared" ca="1" si="874"/>
        <v>0.27600000000000002</v>
      </c>
      <c r="E1516" s="225"/>
      <c r="F1516" s="231"/>
      <c r="G1516" s="172" t="str">
        <f t="shared" ca="1" si="858"/>
        <v/>
      </c>
      <c r="H1516" s="93" t="str">
        <f t="shared" ca="1" si="859"/>
        <v/>
      </c>
      <c r="I1516" s="21">
        <v>1000</v>
      </c>
      <c r="J1516" s="68">
        <f t="shared" si="860"/>
        <v>0.4</v>
      </c>
      <c r="K1516" s="70">
        <v>0.48</v>
      </c>
      <c r="L1516" s="72">
        <f t="shared" ca="1" si="856"/>
        <v>0.13600000000000001</v>
      </c>
      <c r="M1516" s="73">
        <f t="shared" ca="1" si="857"/>
        <v>136</v>
      </c>
      <c r="N1516" s="12" t="s">
        <v>44</v>
      </c>
      <c r="O1516" s="47" t="s">
        <v>45</v>
      </c>
      <c r="P1516" s="13">
        <f t="shared" si="845"/>
        <v>0.48</v>
      </c>
      <c r="Q1516" s="1" t="str">
        <f t="shared" si="846"/>
        <v>1000 + шт - 0,48 руб / шт с НДС</v>
      </c>
      <c r="R1516" s="235"/>
      <c r="S1516" s="239"/>
      <c r="T1516" s="226"/>
      <c r="U1516" s="228"/>
      <c r="V1516" s="222"/>
      <c r="W1516" s="229"/>
      <c r="X1516" s="227"/>
      <c r="Y1516" s="229"/>
      <c r="Z1516" s="236"/>
      <c r="AA1516" s="237"/>
      <c r="AB1516" s="238"/>
      <c r="AC1516" s="223"/>
      <c r="AD1516" s="222"/>
    </row>
    <row r="1517" spans="1:30" x14ac:dyDescent="0.4">
      <c r="A1517" s="230">
        <v>305</v>
      </c>
      <c r="B1517" s="8">
        <v>305</v>
      </c>
      <c r="C1517" s="14">
        <f t="shared" ca="1" si="869"/>
        <v>0.21</v>
      </c>
      <c r="D1517" s="20">
        <f t="shared" ca="1" si="874"/>
        <v>0.252</v>
      </c>
      <c r="E1517" s="225" t="str">
        <f ca="1">INDIRECT("'Закуп'!D" &amp; A1517)</f>
        <v>БМ</v>
      </c>
      <c r="F1517" s="231" t="str">
        <f t="shared" ref="F1517" ca="1" si="880">INDIRECT("'Закуп'!E" &amp; B1517)</f>
        <v>180х150х17</v>
      </c>
      <c r="G1517" s="172" t="str">
        <f t="shared" ca="1" si="858"/>
        <v/>
      </c>
      <c r="H1517" s="93" t="str">
        <f t="shared" ca="1" si="859"/>
        <v/>
      </c>
      <c r="I1517" s="21">
        <v>50</v>
      </c>
      <c r="J1517" s="68">
        <f t="shared" si="860"/>
        <v>0.81666666666666665</v>
      </c>
      <c r="K1517" s="70">
        <v>0.98</v>
      </c>
      <c r="L1517" s="72">
        <f t="shared" ca="1" si="856"/>
        <v>0.48533333333333334</v>
      </c>
      <c r="M1517" s="73">
        <f t="shared" ca="1" si="857"/>
        <v>24.266666666666666</v>
      </c>
      <c r="N1517" s="12" t="s">
        <v>40</v>
      </c>
      <c r="O1517" s="47" t="s">
        <v>45</v>
      </c>
      <c r="P1517" s="13">
        <f t="shared" si="845"/>
        <v>0.98</v>
      </c>
      <c r="Q1517" s="1" t="str">
        <f t="shared" si="846"/>
        <v>50-90 шт - 0,98 руб / шт с НДС</v>
      </c>
      <c r="R1517" s="235" t="str">
        <f ca="1">INDIRECT("'Закуп'!k" &amp; A1517)</f>
        <v>K506</v>
      </c>
      <c r="S1517" s="239">
        <f ca="1">INDIRECT("'Закуп'!o" &amp; A1517)</f>
        <v>0.46</v>
      </c>
      <c r="T1517" s="226" t="str">
        <f ca="1">INDIRECT("'Закуп'!p" &amp; A1517)</f>
        <v>0,1-0,9 литров</v>
      </c>
      <c r="U1517" s="228" t="str">
        <f ca="1">INDIRECT("'Закуп'!v" &amp; A1517)</f>
        <v/>
      </c>
      <c r="V1517" s="222" t="str">
        <f ca="1">INDIRECT("'Закуп'!w" &amp; A1517)</f>
        <v>Плоские</v>
      </c>
      <c r="W1517" s="229" t="str">
        <f ca="1">INDIRECT("'Закуп'!H" &amp; A1517)</f>
        <v>0427</v>
      </c>
      <c r="X1517" s="227" t="str">
        <f t="shared" ref="X1517" ca="1" si="881">INDIRECT("'Закуп'!g" &amp; A1517)</f>
        <v>С</v>
      </c>
      <c r="Y1517" s="229" t="str">
        <f ca="1">INDIRECT("'Закуп'!i" &amp; A1517)</f>
        <v>Е</v>
      </c>
      <c r="Z1517" s="236" t="str">
        <f ca="1">INDIRECT("'Закуп'!x" &amp; A1517)</f>
        <v>100-199 мм</v>
      </c>
      <c r="AA1517" s="237" t="str">
        <f ca="1">INDIRECT("'Закуп'!y" &amp; A1517)</f>
        <v>100-199 мм</v>
      </c>
      <c r="AB1517" s="238" t="str">
        <f ca="1">INDIRECT("'Закуп'!z" &amp; A1517)</f>
        <v>10-99 мм</v>
      </c>
      <c r="AC1517" s="223" t="str">
        <f t="shared" ca="1" si="853"/>
        <v>180x150x17</v>
      </c>
      <c r="AD1517" s="222" t="str">
        <f t="shared" ca="1" si="877"/>
        <v>180x150x17 - 180*150*17 мм</v>
      </c>
    </row>
    <row r="1518" spans="1:30" x14ac:dyDescent="0.4">
      <c r="A1518" s="230"/>
      <c r="B1518" s="8">
        <v>305</v>
      </c>
      <c r="C1518" s="14">
        <f t="shared" ca="1" si="869"/>
        <v>0.21</v>
      </c>
      <c r="D1518" s="20">
        <f t="shared" ca="1" si="874"/>
        <v>0.252</v>
      </c>
      <c r="E1518" s="225"/>
      <c r="F1518" s="231"/>
      <c r="G1518" s="172" t="str">
        <f t="shared" ca="1" si="858"/>
        <v/>
      </c>
      <c r="H1518" s="93" t="str">
        <f t="shared" ca="1" si="859"/>
        <v/>
      </c>
      <c r="I1518" s="21">
        <v>100</v>
      </c>
      <c r="J1518" s="68">
        <f t="shared" si="860"/>
        <v>0.69166666666666665</v>
      </c>
      <c r="K1518" s="70">
        <v>0.83</v>
      </c>
      <c r="L1518" s="72">
        <f t="shared" ca="1" si="856"/>
        <v>0.38533333333333336</v>
      </c>
      <c r="M1518" s="73">
        <f t="shared" ca="1" si="857"/>
        <v>38.533333333333339</v>
      </c>
      <c r="N1518" s="12" t="s">
        <v>41</v>
      </c>
      <c r="O1518" s="47" t="s">
        <v>45</v>
      </c>
      <c r="P1518" s="13">
        <f t="shared" si="845"/>
        <v>0.83</v>
      </c>
      <c r="Q1518" s="1" t="str">
        <f t="shared" si="846"/>
        <v>100-290 шт - 0,83 руб / шт с НДС</v>
      </c>
      <c r="R1518" s="235"/>
      <c r="S1518" s="239"/>
      <c r="T1518" s="226"/>
      <c r="U1518" s="228"/>
      <c r="V1518" s="222"/>
      <c r="W1518" s="229"/>
      <c r="X1518" s="227"/>
      <c r="Y1518" s="229"/>
      <c r="Z1518" s="236"/>
      <c r="AA1518" s="237"/>
      <c r="AB1518" s="238"/>
      <c r="AC1518" s="223"/>
      <c r="AD1518" s="222"/>
    </row>
    <row r="1519" spans="1:30" x14ac:dyDescent="0.4">
      <c r="A1519" s="230"/>
      <c r="B1519" s="8">
        <v>305</v>
      </c>
      <c r="C1519" s="14">
        <f t="shared" ca="1" si="869"/>
        <v>0.21</v>
      </c>
      <c r="D1519" s="20">
        <f t="shared" ca="1" si="874"/>
        <v>0.252</v>
      </c>
      <c r="E1519" s="225"/>
      <c r="F1519" s="231"/>
      <c r="G1519" s="172" t="str">
        <f t="shared" ca="1" si="858"/>
        <v/>
      </c>
      <c r="H1519" s="93" t="str">
        <f t="shared" ca="1" si="859"/>
        <v/>
      </c>
      <c r="I1519" s="21">
        <v>300</v>
      </c>
      <c r="J1519" s="68">
        <f t="shared" si="860"/>
        <v>0.56666666666666676</v>
      </c>
      <c r="K1519" s="70">
        <v>0.68</v>
      </c>
      <c r="L1519" s="72">
        <f t="shared" ca="1" si="856"/>
        <v>0.28533333333333344</v>
      </c>
      <c r="M1519" s="73">
        <f t="shared" ca="1" si="857"/>
        <v>85.600000000000037</v>
      </c>
      <c r="N1519" s="12" t="s">
        <v>42</v>
      </c>
      <c r="O1519" s="47" t="s">
        <v>45</v>
      </c>
      <c r="P1519" s="13">
        <f t="shared" ref="P1519:P1582" si="882">ROUND(K1519,2)</f>
        <v>0.68</v>
      </c>
      <c r="Q1519" s="1" t="str">
        <f t="shared" si="846"/>
        <v>300-490 шт - 0,68 руб / шт с НДС</v>
      </c>
      <c r="R1519" s="235"/>
      <c r="S1519" s="239"/>
      <c r="T1519" s="226"/>
      <c r="U1519" s="228"/>
      <c r="V1519" s="222"/>
      <c r="W1519" s="229"/>
      <c r="X1519" s="227"/>
      <c r="Y1519" s="229"/>
      <c r="Z1519" s="236"/>
      <c r="AA1519" s="237"/>
      <c r="AB1519" s="238"/>
      <c r="AC1519" s="223"/>
      <c r="AD1519" s="222"/>
    </row>
    <row r="1520" spans="1:30" x14ac:dyDescent="0.4">
      <c r="A1520" s="230"/>
      <c r="B1520" s="8">
        <v>305</v>
      </c>
      <c r="C1520" s="14">
        <f t="shared" ca="1" si="869"/>
        <v>0.21</v>
      </c>
      <c r="D1520" s="20">
        <f t="shared" ca="1" si="874"/>
        <v>0.252</v>
      </c>
      <c r="E1520" s="225"/>
      <c r="F1520" s="231"/>
      <c r="G1520" s="172" t="str">
        <f t="shared" ca="1" si="858"/>
        <v/>
      </c>
      <c r="H1520" s="93" t="str">
        <f t="shared" ca="1" si="859"/>
        <v/>
      </c>
      <c r="I1520" s="21">
        <v>500</v>
      </c>
      <c r="J1520" s="68">
        <f t="shared" si="860"/>
        <v>0.48333333333333334</v>
      </c>
      <c r="K1520" s="70">
        <v>0.57999999999999996</v>
      </c>
      <c r="L1520" s="72">
        <f t="shared" ca="1" si="856"/>
        <v>0.21866666666666665</v>
      </c>
      <c r="M1520" s="73">
        <f t="shared" ca="1" si="857"/>
        <v>109.33333333333333</v>
      </c>
      <c r="N1520" s="12" t="s">
        <v>43</v>
      </c>
      <c r="O1520" s="47" t="s">
        <v>45</v>
      </c>
      <c r="P1520" s="13">
        <f t="shared" si="882"/>
        <v>0.57999999999999996</v>
      </c>
      <c r="Q1520" s="1" t="str">
        <f t="shared" ref="Q1520:Q1583" si="883">CONCATENATE(N1520,P1520,O1520,)</f>
        <v>500-990 шт - 0,58 руб / шт с НДС</v>
      </c>
      <c r="R1520" s="235"/>
      <c r="S1520" s="239"/>
      <c r="T1520" s="226"/>
      <c r="U1520" s="228"/>
      <c r="V1520" s="222"/>
      <c r="W1520" s="229"/>
      <c r="X1520" s="227"/>
      <c r="Y1520" s="229"/>
      <c r="Z1520" s="236"/>
      <c r="AA1520" s="237"/>
      <c r="AB1520" s="238"/>
      <c r="AC1520" s="223"/>
      <c r="AD1520" s="222"/>
    </row>
    <row r="1521" spans="1:30" x14ac:dyDescent="0.4">
      <c r="A1521" s="230"/>
      <c r="B1521" s="8">
        <v>305</v>
      </c>
      <c r="C1521" s="14">
        <f t="shared" ca="1" si="869"/>
        <v>0.21</v>
      </c>
      <c r="D1521" s="20">
        <f t="shared" ca="1" si="874"/>
        <v>0.252</v>
      </c>
      <c r="E1521" s="225"/>
      <c r="F1521" s="231"/>
      <c r="G1521" s="172" t="str">
        <f t="shared" ca="1" si="858"/>
        <v/>
      </c>
      <c r="H1521" s="93" t="str">
        <f t="shared" ca="1" si="859"/>
        <v/>
      </c>
      <c r="I1521" s="21">
        <v>1000</v>
      </c>
      <c r="J1521" s="68">
        <f t="shared" si="860"/>
        <v>0.4</v>
      </c>
      <c r="K1521" s="70">
        <v>0.48</v>
      </c>
      <c r="L1521" s="72">
        <f t="shared" ca="1" si="856"/>
        <v>0.15200000000000002</v>
      </c>
      <c r="M1521" s="73">
        <f t="shared" ca="1" si="857"/>
        <v>152.00000000000003</v>
      </c>
      <c r="N1521" s="12" t="s">
        <v>44</v>
      </c>
      <c r="O1521" s="47" t="s">
        <v>45</v>
      </c>
      <c r="P1521" s="13">
        <f t="shared" si="882"/>
        <v>0.48</v>
      </c>
      <c r="Q1521" s="1" t="str">
        <f t="shared" si="883"/>
        <v>1000 + шт - 0,48 руб / шт с НДС</v>
      </c>
      <c r="R1521" s="235"/>
      <c r="S1521" s="239"/>
      <c r="T1521" s="226"/>
      <c r="U1521" s="228"/>
      <c r="V1521" s="222"/>
      <c r="W1521" s="229"/>
      <c r="X1521" s="227"/>
      <c r="Y1521" s="229"/>
      <c r="Z1521" s="236"/>
      <c r="AA1521" s="237"/>
      <c r="AB1521" s="238"/>
      <c r="AC1521" s="223"/>
      <c r="AD1521" s="222"/>
    </row>
    <row r="1522" spans="1:30" x14ac:dyDescent="0.4">
      <c r="A1522" s="230">
        <v>306</v>
      </c>
      <c r="B1522" s="8">
        <v>306</v>
      </c>
      <c r="C1522" s="14">
        <f t="shared" ca="1" si="869"/>
        <v>0.28000000000000003</v>
      </c>
      <c r="D1522" s="20">
        <f t="shared" ca="1" si="874"/>
        <v>0.33600000000000002</v>
      </c>
      <c r="E1522" s="225" t="str">
        <f ca="1">INDIRECT("'Закуп'!D" &amp; A1522)</f>
        <v>БМ</v>
      </c>
      <c r="F1522" s="231" t="str">
        <f t="shared" ref="F1522" ca="1" si="884">INDIRECT("'Закуп'!E" &amp; B1522)</f>
        <v>90х90х160</v>
      </c>
      <c r="G1522" s="172" t="str">
        <f t="shared" ca="1" si="858"/>
        <v/>
      </c>
      <c r="H1522" s="93" t="str">
        <f t="shared" ca="1" si="859"/>
        <v/>
      </c>
      <c r="I1522" s="21">
        <v>50</v>
      </c>
      <c r="J1522" s="68">
        <f t="shared" si="860"/>
        <v>0.81666666666666665</v>
      </c>
      <c r="K1522" s="70">
        <v>0.98</v>
      </c>
      <c r="L1522" s="72">
        <f t="shared" ca="1" si="856"/>
        <v>0.42933333333333329</v>
      </c>
      <c r="M1522" s="73">
        <f t="shared" ca="1" si="857"/>
        <v>21.466666666666665</v>
      </c>
      <c r="N1522" s="12" t="s">
        <v>40</v>
      </c>
      <c r="O1522" s="47" t="s">
        <v>45</v>
      </c>
      <c r="P1522" s="13">
        <f t="shared" si="882"/>
        <v>0.98</v>
      </c>
      <c r="Q1522" s="1" t="str">
        <f t="shared" si="883"/>
        <v>50-90 шт - 0,98 руб / шт с НДС</v>
      </c>
      <c r="R1522" s="235" t="str">
        <f ca="1">INDIRECT("'Закуп'!k" &amp; A1522)</f>
        <v>K507</v>
      </c>
      <c r="S1522" s="239">
        <f ca="1">INDIRECT("'Закуп'!o" &amp; A1522)</f>
        <v>1.3</v>
      </c>
      <c r="T1522" s="226" t="str">
        <f ca="1">INDIRECT("'Закуп'!p" &amp; A1522)</f>
        <v>1-1,9 литра</v>
      </c>
      <c r="U1522" s="228" t="str">
        <f ca="1">INDIRECT("'Закуп'!v" &amp; A1522)</f>
        <v/>
      </c>
      <c r="V1522" s="222" t="str">
        <f ca="1">INDIRECT("'Закуп'!w" &amp; A1522)</f>
        <v/>
      </c>
      <c r="W1522" s="229" t="str">
        <f ca="1">INDIRECT("'Закуп'!H" &amp; A1522)</f>
        <v>0215</v>
      </c>
      <c r="X1522" s="227" t="str">
        <f t="shared" ref="X1522" ca="1" si="885">INDIRECT("'Закуп'!g" &amp; A1522)</f>
        <v>С</v>
      </c>
      <c r="Y1522" s="229" t="str">
        <f ca="1">INDIRECT("'Закуп'!i" &amp; A1522)</f>
        <v>Е</v>
      </c>
      <c r="Z1522" s="236" t="str">
        <f ca="1">INDIRECT("'Закуп'!x" &amp; A1522)</f>
        <v>100-199 мм</v>
      </c>
      <c r="AA1522" s="237" t="str">
        <f ca="1">INDIRECT("'Закуп'!y" &amp; A1522)</f>
        <v>10-99 мм</v>
      </c>
      <c r="AB1522" s="238" t="str">
        <f ca="1">INDIRECT("'Закуп'!z" &amp; A1522)</f>
        <v>10-99 мм</v>
      </c>
      <c r="AC1522" s="223" t="str">
        <f t="shared" ca="1" si="853"/>
        <v>90x90x160</v>
      </c>
      <c r="AD1522" s="222" t="str">
        <f t="shared" ca="1" si="877"/>
        <v>90x90x160 - 90*90*160 мм</v>
      </c>
    </row>
    <row r="1523" spans="1:30" x14ac:dyDescent="0.4">
      <c r="A1523" s="230"/>
      <c r="B1523" s="8">
        <v>306</v>
      </c>
      <c r="C1523" s="14">
        <f t="shared" ca="1" si="869"/>
        <v>0.28000000000000003</v>
      </c>
      <c r="D1523" s="20">
        <f t="shared" ca="1" si="874"/>
        <v>0.33600000000000002</v>
      </c>
      <c r="E1523" s="225"/>
      <c r="F1523" s="231"/>
      <c r="G1523" s="172" t="str">
        <f t="shared" ca="1" si="858"/>
        <v/>
      </c>
      <c r="H1523" s="93" t="str">
        <f t="shared" ca="1" si="859"/>
        <v/>
      </c>
      <c r="I1523" s="21">
        <v>100</v>
      </c>
      <c r="J1523" s="68">
        <f t="shared" si="860"/>
        <v>0.69166666666666665</v>
      </c>
      <c r="K1523" s="70">
        <v>0.83</v>
      </c>
      <c r="L1523" s="72">
        <f t="shared" ca="1" si="856"/>
        <v>0.32933333333333331</v>
      </c>
      <c r="M1523" s="73">
        <f t="shared" ca="1" si="857"/>
        <v>32.93333333333333</v>
      </c>
      <c r="N1523" s="12" t="s">
        <v>41</v>
      </c>
      <c r="O1523" s="47" t="s">
        <v>45</v>
      </c>
      <c r="P1523" s="13">
        <f t="shared" si="882"/>
        <v>0.83</v>
      </c>
      <c r="Q1523" s="1" t="str">
        <f t="shared" si="883"/>
        <v>100-290 шт - 0,83 руб / шт с НДС</v>
      </c>
      <c r="R1523" s="235"/>
      <c r="S1523" s="239"/>
      <c r="T1523" s="226"/>
      <c r="U1523" s="228"/>
      <c r="V1523" s="222"/>
      <c r="W1523" s="229"/>
      <c r="X1523" s="227"/>
      <c r="Y1523" s="229"/>
      <c r="Z1523" s="236"/>
      <c r="AA1523" s="237"/>
      <c r="AB1523" s="238"/>
      <c r="AC1523" s="223"/>
      <c r="AD1523" s="222"/>
    </row>
    <row r="1524" spans="1:30" x14ac:dyDescent="0.4">
      <c r="A1524" s="230"/>
      <c r="B1524" s="8">
        <v>306</v>
      </c>
      <c r="C1524" s="14">
        <f t="shared" ca="1" si="869"/>
        <v>0.28000000000000003</v>
      </c>
      <c r="D1524" s="20">
        <f t="shared" ca="1" si="874"/>
        <v>0.33600000000000002</v>
      </c>
      <c r="E1524" s="225"/>
      <c r="F1524" s="231"/>
      <c r="G1524" s="172" t="str">
        <f t="shared" ca="1" si="858"/>
        <v/>
      </c>
      <c r="H1524" s="93" t="str">
        <f t="shared" ca="1" si="859"/>
        <v/>
      </c>
      <c r="I1524" s="21">
        <v>300</v>
      </c>
      <c r="J1524" s="68">
        <f t="shared" si="860"/>
        <v>0.56666666666666676</v>
      </c>
      <c r="K1524" s="70">
        <v>0.68</v>
      </c>
      <c r="L1524" s="72">
        <f t="shared" ca="1" si="856"/>
        <v>0.22933333333333339</v>
      </c>
      <c r="M1524" s="73">
        <f t="shared" ca="1" si="857"/>
        <v>68.800000000000011</v>
      </c>
      <c r="N1524" s="12" t="s">
        <v>42</v>
      </c>
      <c r="O1524" s="47" t="s">
        <v>45</v>
      </c>
      <c r="P1524" s="13">
        <f t="shared" si="882"/>
        <v>0.68</v>
      </c>
      <c r="Q1524" s="1" t="str">
        <f t="shared" si="883"/>
        <v>300-490 шт - 0,68 руб / шт с НДС</v>
      </c>
      <c r="R1524" s="235"/>
      <c r="S1524" s="239"/>
      <c r="T1524" s="226"/>
      <c r="U1524" s="228"/>
      <c r="V1524" s="222"/>
      <c r="W1524" s="229"/>
      <c r="X1524" s="227"/>
      <c r="Y1524" s="229"/>
      <c r="Z1524" s="236"/>
      <c r="AA1524" s="237"/>
      <c r="AB1524" s="238"/>
      <c r="AC1524" s="223"/>
      <c r="AD1524" s="222"/>
    </row>
    <row r="1525" spans="1:30" x14ac:dyDescent="0.4">
      <c r="A1525" s="230"/>
      <c r="B1525" s="8">
        <v>306</v>
      </c>
      <c r="C1525" s="14">
        <f t="shared" ca="1" si="869"/>
        <v>0.28000000000000003</v>
      </c>
      <c r="D1525" s="20">
        <f t="shared" ca="1" si="874"/>
        <v>0.33600000000000002</v>
      </c>
      <c r="E1525" s="225"/>
      <c r="F1525" s="231"/>
      <c r="G1525" s="172" t="str">
        <f t="shared" ca="1" si="858"/>
        <v/>
      </c>
      <c r="H1525" s="93" t="str">
        <f t="shared" ca="1" si="859"/>
        <v/>
      </c>
      <c r="I1525" s="21">
        <v>500</v>
      </c>
      <c r="J1525" s="68">
        <f t="shared" si="860"/>
        <v>0.48333333333333334</v>
      </c>
      <c r="K1525" s="70">
        <v>0.57999999999999996</v>
      </c>
      <c r="L1525" s="72">
        <f t="shared" ca="1" si="856"/>
        <v>0.16266666666666665</v>
      </c>
      <c r="M1525" s="73">
        <f t="shared" ca="1" si="857"/>
        <v>81.333333333333329</v>
      </c>
      <c r="N1525" s="12" t="s">
        <v>43</v>
      </c>
      <c r="O1525" s="47" t="s">
        <v>45</v>
      </c>
      <c r="P1525" s="13">
        <f t="shared" si="882"/>
        <v>0.57999999999999996</v>
      </c>
      <c r="Q1525" s="1" t="str">
        <f t="shared" si="883"/>
        <v>500-990 шт - 0,58 руб / шт с НДС</v>
      </c>
      <c r="R1525" s="235"/>
      <c r="S1525" s="239"/>
      <c r="T1525" s="226"/>
      <c r="U1525" s="228"/>
      <c r="V1525" s="222"/>
      <c r="W1525" s="229"/>
      <c r="X1525" s="227"/>
      <c r="Y1525" s="229"/>
      <c r="Z1525" s="236"/>
      <c r="AA1525" s="237"/>
      <c r="AB1525" s="238"/>
      <c r="AC1525" s="223"/>
      <c r="AD1525" s="222"/>
    </row>
    <row r="1526" spans="1:30" x14ac:dyDescent="0.4">
      <c r="A1526" s="230"/>
      <c r="B1526" s="8">
        <v>306</v>
      </c>
      <c r="C1526" s="14">
        <f t="shared" ca="1" si="869"/>
        <v>0.28000000000000003</v>
      </c>
      <c r="D1526" s="20">
        <f t="shared" ca="1" si="874"/>
        <v>0.33600000000000002</v>
      </c>
      <c r="E1526" s="225"/>
      <c r="F1526" s="231"/>
      <c r="G1526" s="172" t="str">
        <f t="shared" ca="1" si="858"/>
        <v/>
      </c>
      <c r="H1526" s="93" t="str">
        <f t="shared" ca="1" si="859"/>
        <v/>
      </c>
      <c r="I1526" s="21">
        <v>1000</v>
      </c>
      <c r="J1526" s="68">
        <f t="shared" si="860"/>
        <v>0.4</v>
      </c>
      <c r="K1526" s="70">
        <v>0.48</v>
      </c>
      <c r="L1526" s="72">
        <f t="shared" ca="1" si="856"/>
        <v>9.6000000000000002E-2</v>
      </c>
      <c r="M1526" s="73">
        <f t="shared" ca="1" si="857"/>
        <v>96</v>
      </c>
      <c r="N1526" s="12" t="s">
        <v>44</v>
      </c>
      <c r="O1526" s="47" t="s">
        <v>45</v>
      </c>
      <c r="P1526" s="13">
        <f t="shared" si="882"/>
        <v>0.48</v>
      </c>
      <c r="Q1526" s="1" t="str">
        <f t="shared" si="883"/>
        <v>1000 + шт - 0,48 руб / шт с НДС</v>
      </c>
      <c r="R1526" s="235"/>
      <c r="S1526" s="239"/>
      <c r="T1526" s="226"/>
      <c r="U1526" s="228"/>
      <c r="V1526" s="222"/>
      <c r="W1526" s="229"/>
      <c r="X1526" s="227"/>
      <c r="Y1526" s="229"/>
      <c r="Z1526" s="236"/>
      <c r="AA1526" s="237"/>
      <c r="AB1526" s="238"/>
      <c r="AC1526" s="223"/>
      <c r="AD1526" s="222"/>
    </row>
    <row r="1527" spans="1:30" x14ac:dyDescent="0.4">
      <c r="A1527" s="230">
        <v>307</v>
      </c>
      <c r="B1527" s="8">
        <v>307</v>
      </c>
      <c r="C1527" s="14">
        <f t="shared" ca="1" si="869"/>
        <v>0.4</v>
      </c>
      <c r="D1527" s="20">
        <f t="shared" ca="1" si="874"/>
        <v>0.48</v>
      </c>
      <c r="E1527" s="225" t="str">
        <f ca="1">INDIRECT("'Закуп'!D" &amp; A1527)</f>
        <v>БМ</v>
      </c>
      <c r="F1527" s="231" t="str">
        <f t="shared" ref="F1527" ca="1" si="886">INDIRECT("'Закуп'!E" &amp; B1527)</f>
        <v>150х150х100</v>
      </c>
      <c r="G1527" s="172" t="str">
        <f t="shared" ca="1" si="858"/>
        <v/>
      </c>
      <c r="H1527" s="93" t="str">
        <f t="shared" ca="1" si="859"/>
        <v/>
      </c>
      <c r="I1527" s="21">
        <v>50</v>
      </c>
      <c r="J1527" s="68">
        <f t="shared" si="860"/>
        <v>0.95833333333333326</v>
      </c>
      <c r="K1527" s="70">
        <v>1.1499999999999999</v>
      </c>
      <c r="L1527" s="72">
        <f t="shared" ca="1" si="856"/>
        <v>0.4466666666666666</v>
      </c>
      <c r="M1527" s="73">
        <f t="shared" ca="1" si="857"/>
        <v>22.333333333333329</v>
      </c>
      <c r="N1527" s="12" t="s">
        <v>40</v>
      </c>
      <c r="O1527" s="47" t="s">
        <v>45</v>
      </c>
      <c r="P1527" s="13">
        <f t="shared" si="882"/>
        <v>1.1499999999999999</v>
      </c>
      <c r="Q1527" s="1" t="str">
        <f t="shared" si="883"/>
        <v>50-90 шт - 1,15 руб / шт с НДС</v>
      </c>
      <c r="R1527" s="235" t="str">
        <f ca="1">INDIRECT("'Закуп'!k" &amp; A1527)</f>
        <v>K508</v>
      </c>
      <c r="S1527" s="239">
        <f ca="1">INDIRECT("'Закуп'!o" &amp; A1527)</f>
        <v>2.25</v>
      </c>
      <c r="T1527" s="226" t="str">
        <f ca="1">INDIRECT("'Закуп'!p" &amp; A1527)</f>
        <v>2-2,9 литра</v>
      </c>
      <c r="U1527" s="228" t="str">
        <f ca="1">INDIRECT("'Закуп'!v" &amp; A1527)</f>
        <v/>
      </c>
      <c r="V1527" s="222" t="str">
        <f ca="1">INDIRECT("'Закуп'!w" &amp; A1527)</f>
        <v/>
      </c>
      <c r="W1527" s="229" t="str">
        <f ca="1">INDIRECT("'Закуп'!H" &amp; A1527)</f>
        <v>0470</v>
      </c>
      <c r="X1527" s="227" t="str">
        <f t="shared" ref="X1527" ca="1" si="887">INDIRECT("'Закуп'!g" &amp; A1527)</f>
        <v>С</v>
      </c>
      <c r="Y1527" s="229" t="str">
        <f ca="1">INDIRECT("'Закуп'!i" &amp; A1527)</f>
        <v>Е</v>
      </c>
      <c r="Z1527" s="236" t="str">
        <f ca="1">INDIRECT("'Закуп'!x" &amp; A1527)</f>
        <v>100-199 мм</v>
      </c>
      <c r="AA1527" s="237" t="str">
        <f ca="1">INDIRECT("'Закуп'!y" &amp; A1527)</f>
        <v>100-199 мм</v>
      </c>
      <c r="AB1527" s="238" t="str">
        <f ca="1">INDIRECT("'Закуп'!z" &amp; A1527)</f>
        <v>100-199 мм</v>
      </c>
      <c r="AC1527" s="223" t="str">
        <f t="shared" ca="1" si="853"/>
        <v>150x150x100</v>
      </c>
      <c r="AD1527" s="222" t="str">
        <f t="shared" ca="1" si="877"/>
        <v>150x150x100 - 150*150*100 мм</v>
      </c>
    </row>
    <row r="1528" spans="1:30" x14ac:dyDescent="0.4">
      <c r="A1528" s="230"/>
      <c r="B1528" s="8">
        <v>307</v>
      </c>
      <c r="C1528" s="14">
        <f t="shared" ca="1" si="869"/>
        <v>0.4</v>
      </c>
      <c r="D1528" s="20">
        <f t="shared" ca="1" si="874"/>
        <v>0.48</v>
      </c>
      <c r="E1528" s="225"/>
      <c r="F1528" s="231"/>
      <c r="G1528" s="172" t="str">
        <f t="shared" ca="1" si="858"/>
        <v/>
      </c>
      <c r="H1528" s="93" t="str">
        <f t="shared" ca="1" si="859"/>
        <v/>
      </c>
      <c r="I1528" s="21">
        <v>100</v>
      </c>
      <c r="J1528" s="68">
        <f t="shared" si="860"/>
        <v>0.83333333333333337</v>
      </c>
      <c r="K1528" s="70">
        <v>1</v>
      </c>
      <c r="L1528" s="72">
        <f t="shared" ca="1" si="856"/>
        <v>0.34666666666666668</v>
      </c>
      <c r="M1528" s="73">
        <f t="shared" ca="1" si="857"/>
        <v>34.666666666666671</v>
      </c>
      <c r="N1528" s="12" t="s">
        <v>41</v>
      </c>
      <c r="O1528" s="47" t="s">
        <v>45</v>
      </c>
      <c r="P1528" s="13">
        <f t="shared" si="882"/>
        <v>1</v>
      </c>
      <c r="Q1528" s="1" t="str">
        <f t="shared" si="883"/>
        <v>100-290 шт - 1 руб / шт с НДС</v>
      </c>
      <c r="R1528" s="235"/>
      <c r="S1528" s="239"/>
      <c r="T1528" s="226"/>
      <c r="U1528" s="228"/>
      <c r="V1528" s="222"/>
      <c r="W1528" s="229"/>
      <c r="X1528" s="227"/>
      <c r="Y1528" s="229"/>
      <c r="Z1528" s="236"/>
      <c r="AA1528" s="237"/>
      <c r="AB1528" s="238"/>
      <c r="AC1528" s="223"/>
      <c r="AD1528" s="222"/>
    </row>
    <row r="1529" spans="1:30" x14ac:dyDescent="0.4">
      <c r="A1529" s="230"/>
      <c r="B1529" s="8">
        <v>307</v>
      </c>
      <c r="C1529" s="14">
        <f t="shared" ca="1" si="869"/>
        <v>0.4</v>
      </c>
      <c r="D1529" s="20">
        <f t="shared" ca="1" si="874"/>
        <v>0.48</v>
      </c>
      <c r="E1529" s="225"/>
      <c r="F1529" s="231"/>
      <c r="G1529" s="172" t="str">
        <f t="shared" ca="1" si="858"/>
        <v/>
      </c>
      <c r="H1529" s="93" t="str">
        <f t="shared" ca="1" si="859"/>
        <v/>
      </c>
      <c r="I1529" s="21">
        <v>300</v>
      </c>
      <c r="J1529" s="68">
        <f t="shared" si="860"/>
        <v>0.70833333333333337</v>
      </c>
      <c r="K1529" s="70">
        <v>0.85</v>
      </c>
      <c r="L1529" s="72">
        <f t="shared" ca="1" si="856"/>
        <v>0.24666666666666667</v>
      </c>
      <c r="M1529" s="73">
        <f t="shared" ca="1" si="857"/>
        <v>74</v>
      </c>
      <c r="N1529" s="12" t="s">
        <v>42</v>
      </c>
      <c r="O1529" s="47" t="s">
        <v>45</v>
      </c>
      <c r="P1529" s="13">
        <f t="shared" si="882"/>
        <v>0.85</v>
      </c>
      <c r="Q1529" s="1" t="str">
        <f t="shared" si="883"/>
        <v>300-490 шт - 0,85 руб / шт с НДС</v>
      </c>
      <c r="R1529" s="235"/>
      <c r="S1529" s="239"/>
      <c r="T1529" s="226"/>
      <c r="U1529" s="228"/>
      <c r="V1529" s="222"/>
      <c r="W1529" s="229"/>
      <c r="X1529" s="227"/>
      <c r="Y1529" s="229"/>
      <c r="Z1529" s="236"/>
      <c r="AA1529" s="237"/>
      <c r="AB1529" s="238"/>
      <c r="AC1529" s="223"/>
      <c r="AD1529" s="222"/>
    </row>
    <row r="1530" spans="1:30" x14ac:dyDescent="0.4">
      <c r="A1530" s="230"/>
      <c r="B1530" s="8">
        <v>307</v>
      </c>
      <c r="C1530" s="14">
        <f t="shared" ca="1" si="869"/>
        <v>0.4</v>
      </c>
      <c r="D1530" s="20">
        <f t="shared" ca="1" si="874"/>
        <v>0.48</v>
      </c>
      <c r="E1530" s="225"/>
      <c r="F1530" s="231"/>
      <c r="G1530" s="172" t="str">
        <f t="shared" ca="1" si="858"/>
        <v/>
      </c>
      <c r="H1530" s="93" t="str">
        <f t="shared" ca="1" si="859"/>
        <v/>
      </c>
      <c r="I1530" s="21">
        <v>500</v>
      </c>
      <c r="J1530" s="68">
        <f t="shared" si="860"/>
        <v>0.625</v>
      </c>
      <c r="K1530" s="70">
        <v>0.75</v>
      </c>
      <c r="L1530" s="72">
        <f t="shared" ca="1" si="856"/>
        <v>0.18</v>
      </c>
      <c r="M1530" s="73">
        <f t="shared" ca="1" si="857"/>
        <v>90</v>
      </c>
      <c r="N1530" s="12" t="s">
        <v>43</v>
      </c>
      <c r="O1530" s="47" t="s">
        <v>45</v>
      </c>
      <c r="P1530" s="13">
        <f t="shared" si="882"/>
        <v>0.75</v>
      </c>
      <c r="Q1530" s="1" t="str">
        <f t="shared" si="883"/>
        <v>500-990 шт - 0,75 руб / шт с НДС</v>
      </c>
      <c r="R1530" s="235"/>
      <c r="S1530" s="239"/>
      <c r="T1530" s="226"/>
      <c r="U1530" s="228"/>
      <c r="V1530" s="222"/>
      <c r="W1530" s="229"/>
      <c r="X1530" s="227"/>
      <c r="Y1530" s="229"/>
      <c r="Z1530" s="236"/>
      <c r="AA1530" s="237"/>
      <c r="AB1530" s="238"/>
      <c r="AC1530" s="223"/>
      <c r="AD1530" s="222"/>
    </row>
    <row r="1531" spans="1:30" x14ac:dyDescent="0.4">
      <c r="A1531" s="230"/>
      <c r="B1531" s="8">
        <v>307</v>
      </c>
      <c r="C1531" s="14">
        <f t="shared" ca="1" si="869"/>
        <v>0.4</v>
      </c>
      <c r="D1531" s="20">
        <f t="shared" ca="1" si="874"/>
        <v>0.48</v>
      </c>
      <c r="E1531" s="225"/>
      <c r="F1531" s="231"/>
      <c r="G1531" s="172" t="str">
        <f t="shared" ca="1" si="858"/>
        <v/>
      </c>
      <c r="H1531" s="93" t="str">
        <f t="shared" ca="1" si="859"/>
        <v/>
      </c>
      <c r="I1531" s="21">
        <v>1000</v>
      </c>
      <c r="J1531" s="68">
        <f t="shared" si="860"/>
        <v>0.54166666666666674</v>
      </c>
      <c r="K1531" s="70">
        <v>0.65</v>
      </c>
      <c r="L1531" s="72">
        <f t="shared" ca="1" si="856"/>
        <v>0.11333333333333337</v>
      </c>
      <c r="M1531" s="73">
        <f t="shared" ca="1" si="857"/>
        <v>113.33333333333337</v>
      </c>
      <c r="N1531" s="12" t="s">
        <v>44</v>
      </c>
      <c r="O1531" s="47" t="s">
        <v>45</v>
      </c>
      <c r="P1531" s="13">
        <f t="shared" si="882"/>
        <v>0.65</v>
      </c>
      <c r="Q1531" s="1" t="str">
        <f t="shared" si="883"/>
        <v>1000 + шт - 0,65 руб / шт с НДС</v>
      </c>
      <c r="R1531" s="235"/>
      <c r="S1531" s="239"/>
      <c r="T1531" s="226"/>
      <c r="U1531" s="228"/>
      <c r="V1531" s="222"/>
      <c r="W1531" s="229"/>
      <c r="X1531" s="227"/>
      <c r="Y1531" s="229"/>
      <c r="Z1531" s="236"/>
      <c r="AA1531" s="237"/>
      <c r="AB1531" s="238"/>
      <c r="AC1531" s="223"/>
      <c r="AD1531" s="222"/>
    </row>
    <row r="1532" spans="1:30" x14ac:dyDescent="0.4">
      <c r="A1532" s="230">
        <v>308</v>
      </c>
      <c r="B1532" s="8">
        <v>308</v>
      </c>
      <c r="C1532" s="14">
        <f t="shared" ca="1" si="869"/>
        <v>0.36</v>
      </c>
      <c r="D1532" s="20">
        <f t="shared" ca="1" si="874"/>
        <v>0.432</v>
      </c>
      <c r="E1532" s="225" t="str">
        <f ca="1">INDIRECT("'Закуп'!D" &amp; A1532)</f>
        <v>БМ</v>
      </c>
      <c r="F1532" s="231" t="str">
        <f t="shared" ref="F1532" ca="1" si="888">INDIRECT("'Закуп'!E" &amp; B1532)</f>
        <v>120х120х120</v>
      </c>
      <c r="G1532" s="172" t="str">
        <f t="shared" ca="1" si="858"/>
        <v/>
      </c>
      <c r="H1532" s="93" t="str">
        <f t="shared" ca="1" si="859"/>
        <v/>
      </c>
      <c r="I1532" s="21">
        <v>50</v>
      </c>
      <c r="J1532" s="68">
        <f t="shared" si="860"/>
        <v>0.91666666666666674</v>
      </c>
      <c r="K1532" s="70">
        <v>1.1000000000000001</v>
      </c>
      <c r="L1532" s="72">
        <f t="shared" ca="1" si="856"/>
        <v>0.44533333333333341</v>
      </c>
      <c r="M1532" s="73">
        <f t="shared" ca="1" si="857"/>
        <v>22.266666666666669</v>
      </c>
      <c r="N1532" s="12" t="s">
        <v>40</v>
      </c>
      <c r="O1532" s="47" t="s">
        <v>45</v>
      </c>
      <c r="P1532" s="13">
        <f t="shared" si="882"/>
        <v>1.1000000000000001</v>
      </c>
      <c r="Q1532" s="1" t="str">
        <f t="shared" si="883"/>
        <v>50-90 шт - 1,1 руб / шт с НДС</v>
      </c>
      <c r="R1532" s="235" t="str">
        <f ca="1">INDIRECT("'Закуп'!k" &amp; A1532)</f>
        <v>K509</v>
      </c>
      <c r="S1532" s="239">
        <f ca="1">INDIRECT("'Закуп'!o" &amp; A1532)</f>
        <v>1.73</v>
      </c>
      <c r="T1532" s="226" t="str">
        <f ca="1">INDIRECT("'Закуп'!p" &amp; A1532)</f>
        <v>1-1,9 литра</v>
      </c>
      <c r="U1532" s="228" t="str">
        <f ca="1">INDIRECT("'Закуп'!v" &amp; A1532)</f>
        <v/>
      </c>
      <c r="V1532" s="222" t="str">
        <f ca="1">INDIRECT("'Закуп'!w" &amp; A1532)</f>
        <v/>
      </c>
      <c r="W1532" s="229" t="str">
        <f ca="1">INDIRECT("'Закуп'!H" &amp; A1532)</f>
        <v>0215</v>
      </c>
      <c r="X1532" s="227" t="str">
        <f t="shared" ref="X1532" ca="1" si="889">INDIRECT("'Закуп'!g" &amp; A1532)</f>
        <v>С</v>
      </c>
      <c r="Y1532" s="229" t="str">
        <f ca="1">INDIRECT("'Закуп'!i" &amp; A1532)</f>
        <v>Е</v>
      </c>
      <c r="Z1532" s="236" t="str">
        <f ca="1">INDIRECT("'Закуп'!x" &amp; A1532)</f>
        <v>100-199 мм</v>
      </c>
      <c r="AA1532" s="237" t="str">
        <f ca="1">INDIRECT("'Закуп'!y" &amp; A1532)</f>
        <v>100-199 мм</v>
      </c>
      <c r="AB1532" s="238" t="str">
        <f ca="1">INDIRECT("'Закуп'!z" &amp; A1532)</f>
        <v>100-199 мм</v>
      </c>
      <c r="AC1532" s="223" t="str">
        <f t="shared" ref="AC1532:AC1592" ca="1" si="890">SUBSTITUTE(INDEX(F:F, ROUNDUP((ROW(A1531))/5,0)*5 - 3), "х", "x")</f>
        <v>120x120x120</v>
      </c>
      <c r="AD1532" s="222" t="str">
        <f t="shared" ca="1" si="877"/>
        <v>120x120x120 - 120*120*120 мм</v>
      </c>
    </row>
    <row r="1533" spans="1:30" x14ac:dyDescent="0.4">
      <c r="A1533" s="230"/>
      <c r="B1533" s="8">
        <v>308</v>
      </c>
      <c r="C1533" s="14">
        <f t="shared" ca="1" si="869"/>
        <v>0.36</v>
      </c>
      <c r="D1533" s="20">
        <f t="shared" ca="1" si="874"/>
        <v>0.432</v>
      </c>
      <c r="E1533" s="225"/>
      <c r="F1533" s="231"/>
      <c r="G1533" s="172" t="str">
        <f t="shared" ca="1" si="858"/>
        <v/>
      </c>
      <c r="H1533" s="93" t="str">
        <f t="shared" ca="1" si="859"/>
        <v/>
      </c>
      <c r="I1533" s="21">
        <v>100</v>
      </c>
      <c r="J1533" s="68">
        <f t="shared" si="860"/>
        <v>0.83333333333333337</v>
      </c>
      <c r="K1533" s="70">
        <v>1</v>
      </c>
      <c r="L1533" s="72">
        <f t="shared" ca="1" si="856"/>
        <v>0.37866666666666671</v>
      </c>
      <c r="M1533" s="73">
        <f t="shared" ca="1" si="857"/>
        <v>37.866666666666674</v>
      </c>
      <c r="N1533" s="12" t="s">
        <v>41</v>
      </c>
      <c r="O1533" s="47" t="s">
        <v>45</v>
      </c>
      <c r="P1533" s="13">
        <f t="shared" si="882"/>
        <v>1</v>
      </c>
      <c r="Q1533" s="1" t="str">
        <f t="shared" si="883"/>
        <v>100-290 шт - 1 руб / шт с НДС</v>
      </c>
      <c r="R1533" s="235"/>
      <c r="S1533" s="239"/>
      <c r="T1533" s="226"/>
      <c r="U1533" s="228"/>
      <c r="V1533" s="222"/>
      <c r="W1533" s="229"/>
      <c r="X1533" s="227"/>
      <c r="Y1533" s="229"/>
      <c r="Z1533" s="236"/>
      <c r="AA1533" s="237"/>
      <c r="AB1533" s="238"/>
      <c r="AC1533" s="223"/>
      <c r="AD1533" s="222"/>
    </row>
    <row r="1534" spans="1:30" x14ac:dyDescent="0.4">
      <c r="A1534" s="230"/>
      <c r="B1534" s="8">
        <v>308</v>
      </c>
      <c r="C1534" s="14">
        <f t="shared" ca="1" si="869"/>
        <v>0.36</v>
      </c>
      <c r="D1534" s="20">
        <f t="shared" ca="1" si="874"/>
        <v>0.432</v>
      </c>
      <c r="E1534" s="225"/>
      <c r="F1534" s="231"/>
      <c r="G1534" s="172" t="str">
        <f t="shared" ca="1" si="858"/>
        <v/>
      </c>
      <c r="H1534" s="93" t="str">
        <f t="shared" ca="1" si="859"/>
        <v/>
      </c>
      <c r="I1534" s="21">
        <v>300</v>
      </c>
      <c r="J1534" s="68">
        <f t="shared" si="860"/>
        <v>0.75</v>
      </c>
      <c r="K1534" s="70">
        <v>0.9</v>
      </c>
      <c r="L1534" s="72">
        <f t="shared" ca="1" si="856"/>
        <v>0.312</v>
      </c>
      <c r="M1534" s="73">
        <f t="shared" ca="1" si="857"/>
        <v>93.6</v>
      </c>
      <c r="N1534" s="12" t="s">
        <v>42</v>
      </c>
      <c r="O1534" s="47" t="s">
        <v>45</v>
      </c>
      <c r="P1534" s="13">
        <f t="shared" si="882"/>
        <v>0.9</v>
      </c>
      <c r="Q1534" s="1" t="str">
        <f t="shared" si="883"/>
        <v>300-490 шт - 0,9 руб / шт с НДС</v>
      </c>
      <c r="R1534" s="235"/>
      <c r="S1534" s="239"/>
      <c r="T1534" s="226"/>
      <c r="U1534" s="228"/>
      <c r="V1534" s="222"/>
      <c r="W1534" s="229"/>
      <c r="X1534" s="227"/>
      <c r="Y1534" s="229"/>
      <c r="Z1534" s="236"/>
      <c r="AA1534" s="237"/>
      <c r="AB1534" s="238"/>
      <c r="AC1534" s="223"/>
      <c r="AD1534" s="222"/>
    </row>
    <row r="1535" spans="1:30" x14ac:dyDescent="0.4">
      <c r="A1535" s="230"/>
      <c r="B1535" s="8">
        <v>308</v>
      </c>
      <c r="C1535" s="14">
        <f t="shared" ca="1" si="869"/>
        <v>0.36</v>
      </c>
      <c r="D1535" s="20">
        <f t="shared" ca="1" si="874"/>
        <v>0.432</v>
      </c>
      <c r="E1535" s="225"/>
      <c r="F1535" s="231"/>
      <c r="G1535" s="172" t="str">
        <f t="shared" ca="1" si="858"/>
        <v/>
      </c>
      <c r="H1535" s="93" t="str">
        <f t="shared" ca="1" si="859"/>
        <v/>
      </c>
      <c r="I1535" s="21">
        <v>500</v>
      </c>
      <c r="J1535" s="68">
        <f t="shared" si="860"/>
        <v>0.66666666666666674</v>
      </c>
      <c r="K1535" s="70">
        <v>0.8</v>
      </c>
      <c r="L1535" s="72">
        <f t="shared" ca="1" si="856"/>
        <v>0.2453333333333334</v>
      </c>
      <c r="M1535" s="73">
        <f t="shared" ca="1" si="857"/>
        <v>122.6666666666667</v>
      </c>
      <c r="N1535" s="12" t="s">
        <v>43</v>
      </c>
      <c r="O1535" s="47" t="s">
        <v>45</v>
      </c>
      <c r="P1535" s="13">
        <f t="shared" si="882"/>
        <v>0.8</v>
      </c>
      <c r="Q1535" s="1" t="str">
        <f t="shared" si="883"/>
        <v>500-990 шт - 0,8 руб / шт с НДС</v>
      </c>
      <c r="R1535" s="235"/>
      <c r="S1535" s="239"/>
      <c r="T1535" s="226"/>
      <c r="U1535" s="228"/>
      <c r="V1535" s="222"/>
      <c r="W1535" s="229"/>
      <c r="X1535" s="227"/>
      <c r="Y1535" s="229"/>
      <c r="Z1535" s="236"/>
      <c r="AA1535" s="237"/>
      <c r="AB1535" s="238"/>
      <c r="AC1535" s="223"/>
      <c r="AD1535" s="222"/>
    </row>
    <row r="1536" spans="1:30" x14ac:dyDescent="0.4">
      <c r="A1536" s="230"/>
      <c r="B1536" s="8">
        <v>308</v>
      </c>
      <c r="C1536" s="14">
        <f t="shared" ca="1" si="869"/>
        <v>0.36</v>
      </c>
      <c r="D1536" s="20">
        <f t="shared" ca="1" si="874"/>
        <v>0.432</v>
      </c>
      <c r="E1536" s="225"/>
      <c r="F1536" s="231"/>
      <c r="G1536" s="172" t="str">
        <f t="shared" ca="1" si="858"/>
        <v/>
      </c>
      <c r="H1536" s="93" t="str">
        <f t="shared" ca="1" si="859"/>
        <v/>
      </c>
      <c r="I1536" s="21">
        <v>1000</v>
      </c>
      <c r="J1536" s="68">
        <f t="shared" si="860"/>
        <v>0.58333333333333337</v>
      </c>
      <c r="K1536" s="70">
        <v>0.7</v>
      </c>
      <c r="L1536" s="72">
        <f t="shared" ca="1" si="856"/>
        <v>0.1786666666666667</v>
      </c>
      <c r="M1536" s="73">
        <f t="shared" ca="1" si="857"/>
        <v>178.66666666666669</v>
      </c>
      <c r="N1536" s="12" t="s">
        <v>44</v>
      </c>
      <c r="O1536" s="47" t="s">
        <v>45</v>
      </c>
      <c r="P1536" s="13">
        <f t="shared" si="882"/>
        <v>0.7</v>
      </c>
      <c r="Q1536" s="1" t="str">
        <f t="shared" si="883"/>
        <v>1000 + шт - 0,7 руб / шт с НДС</v>
      </c>
      <c r="R1536" s="235"/>
      <c r="S1536" s="239"/>
      <c r="T1536" s="226"/>
      <c r="U1536" s="228"/>
      <c r="V1536" s="222"/>
      <c r="W1536" s="229"/>
      <c r="X1536" s="227"/>
      <c r="Y1536" s="229"/>
      <c r="Z1536" s="236"/>
      <c r="AA1536" s="237"/>
      <c r="AB1536" s="238"/>
      <c r="AC1536" s="223"/>
      <c r="AD1536" s="222"/>
    </row>
    <row r="1537" spans="1:30" x14ac:dyDescent="0.4">
      <c r="A1537" s="230">
        <v>309</v>
      </c>
      <c r="B1537" s="8">
        <v>309</v>
      </c>
      <c r="C1537" s="14">
        <f t="shared" ca="1" si="869"/>
        <v>0.41519999999999996</v>
      </c>
      <c r="D1537" s="20">
        <f t="shared" ca="1" si="874"/>
        <v>0.49823999999999991</v>
      </c>
      <c r="E1537" s="225" t="str">
        <f ca="1">INDIRECT("'Закуп'!D" &amp; A1537)</f>
        <v>БМ</v>
      </c>
      <c r="F1537" s="231" t="str">
        <f t="shared" ref="F1537" ca="1" si="891">INDIRECT("'Закуп'!E" &amp; B1537)</f>
        <v>240х230х25</v>
      </c>
      <c r="G1537" s="172" t="str">
        <f t="shared" ca="1" si="858"/>
        <v/>
      </c>
      <c r="H1537" s="93" t="str">
        <f t="shared" ca="1" si="859"/>
        <v/>
      </c>
      <c r="I1537" s="21">
        <v>50</v>
      </c>
      <c r="J1537" s="68">
        <f t="shared" si="860"/>
        <v>0.95833333333333326</v>
      </c>
      <c r="K1537" s="70">
        <v>1.1499999999999999</v>
      </c>
      <c r="L1537" s="72">
        <f t="shared" ca="1" si="856"/>
        <v>0.4345066666666666</v>
      </c>
      <c r="M1537" s="73">
        <f t="shared" ca="1" si="857"/>
        <v>21.725333333333332</v>
      </c>
      <c r="N1537" s="12" t="s">
        <v>40</v>
      </c>
      <c r="O1537" s="47" t="s">
        <v>45</v>
      </c>
      <c r="P1537" s="13">
        <f t="shared" si="882"/>
        <v>1.1499999999999999</v>
      </c>
      <c r="Q1537" s="1" t="str">
        <f t="shared" si="883"/>
        <v>50-90 шт - 1,15 руб / шт с НДС</v>
      </c>
      <c r="R1537" s="235" t="str">
        <f ca="1">INDIRECT("'Закуп'!k" &amp; A1537)</f>
        <v>K510</v>
      </c>
      <c r="S1537" s="239">
        <f ca="1">INDIRECT("'Закуп'!o" &amp; A1537)</f>
        <v>1.38</v>
      </c>
      <c r="T1537" s="226" t="str">
        <f ca="1">INDIRECT("'Закуп'!p" &amp; A1537)</f>
        <v>1-1,9 литра</v>
      </c>
      <c r="U1537" s="228" t="str">
        <f ca="1">INDIRECT("'Закуп'!v" &amp; A1537)</f>
        <v/>
      </c>
      <c r="V1537" s="222" t="str">
        <f ca="1">INDIRECT("'Закуп'!w" &amp; A1537)</f>
        <v>Плоские</v>
      </c>
      <c r="W1537" s="229" t="str">
        <f ca="1">INDIRECT("'Закуп'!H" &amp; A1537)</f>
        <v>0427</v>
      </c>
      <c r="X1537" s="227" t="str">
        <f t="shared" ref="X1537" ca="1" si="892">INDIRECT("'Закуп'!g" &amp; A1537)</f>
        <v>С</v>
      </c>
      <c r="Y1537" s="229" t="str">
        <f ca="1">INDIRECT("'Закуп'!i" &amp; A1537)</f>
        <v>Е</v>
      </c>
      <c r="Z1537" s="236" t="str">
        <f ca="1">INDIRECT("'Закуп'!x" &amp; A1537)</f>
        <v>200-299 мм</v>
      </c>
      <c r="AA1537" s="237" t="str">
        <f ca="1">INDIRECT("'Закуп'!y" &amp; A1537)</f>
        <v>200-299 мм</v>
      </c>
      <c r="AB1537" s="238" t="str">
        <f ca="1">INDIRECT("'Закуп'!z" &amp; A1537)</f>
        <v>10-99 мм</v>
      </c>
      <c r="AC1537" s="223" t="str">
        <f t="shared" ca="1" si="890"/>
        <v>240x230x25</v>
      </c>
      <c r="AD1537" s="222" t="str">
        <f t="shared" ca="1" si="877"/>
        <v>240x230x25 - 240*230*25 мм</v>
      </c>
    </row>
    <row r="1538" spans="1:30" x14ac:dyDescent="0.4">
      <c r="A1538" s="230"/>
      <c r="B1538" s="8">
        <v>309</v>
      </c>
      <c r="C1538" s="14">
        <f t="shared" ca="1" si="869"/>
        <v>0.41519999999999996</v>
      </c>
      <c r="D1538" s="20">
        <f t="shared" ca="1" si="874"/>
        <v>0.49823999999999991</v>
      </c>
      <c r="E1538" s="225"/>
      <c r="F1538" s="231"/>
      <c r="G1538" s="172" t="str">
        <f t="shared" ca="1" si="858"/>
        <v/>
      </c>
      <c r="H1538" s="93" t="str">
        <f t="shared" ca="1" si="859"/>
        <v/>
      </c>
      <c r="I1538" s="21">
        <v>100</v>
      </c>
      <c r="J1538" s="68">
        <f t="shared" si="860"/>
        <v>0.83333333333333337</v>
      </c>
      <c r="K1538" s="70">
        <v>1</v>
      </c>
      <c r="L1538" s="72">
        <f t="shared" ref="L1538:L1601" ca="1" si="893">J1538-C1538-(J1538-C1538)*0.2</f>
        <v>0.33450666666666673</v>
      </c>
      <c r="M1538" s="73">
        <f t="shared" ref="M1538:M1601" ca="1" si="894">L1538*I1538</f>
        <v>33.45066666666667</v>
      </c>
      <c r="N1538" s="12" t="s">
        <v>41</v>
      </c>
      <c r="O1538" s="47" t="s">
        <v>45</v>
      </c>
      <c r="P1538" s="13">
        <f t="shared" si="882"/>
        <v>1</v>
      </c>
      <c r="Q1538" s="1" t="str">
        <f t="shared" si="883"/>
        <v>100-290 шт - 1 руб / шт с НДС</v>
      </c>
      <c r="R1538" s="235"/>
      <c r="S1538" s="239"/>
      <c r="T1538" s="226"/>
      <c r="U1538" s="228"/>
      <c r="V1538" s="222"/>
      <c r="W1538" s="229"/>
      <c r="X1538" s="227"/>
      <c r="Y1538" s="229"/>
      <c r="Z1538" s="236"/>
      <c r="AA1538" s="237"/>
      <c r="AB1538" s="238"/>
      <c r="AC1538" s="223"/>
      <c r="AD1538" s="222"/>
    </row>
    <row r="1539" spans="1:30" x14ac:dyDescent="0.4">
      <c r="A1539" s="230"/>
      <c r="B1539" s="8">
        <v>309</v>
      </c>
      <c r="C1539" s="14">
        <f t="shared" ca="1" si="869"/>
        <v>0.41519999999999996</v>
      </c>
      <c r="D1539" s="20">
        <f t="shared" ca="1" si="874"/>
        <v>0.49823999999999991</v>
      </c>
      <c r="E1539" s="225"/>
      <c r="F1539" s="231"/>
      <c r="G1539" s="172" t="str">
        <f t="shared" ref="G1539:G1602" ca="1" si="895">IF(INDIRECT("'Закуп'!L" &amp; B1539)="Sale","Sale","")</f>
        <v/>
      </c>
      <c r="H1539" s="93" t="str">
        <f t="shared" ref="H1539:H1602" ca="1" si="896">IF(INDIRECT("'Закуп'!F" &amp; B1539)=0,"",INDIRECT("'Закуп'!F" &amp; B1539))</f>
        <v/>
      </c>
      <c r="I1539" s="21">
        <v>300</v>
      </c>
      <c r="J1539" s="68">
        <f t="shared" ref="J1539:J1602" si="897">K1539/1.2</f>
        <v>0.75</v>
      </c>
      <c r="K1539" s="70">
        <v>0.9</v>
      </c>
      <c r="L1539" s="72">
        <f t="shared" ca="1" si="893"/>
        <v>0.26784000000000002</v>
      </c>
      <c r="M1539" s="73">
        <f t="shared" ca="1" si="894"/>
        <v>80.352000000000004</v>
      </c>
      <c r="N1539" s="12" t="s">
        <v>42</v>
      </c>
      <c r="O1539" s="47" t="s">
        <v>45</v>
      </c>
      <c r="P1539" s="13">
        <f t="shared" si="882"/>
        <v>0.9</v>
      </c>
      <c r="Q1539" s="1" t="str">
        <f t="shared" si="883"/>
        <v>300-490 шт - 0,9 руб / шт с НДС</v>
      </c>
      <c r="R1539" s="235"/>
      <c r="S1539" s="239"/>
      <c r="T1539" s="226"/>
      <c r="U1539" s="228"/>
      <c r="V1539" s="222"/>
      <c r="W1539" s="229"/>
      <c r="X1539" s="227"/>
      <c r="Y1539" s="229"/>
      <c r="Z1539" s="236"/>
      <c r="AA1539" s="237"/>
      <c r="AB1539" s="238"/>
      <c r="AC1539" s="223"/>
      <c r="AD1539" s="222"/>
    </row>
    <row r="1540" spans="1:30" x14ac:dyDescent="0.4">
      <c r="A1540" s="230"/>
      <c r="B1540" s="8">
        <v>309</v>
      </c>
      <c r="C1540" s="14">
        <f t="shared" ca="1" si="869"/>
        <v>0.41519999999999996</v>
      </c>
      <c r="D1540" s="20">
        <f t="shared" ca="1" si="874"/>
        <v>0.49823999999999991</v>
      </c>
      <c r="E1540" s="225"/>
      <c r="F1540" s="231"/>
      <c r="G1540" s="172" t="str">
        <f t="shared" ca="1" si="895"/>
        <v/>
      </c>
      <c r="H1540" s="93" t="str">
        <f t="shared" ca="1" si="896"/>
        <v/>
      </c>
      <c r="I1540" s="21">
        <v>500</v>
      </c>
      <c r="J1540" s="68">
        <f t="shared" si="897"/>
        <v>0.66666666666666674</v>
      </c>
      <c r="K1540" s="70">
        <v>0.8</v>
      </c>
      <c r="L1540" s="72">
        <f t="shared" ca="1" si="893"/>
        <v>0.20117333333333343</v>
      </c>
      <c r="M1540" s="73">
        <f t="shared" ca="1" si="894"/>
        <v>100.58666666666672</v>
      </c>
      <c r="N1540" s="12" t="s">
        <v>43</v>
      </c>
      <c r="O1540" s="47" t="s">
        <v>45</v>
      </c>
      <c r="P1540" s="13">
        <f t="shared" si="882"/>
        <v>0.8</v>
      </c>
      <c r="Q1540" s="1" t="str">
        <f t="shared" si="883"/>
        <v>500-990 шт - 0,8 руб / шт с НДС</v>
      </c>
      <c r="R1540" s="235"/>
      <c r="S1540" s="239"/>
      <c r="T1540" s="226"/>
      <c r="U1540" s="228"/>
      <c r="V1540" s="222"/>
      <c r="W1540" s="229"/>
      <c r="X1540" s="227"/>
      <c r="Y1540" s="229"/>
      <c r="Z1540" s="236"/>
      <c r="AA1540" s="237"/>
      <c r="AB1540" s="238"/>
      <c r="AC1540" s="223"/>
      <c r="AD1540" s="222"/>
    </row>
    <row r="1541" spans="1:30" x14ac:dyDescent="0.4">
      <c r="A1541" s="230"/>
      <c r="B1541" s="8">
        <v>309</v>
      </c>
      <c r="C1541" s="14">
        <f t="shared" ca="1" si="869"/>
        <v>0.41519999999999996</v>
      </c>
      <c r="D1541" s="20">
        <f t="shared" ca="1" si="874"/>
        <v>0.49823999999999991</v>
      </c>
      <c r="E1541" s="225"/>
      <c r="F1541" s="231"/>
      <c r="G1541" s="172" t="str">
        <f t="shared" ca="1" si="895"/>
        <v/>
      </c>
      <c r="H1541" s="93" t="str">
        <f t="shared" ca="1" si="896"/>
        <v/>
      </c>
      <c r="I1541" s="21">
        <v>1000</v>
      </c>
      <c r="J1541" s="68">
        <f t="shared" si="897"/>
        <v>0.58333333333333337</v>
      </c>
      <c r="K1541" s="70">
        <v>0.7</v>
      </c>
      <c r="L1541" s="72">
        <f t="shared" ca="1" si="893"/>
        <v>0.13450666666666672</v>
      </c>
      <c r="M1541" s="73">
        <f t="shared" ca="1" si="894"/>
        <v>134.50666666666672</v>
      </c>
      <c r="N1541" s="12" t="s">
        <v>44</v>
      </c>
      <c r="O1541" s="47" t="s">
        <v>45</v>
      </c>
      <c r="P1541" s="13">
        <f t="shared" si="882"/>
        <v>0.7</v>
      </c>
      <c r="Q1541" s="1" t="str">
        <f t="shared" si="883"/>
        <v>1000 + шт - 0,7 руб / шт с НДС</v>
      </c>
      <c r="R1541" s="235"/>
      <c r="S1541" s="239"/>
      <c r="T1541" s="226"/>
      <c r="U1541" s="228"/>
      <c r="V1541" s="222"/>
      <c r="W1541" s="229"/>
      <c r="X1541" s="227"/>
      <c r="Y1541" s="229"/>
      <c r="Z1541" s="236"/>
      <c r="AA1541" s="237"/>
      <c r="AB1541" s="238"/>
      <c r="AC1541" s="223"/>
      <c r="AD1541" s="222"/>
    </row>
    <row r="1542" spans="1:30" x14ac:dyDescent="0.4">
      <c r="A1542" s="230">
        <v>310</v>
      </c>
      <c r="B1542" s="8">
        <v>310</v>
      </c>
      <c r="C1542" s="14">
        <f t="shared" ca="1" si="869"/>
        <v>0.1</v>
      </c>
      <c r="D1542" s="20">
        <f t="shared" ca="1" si="874"/>
        <v>0.12</v>
      </c>
      <c r="E1542" s="224" t="str">
        <f ca="1">INDIRECT("'Закуп'!D" &amp; A1542)</f>
        <v>У</v>
      </c>
      <c r="F1542" s="231" t="str">
        <f t="shared" ref="F1542" ca="1" si="898">INDIRECT("'Закуп'!E" &amp; B1542)</f>
        <v>40х40х150</v>
      </c>
      <c r="G1542" s="172" t="str">
        <f t="shared" ca="1" si="895"/>
        <v/>
      </c>
      <c r="H1542" s="93" t="str">
        <f t="shared" ca="1" si="896"/>
        <v/>
      </c>
      <c r="I1542" s="21">
        <v>50</v>
      </c>
      <c r="J1542" s="68">
        <f t="shared" si="897"/>
        <v>0.79166666666666663</v>
      </c>
      <c r="K1542" s="70">
        <v>0.95</v>
      </c>
      <c r="L1542" s="72">
        <f t="shared" ca="1" si="893"/>
        <v>0.55333333333333334</v>
      </c>
      <c r="M1542" s="73">
        <f t="shared" ca="1" si="894"/>
        <v>27.666666666666668</v>
      </c>
      <c r="N1542" s="12" t="s">
        <v>40</v>
      </c>
      <c r="O1542" s="47" t="s">
        <v>45</v>
      </c>
      <c r="P1542" s="13">
        <f t="shared" si="882"/>
        <v>0.95</v>
      </c>
      <c r="Q1542" s="1" t="str">
        <f t="shared" si="883"/>
        <v>50-90 шт - 0,95 руб / шт с НДС</v>
      </c>
      <c r="R1542" s="235" t="str">
        <f ca="1">INDIRECT("'Закуп'!k" &amp; A1542)</f>
        <v>K262</v>
      </c>
      <c r="S1542" s="239">
        <f ca="1">INDIRECT("'Закуп'!o" &amp; A1542)</f>
        <v>0.24</v>
      </c>
      <c r="T1542" s="226" t="str">
        <f ca="1">INDIRECT("'Закуп'!p" &amp; A1542)</f>
        <v>0,1-0,9 литров</v>
      </c>
      <c r="U1542" s="228" t="str">
        <f ca="1">INDIRECT("'Закуп'!v" &amp; A1542)</f>
        <v>Длинные</v>
      </c>
      <c r="V1542" s="222" t="str">
        <f ca="1">INDIRECT("'Закуп'!w" &amp; A1542)</f>
        <v/>
      </c>
      <c r="W1542" s="229" t="str">
        <f ca="1">INDIRECT("'Закуп'!H" &amp; A1542)</f>
        <v>0215</v>
      </c>
      <c r="X1542" s="227" t="str">
        <f t="shared" ref="X1542" ca="1" si="899">INDIRECT("'Закуп'!g" &amp; A1542)</f>
        <v>С</v>
      </c>
      <c r="Y1542" s="229" t="str">
        <f ca="1">INDIRECT("'Закуп'!i" &amp; A1542)</f>
        <v>Е</v>
      </c>
      <c r="Z1542" s="236" t="str">
        <f ca="1">INDIRECT("'Закуп'!x" &amp; A1542)</f>
        <v>100-199 мм</v>
      </c>
      <c r="AA1542" s="237" t="str">
        <f ca="1">INDIRECT("'Закуп'!y" &amp; A1542)</f>
        <v>10-99 мм</v>
      </c>
      <c r="AB1542" s="238" t="str">
        <f ca="1">INDIRECT("'Закуп'!z" &amp; A1542)</f>
        <v>10-99 мм</v>
      </c>
      <c r="AC1542" s="223" t="str">
        <f t="shared" ca="1" si="890"/>
        <v>40x40x150</v>
      </c>
      <c r="AD1542" s="222" t="str">
        <f t="shared" ca="1" si="877"/>
        <v>40x40x150 - 40*40*150 мм</v>
      </c>
    </row>
    <row r="1543" spans="1:30" x14ac:dyDescent="0.4">
      <c r="A1543" s="230"/>
      <c r="B1543" s="8">
        <v>310</v>
      </c>
      <c r="C1543" s="14">
        <f t="shared" ca="1" si="869"/>
        <v>0.1</v>
      </c>
      <c r="D1543" s="20">
        <f t="shared" ca="1" si="874"/>
        <v>0.12</v>
      </c>
      <c r="E1543" s="225"/>
      <c r="F1543" s="231"/>
      <c r="G1543" s="172" t="str">
        <f t="shared" ca="1" si="895"/>
        <v/>
      </c>
      <c r="H1543" s="93" t="str">
        <f t="shared" ca="1" si="896"/>
        <v/>
      </c>
      <c r="I1543" s="21">
        <v>100</v>
      </c>
      <c r="J1543" s="68">
        <f t="shared" si="897"/>
        <v>0.70833333333333337</v>
      </c>
      <c r="K1543" s="70">
        <v>0.85</v>
      </c>
      <c r="L1543" s="72">
        <f t="shared" ca="1" si="893"/>
        <v>0.48666666666666669</v>
      </c>
      <c r="M1543" s="73">
        <f t="shared" ca="1" si="894"/>
        <v>48.666666666666671</v>
      </c>
      <c r="N1543" s="12" t="s">
        <v>41</v>
      </c>
      <c r="O1543" s="47" t="s">
        <v>45</v>
      </c>
      <c r="P1543" s="13">
        <f t="shared" si="882"/>
        <v>0.85</v>
      </c>
      <c r="Q1543" s="1" t="str">
        <f t="shared" si="883"/>
        <v>100-290 шт - 0,85 руб / шт с НДС</v>
      </c>
      <c r="R1543" s="235"/>
      <c r="S1543" s="239"/>
      <c r="T1543" s="226"/>
      <c r="U1543" s="228"/>
      <c r="V1543" s="222"/>
      <c r="W1543" s="229"/>
      <c r="X1543" s="227"/>
      <c r="Y1543" s="229"/>
      <c r="Z1543" s="236"/>
      <c r="AA1543" s="237"/>
      <c r="AB1543" s="238"/>
      <c r="AC1543" s="223"/>
      <c r="AD1543" s="222"/>
    </row>
    <row r="1544" spans="1:30" x14ac:dyDescent="0.4">
      <c r="A1544" s="230"/>
      <c r="B1544" s="8">
        <v>310</v>
      </c>
      <c r="C1544" s="14">
        <f t="shared" ca="1" si="869"/>
        <v>0.1</v>
      </c>
      <c r="D1544" s="20">
        <f t="shared" ca="1" si="874"/>
        <v>0.12</v>
      </c>
      <c r="E1544" s="225"/>
      <c r="F1544" s="231"/>
      <c r="G1544" s="172" t="str">
        <f t="shared" ca="1" si="895"/>
        <v/>
      </c>
      <c r="H1544" s="93" t="str">
        <f t="shared" ca="1" si="896"/>
        <v/>
      </c>
      <c r="I1544" s="21">
        <v>300</v>
      </c>
      <c r="J1544" s="68">
        <f t="shared" si="897"/>
        <v>0.58333333333333337</v>
      </c>
      <c r="K1544" s="70">
        <v>0.7</v>
      </c>
      <c r="L1544" s="72">
        <f t="shared" ca="1" si="893"/>
        <v>0.38666666666666671</v>
      </c>
      <c r="M1544" s="73">
        <f t="shared" ca="1" si="894"/>
        <v>116.00000000000001</v>
      </c>
      <c r="N1544" s="12" t="s">
        <v>42</v>
      </c>
      <c r="O1544" s="47" t="s">
        <v>45</v>
      </c>
      <c r="P1544" s="13">
        <f t="shared" si="882"/>
        <v>0.7</v>
      </c>
      <c r="Q1544" s="1" t="str">
        <f t="shared" si="883"/>
        <v>300-490 шт - 0,7 руб / шт с НДС</v>
      </c>
      <c r="R1544" s="235"/>
      <c r="S1544" s="239"/>
      <c r="T1544" s="226"/>
      <c r="U1544" s="228"/>
      <c r="V1544" s="222"/>
      <c r="W1544" s="229"/>
      <c r="X1544" s="227"/>
      <c r="Y1544" s="229"/>
      <c r="Z1544" s="236"/>
      <c r="AA1544" s="237"/>
      <c r="AB1544" s="238"/>
      <c r="AC1544" s="223"/>
      <c r="AD1544" s="222"/>
    </row>
    <row r="1545" spans="1:30" x14ac:dyDescent="0.4">
      <c r="A1545" s="230"/>
      <c r="B1545" s="8">
        <v>310</v>
      </c>
      <c r="C1545" s="14">
        <f t="shared" ca="1" si="869"/>
        <v>0.1</v>
      </c>
      <c r="D1545" s="20">
        <f t="shared" ca="1" si="874"/>
        <v>0.12</v>
      </c>
      <c r="E1545" s="225"/>
      <c r="F1545" s="231"/>
      <c r="G1545" s="172" t="str">
        <f t="shared" ca="1" si="895"/>
        <v/>
      </c>
      <c r="H1545" s="93" t="str">
        <f t="shared" ca="1" si="896"/>
        <v/>
      </c>
      <c r="I1545" s="21">
        <v>500</v>
      </c>
      <c r="J1545" s="68">
        <f t="shared" si="897"/>
        <v>0.45833333333333337</v>
      </c>
      <c r="K1545" s="70">
        <v>0.55000000000000004</v>
      </c>
      <c r="L1545" s="72">
        <f t="shared" ca="1" si="893"/>
        <v>0.28666666666666674</v>
      </c>
      <c r="M1545" s="73">
        <f t="shared" ca="1" si="894"/>
        <v>143.33333333333337</v>
      </c>
      <c r="N1545" s="12" t="s">
        <v>43</v>
      </c>
      <c r="O1545" s="47" t="s">
        <v>45</v>
      </c>
      <c r="P1545" s="13">
        <f t="shared" si="882"/>
        <v>0.55000000000000004</v>
      </c>
      <c r="Q1545" s="1" t="str">
        <f t="shared" si="883"/>
        <v>500-990 шт - 0,55 руб / шт с НДС</v>
      </c>
      <c r="R1545" s="235"/>
      <c r="S1545" s="239"/>
      <c r="T1545" s="226"/>
      <c r="U1545" s="228"/>
      <c r="V1545" s="222"/>
      <c r="W1545" s="229"/>
      <c r="X1545" s="227"/>
      <c r="Y1545" s="229"/>
      <c r="Z1545" s="236"/>
      <c r="AA1545" s="237"/>
      <c r="AB1545" s="238"/>
      <c r="AC1545" s="223"/>
      <c r="AD1545" s="222"/>
    </row>
    <row r="1546" spans="1:30" x14ac:dyDescent="0.4">
      <c r="A1546" s="230"/>
      <c r="B1546" s="8">
        <v>310</v>
      </c>
      <c r="C1546" s="14">
        <f t="shared" ca="1" si="869"/>
        <v>0.1</v>
      </c>
      <c r="D1546" s="20">
        <f t="shared" ca="1" si="874"/>
        <v>0.12</v>
      </c>
      <c r="E1546" s="225"/>
      <c r="F1546" s="231"/>
      <c r="G1546" s="172" t="str">
        <f t="shared" ca="1" si="895"/>
        <v/>
      </c>
      <c r="H1546" s="93" t="str">
        <f t="shared" ca="1" si="896"/>
        <v/>
      </c>
      <c r="I1546" s="21">
        <v>1000</v>
      </c>
      <c r="J1546" s="68">
        <f t="shared" si="897"/>
        <v>0.375</v>
      </c>
      <c r="K1546" s="70">
        <v>0.45</v>
      </c>
      <c r="L1546" s="72">
        <f t="shared" ca="1" si="893"/>
        <v>0.22000000000000003</v>
      </c>
      <c r="M1546" s="73">
        <f t="shared" ca="1" si="894"/>
        <v>220.00000000000003</v>
      </c>
      <c r="N1546" s="12" t="s">
        <v>44</v>
      </c>
      <c r="O1546" s="47" t="s">
        <v>45</v>
      </c>
      <c r="P1546" s="13">
        <f t="shared" si="882"/>
        <v>0.45</v>
      </c>
      <c r="Q1546" s="1" t="str">
        <f t="shared" si="883"/>
        <v>1000 + шт - 0,45 руб / шт с НДС</v>
      </c>
      <c r="R1546" s="235"/>
      <c r="S1546" s="239"/>
      <c r="T1546" s="226"/>
      <c r="U1546" s="228"/>
      <c r="V1546" s="222"/>
      <c r="W1546" s="229"/>
      <c r="X1546" s="227"/>
      <c r="Y1546" s="229"/>
      <c r="Z1546" s="236"/>
      <c r="AA1546" s="237"/>
      <c r="AB1546" s="238"/>
      <c r="AC1546" s="223"/>
      <c r="AD1546" s="222"/>
    </row>
    <row r="1547" spans="1:30" x14ac:dyDescent="0.4">
      <c r="A1547" s="230">
        <v>311</v>
      </c>
      <c r="B1547" s="8">
        <v>311</v>
      </c>
      <c r="C1547" s="14">
        <f t="shared" ca="1" si="869"/>
        <v>0.38</v>
      </c>
      <c r="D1547" s="20">
        <f t="shared" ca="1" si="874"/>
        <v>0.45599999999999996</v>
      </c>
      <c r="E1547" s="224" t="str">
        <f ca="1">INDIRECT("'Закуп'!D" &amp; A1547)</f>
        <v>У</v>
      </c>
      <c r="F1547" s="231" t="str">
        <f t="shared" ref="F1547" ca="1" si="900">INDIRECT("'Закуп'!E" &amp; B1547)</f>
        <v>230х140х130</v>
      </c>
      <c r="G1547" s="172" t="str">
        <f t="shared" ca="1" si="895"/>
        <v/>
      </c>
      <c r="H1547" s="93" t="str">
        <f t="shared" ca="1" si="896"/>
        <v/>
      </c>
      <c r="I1547" s="21">
        <v>50</v>
      </c>
      <c r="J1547" s="68">
        <f t="shared" si="897"/>
        <v>0.87500000000000011</v>
      </c>
      <c r="K1547" s="70">
        <v>1.05</v>
      </c>
      <c r="L1547" s="72">
        <f t="shared" ca="1" si="893"/>
        <v>0.39600000000000007</v>
      </c>
      <c r="M1547" s="73">
        <f t="shared" ca="1" si="894"/>
        <v>19.800000000000004</v>
      </c>
      <c r="N1547" s="12" t="s">
        <v>40</v>
      </c>
      <c r="O1547" s="47" t="s">
        <v>45</v>
      </c>
      <c r="P1547" s="13">
        <f t="shared" si="882"/>
        <v>1.05</v>
      </c>
      <c r="Q1547" s="1" t="str">
        <f t="shared" si="883"/>
        <v>50-90 шт - 1,05 руб / шт с НДС</v>
      </c>
      <c r="R1547" s="235" t="str">
        <f ca="1">INDIRECT("'Закуп'!k" &amp; A1547)</f>
        <v>K263</v>
      </c>
      <c r="S1547" s="239">
        <f ca="1">INDIRECT("'Закуп'!o" &amp; A1547)</f>
        <v>4.1900000000000004</v>
      </c>
      <c r="T1547" s="226" t="str">
        <f ca="1">INDIRECT("'Закуп'!p" &amp; A1547)</f>
        <v>4-5,9 литра</v>
      </c>
      <c r="U1547" s="228" t="str">
        <f ca="1">INDIRECT("'Закуп'!v" &amp; A1547)</f>
        <v/>
      </c>
      <c r="V1547" s="222" t="str">
        <f ca="1">INDIRECT("'Закуп'!w" &amp; A1547)</f>
        <v/>
      </c>
      <c r="W1547" s="229" t="str">
        <f ca="1">INDIRECT("'Закуп'!H" &amp; A1547)</f>
        <v>0201</v>
      </c>
      <c r="X1547" s="227" t="str">
        <f t="shared" ref="X1547" ca="1" si="901">INDIRECT("'Закуп'!g" &amp; A1547)</f>
        <v>Ч</v>
      </c>
      <c r="Y1547" s="229" t="str">
        <f ca="1">INDIRECT("'Закуп'!i" &amp; A1547)</f>
        <v>В</v>
      </c>
      <c r="Z1547" s="236" t="str">
        <f ca="1">INDIRECT("'Закуп'!x" &amp; A1547)</f>
        <v>200-299 мм</v>
      </c>
      <c r="AA1547" s="237" t="str">
        <f ca="1">INDIRECT("'Закуп'!y" &amp; A1547)</f>
        <v>100-199 мм</v>
      </c>
      <c r="AB1547" s="238" t="str">
        <f ca="1">INDIRECT("'Закуп'!z" &amp; A1547)</f>
        <v>100-199 мм</v>
      </c>
      <c r="AC1547" s="223" t="str">
        <f t="shared" ca="1" si="890"/>
        <v>230x140x130</v>
      </c>
      <c r="AD1547" s="222" t="str">
        <f t="shared" ca="1" si="877"/>
        <v>230x140x130 - 230*140*130 мм</v>
      </c>
    </row>
    <row r="1548" spans="1:30" x14ac:dyDescent="0.4">
      <c r="A1548" s="230"/>
      <c r="B1548" s="8">
        <v>311</v>
      </c>
      <c r="C1548" s="14">
        <f t="shared" ca="1" si="869"/>
        <v>0.38</v>
      </c>
      <c r="D1548" s="20">
        <f t="shared" ca="1" si="874"/>
        <v>0.45599999999999996</v>
      </c>
      <c r="E1548" s="225"/>
      <c r="F1548" s="231"/>
      <c r="G1548" s="172" t="str">
        <f t="shared" ca="1" si="895"/>
        <v/>
      </c>
      <c r="H1548" s="93" t="str">
        <f t="shared" ca="1" si="896"/>
        <v/>
      </c>
      <c r="I1548" s="21">
        <v>100</v>
      </c>
      <c r="J1548" s="68">
        <f t="shared" si="897"/>
        <v>0.76666666666666672</v>
      </c>
      <c r="K1548" s="70">
        <v>0.92</v>
      </c>
      <c r="L1548" s="72">
        <f t="shared" ca="1" si="893"/>
        <v>0.30933333333333335</v>
      </c>
      <c r="M1548" s="73">
        <f t="shared" ca="1" si="894"/>
        <v>30.933333333333334</v>
      </c>
      <c r="N1548" s="12" t="s">
        <v>41</v>
      </c>
      <c r="O1548" s="47" t="s">
        <v>45</v>
      </c>
      <c r="P1548" s="13">
        <f t="shared" si="882"/>
        <v>0.92</v>
      </c>
      <c r="Q1548" s="1" t="str">
        <f t="shared" si="883"/>
        <v>100-290 шт - 0,92 руб / шт с НДС</v>
      </c>
      <c r="R1548" s="235"/>
      <c r="S1548" s="239"/>
      <c r="T1548" s="226"/>
      <c r="U1548" s="228"/>
      <c r="V1548" s="222"/>
      <c r="W1548" s="229"/>
      <c r="X1548" s="227"/>
      <c r="Y1548" s="229"/>
      <c r="Z1548" s="236"/>
      <c r="AA1548" s="237"/>
      <c r="AB1548" s="238"/>
      <c r="AC1548" s="223"/>
      <c r="AD1548" s="222"/>
    </row>
    <row r="1549" spans="1:30" x14ac:dyDescent="0.4">
      <c r="A1549" s="230"/>
      <c r="B1549" s="8">
        <v>311</v>
      </c>
      <c r="C1549" s="14">
        <f t="shared" ca="1" si="869"/>
        <v>0.38</v>
      </c>
      <c r="D1549" s="20">
        <f t="shared" ca="1" si="874"/>
        <v>0.45599999999999996</v>
      </c>
      <c r="E1549" s="225"/>
      <c r="F1549" s="231"/>
      <c r="G1549" s="172" t="str">
        <f t="shared" ca="1" si="895"/>
        <v/>
      </c>
      <c r="H1549" s="93" t="str">
        <f t="shared" ca="1" si="896"/>
        <v/>
      </c>
      <c r="I1549" s="21">
        <v>300</v>
      </c>
      <c r="J1549" s="68">
        <f t="shared" si="897"/>
        <v>0.68333333333333335</v>
      </c>
      <c r="K1549" s="70">
        <v>0.82</v>
      </c>
      <c r="L1549" s="72">
        <f t="shared" ca="1" si="893"/>
        <v>0.24266666666666667</v>
      </c>
      <c r="M1549" s="73">
        <f t="shared" ca="1" si="894"/>
        <v>72.8</v>
      </c>
      <c r="N1549" s="12" t="s">
        <v>42</v>
      </c>
      <c r="O1549" s="47" t="s">
        <v>45</v>
      </c>
      <c r="P1549" s="13">
        <f t="shared" si="882"/>
        <v>0.82</v>
      </c>
      <c r="Q1549" s="1" t="str">
        <f t="shared" si="883"/>
        <v>300-490 шт - 0,82 руб / шт с НДС</v>
      </c>
      <c r="R1549" s="235"/>
      <c r="S1549" s="239"/>
      <c r="T1549" s="226"/>
      <c r="U1549" s="228"/>
      <c r="V1549" s="222"/>
      <c r="W1549" s="229"/>
      <c r="X1549" s="227"/>
      <c r="Y1549" s="229"/>
      <c r="Z1549" s="236"/>
      <c r="AA1549" s="237"/>
      <c r="AB1549" s="238"/>
      <c r="AC1549" s="223"/>
      <c r="AD1549" s="222"/>
    </row>
    <row r="1550" spans="1:30" x14ac:dyDescent="0.4">
      <c r="A1550" s="230"/>
      <c r="B1550" s="8">
        <v>311</v>
      </c>
      <c r="C1550" s="14">
        <f t="shared" ca="1" si="869"/>
        <v>0.38</v>
      </c>
      <c r="D1550" s="20">
        <f t="shared" ca="1" si="874"/>
        <v>0.45599999999999996</v>
      </c>
      <c r="E1550" s="225"/>
      <c r="F1550" s="231"/>
      <c r="G1550" s="172" t="str">
        <f t="shared" ca="1" si="895"/>
        <v/>
      </c>
      <c r="H1550" s="93" t="str">
        <f t="shared" ca="1" si="896"/>
        <v/>
      </c>
      <c r="I1550" s="21">
        <v>500</v>
      </c>
      <c r="J1550" s="68">
        <f t="shared" si="897"/>
        <v>0.6</v>
      </c>
      <c r="K1550" s="70">
        <v>0.72</v>
      </c>
      <c r="L1550" s="72">
        <f t="shared" ca="1" si="893"/>
        <v>0.17599999999999999</v>
      </c>
      <c r="M1550" s="73">
        <f t="shared" ca="1" si="894"/>
        <v>88</v>
      </c>
      <c r="N1550" s="12" t="s">
        <v>43</v>
      </c>
      <c r="O1550" s="47" t="s">
        <v>45</v>
      </c>
      <c r="P1550" s="13">
        <f t="shared" si="882"/>
        <v>0.72</v>
      </c>
      <c r="Q1550" s="1" t="str">
        <f t="shared" si="883"/>
        <v>500-990 шт - 0,72 руб / шт с НДС</v>
      </c>
      <c r="R1550" s="235"/>
      <c r="S1550" s="239"/>
      <c r="T1550" s="226"/>
      <c r="U1550" s="228"/>
      <c r="V1550" s="222"/>
      <c r="W1550" s="229"/>
      <c r="X1550" s="227"/>
      <c r="Y1550" s="229"/>
      <c r="Z1550" s="236"/>
      <c r="AA1550" s="237"/>
      <c r="AB1550" s="238"/>
      <c r="AC1550" s="223"/>
      <c r="AD1550" s="222"/>
    </row>
    <row r="1551" spans="1:30" x14ac:dyDescent="0.4">
      <c r="A1551" s="230"/>
      <c r="B1551" s="8">
        <v>311</v>
      </c>
      <c r="C1551" s="14">
        <f t="shared" ca="1" si="869"/>
        <v>0.38</v>
      </c>
      <c r="D1551" s="20">
        <f t="shared" ca="1" si="874"/>
        <v>0.45599999999999996</v>
      </c>
      <c r="E1551" s="225"/>
      <c r="F1551" s="231"/>
      <c r="G1551" s="172" t="str">
        <f t="shared" ca="1" si="895"/>
        <v/>
      </c>
      <c r="H1551" s="93" t="str">
        <f t="shared" ca="1" si="896"/>
        <v/>
      </c>
      <c r="I1551" s="21">
        <v>1000</v>
      </c>
      <c r="J1551" s="68">
        <f t="shared" si="897"/>
        <v>0.51666666666666672</v>
      </c>
      <c r="K1551" s="70">
        <v>0.62</v>
      </c>
      <c r="L1551" s="72">
        <f t="shared" ca="1" si="893"/>
        <v>0.10933333333333337</v>
      </c>
      <c r="M1551" s="73">
        <f t="shared" ca="1" si="894"/>
        <v>109.33333333333337</v>
      </c>
      <c r="N1551" s="12" t="s">
        <v>44</v>
      </c>
      <c r="O1551" s="47" t="s">
        <v>45</v>
      </c>
      <c r="P1551" s="13">
        <f t="shared" si="882"/>
        <v>0.62</v>
      </c>
      <c r="Q1551" s="1" t="str">
        <f t="shared" si="883"/>
        <v>1000 + шт - 0,62 руб / шт с НДС</v>
      </c>
      <c r="R1551" s="235"/>
      <c r="S1551" s="239"/>
      <c r="T1551" s="226"/>
      <c r="U1551" s="228"/>
      <c r="V1551" s="222"/>
      <c r="W1551" s="229"/>
      <c r="X1551" s="227"/>
      <c r="Y1551" s="229"/>
      <c r="Z1551" s="236"/>
      <c r="AA1551" s="237"/>
      <c r="AB1551" s="238"/>
      <c r="AC1551" s="223"/>
      <c r="AD1551" s="222"/>
    </row>
    <row r="1552" spans="1:30" x14ac:dyDescent="0.4">
      <c r="A1552" s="232">
        <v>312</v>
      </c>
      <c r="B1552" s="42">
        <v>312</v>
      </c>
      <c r="C1552" s="118">
        <f t="shared" ca="1" si="869"/>
        <v>0.45</v>
      </c>
      <c r="D1552" s="119">
        <f t="shared" ca="1" si="874"/>
        <v>0.54</v>
      </c>
      <c r="E1552" s="233" t="str">
        <f ca="1">INDIRECT("'Закуп'!D" &amp; A1552)</f>
        <v>0-БМ</v>
      </c>
      <c r="F1552" s="231" t="str">
        <f t="shared" ref="F1552" ca="1" si="902">INDIRECT("'Закуп'!E" &amp; B1552)</f>
        <v>320х240х100</v>
      </c>
      <c r="G1552" s="172" t="str">
        <f t="shared" ca="1" si="895"/>
        <v>Sale</v>
      </c>
      <c r="H1552" s="93" t="str">
        <f t="shared" ca="1" si="896"/>
        <v>обр</v>
      </c>
      <c r="I1552" s="120">
        <v>50</v>
      </c>
      <c r="J1552" s="121">
        <f t="shared" si="897"/>
        <v>1.4</v>
      </c>
      <c r="K1552" s="69">
        <v>1.68</v>
      </c>
      <c r="L1552" s="122">
        <f t="shared" ca="1" si="893"/>
        <v>0.76</v>
      </c>
      <c r="M1552" s="123">
        <f t="shared" ca="1" si="894"/>
        <v>38</v>
      </c>
      <c r="N1552" s="124" t="s">
        <v>40</v>
      </c>
      <c r="O1552" s="41" t="s">
        <v>45</v>
      </c>
      <c r="P1552" s="125">
        <f t="shared" si="882"/>
        <v>1.68</v>
      </c>
      <c r="Q1552" s="61" t="str">
        <f t="shared" si="883"/>
        <v>50-90 шт - 1,68 руб / шт с НДС</v>
      </c>
      <c r="R1552" s="235" t="str">
        <f ca="1">INDIRECT("'Закуп'!k" &amp; A1552)</f>
        <v>K511</v>
      </c>
      <c r="S1552" s="239">
        <f ca="1">INDIRECT("'Закуп'!o" &amp; A1552)</f>
        <v>7.68</v>
      </c>
      <c r="T1552" s="234" t="str">
        <f ca="1">INDIRECT("'Закуп'!p" &amp; A1552)</f>
        <v>6-7,9 литра</v>
      </c>
      <c r="U1552" s="228" t="str">
        <f ca="1">INDIRECT("'Закуп'!v" &amp; A1552)</f>
        <v/>
      </c>
      <c r="V1552" s="222" t="str">
        <f ca="1">INDIRECT("'Закуп'!w" &amp; A1552)</f>
        <v>Плоские</v>
      </c>
      <c r="W1552" s="229" t="str">
        <f ca="1">INDIRECT("'Закуп'!H" &amp; A1552)</f>
        <v>0201</v>
      </c>
      <c r="X1552" s="227" t="str">
        <f t="shared" ref="X1552" ca="1" si="903">INDIRECT("'Закуп'!g" &amp; A1552)</f>
        <v>Ч</v>
      </c>
      <c r="Y1552" s="229" t="str">
        <f ca="1">INDIRECT("'Закуп'!i" &amp; A1552)</f>
        <v>В</v>
      </c>
      <c r="Z1552" s="236" t="str">
        <f ca="1">INDIRECT("'Закуп'!x" &amp; A1552)</f>
        <v>300-399 мм</v>
      </c>
      <c r="AA1552" s="237" t="str">
        <f ca="1">INDIRECT("'Закуп'!y" &amp; A1552)</f>
        <v>200-299 мм</v>
      </c>
      <c r="AB1552" s="238" t="str">
        <f ca="1">INDIRECT("'Закуп'!z" &amp; A1552)</f>
        <v>100-199 мм</v>
      </c>
      <c r="AC1552" s="223" t="str">
        <f t="shared" ca="1" si="890"/>
        <v>320x240x100</v>
      </c>
      <c r="AD1552" s="222" t="str">
        <f t="shared" ca="1" si="877"/>
        <v>320x240x100 - 320*240*100 мм</v>
      </c>
    </row>
    <row r="1553" spans="1:30" x14ac:dyDescent="0.4">
      <c r="A1553" s="232"/>
      <c r="B1553" s="42">
        <v>312</v>
      </c>
      <c r="C1553" s="118">
        <f t="shared" ca="1" si="869"/>
        <v>0.45</v>
      </c>
      <c r="D1553" s="119">
        <f t="shared" ca="1" si="874"/>
        <v>0.54</v>
      </c>
      <c r="E1553" s="225"/>
      <c r="F1553" s="231"/>
      <c r="G1553" s="172" t="str">
        <f t="shared" ca="1" si="895"/>
        <v>Sale</v>
      </c>
      <c r="H1553" s="93" t="str">
        <f t="shared" ca="1" si="896"/>
        <v>обр</v>
      </c>
      <c r="I1553" s="120">
        <v>100</v>
      </c>
      <c r="J1553" s="121">
        <f t="shared" si="897"/>
        <v>1.1833333333333333</v>
      </c>
      <c r="K1553" s="69">
        <v>1.42</v>
      </c>
      <c r="L1553" s="122">
        <f t="shared" ca="1" si="893"/>
        <v>0.58666666666666667</v>
      </c>
      <c r="M1553" s="123">
        <f t="shared" ca="1" si="894"/>
        <v>58.666666666666664</v>
      </c>
      <c r="N1553" s="124" t="s">
        <v>41</v>
      </c>
      <c r="O1553" s="41" t="s">
        <v>45</v>
      </c>
      <c r="P1553" s="125">
        <f t="shared" si="882"/>
        <v>1.42</v>
      </c>
      <c r="Q1553" s="61" t="str">
        <f t="shared" si="883"/>
        <v>100-290 шт - 1,42 руб / шт с НДС</v>
      </c>
      <c r="R1553" s="235"/>
      <c r="S1553" s="239"/>
      <c r="T1553" s="234"/>
      <c r="U1553" s="228"/>
      <c r="V1553" s="222"/>
      <c r="W1553" s="229"/>
      <c r="X1553" s="227"/>
      <c r="Y1553" s="229"/>
      <c r="Z1553" s="236"/>
      <c r="AA1553" s="237"/>
      <c r="AB1553" s="238"/>
      <c r="AC1553" s="223"/>
      <c r="AD1553" s="222"/>
    </row>
    <row r="1554" spans="1:30" x14ac:dyDescent="0.4">
      <c r="A1554" s="232"/>
      <c r="B1554" s="42">
        <v>312</v>
      </c>
      <c r="C1554" s="118">
        <f t="shared" ca="1" si="869"/>
        <v>0.45</v>
      </c>
      <c r="D1554" s="119">
        <f t="shared" ca="1" si="874"/>
        <v>0.54</v>
      </c>
      <c r="E1554" s="225"/>
      <c r="F1554" s="231"/>
      <c r="G1554" s="172" t="str">
        <f t="shared" ca="1" si="895"/>
        <v>Sale</v>
      </c>
      <c r="H1554" s="93" t="str">
        <f t="shared" ca="1" si="896"/>
        <v>обр</v>
      </c>
      <c r="I1554" s="120">
        <v>300</v>
      </c>
      <c r="J1554" s="121">
        <f t="shared" si="897"/>
        <v>1.1416666666666668</v>
      </c>
      <c r="K1554" s="69">
        <v>1.37</v>
      </c>
      <c r="L1554" s="122">
        <f t="shared" ca="1" si="893"/>
        <v>0.55333333333333345</v>
      </c>
      <c r="M1554" s="123">
        <f t="shared" ca="1" si="894"/>
        <v>166.00000000000003</v>
      </c>
      <c r="N1554" s="124" t="s">
        <v>42</v>
      </c>
      <c r="O1554" s="41" t="s">
        <v>45</v>
      </c>
      <c r="P1554" s="125">
        <f t="shared" si="882"/>
        <v>1.37</v>
      </c>
      <c r="Q1554" s="61" t="str">
        <f t="shared" si="883"/>
        <v>300-490 шт - 1,37 руб / шт с НДС</v>
      </c>
      <c r="R1554" s="235"/>
      <c r="S1554" s="239"/>
      <c r="T1554" s="234"/>
      <c r="U1554" s="228"/>
      <c r="V1554" s="222"/>
      <c r="W1554" s="229"/>
      <c r="X1554" s="227"/>
      <c r="Y1554" s="229"/>
      <c r="Z1554" s="236"/>
      <c r="AA1554" s="237"/>
      <c r="AB1554" s="238"/>
      <c r="AC1554" s="223"/>
      <c r="AD1554" s="222"/>
    </row>
    <row r="1555" spans="1:30" x14ac:dyDescent="0.4">
      <c r="A1555" s="232"/>
      <c r="B1555" s="42">
        <v>312</v>
      </c>
      <c r="C1555" s="118">
        <f t="shared" ca="1" si="869"/>
        <v>0.45</v>
      </c>
      <c r="D1555" s="119">
        <f t="shared" ca="1" si="874"/>
        <v>0.54</v>
      </c>
      <c r="E1555" s="225"/>
      <c r="F1555" s="231"/>
      <c r="G1555" s="172" t="str">
        <f t="shared" ca="1" si="895"/>
        <v>Sale</v>
      </c>
      <c r="H1555" s="93" t="str">
        <f t="shared" ca="1" si="896"/>
        <v>обр</v>
      </c>
      <c r="I1555" s="120">
        <v>500</v>
      </c>
      <c r="J1555" s="121">
        <f t="shared" si="897"/>
        <v>1.0666666666666667</v>
      </c>
      <c r="K1555" s="69">
        <v>1.28</v>
      </c>
      <c r="L1555" s="122">
        <f t="shared" ca="1" si="893"/>
        <v>0.49333333333333335</v>
      </c>
      <c r="M1555" s="123">
        <f t="shared" ca="1" si="894"/>
        <v>246.66666666666669</v>
      </c>
      <c r="N1555" s="124" t="s">
        <v>43</v>
      </c>
      <c r="O1555" s="41" t="s">
        <v>45</v>
      </c>
      <c r="P1555" s="125">
        <f t="shared" si="882"/>
        <v>1.28</v>
      </c>
      <c r="Q1555" s="61" t="str">
        <f t="shared" si="883"/>
        <v>500-990 шт - 1,28 руб / шт с НДС</v>
      </c>
      <c r="R1555" s="235"/>
      <c r="S1555" s="239"/>
      <c r="T1555" s="234"/>
      <c r="U1555" s="228"/>
      <c r="V1555" s="222"/>
      <c r="W1555" s="229"/>
      <c r="X1555" s="227"/>
      <c r="Y1555" s="229"/>
      <c r="Z1555" s="236"/>
      <c r="AA1555" s="237"/>
      <c r="AB1555" s="238"/>
      <c r="AC1555" s="223"/>
      <c r="AD1555" s="222"/>
    </row>
    <row r="1556" spans="1:30" x14ac:dyDescent="0.4">
      <c r="A1556" s="232"/>
      <c r="B1556" s="42">
        <v>312</v>
      </c>
      <c r="C1556" s="118">
        <f t="shared" ca="1" si="869"/>
        <v>0.45</v>
      </c>
      <c r="D1556" s="119">
        <f t="shared" ca="1" si="874"/>
        <v>0.54</v>
      </c>
      <c r="E1556" s="225"/>
      <c r="F1556" s="231"/>
      <c r="G1556" s="172" t="str">
        <f t="shared" ca="1" si="895"/>
        <v>Sale</v>
      </c>
      <c r="H1556" s="93" t="str">
        <f t="shared" ca="1" si="896"/>
        <v>обр</v>
      </c>
      <c r="I1556" s="120">
        <v>1000</v>
      </c>
      <c r="J1556" s="121">
        <f t="shared" si="897"/>
        <v>1</v>
      </c>
      <c r="K1556" s="69">
        <v>1.2</v>
      </c>
      <c r="L1556" s="122">
        <f t="shared" ca="1" si="893"/>
        <v>0.44000000000000006</v>
      </c>
      <c r="M1556" s="123">
        <f t="shared" ca="1" si="894"/>
        <v>440.00000000000006</v>
      </c>
      <c r="N1556" s="124" t="s">
        <v>44</v>
      </c>
      <c r="O1556" s="41" t="s">
        <v>45</v>
      </c>
      <c r="P1556" s="125">
        <f t="shared" si="882"/>
        <v>1.2</v>
      </c>
      <c r="Q1556" s="61" t="str">
        <f t="shared" si="883"/>
        <v>1000 + шт - 1,2 руб / шт с НДС</v>
      </c>
      <c r="R1556" s="235"/>
      <c r="S1556" s="239"/>
      <c r="T1556" s="234"/>
      <c r="U1556" s="228"/>
      <c r="V1556" s="222"/>
      <c r="W1556" s="229"/>
      <c r="X1556" s="227"/>
      <c r="Y1556" s="229"/>
      <c r="Z1556" s="236"/>
      <c r="AA1556" s="237"/>
      <c r="AB1556" s="238"/>
      <c r="AC1556" s="223"/>
      <c r="AD1556" s="222"/>
    </row>
    <row r="1557" spans="1:30" x14ac:dyDescent="0.4">
      <c r="A1557" s="232">
        <v>313</v>
      </c>
      <c r="B1557" s="42">
        <v>313</v>
      </c>
      <c r="C1557" s="118">
        <f t="shared" ca="1" si="869"/>
        <v>1.65</v>
      </c>
      <c r="D1557" s="119">
        <f t="shared" ca="1" si="874"/>
        <v>1.9799999999999998</v>
      </c>
      <c r="E1557" s="233" t="str">
        <f ca="1">INDIRECT("'Закуп'!D" &amp; A1557)</f>
        <v>0-БМ</v>
      </c>
      <c r="F1557" s="231" t="str">
        <f t="shared" ref="F1557" ca="1" si="904">INDIRECT("'Закуп'!E" &amp; B1557)</f>
        <v>530х390х390</v>
      </c>
      <c r="G1557" s="172" t="str">
        <f t="shared" ca="1" si="895"/>
        <v/>
      </c>
      <c r="H1557" s="93" t="str">
        <f t="shared" ca="1" si="896"/>
        <v>обр</v>
      </c>
      <c r="I1557" s="120">
        <v>50</v>
      </c>
      <c r="J1557" s="121">
        <f t="shared" si="897"/>
        <v>1.7083333333333333</v>
      </c>
      <c r="K1557" s="69">
        <v>2.0499999999999998</v>
      </c>
      <c r="L1557" s="122">
        <f t="shared" ca="1" si="893"/>
        <v>4.6666666666666676E-2</v>
      </c>
      <c r="M1557" s="123">
        <f t="shared" ca="1" si="894"/>
        <v>2.3333333333333339</v>
      </c>
      <c r="N1557" s="124" t="s">
        <v>40</v>
      </c>
      <c r="O1557" s="41" t="s">
        <v>45</v>
      </c>
      <c r="P1557" s="125">
        <f t="shared" si="882"/>
        <v>2.0499999999999998</v>
      </c>
      <c r="Q1557" s="61" t="str">
        <f t="shared" si="883"/>
        <v>50-90 шт - 2,05 руб / шт с НДС</v>
      </c>
      <c r="R1557" s="235" t="str">
        <f ca="1">INDIRECT("'Закуп'!k" &amp; A1557)</f>
        <v>K512</v>
      </c>
      <c r="S1557" s="239">
        <f ca="1">INDIRECT("'Закуп'!o" &amp; A1557)</f>
        <v>80.61</v>
      </c>
      <c r="T1557" s="226" t="str">
        <f ca="1">INDIRECT("'Закуп'!p" &amp; A1557)</f>
        <v>80-89 литров</v>
      </c>
      <c r="U1557" s="228" t="str">
        <f ca="1">INDIRECT("'Закуп'!v" &amp; A1557)</f>
        <v/>
      </c>
      <c r="V1557" s="222" t="str">
        <f ca="1">INDIRECT("'Закуп'!w" &amp; A1557)</f>
        <v/>
      </c>
      <c r="W1557" s="229" t="str">
        <f ca="1">INDIRECT("'Закуп'!H" &amp; A1557)</f>
        <v>0201</v>
      </c>
      <c r="X1557" s="227" t="str">
        <f t="shared" ref="X1557" ca="1" si="905">INDIRECT("'Закуп'!g" &amp; A1557)</f>
        <v>Ч</v>
      </c>
      <c r="Y1557" s="229" t="str">
        <f ca="1">INDIRECT("'Закуп'!i" &amp; A1557)</f>
        <v>В</v>
      </c>
      <c r="Z1557" s="236" t="str">
        <f ca="1">INDIRECT("'Закуп'!x" &amp; A1557)</f>
        <v>500-599 мм</v>
      </c>
      <c r="AA1557" s="237" t="str">
        <f ca="1">INDIRECT("'Закуп'!y" &amp; A1557)</f>
        <v>300-399 мм</v>
      </c>
      <c r="AB1557" s="238" t="str">
        <f ca="1">INDIRECT("'Закуп'!z" &amp; A1557)</f>
        <v>300-399 мм</v>
      </c>
      <c r="AC1557" s="223" t="str">
        <f t="shared" ca="1" si="890"/>
        <v>530x390x390</v>
      </c>
      <c r="AD1557" s="222" t="str">
        <f t="shared" ca="1" si="877"/>
        <v>530x390x390 - 530*390*390 мм</v>
      </c>
    </row>
    <row r="1558" spans="1:30" x14ac:dyDescent="0.4">
      <c r="A1558" s="232"/>
      <c r="B1558" s="42">
        <v>313</v>
      </c>
      <c r="C1558" s="118">
        <f t="shared" ref="C1558:C1621" ca="1" si="906">INDIRECT("'Закуп'!A" &amp; B1558)</f>
        <v>1.65</v>
      </c>
      <c r="D1558" s="119">
        <f t="shared" ca="1" si="874"/>
        <v>1.9799999999999998</v>
      </c>
      <c r="E1558" s="225"/>
      <c r="F1558" s="231"/>
      <c r="G1558" s="172" t="str">
        <f t="shared" ca="1" si="895"/>
        <v/>
      </c>
      <c r="H1558" s="93" t="str">
        <f t="shared" ca="1" si="896"/>
        <v>обр</v>
      </c>
      <c r="I1558" s="120">
        <v>100</v>
      </c>
      <c r="J1558" s="121">
        <f t="shared" si="897"/>
        <v>1.7083333333333333</v>
      </c>
      <c r="K1558" s="69">
        <v>2.0499999999999998</v>
      </c>
      <c r="L1558" s="122">
        <f t="shared" ca="1" si="893"/>
        <v>4.6666666666666676E-2</v>
      </c>
      <c r="M1558" s="123">
        <f t="shared" ca="1" si="894"/>
        <v>4.6666666666666679</v>
      </c>
      <c r="N1558" s="124" t="s">
        <v>41</v>
      </c>
      <c r="O1558" s="41" t="s">
        <v>45</v>
      </c>
      <c r="P1558" s="125">
        <f t="shared" si="882"/>
        <v>2.0499999999999998</v>
      </c>
      <c r="Q1558" s="61" t="str">
        <f t="shared" si="883"/>
        <v>100-290 шт - 2,05 руб / шт с НДС</v>
      </c>
      <c r="R1558" s="235"/>
      <c r="S1558" s="239"/>
      <c r="T1558" s="226"/>
      <c r="U1558" s="228"/>
      <c r="V1558" s="222"/>
      <c r="W1558" s="229"/>
      <c r="X1558" s="227"/>
      <c r="Y1558" s="229"/>
      <c r="Z1558" s="236"/>
      <c r="AA1558" s="237"/>
      <c r="AB1558" s="238"/>
      <c r="AC1558" s="223"/>
      <c r="AD1558" s="222"/>
    </row>
    <row r="1559" spans="1:30" x14ac:dyDescent="0.4">
      <c r="A1559" s="232"/>
      <c r="B1559" s="42">
        <v>313</v>
      </c>
      <c r="C1559" s="118">
        <f t="shared" ca="1" si="906"/>
        <v>1.65</v>
      </c>
      <c r="D1559" s="119">
        <f t="shared" ca="1" si="874"/>
        <v>1.9799999999999998</v>
      </c>
      <c r="E1559" s="225"/>
      <c r="F1559" s="231"/>
      <c r="G1559" s="172" t="str">
        <f t="shared" ca="1" si="895"/>
        <v/>
      </c>
      <c r="H1559" s="93" t="str">
        <f t="shared" ca="1" si="896"/>
        <v>обр</v>
      </c>
      <c r="I1559" s="120">
        <v>300</v>
      </c>
      <c r="J1559" s="121">
        <f t="shared" si="897"/>
        <v>1.7083333333333333</v>
      </c>
      <c r="K1559" s="69">
        <v>2.0499999999999998</v>
      </c>
      <c r="L1559" s="122">
        <f t="shared" ca="1" si="893"/>
        <v>4.6666666666666676E-2</v>
      </c>
      <c r="M1559" s="123">
        <f t="shared" ca="1" si="894"/>
        <v>14.000000000000004</v>
      </c>
      <c r="N1559" s="124" t="s">
        <v>42</v>
      </c>
      <c r="O1559" s="41" t="s">
        <v>45</v>
      </c>
      <c r="P1559" s="125">
        <f t="shared" si="882"/>
        <v>2.0499999999999998</v>
      </c>
      <c r="Q1559" s="61" t="str">
        <f t="shared" si="883"/>
        <v>300-490 шт - 2,05 руб / шт с НДС</v>
      </c>
      <c r="R1559" s="235"/>
      <c r="S1559" s="239"/>
      <c r="T1559" s="226"/>
      <c r="U1559" s="228"/>
      <c r="V1559" s="222"/>
      <c r="W1559" s="229"/>
      <c r="X1559" s="227"/>
      <c r="Y1559" s="229"/>
      <c r="Z1559" s="236"/>
      <c r="AA1559" s="237"/>
      <c r="AB1559" s="238"/>
      <c r="AC1559" s="223"/>
      <c r="AD1559" s="222"/>
    </row>
    <row r="1560" spans="1:30" x14ac:dyDescent="0.4">
      <c r="A1560" s="232"/>
      <c r="B1560" s="42">
        <v>313</v>
      </c>
      <c r="C1560" s="118">
        <f t="shared" ca="1" si="906"/>
        <v>1.65</v>
      </c>
      <c r="D1560" s="119">
        <f t="shared" ca="1" si="874"/>
        <v>1.9799999999999998</v>
      </c>
      <c r="E1560" s="225"/>
      <c r="F1560" s="231"/>
      <c r="G1560" s="172" t="str">
        <f t="shared" ca="1" si="895"/>
        <v/>
      </c>
      <c r="H1560" s="93" t="str">
        <f t="shared" ca="1" si="896"/>
        <v>обр</v>
      </c>
      <c r="I1560" s="120">
        <v>500</v>
      </c>
      <c r="J1560" s="121">
        <f t="shared" si="897"/>
        <v>1.7083333333333333</v>
      </c>
      <c r="K1560" s="69">
        <v>2.0499999999999998</v>
      </c>
      <c r="L1560" s="122">
        <f t="shared" ca="1" si="893"/>
        <v>4.6666666666666676E-2</v>
      </c>
      <c r="M1560" s="123">
        <f t="shared" ca="1" si="894"/>
        <v>23.333333333333339</v>
      </c>
      <c r="N1560" s="124" t="s">
        <v>43</v>
      </c>
      <c r="O1560" s="41" t="s">
        <v>45</v>
      </c>
      <c r="P1560" s="125">
        <f t="shared" si="882"/>
        <v>2.0499999999999998</v>
      </c>
      <c r="Q1560" s="61" t="str">
        <f t="shared" si="883"/>
        <v>500-990 шт - 2,05 руб / шт с НДС</v>
      </c>
      <c r="R1560" s="235"/>
      <c r="S1560" s="239"/>
      <c r="T1560" s="226"/>
      <c r="U1560" s="228"/>
      <c r="V1560" s="222"/>
      <c r="W1560" s="229"/>
      <c r="X1560" s="227"/>
      <c r="Y1560" s="229"/>
      <c r="Z1560" s="236"/>
      <c r="AA1560" s="237"/>
      <c r="AB1560" s="238"/>
      <c r="AC1560" s="223"/>
      <c r="AD1560" s="222"/>
    </row>
    <row r="1561" spans="1:30" x14ac:dyDescent="0.4">
      <c r="A1561" s="232"/>
      <c r="B1561" s="42">
        <v>313</v>
      </c>
      <c r="C1561" s="118">
        <f t="shared" ca="1" si="906"/>
        <v>1.65</v>
      </c>
      <c r="D1561" s="119">
        <f t="shared" ca="1" si="874"/>
        <v>1.9799999999999998</v>
      </c>
      <c r="E1561" s="225"/>
      <c r="F1561" s="231"/>
      <c r="G1561" s="172" t="str">
        <f t="shared" ca="1" si="895"/>
        <v/>
      </c>
      <c r="H1561" s="93" t="str">
        <f t="shared" ca="1" si="896"/>
        <v>обр</v>
      </c>
      <c r="I1561" s="120">
        <v>1000</v>
      </c>
      <c r="J1561" s="121">
        <f t="shared" si="897"/>
        <v>1.7083333333333333</v>
      </c>
      <c r="K1561" s="69">
        <v>2.0499999999999998</v>
      </c>
      <c r="L1561" s="122">
        <f t="shared" ca="1" si="893"/>
        <v>4.6666666666666676E-2</v>
      </c>
      <c r="M1561" s="123">
        <f t="shared" ca="1" si="894"/>
        <v>46.666666666666679</v>
      </c>
      <c r="N1561" s="124" t="s">
        <v>44</v>
      </c>
      <c r="O1561" s="41" t="s">
        <v>45</v>
      </c>
      <c r="P1561" s="125">
        <f t="shared" si="882"/>
        <v>2.0499999999999998</v>
      </c>
      <c r="Q1561" s="61" t="str">
        <f t="shared" si="883"/>
        <v>1000 + шт - 2,05 руб / шт с НДС</v>
      </c>
      <c r="R1561" s="235"/>
      <c r="S1561" s="239"/>
      <c r="T1561" s="226"/>
      <c r="U1561" s="228"/>
      <c r="V1561" s="222"/>
      <c r="W1561" s="229"/>
      <c r="X1561" s="227"/>
      <c r="Y1561" s="229"/>
      <c r="Z1561" s="236"/>
      <c r="AA1561" s="237"/>
      <c r="AB1561" s="238"/>
      <c r="AC1561" s="223"/>
      <c r="AD1561" s="222"/>
    </row>
    <row r="1562" spans="1:30" x14ac:dyDescent="0.4">
      <c r="A1562" s="232">
        <v>314</v>
      </c>
      <c r="B1562" s="42">
        <v>314</v>
      </c>
      <c r="C1562" s="118">
        <f t="shared" ca="1" si="906"/>
        <v>0.37</v>
      </c>
      <c r="D1562" s="119">
        <f t="shared" ca="1" si="874"/>
        <v>0.44400000000000001</v>
      </c>
      <c r="E1562" s="233" t="str">
        <f ca="1">INDIRECT("'Закуп'!D" &amp; A1562)</f>
        <v>0-БМ</v>
      </c>
      <c r="F1562" s="231" t="str">
        <f t="shared" ref="F1562" ca="1" si="907">INDIRECT("'Закуп'!E" &amp; B1562)</f>
        <v>250х150х140</v>
      </c>
      <c r="G1562" s="172" t="str">
        <f t="shared" ca="1" si="895"/>
        <v>Sale</v>
      </c>
      <c r="H1562" s="93" t="str">
        <f t="shared" ca="1" si="896"/>
        <v>обр</v>
      </c>
      <c r="I1562" s="120">
        <v>50</v>
      </c>
      <c r="J1562" s="121">
        <f t="shared" si="897"/>
        <v>0.41666666666666669</v>
      </c>
      <c r="K1562" s="69">
        <v>0.5</v>
      </c>
      <c r="L1562" s="122">
        <f t="shared" ca="1" si="893"/>
        <v>3.733333333333335E-2</v>
      </c>
      <c r="M1562" s="123">
        <f t="shared" ca="1" si="894"/>
        <v>1.8666666666666676</v>
      </c>
      <c r="N1562" s="124" t="s">
        <v>40</v>
      </c>
      <c r="O1562" s="41" t="s">
        <v>45</v>
      </c>
      <c r="P1562" s="125">
        <f t="shared" si="882"/>
        <v>0.5</v>
      </c>
      <c r="Q1562" s="61" t="str">
        <f t="shared" si="883"/>
        <v>50-90 шт - 0,5 руб / шт с НДС</v>
      </c>
      <c r="R1562" s="235" t="str">
        <f ca="1">INDIRECT("'Закуп'!k" &amp; A1562)</f>
        <v>K513</v>
      </c>
      <c r="S1562" s="239">
        <f ca="1">INDIRECT("'Закуп'!o" &amp; A1562)</f>
        <v>5.25</v>
      </c>
      <c r="T1562" s="234" t="str">
        <f ca="1">INDIRECT("'Закуп'!p" &amp; A1562)</f>
        <v>4-5,9 литра</v>
      </c>
      <c r="U1562" s="228" t="str">
        <f ca="1">INDIRECT("'Закуп'!v" &amp; A1562)</f>
        <v/>
      </c>
      <c r="V1562" s="222" t="str">
        <f ca="1">INDIRECT("'Закуп'!w" &amp; A1562)</f>
        <v/>
      </c>
      <c r="W1562" s="229" t="str">
        <f ca="1">INDIRECT("'Закуп'!H" &amp; A1562)</f>
        <v>0201</v>
      </c>
      <c r="X1562" s="227" t="str">
        <f t="shared" ref="X1562" ca="1" si="908">INDIRECT("'Закуп'!g" &amp; A1562)</f>
        <v>Ч</v>
      </c>
      <c r="Y1562" s="229" t="str">
        <f ca="1">INDIRECT("'Закуп'!i" &amp; A1562)</f>
        <v>В</v>
      </c>
      <c r="Z1562" s="236" t="str">
        <f ca="1">INDIRECT("'Закуп'!x" &amp; A1562)</f>
        <v>200-299 мм</v>
      </c>
      <c r="AA1562" s="237" t="str">
        <f ca="1">INDIRECT("'Закуп'!y" &amp; A1562)</f>
        <v>100-199 мм</v>
      </c>
      <c r="AB1562" s="238" t="str">
        <f ca="1">INDIRECT("'Закуп'!z" &amp; A1562)</f>
        <v>100-199 мм</v>
      </c>
      <c r="AC1562" s="223" t="str">
        <f t="shared" ca="1" si="890"/>
        <v>250x150x140</v>
      </c>
      <c r="AD1562" s="222" t="str">
        <f t="shared" ca="1" si="877"/>
        <v>250x150x140 - 250*150*140 мм</v>
      </c>
    </row>
    <row r="1563" spans="1:30" x14ac:dyDescent="0.4">
      <c r="A1563" s="232"/>
      <c r="B1563" s="42">
        <v>314</v>
      </c>
      <c r="C1563" s="118">
        <f t="shared" ca="1" si="906"/>
        <v>0.37</v>
      </c>
      <c r="D1563" s="119">
        <f t="shared" ca="1" si="874"/>
        <v>0.44400000000000001</v>
      </c>
      <c r="E1563" s="225"/>
      <c r="F1563" s="231"/>
      <c r="G1563" s="172" t="str">
        <f t="shared" ca="1" si="895"/>
        <v>Sale</v>
      </c>
      <c r="H1563" s="93" t="str">
        <f t="shared" ca="1" si="896"/>
        <v>обр</v>
      </c>
      <c r="I1563" s="120">
        <v>100</v>
      </c>
      <c r="J1563" s="121">
        <f t="shared" si="897"/>
        <v>0.41666666666666669</v>
      </c>
      <c r="K1563" s="69">
        <v>0.5</v>
      </c>
      <c r="L1563" s="122">
        <f t="shared" ca="1" si="893"/>
        <v>3.733333333333335E-2</v>
      </c>
      <c r="M1563" s="123">
        <f t="shared" ca="1" si="894"/>
        <v>3.7333333333333352</v>
      </c>
      <c r="N1563" s="124" t="s">
        <v>41</v>
      </c>
      <c r="O1563" s="41" t="s">
        <v>45</v>
      </c>
      <c r="P1563" s="125">
        <f t="shared" si="882"/>
        <v>0.5</v>
      </c>
      <c r="Q1563" s="61" t="str">
        <f t="shared" si="883"/>
        <v>100-290 шт - 0,5 руб / шт с НДС</v>
      </c>
      <c r="R1563" s="235"/>
      <c r="S1563" s="239"/>
      <c r="T1563" s="234"/>
      <c r="U1563" s="228"/>
      <c r="V1563" s="222"/>
      <c r="W1563" s="229"/>
      <c r="X1563" s="227"/>
      <c r="Y1563" s="229"/>
      <c r="Z1563" s="236"/>
      <c r="AA1563" s="237"/>
      <c r="AB1563" s="238"/>
      <c r="AC1563" s="223"/>
      <c r="AD1563" s="222"/>
    </row>
    <row r="1564" spans="1:30" x14ac:dyDescent="0.4">
      <c r="A1564" s="232"/>
      <c r="B1564" s="42">
        <v>314</v>
      </c>
      <c r="C1564" s="118">
        <f t="shared" ca="1" si="906"/>
        <v>0.37</v>
      </c>
      <c r="D1564" s="119">
        <f t="shared" ca="1" si="874"/>
        <v>0.44400000000000001</v>
      </c>
      <c r="E1564" s="225"/>
      <c r="F1564" s="231"/>
      <c r="G1564" s="172" t="str">
        <f t="shared" ca="1" si="895"/>
        <v>Sale</v>
      </c>
      <c r="H1564" s="93" t="str">
        <f t="shared" ca="1" si="896"/>
        <v>обр</v>
      </c>
      <c r="I1564" s="120">
        <v>300</v>
      </c>
      <c r="J1564" s="121">
        <f t="shared" si="897"/>
        <v>0.41666666666666669</v>
      </c>
      <c r="K1564" s="69">
        <v>0.5</v>
      </c>
      <c r="L1564" s="122">
        <f t="shared" ca="1" si="893"/>
        <v>3.733333333333335E-2</v>
      </c>
      <c r="M1564" s="123">
        <f t="shared" ca="1" si="894"/>
        <v>11.200000000000005</v>
      </c>
      <c r="N1564" s="124" t="s">
        <v>42</v>
      </c>
      <c r="O1564" s="41" t="s">
        <v>45</v>
      </c>
      <c r="P1564" s="125">
        <f t="shared" si="882"/>
        <v>0.5</v>
      </c>
      <c r="Q1564" s="61" t="str">
        <f t="shared" si="883"/>
        <v>300-490 шт - 0,5 руб / шт с НДС</v>
      </c>
      <c r="R1564" s="235"/>
      <c r="S1564" s="239"/>
      <c r="T1564" s="234"/>
      <c r="U1564" s="228"/>
      <c r="V1564" s="222"/>
      <c r="W1564" s="229"/>
      <c r="X1564" s="227"/>
      <c r="Y1564" s="229"/>
      <c r="Z1564" s="236"/>
      <c r="AA1564" s="237"/>
      <c r="AB1564" s="238"/>
      <c r="AC1564" s="223"/>
      <c r="AD1564" s="222"/>
    </row>
    <row r="1565" spans="1:30" x14ac:dyDescent="0.4">
      <c r="A1565" s="232"/>
      <c r="B1565" s="42">
        <v>314</v>
      </c>
      <c r="C1565" s="118">
        <f t="shared" ca="1" si="906"/>
        <v>0.37</v>
      </c>
      <c r="D1565" s="119">
        <f t="shared" ca="1" si="874"/>
        <v>0.44400000000000001</v>
      </c>
      <c r="E1565" s="225"/>
      <c r="F1565" s="231"/>
      <c r="G1565" s="172" t="str">
        <f t="shared" ca="1" si="895"/>
        <v>Sale</v>
      </c>
      <c r="H1565" s="93" t="str">
        <f t="shared" ca="1" si="896"/>
        <v>обр</v>
      </c>
      <c r="I1565" s="120">
        <v>500</v>
      </c>
      <c r="J1565" s="121">
        <f t="shared" si="897"/>
        <v>0.41666666666666669</v>
      </c>
      <c r="K1565" s="69">
        <v>0.5</v>
      </c>
      <c r="L1565" s="122">
        <f t="shared" ca="1" si="893"/>
        <v>3.733333333333335E-2</v>
      </c>
      <c r="M1565" s="123">
        <f t="shared" ca="1" si="894"/>
        <v>18.666666666666675</v>
      </c>
      <c r="N1565" s="124" t="s">
        <v>43</v>
      </c>
      <c r="O1565" s="41" t="s">
        <v>45</v>
      </c>
      <c r="P1565" s="125">
        <f t="shared" si="882"/>
        <v>0.5</v>
      </c>
      <c r="Q1565" s="61" t="str">
        <f t="shared" si="883"/>
        <v>500-990 шт - 0,5 руб / шт с НДС</v>
      </c>
      <c r="R1565" s="235"/>
      <c r="S1565" s="239"/>
      <c r="T1565" s="234"/>
      <c r="U1565" s="228"/>
      <c r="V1565" s="222"/>
      <c r="W1565" s="229"/>
      <c r="X1565" s="227"/>
      <c r="Y1565" s="229"/>
      <c r="Z1565" s="236"/>
      <c r="AA1565" s="237"/>
      <c r="AB1565" s="238"/>
      <c r="AC1565" s="223"/>
      <c r="AD1565" s="222"/>
    </row>
    <row r="1566" spans="1:30" x14ac:dyDescent="0.4">
      <c r="A1566" s="232"/>
      <c r="B1566" s="42">
        <v>314</v>
      </c>
      <c r="C1566" s="118">
        <f t="shared" ca="1" si="906"/>
        <v>0.37</v>
      </c>
      <c r="D1566" s="119">
        <f t="shared" ca="1" si="874"/>
        <v>0.44400000000000001</v>
      </c>
      <c r="E1566" s="225"/>
      <c r="F1566" s="231"/>
      <c r="G1566" s="172" t="str">
        <f t="shared" ca="1" si="895"/>
        <v>Sale</v>
      </c>
      <c r="H1566" s="93" t="str">
        <f t="shared" ca="1" si="896"/>
        <v>обр</v>
      </c>
      <c r="I1566" s="120">
        <v>1000</v>
      </c>
      <c r="J1566" s="121">
        <f t="shared" si="897"/>
        <v>0.41666666666666669</v>
      </c>
      <c r="K1566" s="69">
        <v>0.5</v>
      </c>
      <c r="L1566" s="122">
        <f t="shared" ca="1" si="893"/>
        <v>3.733333333333335E-2</v>
      </c>
      <c r="M1566" s="123">
        <f t="shared" ca="1" si="894"/>
        <v>37.33333333333335</v>
      </c>
      <c r="N1566" s="124" t="s">
        <v>44</v>
      </c>
      <c r="O1566" s="41" t="s">
        <v>45</v>
      </c>
      <c r="P1566" s="125">
        <f t="shared" si="882"/>
        <v>0.5</v>
      </c>
      <c r="Q1566" s="61" t="str">
        <f t="shared" si="883"/>
        <v>1000 + шт - 0,5 руб / шт с НДС</v>
      </c>
      <c r="R1566" s="235"/>
      <c r="S1566" s="239"/>
      <c r="T1566" s="234"/>
      <c r="U1566" s="228"/>
      <c r="V1566" s="222"/>
      <c r="W1566" s="229"/>
      <c r="X1566" s="227"/>
      <c r="Y1566" s="229"/>
      <c r="Z1566" s="236"/>
      <c r="AA1566" s="237"/>
      <c r="AB1566" s="238"/>
      <c r="AC1566" s="223"/>
      <c r="AD1566" s="222"/>
    </row>
    <row r="1567" spans="1:30" x14ac:dyDescent="0.4">
      <c r="A1567" s="232">
        <v>315</v>
      </c>
      <c r="B1567" s="42">
        <v>315</v>
      </c>
      <c r="C1567" s="118">
        <f t="shared" ca="1" si="906"/>
        <v>0.46</v>
      </c>
      <c r="D1567" s="119">
        <f t="shared" ca="1" si="874"/>
        <v>0.55200000000000005</v>
      </c>
      <c r="E1567" s="233" t="str">
        <f ca="1">INDIRECT("'Закуп'!D" &amp; A1567)</f>
        <v>БМ</v>
      </c>
      <c r="F1567" s="231" t="str">
        <f t="shared" ref="F1567" ca="1" si="909">INDIRECT("'Закуп'!E" &amp; B1567)</f>
        <v>260х170х170</v>
      </c>
      <c r="G1567" s="172" t="str">
        <f t="shared" ca="1" si="895"/>
        <v/>
      </c>
      <c r="H1567" s="93" t="str">
        <f t="shared" ca="1" si="896"/>
        <v>обр</v>
      </c>
      <c r="I1567" s="120">
        <v>50</v>
      </c>
      <c r="J1567" s="121">
        <f t="shared" si="897"/>
        <v>0.91666666666666674</v>
      </c>
      <c r="K1567" s="69">
        <v>1.1000000000000001</v>
      </c>
      <c r="L1567" s="122">
        <f t="shared" ca="1" si="893"/>
        <v>0.3653333333333334</v>
      </c>
      <c r="M1567" s="123">
        <f t="shared" ca="1" si="894"/>
        <v>18.266666666666669</v>
      </c>
      <c r="N1567" s="124" t="s">
        <v>40</v>
      </c>
      <c r="O1567" s="41" t="s">
        <v>45</v>
      </c>
      <c r="P1567" s="125">
        <f t="shared" si="882"/>
        <v>1.1000000000000001</v>
      </c>
      <c r="Q1567" s="61" t="str">
        <f t="shared" si="883"/>
        <v>50-90 шт - 1,1 руб / шт с НДС</v>
      </c>
      <c r="R1567" s="235" t="str">
        <f ca="1">INDIRECT("'Закуп'!k" &amp; A1567)</f>
        <v>K514</v>
      </c>
      <c r="S1567" s="239">
        <f ca="1">INDIRECT("'Закуп'!o" &amp; A1567)</f>
        <v>7.51</v>
      </c>
      <c r="T1567" s="234" t="str">
        <f ca="1">INDIRECT("'Закуп'!p" &amp; A1567)</f>
        <v>6-7,9 литра</v>
      </c>
      <c r="U1567" s="228" t="str">
        <f ca="1">INDIRECT("'Закуп'!v" &amp; A1567)</f>
        <v/>
      </c>
      <c r="V1567" s="222" t="str">
        <f ca="1">INDIRECT("'Закуп'!w" &amp; A1567)</f>
        <v/>
      </c>
      <c r="W1567" s="229" t="str">
        <f ca="1">INDIRECT("'Закуп'!H" &amp; A1567)</f>
        <v>0201</v>
      </c>
      <c r="X1567" s="227" t="str">
        <f t="shared" ref="X1567" ca="1" si="910">INDIRECT("'Закуп'!g" &amp; A1567)</f>
        <v>Ч</v>
      </c>
      <c r="Y1567" s="229" t="str">
        <f ca="1">INDIRECT("'Закуп'!i" &amp; A1567)</f>
        <v>В</v>
      </c>
      <c r="Z1567" s="236" t="str">
        <f ca="1">INDIRECT("'Закуп'!x" &amp; A1567)</f>
        <v>200-299 мм</v>
      </c>
      <c r="AA1567" s="237" t="str">
        <f ca="1">INDIRECT("'Закуп'!y" &amp; A1567)</f>
        <v>100-199 мм</v>
      </c>
      <c r="AB1567" s="238" t="str">
        <f ca="1">INDIRECT("'Закуп'!z" &amp; A1567)</f>
        <v>100-199 мм</v>
      </c>
      <c r="AC1567" s="223" t="str">
        <f t="shared" ca="1" si="890"/>
        <v>260x170x170</v>
      </c>
      <c r="AD1567" s="222" t="str">
        <f t="shared" ca="1" si="877"/>
        <v>260x170x170 - 260*170*170 мм</v>
      </c>
    </row>
    <row r="1568" spans="1:30" x14ac:dyDescent="0.4">
      <c r="A1568" s="232"/>
      <c r="B1568" s="42">
        <v>315</v>
      </c>
      <c r="C1568" s="118">
        <f t="shared" ca="1" si="906"/>
        <v>0.46</v>
      </c>
      <c r="D1568" s="119">
        <f t="shared" ca="1" si="874"/>
        <v>0.55200000000000005</v>
      </c>
      <c r="E1568" s="225"/>
      <c r="F1568" s="231"/>
      <c r="G1568" s="172" t="str">
        <f t="shared" ca="1" si="895"/>
        <v/>
      </c>
      <c r="H1568" s="93" t="str">
        <f t="shared" ca="1" si="896"/>
        <v>обр</v>
      </c>
      <c r="I1568" s="120">
        <v>100</v>
      </c>
      <c r="J1568" s="121">
        <f t="shared" si="897"/>
        <v>0.83333333333333337</v>
      </c>
      <c r="K1568" s="69">
        <v>1</v>
      </c>
      <c r="L1568" s="122">
        <f t="shared" ca="1" si="893"/>
        <v>0.29866666666666669</v>
      </c>
      <c r="M1568" s="123">
        <f t="shared" ca="1" si="894"/>
        <v>29.866666666666671</v>
      </c>
      <c r="N1568" s="124" t="s">
        <v>41</v>
      </c>
      <c r="O1568" s="41" t="s">
        <v>45</v>
      </c>
      <c r="P1568" s="125">
        <f t="shared" si="882"/>
        <v>1</v>
      </c>
      <c r="Q1568" s="61" t="str">
        <f t="shared" si="883"/>
        <v>100-290 шт - 1 руб / шт с НДС</v>
      </c>
      <c r="R1568" s="235"/>
      <c r="S1568" s="239"/>
      <c r="T1568" s="234"/>
      <c r="U1568" s="228"/>
      <c r="V1568" s="222"/>
      <c r="W1568" s="229"/>
      <c r="X1568" s="227"/>
      <c r="Y1568" s="229"/>
      <c r="Z1568" s="236"/>
      <c r="AA1568" s="237"/>
      <c r="AB1568" s="238"/>
      <c r="AC1568" s="223"/>
      <c r="AD1568" s="222"/>
    </row>
    <row r="1569" spans="1:30" x14ac:dyDescent="0.4">
      <c r="A1569" s="232"/>
      <c r="B1569" s="42">
        <v>315</v>
      </c>
      <c r="C1569" s="118">
        <f t="shared" ca="1" si="906"/>
        <v>0.46</v>
      </c>
      <c r="D1569" s="119">
        <f t="shared" ref="D1569:D1632" ca="1" si="911">C1569*1.2</f>
        <v>0.55200000000000005</v>
      </c>
      <c r="E1569" s="225"/>
      <c r="F1569" s="231"/>
      <c r="G1569" s="172" t="str">
        <f t="shared" ca="1" si="895"/>
        <v/>
      </c>
      <c r="H1569" s="93" t="str">
        <f t="shared" ca="1" si="896"/>
        <v>обр</v>
      </c>
      <c r="I1569" s="120">
        <v>300</v>
      </c>
      <c r="J1569" s="121">
        <f t="shared" si="897"/>
        <v>0.75</v>
      </c>
      <c r="K1569" s="69">
        <v>0.9</v>
      </c>
      <c r="L1569" s="122">
        <f t="shared" ca="1" si="893"/>
        <v>0.23199999999999998</v>
      </c>
      <c r="M1569" s="123">
        <f t="shared" ca="1" si="894"/>
        <v>69.599999999999994</v>
      </c>
      <c r="N1569" s="124" t="s">
        <v>42</v>
      </c>
      <c r="O1569" s="41" t="s">
        <v>45</v>
      </c>
      <c r="P1569" s="125">
        <f t="shared" si="882"/>
        <v>0.9</v>
      </c>
      <c r="Q1569" s="61" t="str">
        <f t="shared" si="883"/>
        <v>300-490 шт - 0,9 руб / шт с НДС</v>
      </c>
      <c r="R1569" s="235"/>
      <c r="S1569" s="239"/>
      <c r="T1569" s="234"/>
      <c r="U1569" s="228"/>
      <c r="V1569" s="222"/>
      <c r="W1569" s="229"/>
      <c r="X1569" s="227"/>
      <c r="Y1569" s="229"/>
      <c r="Z1569" s="236"/>
      <c r="AA1569" s="237"/>
      <c r="AB1569" s="238"/>
      <c r="AC1569" s="223"/>
      <c r="AD1569" s="222"/>
    </row>
    <row r="1570" spans="1:30" x14ac:dyDescent="0.4">
      <c r="A1570" s="232"/>
      <c r="B1570" s="42">
        <v>315</v>
      </c>
      <c r="C1570" s="118">
        <f t="shared" ca="1" si="906"/>
        <v>0.46</v>
      </c>
      <c r="D1570" s="119">
        <f t="shared" ca="1" si="911"/>
        <v>0.55200000000000005</v>
      </c>
      <c r="E1570" s="225"/>
      <c r="F1570" s="231"/>
      <c r="G1570" s="172" t="str">
        <f t="shared" ca="1" si="895"/>
        <v/>
      </c>
      <c r="H1570" s="93" t="str">
        <f t="shared" ca="1" si="896"/>
        <v>обр</v>
      </c>
      <c r="I1570" s="120">
        <v>500</v>
      </c>
      <c r="J1570" s="121">
        <f t="shared" si="897"/>
        <v>0.66666666666666674</v>
      </c>
      <c r="K1570" s="69">
        <v>0.8</v>
      </c>
      <c r="L1570" s="122">
        <f t="shared" ca="1" si="893"/>
        <v>0.16533333333333339</v>
      </c>
      <c r="M1570" s="123">
        <f t="shared" ca="1" si="894"/>
        <v>82.6666666666667</v>
      </c>
      <c r="N1570" s="124" t="s">
        <v>43</v>
      </c>
      <c r="O1570" s="41" t="s">
        <v>45</v>
      </c>
      <c r="P1570" s="125">
        <f t="shared" si="882"/>
        <v>0.8</v>
      </c>
      <c r="Q1570" s="61" t="str">
        <f t="shared" si="883"/>
        <v>500-990 шт - 0,8 руб / шт с НДС</v>
      </c>
      <c r="R1570" s="235"/>
      <c r="S1570" s="239"/>
      <c r="T1570" s="234"/>
      <c r="U1570" s="228"/>
      <c r="V1570" s="222"/>
      <c r="W1570" s="229"/>
      <c r="X1570" s="227"/>
      <c r="Y1570" s="229"/>
      <c r="Z1570" s="236"/>
      <c r="AA1570" s="237"/>
      <c r="AB1570" s="238"/>
      <c r="AC1570" s="223"/>
      <c r="AD1570" s="222"/>
    </row>
    <row r="1571" spans="1:30" x14ac:dyDescent="0.4">
      <c r="A1571" s="232"/>
      <c r="B1571" s="42">
        <v>315</v>
      </c>
      <c r="C1571" s="118">
        <f t="shared" ca="1" si="906"/>
        <v>0.46</v>
      </c>
      <c r="D1571" s="119">
        <f t="shared" ca="1" si="911"/>
        <v>0.55200000000000005</v>
      </c>
      <c r="E1571" s="225"/>
      <c r="F1571" s="231"/>
      <c r="G1571" s="172" t="str">
        <f t="shared" ca="1" si="895"/>
        <v/>
      </c>
      <c r="H1571" s="93" t="str">
        <f t="shared" ca="1" si="896"/>
        <v>обр</v>
      </c>
      <c r="I1571" s="120">
        <v>1000</v>
      </c>
      <c r="J1571" s="121">
        <f t="shared" si="897"/>
        <v>0.58333333333333337</v>
      </c>
      <c r="K1571" s="69">
        <v>0.7</v>
      </c>
      <c r="L1571" s="122">
        <f t="shared" ca="1" si="893"/>
        <v>9.866666666666668E-2</v>
      </c>
      <c r="M1571" s="123">
        <f t="shared" ca="1" si="894"/>
        <v>98.666666666666686</v>
      </c>
      <c r="N1571" s="124" t="s">
        <v>44</v>
      </c>
      <c r="O1571" s="41" t="s">
        <v>45</v>
      </c>
      <c r="P1571" s="125">
        <f t="shared" si="882"/>
        <v>0.7</v>
      </c>
      <c r="Q1571" s="61" t="str">
        <f t="shared" si="883"/>
        <v>1000 + шт - 0,7 руб / шт с НДС</v>
      </c>
      <c r="R1571" s="235"/>
      <c r="S1571" s="239"/>
      <c r="T1571" s="234"/>
      <c r="U1571" s="228"/>
      <c r="V1571" s="222"/>
      <c r="W1571" s="229"/>
      <c r="X1571" s="227"/>
      <c r="Y1571" s="229"/>
      <c r="Z1571" s="236"/>
      <c r="AA1571" s="237"/>
      <c r="AB1571" s="238"/>
      <c r="AC1571" s="223"/>
      <c r="AD1571" s="222"/>
    </row>
    <row r="1572" spans="1:30" x14ac:dyDescent="0.4">
      <c r="A1572" s="232">
        <v>316</v>
      </c>
      <c r="B1572" s="42">
        <v>316</v>
      </c>
      <c r="C1572" s="118">
        <f t="shared" ca="1" si="906"/>
        <v>0.39</v>
      </c>
      <c r="D1572" s="119">
        <f t="shared" ca="1" si="911"/>
        <v>0.46799999999999997</v>
      </c>
      <c r="E1572" s="224" t="str">
        <f ca="1">INDIRECT("'Закуп'!D" &amp; A1572)</f>
        <v>У</v>
      </c>
      <c r="F1572" s="231" t="str">
        <f t="shared" ref="F1572" ca="1" si="912">INDIRECT("'Закуп'!E" &amp; B1572)</f>
        <v xml:space="preserve">147х127х257 </v>
      </c>
      <c r="G1572" s="172" t="str">
        <f t="shared" ca="1" si="895"/>
        <v/>
      </c>
      <c r="H1572" s="93" t="str">
        <f t="shared" ca="1" si="896"/>
        <v/>
      </c>
      <c r="I1572" s="120">
        <v>50</v>
      </c>
      <c r="J1572" s="121">
        <f t="shared" si="897"/>
        <v>1.1666666666666667</v>
      </c>
      <c r="K1572" s="69">
        <v>1.4</v>
      </c>
      <c r="L1572" s="122">
        <f t="shared" ca="1" si="893"/>
        <v>0.6213333333333334</v>
      </c>
      <c r="M1572" s="123">
        <f t="shared" ca="1" si="894"/>
        <v>31.06666666666667</v>
      </c>
      <c r="N1572" s="124" t="s">
        <v>40</v>
      </c>
      <c r="O1572" s="41" t="s">
        <v>45</v>
      </c>
      <c r="P1572" s="125">
        <f t="shared" si="882"/>
        <v>1.4</v>
      </c>
      <c r="Q1572" s="61" t="str">
        <f t="shared" si="883"/>
        <v>50-90 шт - 1,4 руб / шт с НДС</v>
      </c>
      <c r="R1572" s="235" t="str">
        <f ca="1">INDIRECT("'Закуп'!k" &amp; A1572)</f>
        <v>K264</v>
      </c>
      <c r="S1572" s="239">
        <f ca="1">INDIRECT("'Закуп'!o" &amp; A1572)</f>
        <v>4.8</v>
      </c>
      <c r="T1572" s="226" t="str">
        <f ca="1">INDIRECT("'Закуп'!p" &amp; A1572)</f>
        <v>4-5,9 литра</v>
      </c>
      <c r="U1572" s="228" t="str">
        <f ca="1">INDIRECT("'Закуп'!v" &amp; A1572)</f>
        <v/>
      </c>
      <c r="V1572" s="222" t="str">
        <f ca="1">INDIRECT("'Закуп'!w" &amp; A1572)</f>
        <v/>
      </c>
      <c r="W1572" s="229" t="str">
        <f ca="1">INDIRECT("'Закуп'!H" &amp; A1572)</f>
        <v>0201</v>
      </c>
      <c r="X1572" s="227" t="str">
        <f t="shared" ref="X1572" ca="1" si="913">INDIRECT("'Закуп'!g" &amp; A1572)</f>
        <v>Ч</v>
      </c>
      <c r="Y1572" s="229" t="str">
        <f ca="1">INDIRECT("'Закуп'!i" &amp; A1572)</f>
        <v>В</v>
      </c>
      <c r="Z1572" s="236" t="str">
        <f ca="1">INDIRECT("'Закуп'!x" &amp; A1572)</f>
        <v>200-299 мм</v>
      </c>
      <c r="AA1572" s="237" t="str">
        <f ca="1">INDIRECT("'Закуп'!y" &amp; A1572)</f>
        <v>100-199 мм</v>
      </c>
      <c r="AB1572" s="238" t="str">
        <f ca="1">INDIRECT("'Закуп'!z" &amp; A1572)</f>
        <v>100-199 мм</v>
      </c>
      <c r="AC1572" s="223" t="str">
        <f t="shared" ca="1" si="890"/>
        <v xml:space="preserve">147x127x257 </v>
      </c>
      <c r="AD1572" s="222" t="str">
        <f t="shared" ref="AD1572:AD1632" ca="1" si="914">SUBSTITUTE(INDEX(F:F, ROUNDUP((ROW(A1571))/5,0)*5 - 3), "х", "x") &amp; " - " &amp; SUBSTITUTE(SUBSTITUTE(INDEX(F:F, ROUNDUP((ROW(A1571))/5,0)*5 - 3), "х", "*"), "x", "*") &amp; " мм"</f>
        <v>147x127x257  - 147*127*257  мм</v>
      </c>
    </row>
    <row r="1573" spans="1:30" x14ac:dyDescent="0.4">
      <c r="A1573" s="232"/>
      <c r="B1573" s="42">
        <v>316</v>
      </c>
      <c r="C1573" s="118">
        <f t="shared" ca="1" si="906"/>
        <v>0.39</v>
      </c>
      <c r="D1573" s="119">
        <f t="shared" ca="1" si="911"/>
        <v>0.46799999999999997</v>
      </c>
      <c r="E1573" s="225"/>
      <c r="F1573" s="231"/>
      <c r="G1573" s="172" t="str">
        <f t="shared" ca="1" si="895"/>
        <v/>
      </c>
      <c r="H1573" s="93" t="str">
        <f t="shared" ca="1" si="896"/>
        <v/>
      </c>
      <c r="I1573" s="120">
        <v>100</v>
      </c>
      <c r="J1573" s="121">
        <f t="shared" si="897"/>
        <v>1.1250000000000002</v>
      </c>
      <c r="K1573" s="69">
        <v>1.35</v>
      </c>
      <c r="L1573" s="122">
        <f t="shared" ca="1" si="893"/>
        <v>0.58800000000000019</v>
      </c>
      <c r="M1573" s="123">
        <f t="shared" ca="1" si="894"/>
        <v>58.800000000000018</v>
      </c>
      <c r="N1573" s="124" t="s">
        <v>41</v>
      </c>
      <c r="O1573" s="41" t="s">
        <v>45</v>
      </c>
      <c r="P1573" s="125">
        <f t="shared" si="882"/>
        <v>1.35</v>
      </c>
      <c r="Q1573" s="61" t="str">
        <f t="shared" si="883"/>
        <v>100-290 шт - 1,35 руб / шт с НДС</v>
      </c>
      <c r="R1573" s="235"/>
      <c r="S1573" s="239"/>
      <c r="T1573" s="226"/>
      <c r="U1573" s="228"/>
      <c r="V1573" s="222"/>
      <c r="W1573" s="229"/>
      <c r="X1573" s="227"/>
      <c r="Y1573" s="229"/>
      <c r="Z1573" s="236"/>
      <c r="AA1573" s="237"/>
      <c r="AB1573" s="238"/>
      <c r="AC1573" s="223"/>
      <c r="AD1573" s="222"/>
    </row>
    <row r="1574" spans="1:30" x14ac:dyDescent="0.4">
      <c r="A1574" s="232"/>
      <c r="B1574" s="42">
        <v>316</v>
      </c>
      <c r="C1574" s="118">
        <f t="shared" ca="1" si="906"/>
        <v>0.39</v>
      </c>
      <c r="D1574" s="119">
        <f t="shared" ca="1" si="911"/>
        <v>0.46799999999999997</v>
      </c>
      <c r="E1574" s="225"/>
      <c r="F1574" s="231"/>
      <c r="G1574" s="172" t="str">
        <f t="shared" ca="1" si="895"/>
        <v/>
      </c>
      <c r="H1574" s="93" t="str">
        <f t="shared" ca="1" si="896"/>
        <v/>
      </c>
      <c r="I1574" s="120">
        <v>300</v>
      </c>
      <c r="J1574" s="121">
        <f t="shared" si="897"/>
        <v>1.0833333333333335</v>
      </c>
      <c r="K1574" s="69">
        <v>1.3</v>
      </c>
      <c r="L1574" s="122">
        <f t="shared" ca="1" si="893"/>
        <v>0.55466666666666675</v>
      </c>
      <c r="M1574" s="123">
        <f t="shared" ca="1" si="894"/>
        <v>166.40000000000003</v>
      </c>
      <c r="N1574" s="124" t="s">
        <v>42</v>
      </c>
      <c r="O1574" s="41" t="s">
        <v>45</v>
      </c>
      <c r="P1574" s="125">
        <f t="shared" si="882"/>
        <v>1.3</v>
      </c>
      <c r="Q1574" s="61" t="str">
        <f t="shared" si="883"/>
        <v>300-490 шт - 1,3 руб / шт с НДС</v>
      </c>
      <c r="R1574" s="235"/>
      <c r="S1574" s="239"/>
      <c r="T1574" s="226"/>
      <c r="U1574" s="228"/>
      <c r="V1574" s="222"/>
      <c r="W1574" s="229"/>
      <c r="X1574" s="227"/>
      <c r="Y1574" s="229"/>
      <c r="Z1574" s="236"/>
      <c r="AA1574" s="237"/>
      <c r="AB1574" s="238"/>
      <c r="AC1574" s="223"/>
      <c r="AD1574" s="222"/>
    </row>
    <row r="1575" spans="1:30" x14ac:dyDescent="0.4">
      <c r="A1575" s="232"/>
      <c r="B1575" s="42">
        <v>316</v>
      </c>
      <c r="C1575" s="118">
        <f t="shared" ca="1" si="906"/>
        <v>0.39</v>
      </c>
      <c r="D1575" s="119">
        <f t="shared" ca="1" si="911"/>
        <v>0.46799999999999997</v>
      </c>
      <c r="E1575" s="225"/>
      <c r="F1575" s="231"/>
      <c r="G1575" s="172" t="str">
        <f t="shared" ca="1" si="895"/>
        <v/>
      </c>
      <c r="H1575" s="93" t="str">
        <f t="shared" ca="1" si="896"/>
        <v/>
      </c>
      <c r="I1575" s="120">
        <v>500</v>
      </c>
      <c r="J1575" s="121">
        <f t="shared" si="897"/>
        <v>1.0416666666666667</v>
      </c>
      <c r="K1575" s="69">
        <v>1.25</v>
      </c>
      <c r="L1575" s="122">
        <f t="shared" ca="1" si="893"/>
        <v>0.52133333333333343</v>
      </c>
      <c r="M1575" s="123">
        <f t="shared" ca="1" si="894"/>
        <v>260.66666666666669</v>
      </c>
      <c r="N1575" s="124" t="s">
        <v>43</v>
      </c>
      <c r="O1575" s="41" t="s">
        <v>45</v>
      </c>
      <c r="P1575" s="125">
        <f t="shared" si="882"/>
        <v>1.25</v>
      </c>
      <c r="Q1575" s="61" t="str">
        <f t="shared" si="883"/>
        <v>500-990 шт - 1,25 руб / шт с НДС</v>
      </c>
      <c r="R1575" s="235"/>
      <c r="S1575" s="239"/>
      <c r="T1575" s="226"/>
      <c r="U1575" s="228"/>
      <c r="V1575" s="222"/>
      <c r="W1575" s="229"/>
      <c r="X1575" s="227"/>
      <c r="Y1575" s="229"/>
      <c r="Z1575" s="236"/>
      <c r="AA1575" s="237"/>
      <c r="AB1575" s="238"/>
      <c r="AC1575" s="223"/>
      <c r="AD1575" s="222"/>
    </row>
    <row r="1576" spans="1:30" x14ac:dyDescent="0.4">
      <c r="A1576" s="232"/>
      <c r="B1576" s="42">
        <v>316</v>
      </c>
      <c r="C1576" s="118">
        <f t="shared" ca="1" si="906"/>
        <v>0.39</v>
      </c>
      <c r="D1576" s="119">
        <f t="shared" ca="1" si="911"/>
        <v>0.46799999999999997</v>
      </c>
      <c r="E1576" s="225"/>
      <c r="F1576" s="231"/>
      <c r="G1576" s="172" t="str">
        <f t="shared" ca="1" si="895"/>
        <v/>
      </c>
      <c r="H1576" s="93" t="str">
        <f t="shared" ca="1" si="896"/>
        <v/>
      </c>
      <c r="I1576" s="120">
        <v>1000</v>
      </c>
      <c r="J1576" s="121">
        <f t="shared" si="897"/>
        <v>0.91666666666666674</v>
      </c>
      <c r="K1576" s="69">
        <v>1.1000000000000001</v>
      </c>
      <c r="L1576" s="122">
        <f t="shared" ca="1" si="893"/>
        <v>0.42133333333333339</v>
      </c>
      <c r="M1576" s="123">
        <f t="shared" ca="1" si="894"/>
        <v>421.33333333333337</v>
      </c>
      <c r="N1576" s="124" t="s">
        <v>44</v>
      </c>
      <c r="O1576" s="41" t="s">
        <v>45</v>
      </c>
      <c r="P1576" s="125">
        <f t="shared" si="882"/>
        <v>1.1000000000000001</v>
      </c>
      <c r="Q1576" s="61" t="str">
        <f t="shared" si="883"/>
        <v>1000 + шт - 1,1 руб / шт с НДС</v>
      </c>
      <c r="R1576" s="235"/>
      <c r="S1576" s="239"/>
      <c r="T1576" s="226"/>
      <c r="U1576" s="228"/>
      <c r="V1576" s="222"/>
      <c r="W1576" s="229"/>
      <c r="X1576" s="227"/>
      <c r="Y1576" s="229"/>
      <c r="Z1576" s="236"/>
      <c r="AA1576" s="237"/>
      <c r="AB1576" s="238"/>
      <c r="AC1576" s="223"/>
      <c r="AD1576" s="222"/>
    </row>
    <row r="1577" spans="1:30" x14ac:dyDescent="0.4">
      <c r="A1577" s="232">
        <v>317</v>
      </c>
      <c r="B1577" s="42">
        <v>317</v>
      </c>
      <c r="C1577" s="118">
        <f t="shared" ca="1" si="906"/>
        <v>0.67</v>
      </c>
      <c r="D1577" s="119">
        <f t="shared" ca="1" si="911"/>
        <v>0.80400000000000005</v>
      </c>
      <c r="E1577" s="224" t="str">
        <f ca="1">INDIRECT("'Закуп'!D" &amp; A1577)</f>
        <v>У</v>
      </c>
      <c r="F1577" s="231" t="str">
        <f t="shared" ref="F1577" ca="1" si="915">INDIRECT("'Закуп'!E" &amp; B1577)</f>
        <v xml:space="preserve">207х157х347 </v>
      </c>
      <c r="G1577" s="172" t="str">
        <f t="shared" ca="1" si="895"/>
        <v/>
      </c>
      <c r="H1577" s="93" t="str">
        <f t="shared" ca="1" si="896"/>
        <v/>
      </c>
      <c r="I1577" s="120">
        <v>50</v>
      </c>
      <c r="J1577" s="121">
        <f t="shared" si="897"/>
        <v>1.4166666666666667</v>
      </c>
      <c r="K1577" s="69">
        <v>1.7</v>
      </c>
      <c r="L1577" s="122">
        <f t="shared" ca="1" si="893"/>
        <v>0.59733333333333338</v>
      </c>
      <c r="M1577" s="169">
        <f t="shared" ca="1" si="894"/>
        <v>29.866666666666671</v>
      </c>
      <c r="N1577" s="124" t="s">
        <v>40</v>
      </c>
      <c r="O1577" s="41" t="s">
        <v>45</v>
      </c>
      <c r="P1577" s="125">
        <f t="shared" si="882"/>
        <v>1.7</v>
      </c>
      <c r="Q1577" s="61" t="str">
        <f t="shared" si="883"/>
        <v>50-90 шт - 1,7 руб / шт с НДС</v>
      </c>
      <c r="R1577" s="235" t="str">
        <f ca="1">INDIRECT("'Закуп'!k" &amp; A1577)</f>
        <v>K265</v>
      </c>
      <c r="S1577" s="239">
        <f ca="1">INDIRECT("'Закуп'!o" &amp; A1577)</f>
        <v>11.28</v>
      </c>
      <c r="T1577" s="226" t="str">
        <f ca="1">INDIRECT("'Закуп'!p" &amp; A1577)</f>
        <v>10-14,9 литров</v>
      </c>
      <c r="U1577" s="228" t="str">
        <f ca="1">INDIRECT("'Закуп'!v" &amp; A1577)</f>
        <v/>
      </c>
      <c r="V1577" s="222" t="str">
        <f ca="1">INDIRECT("'Закуп'!w" &amp; A1577)</f>
        <v/>
      </c>
      <c r="W1577" s="229" t="str">
        <f ca="1">INDIRECT("'Закуп'!H" &amp; A1577)</f>
        <v>0201</v>
      </c>
      <c r="X1577" s="227" t="str">
        <f t="shared" ref="X1577" ca="1" si="916">INDIRECT("'Закуп'!g" &amp; A1577)</f>
        <v>Ч</v>
      </c>
      <c r="Y1577" s="229" t="str">
        <f ca="1">INDIRECT("'Закуп'!i" &amp; A1577)</f>
        <v>В</v>
      </c>
      <c r="Z1577" s="236" t="str">
        <f ca="1">INDIRECT("'Закуп'!x" &amp; A1577)</f>
        <v>300-399 мм</v>
      </c>
      <c r="AA1577" s="237" t="str">
        <f ca="1">INDIRECT("'Закуп'!y" &amp; A1577)</f>
        <v>200-299 мм</v>
      </c>
      <c r="AB1577" s="238" t="str">
        <f ca="1">INDIRECT("'Закуп'!z" &amp; A1577)</f>
        <v>100-199 мм</v>
      </c>
      <c r="AC1577" s="223" t="str">
        <f t="shared" ca="1" si="890"/>
        <v xml:space="preserve">207x157x347 </v>
      </c>
      <c r="AD1577" s="222" t="str">
        <f t="shared" ca="1" si="914"/>
        <v>207x157x347  - 207*157*347  мм</v>
      </c>
    </row>
    <row r="1578" spans="1:30" x14ac:dyDescent="0.4">
      <c r="A1578" s="232"/>
      <c r="B1578" s="42">
        <v>317</v>
      </c>
      <c r="C1578" s="118">
        <f t="shared" ca="1" si="906"/>
        <v>0.67</v>
      </c>
      <c r="D1578" s="119">
        <f t="shared" ca="1" si="911"/>
        <v>0.80400000000000005</v>
      </c>
      <c r="E1578" s="225"/>
      <c r="F1578" s="231"/>
      <c r="G1578" s="172" t="str">
        <f t="shared" ca="1" si="895"/>
        <v/>
      </c>
      <c r="H1578" s="93" t="str">
        <f t="shared" ca="1" si="896"/>
        <v/>
      </c>
      <c r="I1578" s="120">
        <v>100</v>
      </c>
      <c r="J1578" s="121">
        <f t="shared" si="897"/>
        <v>1.35</v>
      </c>
      <c r="K1578" s="69">
        <v>1.62</v>
      </c>
      <c r="L1578" s="122">
        <f t="shared" ca="1" si="893"/>
        <v>0.54400000000000004</v>
      </c>
      <c r="M1578" s="169">
        <f t="shared" ca="1" si="894"/>
        <v>54.400000000000006</v>
      </c>
      <c r="N1578" s="124" t="s">
        <v>41</v>
      </c>
      <c r="O1578" s="41" t="s">
        <v>45</v>
      </c>
      <c r="P1578" s="125">
        <f t="shared" si="882"/>
        <v>1.62</v>
      </c>
      <c r="Q1578" s="61" t="str">
        <f t="shared" si="883"/>
        <v>100-290 шт - 1,62 руб / шт с НДС</v>
      </c>
      <c r="R1578" s="235"/>
      <c r="S1578" s="239"/>
      <c r="T1578" s="226"/>
      <c r="U1578" s="228"/>
      <c r="V1578" s="222"/>
      <c r="W1578" s="229"/>
      <c r="X1578" s="227"/>
      <c r="Y1578" s="229"/>
      <c r="Z1578" s="236"/>
      <c r="AA1578" s="237"/>
      <c r="AB1578" s="238"/>
      <c r="AC1578" s="223"/>
      <c r="AD1578" s="222"/>
    </row>
    <row r="1579" spans="1:30" x14ac:dyDescent="0.4">
      <c r="A1579" s="232"/>
      <c r="B1579" s="42">
        <v>317</v>
      </c>
      <c r="C1579" s="118">
        <f t="shared" ca="1" si="906"/>
        <v>0.67</v>
      </c>
      <c r="D1579" s="119">
        <f t="shared" ca="1" si="911"/>
        <v>0.80400000000000005</v>
      </c>
      <c r="E1579" s="225"/>
      <c r="F1579" s="231"/>
      <c r="G1579" s="172" t="str">
        <f t="shared" ca="1" si="895"/>
        <v/>
      </c>
      <c r="H1579" s="93" t="str">
        <f t="shared" ca="1" si="896"/>
        <v/>
      </c>
      <c r="I1579" s="120">
        <v>300</v>
      </c>
      <c r="J1579" s="121">
        <f t="shared" si="897"/>
        <v>1.2916666666666667</v>
      </c>
      <c r="K1579" s="69">
        <v>1.55</v>
      </c>
      <c r="L1579" s="122">
        <f t="shared" ca="1" si="893"/>
        <v>0.49733333333333335</v>
      </c>
      <c r="M1579" s="169">
        <f t="shared" ca="1" si="894"/>
        <v>149.20000000000002</v>
      </c>
      <c r="N1579" s="124" t="s">
        <v>42</v>
      </c>
      <c r="O1579" s="41" t="s">
        <v>45</v>
      </c>
      <c r="P1579" s="125">
        <f t="shared" si="882"/>
        <v>1.55</v>
      </c>
      <c r="Q1579" s="61" t="str">
        <f t="shared" si="883"/>
        <v>300-490 шт - 1,55 руб / шт с НДС</v>
      </c>
      <c r="R1579" s="235"/>
      <c r="S1579" s="239"/>
      <c r="T1579" s="226"/>
      <c r="U1579" s="228"/>
      <c r="V1579" s="222"/>
      <c r="W1579" s="229"/>
      <c r="X1579" s="227"/>
      <c r="Y1579" s="229"/>
      <c r="Z1579" s="236"/>
      <c r="AA1579" s="237"/>
      <c r="AB1579" s="238"/>
      <c r="AC1579" s="223"/>
      <c r="AD1579" s="222"/>
    </row>
    <row r="1580" spans="1:30" x14ac:dyDescent="0.4">
      <c r="A1580" s="232"/>
      <c r="B1580" s="42">
        <v>317</v>
      </c>
      <c r="C1580" s="118">
        <f t="shared" ca="1" si="906"/>
        <v>0.67</v>
      </c>
      <c r="D1580" s="119">
        <f t="shared" ca="1" si="911"/>
        <v>0.80400000000000005</v>
      </c>
      <c r="E1580" s="225"/>
      <c r="F1580" s="231"/>
      <c r="G1580" s="172" t="str">
        <f t="shared" ca="1" si="895"/>
        <v/>
      </c>
      <c r="H1580" s="93" t="str">
        <f t="shared" ca="1" si="896"/>
        <v/>
      </c>
      <c r="I1580" s="120">
        <v>500</v>
      </c>
      <c r="J1580" s="121">
        <f t="shared" si="897"/>
        <v>1.2416666666666667</v>
      </c>
      <c r="K1580" s="69">
        <v>1.49</v>
      </c>
      <c r="L1580" s="122">
        <f t="shared" ca="1" si="893"/>
        <v>0.45733333333333331</v>
      </c>
      <c r="M1580" s="169">
        <f t="shared" ca="1" si="894"/>
        <v>228.66666666666666</v>
      </c>
      <c r="N1580" s="124" t="s">
        <v>43</v>
      </c>
      <c r="O1580" s="41" t="s">
        <v>45</v>
      </c>
      <c r="P1580" s="125">
        <f t="shared" si="882"/>
        <v>1.49</v>
      </c>
      <c r="Q1580" s="61" t="str">
        <f t="shared" si="883"/>
        <v>500-990 шт - 1,49 руб / шт с НДС</v>
      </c>
      <c r="R1580" s="235"/>
      <c r="S1580" s="239"/>
      <c r="T1580" s="226"/>
      <c r="U1580" s="228"/>
      <c r="V1580" s="222"/>
      <c r="W1580" s="229"/>
      <c r="X1580" s="227"/>
      <c r="Y1580" s="229"/>
      <c r="Z1580" s="236"/>
      <c r="AA1580" s="237"/>
      <c r="AB1580" s="238"/>
      <c r="AC1580" s="223"/>
      <c r="AD1580" s="222"/>
    </row>
    <row r="1581" spans="1:30" x14ac:dyDescent="0.4">
      <c r="A1581" s="232"/>
      <c r="B1581" s="42">
        <v>317</v>
      </c>
      <c r="C1581" s="118">
        <f t="shared" ca="1" si="906"/>
        <v>0.67</v>
      </c>
      <c r="D1581" s="119">
        <f t="shared" ca="1" si="911"/>
        <v>0.80400000000000005</v>
      </c>
      <c r="E1581" s="225"/>
      <c r="F1581" s="231"/>
      <c r="G1581" s="172" t="str">
        <f t="shared" ca="1" si="895"/>
        <v/>
      </c>
      <c r="H1581" s="93" t="str">
        <f t="shared" ca="1" si="896"/>
        <v/>
      </c>
      <c r="I1581" s="120">
        <v>1000</v>
      </c>
      <c r="J1581" s="121">
        <f t="shared" si="897"/>
        <v>1.1000000000000001</v>
      </c>
      <c r="K1581" s="69">
        <v>1.32</v>
      </c>
      <c r="L1581" s="122">
        <f t="shared" ca="1" si="893"/>
        <v>0.34400000000000003</v>
      </c>
      <c r="M1581" s="169">
        <f t="shared" ca="1" si="894"/>
        <v>344</v>
      </c>
      <c r="N1581" s="124" t="s">
        <v>44</v>
      </c>
      <c r="O1581" s="41" t="s">
        <v>45</v>
      </c>
      <c r="P1581" s="125">
        <f t="shared" si="882"/>
        <v>1.32</v>
      </c>
      <c r="Q1581" s="61" t="str">
        <f t="shared" si="883"/>
        <v>1000 + шт - 1,32 руб / шт с НДС</v>
      </c>
      <c r="R1581" s="235"/>
      <c r="S1581" s="239"/>
      <c r="T1581" s="226"/>
      <c r="U1581" s="228"/>
      <c r="V1581" s="222"/>
      <c r="W1581" s="229"/>
      <c r="X1581" s="227"/>
      <c r="Y1581" s="229"/>
      <c r="Z1581" s="236"/>
      <c r="AA1581" s="237"/>
      <c r="AB1581" s="238"/>
      <c r="AC1581" s="223"/>
      <c r="AD1581" s="222"/>
    </row>
    <row r="1582" spans="1:30" x14ac:dyDescent="0.4">
      <c r="A1582" s="232">
        <v>318</v>
      </c>
      <c r="B1582" s="42">
        <v>318</v>
      </c>
      <c r="C1582" s="118">
        <f t="shared" ca="1" si="906"/>
        <v>0.89</v>
      </c>
      <c r="D1582" s="119">
        <f t="shared" ca="1" si="911"/>
        <v>1.0680000000000001</v>
      </c>
      <c r="E1582" s="224" t="str">
        <f ca="1">INDIRECT("'Закуп'!D" &amp; A1582)</f>
        <v>У</v>
      </c>
      <c r="F1582" s="231" t="str">
        <f t="shared" ref="F1582" ca="1" si="917">INDIRECT("'Закуп'!E" &amp; B1582)</f>
        <v xml:space="preserve">327х157х347 </v>
      </c>
      <c r="G1582" s="172" t="str">
        <f t="shared" ca="1" si="895"/>
        <v/>
      </c>
      <c r="H1582" s="93" t="str">
        <f t="shared" ca="1" si="896"/>
        <v/>
      </c>
      <c r="I1582" s="120">
        <v>50</v>
      </c>
      <c r="J1582" s="121">
        <f t="shared" si="897"/>
        <v>1.5416666666666667</v>
      </c>
      <c r="K1582" s="170">
        <v>1.85</v>
      </c>
      <c r="L1582" s="122">
        <f t="shared" ca="1" si="893"/>
        <v>0.52133333333333343</v>
      </c>
      <c r="M1582" s="123">
        <f t="shared" ca="1" si="894"/>
        <v>26.06666666666667</v>
      </c>
      <c r="N1582" s="124" t="s">
        <v>40</v>
      </c>
      <c r="O1582" s="41" t="s">
        <v>45</v>
      </c>
      <c r="P1582" s="125">
        <f t="shared" si="882"/>
        <v>1.85</v>
      </c>
      <c r="Q1582" s="61" t="str">
        <f t="shared" si="883"/>
        <v>50-90 шт - 1,85 руб / шт с НДС</v>
      </c>
      <c r="R1582" s="235" t="str">
        <f ca="1">INDIRECT("'Закуп'!k" &amp; A1582)</f>
        <v>K266</v>
      </c>
      <c r="S1582" s="239">
        <f ca="1">INDIRECT("'Закуп'!o" &amp; A1582)</f>
        <v>17.809999999999999</v>
      </c>
      <c r="T1582" s="226" t="str">
        <f ca="1">INDIRECT("'Закуп'!p" &amp; A1582)</f>
        <v>15-19,9 литров</v>
      </c>
      <c r="U1582" s="228" t="str">
        <f ca="1">INDIRECT("'Закуп'!v" &amp; A1582)</f>
        <v/>
      </c>
      <c r="V1582" s="222" t="str">
        <f ca="1">INDIRECT("'Закуп'!w" &amp; A1582)</f>
        <v>Плоские</v>
      </c>
      <c r="W1582" s="229" t="str">
        <f ca="1">INDIRECT("'Закуп'!H" &amp; A1582)</f>
        <v>0201</v>
      </c>
      <c r="X1582" s="227" t="str">
        <f t="shared" ref="X1582" ca="1" si="918">INDIRECT("'Закуп'!g" &amp; A1582)</f>
        <v>Ч</v>
      </c>
      <c r="Y1582" s="229" t="str">
        <f ca="1">INDIRECT("'Закуп'!i" &amp; A1582)</f>
        <v>В</v>
      </c>
      <c r="Z1582" s="236" t="str">
        <f ca="1">INDIRECT("'Закуп'!x" &amp; A1582)</f>
        <v>300-399 мм</v>
      </c>
      <c r="AA1582" s="237" t="str">
        <f ca="1">INDIRECT("'Закуп'!y" &amp; A1582)</f>
        <v>300-399 мм</v>
      </c>
      <c r="AB1582" s="238" t="str">
        <f ca="1">INDIRECT("'Закуп'!z" &amp; A1582)</f>
        <v>100-199 мм</v>
      </c>
      <c r="AC1582" s="223" t="str">
        <f t="shared" ca="1" si="890"/>
        <v xml:space="preserve">327x157x347 </v>
      </c>
      <c r="AD1582" s="222" t="str">
        <f t="shared" ca="1" si="914"/>
        <v>327x157x347  - 327*157*347  мм</v>
      </c>
    </row>
    <row r="1583" spans="1:30" x14ac:dyDescent="0.4">
      <c r="A1583" s="232"/>
      <c r="B1583" s="42">
        <v>318</v>
      </c>
      <c r="C1583" s="118">
        <f t="shared" ca="1" si="906"/>
        <v>0.89</v>
      </c>
      <c r="D1583" s="119">
        <f t="shared" ca="1" si="911"/>
        <v>1.0680000000000001</v>
      </c>
      <c r="E1583" s="225"/>
      <c r="F1583" s="231"/>
      <c r="G1583" s="172" t="str">
        <f t="shared" ca="1" si="895"/>
        <v/>
      </c>
      <c r="H1583" s="93" t="str">
        <f t="shared" ca="1" si="896"/>
        <v/>
      </c>
      <c r="I1583" s="120">
        <v>100</v>
      </c>
      <c r="J1583" s="121">
        <f t="shared" si="897"/>
        <v>1.4750000000000001</v>
      </c>
      <c r="K1583" s="170">
        <v>1.77</v>
      </c>
      <c r="L1583" s="122">
        <f t="shared" ca="1" si="893"/>
        <v>0.46800000000000008</v>
      </c>
      <c r="M1583" s="123">
        <f t="shared" ca="1" si="894"/>
        <v>46.800000000000011</v>
      </c>
      <c r="N1583" s="124" t="s">
        <v>41</v>
      </c>
      <c r="O1583" s="41" t="s">
        <v>45</v>
      </c>
      <c r="P1583" s="125">
        <f t="shared" ref="P1583:P1646" si="919">ROUND(K1583,2)</f>
        <v>1.77</v>
      </c>
      <c r="Q1583" s="61" t="str">
        <f t="shared" si="883"/>
        <v>100-290 шт - 1,77 руб / шт с НДС</v>
      </c>
      <c r="R1583" s="235"/>
      <c r="S1583" s="239"/>
      <c r="T1583" s="226"/>
      <c r="U1583" s="228"/>
      <c r="V1583" s="222"/>
      <c r="W1583" s="229"/>
      <c r="X1583" s="227"/>
      <c r="Y1583" s="229"/>
      <c r="Z1583" s="236"/>
      <c r="AA1583" s="237"/>
      <c r="AB1583" s="238"/>
      <c r="AC1583" s="223"/>
      <c r="AD1583" s="222"/>
    </row>
    <row r="1584" spans="1:30" x14ac:dyDescent="0.4">
      <c r="A1584" s="232"/>
      <c r="B1584" s="42">
        <v>318</v>
      </c>
      <c r="C1584" s="118">
        <f t="shared" ca="1" si="906"/>
        <v>0.89</v>
      </c>
      <c r="D1584" s="119">
        <f t="shared" ca="1" si="911"/>
        <v>1.0680000000000001</v>
      </c>
      <c r="E1584" s="225"/>
      <c r="F1584" s="231"/>
      <c r="G1584" s="172" t="str">
        <f t="shared" ca="1" si="895"/>
        <v/>
      </c>
      <c r="H1584" s="93" t="str">
        <f t="shared" ca="1" si="896"/>
        <v/>
      </c>
      <c r="I1584" s="120">
        <v>300</v>
      </c>
      <c r="J1584" s="121">
        <f t="shared" si="897"/>
        <v>1.4083333333333334</v>
      </c>
      <c r="K1584" s="170">
        <v>1.69</v>
      </c>
      <c r="L1584" s="122">
        <f t="shared" ca="1" si="893"/>
        <v>0.41466666666666674</v>
      </c>
      <c r="M1584" s="123">
        <f t="shared" ca="1" si="894"/>
        <v>124.40000000000002</v>
      </c>
      <c r="N1584" s="124" t="s">
        <v>42</v>
      </c>
      <c r="O1584" s="41" t="s">
        <v>45</v>
      </c>
      <c r="P1584" s="125">
        <f t="shared" si="919"/>
        <v>1.69</v>
      </c>
      <c r="Q1584" s="61" t="str">
        <f t="shared" ref="Q1584:Q1647" si="920">CONCATENATE(N1584,P1584,O1584,)</f>
        <v>300-490 шт - 1,69 руб / шт с НДС</v>
      </c>
      <c r="R1584" s="235"/>
      <c r="S1584" s="239"/>
      <c r="T1584" s="226"/>
      <c r="U1584" s="228"/>
      <c r="V1584" s="222"/>
      <c r="W1584" s="229"/>
      <c r="X1584" s="227"/>
      <c r="Y1584" s="229"/>
      <c r="Z1584" s="236"/>
      <c r="AA1584" s="237"/>
      <c r="AB1584" s="238"/>
      <c r="AC1584" s="223"/>
      <c r="AD1584" s="222"/>
    </row>
    <row r="1585" spans="1:30" x14ac:dyDescent="0.4">
      <c r="A1585" s="232"/>
      <c r="B1585" s="42">
        <v>318</v>
      </c>
      <c r="C1585" s="118">
        <f t="shared" ca="1" si="906"/>
        <v>0.89</v>
      </c>
      <c r="D1585" s="119">
        <f t="shared" ca="1" si="911"/>
        <v>1.0680000000000001</v>
      </c>
      <c r="E1585" s="225"/>
      <c r="F1585" s="231"/>
      <c r="G1585" s="172" t="str">
        <f t="shared" ca="1" si="895"/>
        <v/>
      </c>
      <c r="H1585" s="93" t="str">
        <f t="shared" ca="1" si="896"/>
        <v/>
      </c>
      <c r="I1585" s="120">
        <v>500</v>
      </c>
      <c r="J1585" s="121">
        <f t="shared" si="897"/>
        <v>1.3416666666666668</v>
      </c>
      <c r="K1585" s="170">
        <v>1.61</v>
      </c>
      <c r="L1585" s="122">
        <f t="shared" ca="1" si="893"/>
        <v>0.3613333333333334</v>
      </c>
      <c r="M1585" s="123">
        <f t="shared" ca="1" si="894"/>
        <v>180.66666666666669</v>
      </c>
      <c r="N1585" s="124" t="s">
        <v>43</v>
      </c>
      <c r="O1585" s="41" t="s">
        <v>45</v>
      </c>
      <c r="P1585" s="125">
        <f t="shared" si="919"/>
        <v>1.61</v>
      </c>
      <c r="Q1585" s="61" t="str">
        <f t="shared" si="920"/>
        <v>500-990 шт - 1,61 руб / шт с НДС</v>
      </c>
      <c r="R1585" s="235"/>
      <c r="S1585" s="239"/>
      <c r="T1585" s="226"/>
      <c r="U1585" s="228"/>
      <c r="V1585" s="222"/>
      <c r="W1585" s="229"/>
      <c r="X1585" s="227"/>
      <c r="Y1585" s="229"/>
      <c r="Z1585" s="236"/>
      <c r="AA1585" s="237"/>
      <c r="AB1585" s="238"/>
      <c r="AC1585" s="223"/>
      <c r="AD1585" s="222"/>
    </row>
    <row r="1586" spans="1:30" x14ac:dyDescent="0.4">
      <c r="A1586" s="232"/>
      <c r="B1586" s="42">
        <v>318</v>
      </c>
      <c r="C1586" s="118">
        <f t="shared" ca="1" si="906"/>
        <v>0.89</v>
      </c>
      <c r="D1586" s="119">
        <f t="shared" ca="1" si="911"/>
        <v>1.0680000000000001</v>
      </c>
      <c r="E1586" s="225"/>
      <c r="F1586" s="231"/>
      <c r="G1586" s="172" t="str">
        <f t="shared" ca="1" si="895"/>
        <v/>
      </c>
      <c r="H1586" s="93" t="str">
        <f t="shared" ca="1" si="896"/>
        <v/>
      </c>
      <c r="I1586" s="120">
        <v>1000</v>
      </c>
      <c r="J1586" s="121">
        <f t="shared" si="897"/>
        <v>1.2750000000000001</v>
      </c>
      <c r="K1586" s="170">
        <v>1.53</v>
      </c>
      <c r="L1586" s="122">
        <f t="shared" ca="1" si="893"/>
        <v>0.30800000000000011</v>
      </c>
      <c r="M1586" s="123">
        <f t="shared" ca="1" si="894"/>
        <v>308.00000000000011</v>
      </c>
      <c r="N1586" s="124" t="s">
        <v>44</v>
      </c>
      <c r="O1586" s="41" t="s">
        <v>45</v>
      </c>
      <c r="P1586" s="125">
        <f t="shared" si="919"/>
        <v>1.53</v>
      </c>
      <c r="Q1586" s="61" t="str">
        <f t="shared" si="920"/>
        <v>1000 + шт - 1,53 руб / шт с НДС</v>
      </c>
      <c r="R1586" s="235"/>
      <c r="S1586" s="239"/>
      <c r="T1586" s="226"/>
      <c r="U1586" s="228"/>
      <c r="V1586" s="222"/>
      <c r="W1586" s="229"/>
      <c r="X1586" s="227"/>
      <c r="Y1586" s="229"/>
      <c r="Z1586" s="236"/>
      <c r="AA1586" s="237"/>
      <c r="AB1586" s="238"/>
      <c r="AC1586" s="223"/>
      <c r="AD1586" s="222"/>
    </row>
    <row r="1587" spans="1:30" x14ac:dyDescent="0.4">
      <c r="A1587" s="232">
        <v>319</v>
      </c>
      <c r="B1587" s="42">
        <v>319</v>
      </c>
      <c r="C1587" s="118">
        <f t="shared" ca="1" si="906"/>
        <v>0.24</v>
      </c>
      <c r="D1587" s="119">
        <f t="shared" ca="1" si="911"/>
        <v>0.28799999999999998</v>
      </c>
      <c r="E1587" s="224" t="str">
        <f ca="1">INDIRECT("'Закуп'!D" &amp; A1587)</f>
        <v>У</v>
      </c>
      <c r="F1587" s="231" t="str">
        <f t="shared" ref="F1587" ca="1" si="921">INDIRECT("'Закуп'!E" &amp; B1587)</f>
        <v xml:space="preserve">127х67х257 </v>
      </c>
      <c r="G1587" s="172" t="str">
        <f t="shared" ca="1" si="895"/>
        <v/>
      </c>
      <c r="H1587" s="93" t="str">
        <f t="shared" ca="1" si="896"/>
        <v/>
      </c>
      <c r="I1587" s="120">
        <v>50</v>
      </c>
      <c r="J1587" s="121">
        <f t="shared" si="897"/>
        <v>1.1666666666666667</v>
      </c>
      <c r="K1587" s="170">
        <v>1.4</v>
      </c>
      <c r="L1587" s="122">
        <f t="shared" ca="1" si="893"/>
        <v>0.7413333333333334</v>
      </c>
      <c r="M1587" s="123">
        <f t="shared" ca="1" si="894"/>
        <v>37.06666666666667</v>
      </c>
      <c r="N1587" s="124" t="s">
        <v>40</v>
      </c>
      <c r="O1587" s="41" t="s">
        <v>45</v>
      </c>
      <c r="P1587" s="125">
        <f t="shared" si="919"/>
        <v>1.4</v>
      </c>
      <c r="Q1587" s="61" t="str">
        <f t="shared" si="920"/>
        <v>50-90 шт - 1,4 руб / шт с НДС</v>
      </c>
      <c r="R1587" s="235" t="str">
        <f ca="1">INDIRECT("'Закуп'!k" &amp; A1587)</f>
        <v>K267</v>
      </c>
      <c r="S1587" s="239">
        <f ca="1">INDIRECT("'Закуп'!o" &amp; A1587)</f>
        <v>2.19</v>
      </c>
      <c r="T1587" s="226" t="str">
        <f ca="1">INDIRECT("'Закуп'!p" &amp; A1587)</f>
        <v>2-2,9 литра</v>
      </c>
      <c r="U1587" s="228" t="str">
        <f ca="1">INDIRECT("'Закуп'!v" &amp; A1587)</f>
        <v>Длинные</v>
      </c>
      <c r="V1587" s="222" t="str">
        <f ca="1">INDIRECT("'Закуп'!w" &amp; A1587)</f>
        <v/>
      </c>
      <c r="W1587" s="229" t="str">
        <f ca="1">INDIRECT("'Закуп'!H" &amp; A1587)</f>
        <v>0201</v>
      </c>
      <c r="X1587" s="227" t="str">
        <f t="shared" ref="X1587" ca="1" si="922">INDIRECT("'Закуп'!g" &amp; A1587)</f>
        <v>Ч</v>
      </c>
      <c r="Y1587" s="229" t="str">
        <f ca="1">INDIRECT("'Закуп'!i" &amp; A1587)</f>
        <v>В</v>
      </c>
      <c r="Z1587" s="236" t="str">
        <f ca="1">INDIRECT("'Закуп'!x" &amp; A1587)</f>
        <v>200-299 мм</v>
      </c>
      <c r="AA1587" s="237" t="str">
        <f ca="1">INDIRECT("'Закуп'!y" &amp; A1587)</f>
        <v>100-199 мм</v>
      </c>
      <c r="AB1587" s="238" t="str">
        <f ca="1">INDIRECT("'Закуп'!z" &amp; A1587)</f>
        <v>10-99 мм</v>
      </c>
      <c r="AC1587" s="223" t="str">
        <f t="shared" ca="1" si="890"/>
        <v xml:space="preserve">127x67x257 </v>
      </c>
      <c r="AD1587" s="222" t="str">
        <f t="shared" ca="1" si="914"/>
        <v>127x67x257  - 127*67*257  мм</v>
      </c>
    </row>
    <row r="1588" spans="1:30" x14ac:dyDescent="0.4">
      <c r="A1588" s="232"/>
      <c r="B1588" s="42">
        <v>319</v>
      </c>
      <c r="C1588" s="118">
        <f t="shared" ca="1" si="906"/>
        <v>0.24</v>
      </c>
      <c r="D1588" s="119">
        <f t="shared" ca="1" si="911"/>
        <v>0.28799999999999998</v>
      </c>
      <c r="E1588" s="225"/>
      <c r="F1588" s="231"/>
      <c r="G1588" s="172" t="str">
        <f t="shared" ca="1" si="895"/>
        <v/>
      </c>
      <c r="H1588" s="93" t="str">
        <f t="shared" ca="1" si="896"/>
        <v/>
      </c>
      <c r="I1588" s="120">
        <v>100</v>
      </c>
      <c r="J1588" s="121">
        <f t="shared" si="897"/>
        <v>1.1083333333333334</v>
      </c>
      <c r="K1588" s="170">
        <v>1.33</v>
      </c>
      <c r="L1588" s="122">
        <f t="shared" ca="1" si="893"/>
        <v>0.69466666666666677</v>
      </c>
      <c r="M1588" s="123">
        <f t="shared" ca="1" si="894"/>
        <v>69.466666666666683</v>
      </c>
      <c r="N1588" s="124" t="s">
        <v>41</v>
      </c>
      <c r="O1588" s="41" t="s">
        <v>45</v>
      </c>
      <c r="P1588" s="125">
        <f t="shared" si="919"/>
        <v>1.33</v>
      </c>
      <c r="Q1588" s="61" t="str">
        <f t="shared" si="920"/>
        <v>100-290 шт - 1,33 руб / шт с НДС</v>
      </c>
      <c r="R1588" s="235"/>
      <c r="S1588" s="239"/>
      <c r="T1588" s="226"/>
      <c r="U1588" s="228"/>
      <c r="V1588" s="222"/>
      <c r="W1588" s="229"/>
      <c r="X1588" s="227"/>
      <c r="Y1588" s="229"/>
      <c r="Z1588" s="236"/>
      <c r="AA1588" s="237"/>
      <c r="AB1588" s="238"/>
      <c r="AC1588" s="223"/>
      <c r="AD1588" s="222"/>
    </row>
    <row r="1589" spans="1:30" x14ac:dyDescent="0.4">
      <c r="A1589" s="232"/>
      <c r="B1589" s="42">
        <v>319</v>
      </c>
      <c r="C1589" s="118">
        <f t="shared" ca="1" si="906"/>
        <v>0.24</v>
      </c>
      <c r="D1589" s="119">
        <f t="shared" ca="1" si="911"/>
        <v>0.28799999999999998</v>
      </c>
      <c r="E1589" s="225"/>
      <c r="F1589" s="231"/>
      <c r="G1589" s="172" t="str">
        <f t="shared" ca="1" si="895"/>
        <v/>
      </c>
      <c r="H1589" s="93" t="str">
        <f t="shared" ca="1" si="896"/>
        <v/>
      </c>
      <c r="I1589" s="120">
        <v>300</v>
      </c>
      <c r="J1589" s="121">
        <f t="shared" si="897"/>
        <v>1.0416666666666667</v>
      </c>
      <c r="K1589" s="170">
        <v>1.25</v>
      </c>
      <c r="L1589" s="122">
        <f t="shared" ca="1" si="893"/>
        <v>0.64133333333333342</v>
      </c>
      <c r="M1589" s="123">
        <f t="shared" ca="1" si="894"/>
        <v>192.40000000000003</v>
      </c>
      <c r="N1589" s="124" t="s">
        <v>42</v>
      </c>
      <c r="O1589" s="41" t="s">
        <v>45</v>
      </c>
      <c r="P1589" s="125">
        <f t="shared" si="919"/>
        <v>1.25</v>
      </c>
      <c r="Q1589" s="61" t="str">
        <f t="shared" si="920"/>
        <v>300-490 шт - 1,25 руб / шт с НДС</v>
      </c>
      <c r="R1589" s="235"/>
      <c r="S1589" s="239"/>
      <c r="T1589" s="226"/>
      <c r="U1589" s="228"/>
      <c r="V1589" s="222"/>
      <c r="W1589" s="229"/>
      <c r="X1589" s="227"/>
      <c r="Y1589" s="229"/>
      <c r="Z1589" s="236"/>
      <c r="AA1589" s="237"/>
      <c r="AB1589" s="238"/>
      <c r="AC1589" s="223"/>
      <c r="AD1589" s="222"/>
    </row>
    <row r="1590" spans="1:30" x14ac:dyDescent="0.4">
      <c r="A1590" s="232"/>
      <c r="B1590" s="42">
        <v>319</v>
      </c>
      <c r="C1590" s="118">
        <f t="shared" ca="1" si="906"/>
        <v>0.24</v>
      </c>
      <c r="D1590" s="119">
        <f t="shared" ca="1" si="911"/>
        <v>0.28799999999999998</v>
      </c>
      <c r="E1590" s="225"/>
      <c r="F1590" s="231"/>
      <c r="G1590" s="172" t="str">
        <f t="shared" ca="1" si="895"/>
        <v/>
      </c>
      <c r="H1590" s="93" t="str">
        <f t="shared" ca="1" si="896"/>
        <v/>
      </c>
      <c r="I1590" s="120">
        <v>500</v>
      </c>
      <c r="J1590" s="121">
        <f t="shared" si="897"/>
        <v>0.95833333333333326</v>
      </c>
      <c r="K1590" s="170">
        <v>1.1499999999999999</v>
      </c>
      <c r="L1590" s="122">
        <f t="shared" ca="1" si="893"/>
        <v>0.57466666666666666</v>
      </c>
      <c r="M1590" s="123">
        <f t="shared" ca="1" si="894"/>
        <v>287.33333333333331</v>
      </c>
      <c r="N1590" s="124" t="s">
        <v>43</v>
      </c>
      <c r="O1590" s="41" t="s">
        <v>45</v>
      </c>
      <c r="P1590" s="125">
        <f t="shared" si="919"/>
        <v>1.1499999999999999</v>
      </c>
      <c r="Q1590" s="61" t="str">
        <f t="shared" si="920"/>
        <v>500-990 шт - 1,15 руб / шт с НДС</v>
      </c>
      <c r="R1590" s="235"/>
      <c r="S1590" s="239"/>
      <c r="T1590" s="226"/>
      <c r="U1590" s="228"/>
      <c r="V1590" s="222"/>
      <c r="W1590" s="229"/>
      <c r="X1590" s="227"/>
      <c r="Y1590" s="229"/>
      <c r="Z1590" s="236"/>
      <c r="AA1590" s="237"/>
      <c r="AB1590" s="238"/>
      <c r="AC1590" s="223"/>
      <c r="AD1590" s="222"/>
    </row>
    <row r="1591" spans="1:30" x14ac:dyDescent="0.4">
      <c r="A1591" s="232"/>
      <c r="B1591" s="42">
        <v>319</v>
      </c>
      <c r="C1591" s="118">
        <f t="shared" ca="1" si="906"/>
        <v>0.24</v>
      </c>
      <c r="D1591" s="119">
        <f t="shared" ca="1" si="911"/>
        <v>0.28799999999999998</v>
      </c>
      <c r="E1591" s="225"/>
      <c r="F1591" s="231"/>
      <c r="G1591" s="172" t="str">
        <f t="shared" ca="1" si="895"/>
        <v/>
      </c>
      <c r="H1591" s="93" t="str">
        <f t="shared" ca="1" si="896"/>
        <v/>
      </c>
      <c r="I1591" s="120">
        <v>1000</v>
      </c>
      <c r="J1591" s="121">
        <f t="shared" si="897"/>
        <v>0.83333333333333337</v>
      </c>
      <c r="K1591" s="170">
        <v>1</v>
      </c>
      <c r="L1591" s="122">
        <f t="shared" ca="1" si="893"/>
        <v>0.47466666666666668</v>
      </c>
      <c r="M1591" s="123">
        <f t="shared" ca="1" si="894"/>
        <v>474.66666666666669</v>
      </c>
      <c r="N1591" s="124" t="s">
        <v>44</v>
      </c>
      <c r="O1591" s="41" t="s">
        <v>45</v>
      </c>
      <c r="P1591" s="125">
        <f t="shared" si="919"/>
        <v>1</v>
      </c>
      <c r="Q1591" s="61" t="str">
        <f t="shared" si="920"/>
        <v>1000 + шт - 1 руб / шт с НДС</v>
      </c>
      <c r="R1591" s="235"/>
      <c r="S1591" s="239"/>
      <c r="T1591" s="226"/>
      <c r="U1591" s="228"/>
      <c r="V1591" s="222"/>
      <c r="W1591" s="229"/>
      <c r="X1591" s="227"/>
      <c r="Y1591" s="229"/>
      <c r="Z1591" s="236"/>
      <c r="AA1591" s="237"/>
      <c r="AB1591" s="238"/>
      <c r="AC1591" s="223"/>
      <c r="AD1591" s="222"/>
    </row>
    <row r="1592" spans="1:30" x14ac:dyDescent="0.4">
      <c r="A1592" s="232">
        <v>320</v>
      </c>
      <c r="B1592" s="42">
        <v>320</v>
      </c>
      <c r="C1592" s="118">
        <f t="shared" ca="1" si="906"/>
        <v>0.5</v>
      </c>
      <c r="D1592" s="119">
        <f t="shared" ca="1" si="911"/>
        <v>0.6</v>
      </c>
      <c r="E1592" s="224" t="str">
        <f ca="1">INDIRECT("'Закуп'!D" &amp; A1592)</f>
        <v>У</v>
      </c>
      <c r="F1592" s="231" t="str">
        <f t="shared" ref="F1592" ca="1" si="923">INDIRECT("'Закуп'!E" &amp; B1592)</f>
        <v xml:space="preserve">227х127х257 </v>
      </c>
      <c r="G1592" s="172" t="str">
        <f t="shared" ca="1" si="895"/>
        <v/>
      </c>
      <c r="H1592" s="93" t="str">
        <f t="shared" ca="1" si="896"/>
        <v/>
      </c>
      <c r="I1592" s="120">
        <v>50</v>
      </c>
      <c r="J1592" s="121">
        <f t="shared" si="897"/>
        <v>1.3333333333333335</v>
      </c>
      <c r="K1592" s="69">
        <v>1.6</v>
      </c>
      <c r="L1592" s="122">
        <f t="shared" ca="1" si="893"/>
        <v>0.66666666666666674</v>
      </c>
      <c r="M1592" s="123">
        <f t="shared" ca="1" si="894"/>
        <v>33.333333333333336</v>
      </c>
      <c r="N1592" s="124" t="s">
        <v>40</v>
      </c>
      <c r="O1592" s="41" t="s">
        <v>45</v>
      </c>
      <c r="P1592" s="125">
        <f t="shared" si="919"/>
        <v>1.6</v>
      </c>
      <c r="Q1592" s="61" t="str">
        <f t="shared" si="920"/>
        <v>50-90 шт - 1,6 руб / шт с НДС</v>
      </c>
      <c r="R1592" s="235" t="str">
        <f ca="1">INDIRECT("'Закуп'!k" &amp; A1592)</f>
        <v>K268</v>
      </c>
      <c r="S1592" s="239">
        <f ca="1">INDIRECT("'Закуп'!o" &amp; A1592)</f>
        <v>7.41</v>
      </c>
      <c r="T1592" s="234" t="str">
        <f ca="1">INDIRECT("'Закуп'!p" &amp; A1592)</f>
        <v>6-7,9 литра</v>
      </c>
      <c r="U1592" s="228" t="str">
        <f ca="1">INDIRECT("'Закуп'!v" &amp; A1592)</f>
        <v/>
      </c>
      <c r="V1592" s="222" t="str">
        <f ca="1">INDIRECT("'Закуп'!w" &amp; A1592)</f>
        <v/>
      </c>
      <c r="W1592" s="229" t="str">
        <f ca="1">INDIRECT("'Закуп'!H" &amp; A1592)</f>
        <v>0201</v>
      </c>
      <c r="X1592" s="227" t="str">
        <f t="shared" ref="X1592" ca="1" si="924">INDIRECT("'Закуп'!g" &amp; A1592)</f>
        <v>Ч</v>
      </c>
      <c r="Y1592" s="229" t="str">
        <f ca="1">INDIRECT("'Закуп'!i" &amp; A1592)</f>
        <v>В</v>
      </c>
      <c r="Z1592" s="236" t="str">
        <f ca="1">INDIRECT("'Закуп'!x" &amp; A1592)</f>
        <v>200-299 мм</v>
      </c>
      <c r="AA1592" s="237" t="str">
        <f ca="1">INDIRECT("'Закуп'!y" &amp; A1592)</f>
        <v>200-299 мм</v>
      </c>
      <c r="AB1592" s="238" t="str">
        <f ca="1">INDIRECT("'Закуп'!z" &amp; A1592)</f>
        <v>100-199 мм</v>
      </c>
      <c r="AC1592" s="223" t="str">
        <f t="shared" ca="1" si="890"/>
        <v xml:space="preserve">227x127x257 </v>
      </c>
      <c r="AD1592" s="222" t="str">
        <f t="shared" ca="1" si="914"/>
        <v>227x127x257  - 227*127*257  мм</v>
      </c>
    </row>
    <row r="1593" spans="1:30" x14ac:dyDescent="0.4">
      <c r="A1593" s="232"/>
      <c r="B1593" s="42">
        <v>320</v>
      </c>
      <c r="C1593" s="118">
        <f t="shared" ca="1" si="906"/>
        <v>0.5</v>
      </c>
      <c r="D1593" s="119">
        <f t="shared" ca="1" si="911"/>
        <v>0.6</v>
      </c>
      <c r="E1593" s="225"/>
      <c r="F1593" s="231"/>
      <c r="G1593" s="172" t="str">
        <f t="shared" ca="1" si="895"/>
        <v/>
      </c>
      <c r="H1593" s="93" t="str">
        <f t="shared" ca="1" si="896"/>
        <v/>
      </c>
      <c r="I1593" s="120">
        <v>100</v>
      </c>
      <c r="J1593" s="121">
        <f t="shared" si="897"/>
        <v>1.2750000000000001</v>
      </c>
      <c r="K1593" s="69">
        <v>1.53</v>
      </c>
      <c r="L1593" s="122">
        <f t="shared" ca="1" si="893"/>
        <v>0.62000000000000011</v>
      </c>
      <c r="M1593" s="123">
        <f t="shared" ca="1" si="894"/>
        <v>62.000000000000014</v>
      </c>
      <c r="N1593" s="124" t="s">
        <v>41</v>
      </c>
      <c r="O1593" s="41" t="s">
        <v>45</v>
      </c>
      <c r="P1593" s="125">
        <f t="shared" si="919"/>
        <v>1.53</v>
      </c>
      <c r="Q1593" s="61" t="str">
        <f t="shared" si="920"/>
        <v>100-290 шт - 1,53 руб / шт с НДС</v>
      </c>
      <c r="R1593" s="235"/>
      <c r="S1593" s="239"/>
      <c r="T1593" s="234"/>
      <c r="U1593" s="228"/>
      <c r="V1593" s="222"/>
      <c r="W1593" s="229"/>
      <c r="X1593" s="227"/>
      <c r="Y1593" s="229"/>
      <c r="Z1593" s="236"/>
      <c r="AA1593" s="237"/>
      <c r="AB1593" s="238"/>
      <c r="AC1593" s="223"/>
      <c r="AD1593" s="222"/>
    </row>
    <row r="1594" spans="1:30" x14ac:dyDescent="0.4">
      <c r="A1594" s="232"/>
      <c r="B1594" s="42">
        <v>320</v>
      </c>
      <c r="C1594" s="118">
        <f t="shared" ca="1" si="906"/>
        <v>0.5</v>
      </c>
      <c r="D1594" s="119">
        <f t="shared" ca="1" si="911"/>
        <v>0.6</v>
      </c>
      <c r="E1594" s="225"/>
      <c r="F1594" s="231"/>
      <c r="G1594" s="172" t="str">
        <f t="shared" ca="1" si="895"/>
        <v/>
      </c>
      <c r="H1594" s="93" t="str">
        <f t="shared" ca="1" si="896"/>
        <v/>
      </c>
      <c r="I1594" s="120">
        <v>300</v>
      </c>
      <c r="J1594" s="121">
        <f t="shared" si="897"/>
        <v>1.2083333333333333</v>
      </c>
      <c r="K1594" s="69">
        <v>1.45</v>
      </c>
      <c r="L1594" s="122">
        <f t="shared" ca="1" si="893"/>
        <v>0.56666666666666665</v>
      </c>
      <c r="M1594" s="123">
        <f t="shared" ca="1" si="894"/>
        <v>170</v>
      </c>
      <c r="N1594" s="124" t="s">
        <v>42</v>
      </c>
      <c r="O1594" s="41" t="s">
        <v>45</v>
      </c>
      <c r="P1594" s="125">
        <f t="shared" si="919"/>
        <v>1.45</v>
      </c>
      <c r="Q1594" s="61" t="str">
        <f t="shared" si="920"/>
        <v>300-490 шт - 1,45 руб / шт с НДС</v>
      </c>
      <c r="R1594" s="235"/>
      <c r="S1594" s="239"/>
      <c r="T1594" s="234"/>
      <c r="U1594" s="228"/>
      <c r="V1594" s="222"/>
      <c r="W1594" s="229"/>
      <c r="X1594" s="227"/>
      <c r="Y1594" s="229"/>
      <c r="Z1594" s="236"/>
      <c r="AA1594" s="237"/>
      <c r="AB1594" s="238"/>
      <c r="AC1594" s="223"/>
      <c r="AD1594" s="222"/>
    </row>
    <row r="1595" spans="1:30" x14ac:dyDescent="0.4">
      <c r="A1595" s="232"/>
      <c r="B1595" s="42">
        <v>320</v>
      </c>
      <c r="C1595" s="118">
        <f t="shared" ca="1" si="906"/>
        <v>0.5</v>
      </c>
      <c r="D1595" s="119">
        <f t="shared" ca="1" si="911"/>
        <v>0.6</v>
      </c>
      <c r="E1595" s="225"/>
      <c r="F1595" s="231"/>
      <c r="G1595" s="172" t="str">
        <f t="shared" ca="1" si="895"/>
        <v/>
      </c>
      <c r="H1595" s="93" t="str">
        <f t="shared" ca="1" si="896"/>
        <v/>
      </c>
      <c r="I1595" s="120">
        <v>500</v>
      </c>
      <c r="J1595" s="121">
        <f t="shared" si="897"/>
        <v>1.1583333333333332</v>
      </c>
      <c r="K1595" s="69">
        <v>1.39</v>
      </c>
      <c r="L1595" s="122">
        <f t="shared" ca="1" si="893"/>
        <v>0.52666666666666662</v>
      </c>
      <c r="M1595" s="123">
        <f t="shared" ca="1" si="894"/>
        <v>263.33333333333331</v>
      </c>
      <c r="N1595" s="124" t="s">
        <v>43</v>
      </c>
      <c r="O1595" s="41" t="s">
        <v>45</v>
      </c>
      <c r="P1595" s="125">
        <f t="shared" si="919"/>
        <v>1.39</v>
      </c>
      <c r="Q1595" s="61" t="str">
        <f t="shared" si="920"/>
        <v>500-990 шт - 1,39 руб / шт с НДС</v>
      </c>
      <c r="R1595" s="235"/>
      <c r="S1595" s="239"/>
      <c r="T1595" s="234"/>
      <c r="U1595" s="228"/>
      <c r="V1595" s="222"/>
      <c r="W1595" s="229"/>
      <c r="X1595" s="227"/>
      <c r="Y1595" s="229"/>
      <c r="Z1595" s="236"/>
      <c r="AA1595" s="237"/>
      <c r="AB1595" s="238"/>
      <c r="AC1595" s="223"/>
      <c r="AD1595" s="222"/>
    </row>
    <row r="1596" spans="1:30" x14ac:dyDescent="0.4">
      <c r="A1596" s="232"/>
      <c r="B1596" s="42">
        <v>320</v>
      </c>
      <c r="C1596" s="118">
        <f t="shared" ca="1" si="906"/>
        <v>0.5</v>
      </c>
      <c r="D1596" s="119">
        <f t="shared" ca="1" si="911"/>
        <v>0.6</v>
      </c>
      <c r="E1596" s="225"/>
      <c r="F1596" s="231"/>
      <c r="G1596" s="172" t="str">
        <f t="shared" ca="1" si="895"/>
        <v/>
      </c>
      <c r="H1596" s="93" t="str">
        <f t="shared" ca="1" si="896"/>
        <v/>
      </c>
      <c r="I1596" s="120">
        <v>1000</v>
      </c>
      <c r="J1596" s="121">
        <f t="shared" si="897"/>
        <v>1.0833333333333335</v>
      </c>
      <c r="K1596" s="69">
        <v>1.3</v>
      </c>
      <c r="L1596" s="122">
        <f t="shared" ca="1" si="893"/>
        <v>0.46666666666666679</v>
      </c>
      <c r="M1596" s="123">
        <f t="shared" ca="1" si="894"/>
        <v>466.6666666666668</v>
      </c>
      <c r="N1596" s="124" t="s">
        <v>44</v>
      </c>
      <c r="O1596" s="41" t="s">
        <v>45</v>
      </c>
      <c r="P1596" s="125">
        <f t="shared" si="919"/>
        <v>1.3</v>
      </c>
      <c r="Q1596" s="61" t="str">
        <f t="shared" si="920"/>
        <v>1000 + шт - 1,3 руб / шт с НДС</v>
      </c>
      <c r="R1596" s="235"/>
      <c r="S1596" s="239"/>
      <c r="T1596" s="234"/>
      <c r="U1596" s="228"/>
      <c r="V1596" s="222"/>
      <c r="W1596" s="229"/>
      <c r="X1596" s="227"/>
      <c r="Y1596" s="229"/>
      <c r="Z1596" s="236"/>
      <c r="AA1596" s="237"/>
      <c r="AB1596" s="238"/>
      <c r="AC1596" s="223"/>
      <c r="AD1596" s="222"/>
    </row>
    <row r="1597" spans="1:30" x14ac:dyDescent="0.4">
      <c r="A1597" s="232">
        <v>321</v>
      </c>
      <c r="B1597" s="42">
        <v>321</v>
      </c>
      <c r="C1597" s="118">
        <f t="shared" ca="1" si="906"/>
        <v>0.8</v>
      </c>
      <c r="D1597" s="119">
        <f t="shared" ca="1" si="911"/>
        <v>0.96</v>
      </c>
      <c r="E1597" s="225" t="str">
        <f ca="1">INDIRECT("'Закуп'!D" &amp; A1597)</f>
        <v>К</v>
      </c>
      <c r="F1597" s="231" t="str">
        <f t="shared" ref="F1597" ca="1" si="925">INDIRECT("'Закуп'!E" &amp; B1597)</f>
        <v>365х245х145</v>
      </c>
      <c r="G1597" s="172" t="str">
        <f t="shared" ca="1" si="895"/>
        <v>Sale</v>
      </c>
      <c r="H1597" s="93" t="str">
        <f t="shared" ca="1" si="896"/>
        <v/>
      </c>
      <c r="I1597" s="120">
        <v>50</v>
      </c>
      <c r="J1597" s="121">
        <f t="shared" si="897"/>
        <v>0.91666666666666674</v>
      </c>
      <c r="K1597" s="69">
        <v>1.1000000000000001</v>
      </c>
      <c r="L1597" s="122">
        <f t="shared" ca="1" si="893"/>
        <v>9.3333333333333351E-2</v>
      </c>
      <c r="M1597" s="123">
        <f t="shared" ca="1" si="894"/>
        <v>4.6666666666666679</v>
      </c>
      <c r="N1597" s="124" t="s">
        <v>40</v>
      </c>
      <c r="O1597" s="41" t="s">
        <v>45</v>
      </c>
      <c r="P1597" s="125">
        <f t="shared" si="919"/>
        <v>1.1000000000000001</v>
      </c>
      <c r="Q1597" s="61" t="str">
        <f t="shared" si="920"/>
        <v>50-90 шт - 1,1 руб / шт с НДС</v>
      </c>
      <c r="R1597" s="235" t="str">
        <f ca="1">INDIRECT("'Закуп'!k" &amp; A1597)</f>
        <v>K1041</v>
      </c>
      <c r="S1597" s="239">
        <f ca="1">INDIRECT("'Закуп'!o" &amp; A1597)</f>
        <v>12.97</v>
      </c>
      <c r="T1597" s="226" t="str">
        <f ca="1">INDIRECT("'Закуп'!p" &amp; A1597)</f>
        <v>10-14,9 литров</v>
      </c>
      <c r="U1597" s="228" t="str">
        <f ca="1">INDIRECT("'Закуп'!v" &amp; A1597)</f>
        <v/>
      </c>
      <c r="V1597" s="222" t="str">
        <f ca="1">INDIRECT("'Закуп'!w" &amp; A1597)</f>
        <v/>
      </c>
      <c r="W1597" s="229" t="str">
        <f ca="1">INDIRECT("'Закуп'!H" &amp; A1597)</f>
        <v>0201</v>
      </c>
      <c r="X1597" s="227" t="str">
        <f t="shared" ref="X1597" ca="1" si="926">INDIRECT("'Закуп'!g" &amp; A1597)</f>
        <v>Ч</v>
      </c>
      <c r="Y1597" s="229" t="str">
        <f ca="1">INDIRECT("'Закуп'!i" &amp; A1597)</f>
        <v>В</v>
      </c>
      <c r="Z1597" s="236" t="str">
        <f ca="1">INDIRECT("'Закуп'!x" &amp; A1597)</f>
        <v>300-399 мм</v>
      </c>
      <c r="AA1597" s="237" t="str">
        <f ca="1">INDIRECT("'Закуп'!y" &amp; A1597)</f>
        <v>200-299 мм</v>
      </c>
      <c r="AB1597" s="238" t="str">
        <f ca="1">INDIRECT("'Закуп'!z" &amp; A1597)</f>
        <v>100-199 мм</v>
      </c>
      <c r="AC1597" s="223" t="str">
        <f t="shared" ref="AC1597:AC1657" ca="1" si="927">SUBSTITUTE(INDEX(F:F, ROUNDUP((ROW(A1596))/5,0)*5 - 3), "х", "x")</f>
        <v>365x245x145</v>
      </c>
      <c r="AD1597" s="222" t="str">
        <f t="shared" ca="1" si="914"/>
        <v>365x245x145 - 365*245*145 мм</v>
      </c>
    </row>
    <row r="1598" spans="1:30" x14ac:dyDescent="0.4">
      <c r="A1598" s="232"/>
      <c r="B1598" s="42">
        <v>321</v>
      </c>
      <c r="C1598" s="118">
        <f t="shared" ca="1" si="906"/>
        <v>0.8</v>
      </c>
      <c r="D1598" s="119">
        <f t="shared" ca="1" si="911"/>
        <v>0.96</v>
      </c>
      <c r="E1598" s="225"/>
      <c r="F1598" s="231"/>
      <c r="G1598" s="172" t="str">
        <f t="shared" ca="1" si="895"/>
        <v>Sale</v>
      </c>
      <c r="H1598" s="93" t="str">
        <f t="shared" ca="1" si="896"/>
        <v/>
      </c>
      <c r="I1598" s="120">
        <v>100</v>
      </c>
      <c r="J1598" s="121">
        <f t="shared" si="897"/>
        <v>0.91666666666666674</v>
      </c>
      <c r="K1598" s="69">
        <v>1.1000000000000001</v>
      </c>
      <c r="L1598" s="122">
        <f t="shared" ca="1" si="893"/>
        <v>9.3333333333333351E-2</v>
      </c>
      <c r="M1598" s="123">
        <f t="shared" ca="1" si="894"/>
        <v>9.3333333333333357</v>
      </c>
      <c r="N1598" s="124" t="s">
        <v>41</v>
      </c>
      <c r="O1598" s="41" t="s">
        <v>45</v>
      </c>
      <c r="P1598" s="125">
        <f t="shared" si="919"/>
        <v>1.1000000000000001</v>
      </c>
      <c r="Q1598" s="61" t="str">
        <f t="shared" si="920"/>
        <v>100-290 шт - 1,1 руб / шт с НДС</v>
      </c>
      <c r="R1598" s="235"/>
      <c r="S1598" s="239"/>
      <c r="T1598" s="226"/>
      <c r="U1598" s="228"/>
      <c r="V1598" s="222"/>
      <c r="W1598" s="229"/>
      <c r="X1598" s="227"/>
      <c r="Y1598" s="229"/>
      <c r="Z1598" s="236"/>
      <c r="AA1598" s="237"/>
      <c r="AB1598" s="238"/>
      <c r="AC1598" s="223"/>
      <c r="AD1598" s="222"/>
    </row>
    <row r="1599" spans="1:30" x14ac:dyDescent="0.4">
      <c r="A1599" s="232"/>
      <c r="B1599" s="42">
        <v>321</v>
      </c>
      <c r="C1599" s="118">
        <f t="shared" ca="1" si="906"/>
        <v>0.8</v>
      </c>
      <c r="D1599" s="119">
        <f t="shared" ca="1" si="911"/>
        <v>0.96</v>
      </c>
      <c r="E1599" s="225"/>
      <c r="F1599" s="231"/>
      <c r="G1599" s="172" t="str">
        <f t="shared" ca="1" si="895"/>
        <v>Sale</v>
      </c>
      <c r="H1599" s="93" t="str">
        <f t="shared" ca="1" si="896"/>
        <v/>
      </c>
      <c r="I1599" s="120">
        <v>300</v>
      </c>
      <c r="J1599" s="121">
        <f t="shared" si="897"/>
        <v>0.91666666666666674</v>
      </c>
      <c r="K1599" s="69">
        <v>1.1000000000000001</v>
      </c>
      <c r="L1599" s="122">
        <f t="shared" ca="1" si="893"/>
        <v>9.3333333333333351E-2</v>
      </c>
      <c r="M1599" s="123">
        <f t="shared" ca="1" si="894"/>
        <v>28.000000000000007</v>
      </c>
      <c r="N1599" s="124" t="s">
        <v>42</v>
      </c>
      <c r="O1599" s="41" t="s">
        <v>45</v>
      </c>
      <c r="P1599" s="125">
        <f t="shared" si="919"/>
        <v>1.1000000000000001</v>
      </c>
      <c r="Q1599" s="61" t="str">
        <f t="shared" si="920"/>
        <v>300-490 шт - 1,1 руб / шт с НДС</v>
      </c>
      <c r="R1599" s="235"/>
      <c r="S1599" s="239"/>
      <c r="T1599" s="226"/>
      <c r="U1599" s="228"/>
      <c r="V1599" s="222"/>
      <c r="W1599" s="229"/>
      <c r="X1599" s="227"/>
      <c r="Y1599" s="229"/>
      <c r="Z1599" s="236"/>
      <c r="AA1599" s="237"/>
      <c r="AB1599" s="238"/>
      <c r="AC1599" s="223"/>
      <c r="AD1599" s="222"/>
    </row>
    <row r="1600" spans="1:30" x14ac:dyDescent="0.4">
      <c r="A1600" s="232"/>
      <c r="B1600" s="42">
        <v>321</v>
      </c>
      <c r="C1600" s="118">
        <f t="shared" ca="1" si="906"/>
        <v>0.8</v>
      </c>
      <c r="D1600" s="119">
        <f t="shared" ca="1" si="911"/>
        <v>0.96</v>
      </c>
      <c r="E1600" s="225"/>
      <c r="F1600" s="231"/>
      <c r="G1600" s="172" t="str">
        <f t="shared" ca="1" si="895"/>
        <v>Sale</v>
      </c>
      <c r="H1600" s="93" t="str">
        <f t="shared" ca="1" si="896"/>
        <v/>
      </c>
      <c r="I1600" s="120">
        <v>500</v>
      </c>
      <c r="J1600" s="121">
        <f t="shared" si="897"/>
        <v>0.91666666666666674</v>
      </c>
      <c r="K1600" s="69">
        <v>1.1000000000000001</v>
      </c>
      <c r="L1600" s="122">
        <f t="shared" ca="1" si="893"/>
        <v>9.3333333333333351E-2</v>
      </c>
      <c r="M1600" s="123">
        <f t="shared" ca="1" si="894"/>
        <v>46.666666666666679</v>
      </c>
      <c r="N1600" s="124" t="s">
        <v>43</v>
      </c>
      <c r="O1600" s="41" t="s">
        <v>45</v>
      </c>
      <c r="P1600" s="125">
        <f t="shared" si="919"/>
        <v>1.1000000000000001</v>
      </c>
      <c r="Q1600" s="61" t="str">
        <f t="shared" si="920"/>
        <v>500-990 шт - 1,1 руб / шт с НДС</v>
      </c>
      <c r="R1600" s="235"/>
      <c r="S1600" s="239"/>
      <c r="T1600" s="226"/>
      <c r="U1600" s="228"/>
      <c r="V1600" s="222"/>
      <c r="W1600" s="229"/>
      <c r="X1600" s="227"/>
      <c r="Y1600" s="229"/>
      <c r="Z1600" s="236"/>
      <c r="AA1600" s="237"/>
      <c r="AB1600" s="238"/>
      <c r="AC1600" s="223"/>
      <c r="AD1600" s="222"/>
    </row>
    <row r="1601" spans="1:30" x14ac:dyDescent="0.4">
      <c r="A1601" s="232"/>
      <c r="B1601" s="42">
        <v>321</v>
      </c>
      <c r="C1601" s="118">
        <f t="shared" ca="1" si="906"/>
        <v>0.8</v>
      </c>
      <c r="D1601" s="119">
        <f t="shared" ca="1" si="911"/>
        <v>0.96</v>
      </c>
      <c r="E1601" s="225"/>
      <c r="F1601" s="231"/>
      <c r="G1601" s="172" t="str">
        <f t="shared" ca="1" si="895"/>
        <v>Sale</v>
      </c>
      <c r="H1601" s="93" t="str">
        <f t="shared" ca="1" si="896"/>
        <v/>
      </c>
      <c r="I1601" s="120">
        <v>1000</v>
      </c>
      <c r="J1601" s="121">
        <f t="shared" si="897"/>
        <v>0.91666666666666674</v>
      </c>
      <c r="K1601" s="69">
        <v>1.1000000000000001</v>
      </c>
      <c r="L1601" s="122">
        <f t="shared" ca="1" si="893"/>
        <v>9.3333333333333351E-2</v>
      </c>
      <c r="M1601" s="123">
        <f t="shared" ca="1" si="894"/>
        <v>93.333333333333357</v>
      </c>
      <c r="N1601" s="124" t="s">
        <v>44</v>
      </c>
      <c r="O1601" s="41" t="s">
        <v>45</v>
      </c>
      <c r="P1601" s="125">
        <f t="shared" si="919"/>
        <v>1.1000000000000001</v>
      </c>
      <c r="Q1601" s="61" t="str">
        <f t="shared" si="920"/>
        <v>1000 + шт - 1,1 руб / шт с НДС</v>
      </c>
      <c r="R1601" s="235"/>
      <c r="S1601" s="239"/>
      <c r="T1601" s="226"/>
      <c r="U1601" s="228"/>
      <c r="V1601" s="222"/>
      <c r="W1601" s="229"/>
      <c r="X1601" s="227"/>
      <c r="Y1601" s="229"/>
      <c r="Z1601" s="236"/>
      <c r="AA1601" s="237"/>
      <c r="AB1601" s="238"/>
      <c r="AC1601" s="223"/>
      <c r="AD1601" s="222"/>
    </row>
    <row r="1602" spans="1:30" x14ac:dyDescent="0.4">
      <c r="A1602" s="232">
        <v>322</v>
      </c>
      <c r="B1602" s="42">
        <v>322</v>
      </c>
      <c r="C1602" s="118">
        <f t="shared" ca="1" si="906"/>
        <v>0.26</v>
      </c>
      <c r="D1602" s="119">
        <f t="shared" ca="1" si="911"/>
        <v>0.312</v>
      </c>
      <c r="E1602" s="233" t="str">
        <f ca="1">INDIRECT("'Закуп'!D" &amp; A1602)</f>
        <v>БМ</v>
      </c>
      <c r="F1602" s="231" t="str">
        <f t="shared" ref="F1602" ca="1" si="928">INDIRECT("'Закуп'!E" &amp; B1602)</f>
        <v>245х80х200</v>
      </c>
      <c r="G1602" s="172" t="str">
        <f t="shared" ca="1" si="895"/>
        <v>Sale</v>
      </c>
      <c r="H1602" s="93" t="str">
        <f t="shared" ca="1" si="896"/>
        <v>old min обр</v>
      </c>
      <c r="I1602" s="120">
        <v>50</v>
      </c>
      <c r="J1602" s="121">
        <f t="shared" si="897"/>
        <v>0.31666666666666671</v>
      </c>
      <c r="K1602" s="69">
        <v>0.38</v>
      </c>
      <c r="L1602" s="122">
        <f t="shared" ref="L1602:L1665" ca="1" si="929">J1602-C1602-(J1602-C1602)*0.2</f>
        <v>4.5333333333333357E-2</v>
      </c>
      <c r="M1602" s="123">
        <f t="shared" ref="M1602:M1665" ca="1" si="930">L1602*I1602</f>
        <v>2.2666666666666679</v>
      </c>
      <c r="N1602" s="124" t="s">
        <v>40</v>
      </c>
      <c r="O1602" s="41" t="s">
        <v>45</v>
      </c>
      <c r="P1602" s="125">
        <f t="shared" si="919"/>
        <v>0.38</v>
      </c>
      <c r="Q1602" s="61" t="str">
        <f t="shared" si="920"/>
        <v>50-90 шт - 0,38 руб / шт с НДС</v>
      </c>
      <c r="R1602" s="235" t="str">
        <f ca="1">INDIRECT("'Закуп'!k" &amp; A1602)</f>
        <v>K515</v>
      </c>
      <c r="S1602" s="239">
        <f ca="1">INDIRECT("'Закуп'!o" &amp; A1602)</f>
        <v>3.92</v>
      </c>
      <c r="T1602" s="234" t="str">
        <f ca="1">INDIRECT("'Закуп'!p" &amp; A1602)</f>
        <v>3-3,9 литра</v>
      </c>
      <c r="U1602" s="228" t="str">
        <f ca="1">INDIRECT("'Закуп'!v" &amp; A1602)</f>
        <v/>
      </c>
      <c r="V1602" s="222" t="str">
        <f ca="1">INDIRECT("'Закуп'!w" &amp; A1602)</f>
        <v>Плоские</v>
      </c>
      <c r="W1602" s="229" t="str">
        <f ca="1">INDIRECT("'Закуп'!H" &amp; A1602)</f>
        <v>0201</v>
      </c>
      <c r="X1602" s="227" t="str">
        <f t="shared" ref="X1602" ca="1" si="931">INDIRECT("'Закуп'!g" &amp; A1602)</f>
        <v>Ч</v>
      </c>
      <c r="Y1602" s="229" t="str">
        <f ca="1">INDIRECT("'Закуп'!i" &amp; A1602)</f>
        <v>В</v>
      </c>
      <c r="Z1602" s="236" t="str">
        <f ca="1">INDIRECT("'Закуп'!x" &amp; A1602)</f>
        <v>200-299 мм</v>
      </c>
      <c r="AA1602" s="237" t="str">
        <f ca="1">INDIRECT("'Закуп'!y" &amp; A1602)</f>
        <v>200-299 мм</v>
      </c>
      <c r="AB1602" s="238" t="str">
        <f ca="1">INDIRECT("'Закуп'!z" &amp; A1602)</f>
        <v>10-99 мм</v>
      </c>
      <c r="AC1602" s="223" t="str">
        <f t="shared" ca="1" si="927"/>
        <v>245x80x200</v>
      </c>
      <c r="AD1602" s="222" t="str">
        <f t="shared" ca="1" si="914"/>
        <v>245x80x200 - 245*80*200 мм</v>
      </c>
    </row>
    <row r="1603" spans="1:30" x14ac:dyDescent="0.4">
      <c r="A1603" s="232"/>
      <c r="B1603" s="42">
        <v>322</v>
      </c>
      <c r="C1603" s="118">
        <f t="shared" ca="1" si="906"/>
        <v>0.26</v>
      </c>
      <c r="D1603" s="119">
        <f t="shared" ca="1" si="911"/>
        <v>0.312</v>
      </c>
      <c r="E1603" s="225"/>
      <c r="F1603" s="231"/>
      <c r="G1603" s="172" t="str">
        <f t="shared" ref="G1603:G1666" ca="1" si="932">IF(INDIRECT("'Закуп'!L" &amp; B1603)="Sale","Sale","")</f>
        <v>Sale</v>
      </c>
      <c r="H1603" s="93" t="str">
        <f t="shared" ref="H1603:H1666" ca="1" si="933">IF(INDIRECT("'Закуп'!F" &amp; B1603)=0,"",INDIRECT("'Закуп'!F" &amp; B1603))</f>
        <v>old min обр</v>
      </c>
      <c r="I1603" s="120">
        <v>100</v>
      </c>
      <c r="J1603" s="121">
        <f t="shared" ref="J1603:J1666" si="934">K1603/1.2</f>
        <v>0.31666666666666671</v>
      </c>
      <c r="K1603" s="69">
        <v>0.38</v>
      </c>
      <c r="L1603" s="122">
        <f t="shared" ca="1" si="929"/>
        <v>4.5333333333333357E-2</v>
      </c>
      <c r="M1603" s="123">
        <f t="shared" ca="1" si="930"/>
        <v>4.5333333333333359</v>
      </c>
      <c r="N1603" s="124" t="s">
        <v>41</v>
      </c>
      <c r="O1603" s="41" t="s">
        <v>45</v>
      </c>
      <c r="P1603" s="125">
        <f t="shared" si="919"/>
        <v>0.38</v>
      </c>
      <c r="Q1603" s="61" t="str">
        <f t="shared" si="920"/>
        <v>100-290 шт - 0,38 руб / шт с НДС</v>
      </c>
      <c r="R1603" s="235"/>
      <c r="S1603" s="239"/>
      <c r="T1603" s="234"/>
      <c r="U1603" s="228"/>
      <c r="V1603" s="222"/>
      <c r="W1603" s="229"/>
      <c r="X1603" s="227"/>
      <c r="Y1603" s="229"/>
      <c r="Z1603" s="236"/>
      <c r="AA1603" s="237"/>
      <c r="AB1603" s="238"/>
      <c r="AC1603" s="223"/>
      <c r="AD1603" s="222"/>
    </row>
    <row r="1604" spans="1:30" x14ac:dyDescent="0.4">
      <c r="A1604" s="232"/>
      <c r="B1604" s="42">
        <v>322</v>
      </c>
      <c r="C1604" s="118">
        <f t="shared" ca="1" si="906"/>
        <v>0.26</v>
      </c>
      <c r="D1604" s="119">
        <f t="shared" ca="1" si="911"/>
        <v>0.312</v>
      </c>
      <c r="E1604" s="225"/>
      <c r="F1604" s="231"/>
      <c r="G1604" s="172" t="str">
        <f t="shared" ca="1" si="932"/>
        <v>Sale</v>
      </c>
      <c r="H1604" s="93" t="str">
        <f t="shared" ca="1" si="933"/>
        <v>old min обр</v>
      </c>
      <c r="I1604" s="120">
        <v>300</v>
      </c>
      <c r="J1604" s="121">
        <f t="shared" si="934"/>
        <v>0.31666666666666671</v>
      </c>
      <c r="K1604" s="69">
        <v>0.38</v>
      </c>
      <c r="L1604" s="122">
        <f t="shared" ca="1" si="929"/>
        <v>4.5333333333333357E-2</v>
      </c>
      <c r="M1604" s="123">
        <f t="shared" ca="1" si="930"/>
        <v>13.600000000000007</v>
      </c>
      <c r="N1604" s="124" t="s">
        <v>42</v>
      </c>
      <c r="O1604" s="41" t="s">
        <v>45</v>
      </c>
      <c r="P1604" s="125">
        <f t="shared" si="919"/>
        <v>0.38</v>
      </c>
      <c r="Q1604" s="61" t="str">
        <f t="shared" si="920"/>
        <v>300-490 шт - 0,38 руб / шт с НДС</v>
      </c>
      <c r="R1604" s="235"/>
      <c r="S1604" s="239"/>
      <c r="T1604" s="234"/>
      <c r="U1604" s="228"/>
      <c r="V1604" s="222"/>
      <c r="W1604" s="229"/>
      <c r="X1604" s="227"/>
      <c r="Y1604" s="229"/>
      <c r="Z1604" s="236"/>
      <c r="AA1604" s="237"/>
      <c r="AB1604" s="238"/>
      <c r="AC1604" s="223"/>
      <c r="AD1604" s="222"/>
    </row>
    <row r="1605" spans="1:30" x14ac:dyDescent="0.4">
      <c r="A1605" s="232"/>
      <c r="B1605" s="42">
        <v>322</v>
      </c>
      <c r="C1605" s="118">
        <f t="shared" ca="1" si="906"/>
        <v>0.26</v>
      </c>
      <c r="D1605" s="119">
        <f t="shared" ca="1" si="911"/>
        <v>0.312</v>
      </c>
      <c r="E1605" s="225"/>
      <c r="F1605" s="231"/>
      <c r="G1605" s="172" t="str">
        <f t="shared" ca="1" si="932"/>
        <v>Sale</v>
      </c>
      <c r="H1605" s="93" t="str">
        <f t="shared" ca="1" si="933"/>
        <v>old min обр</v>
      </c>
      <c r="I1605" s="120">
        <v>500</v>
      </c>
      <c r="J1605" s="121">
        <f t="shared" si="934"/>
        <v>0.31666666666666671</v>
      </c>
      <c r="K1605" s="69">
        <v>0.38</v>
      </c>
      <c r="L1605" s="122">
        <f t="shared" ca="1" si="929"/>
        <v>4.5333333333333357E-2</v>
      </c>
      <c r="M1605" s="123">
        <f t="shared" ca="1" si="930"/>
        <v>22.666666666666679</v>
      </c>
      <c r="N1605" s="124" t="s">
        <v>43</v>
      </c>
      <c r="O1605" s="41" t="s">
        <v>45</v>
      </c>
      <c r="P1605" s="125">
        <f t="shared" si="919"/>
        <v>0.38</v>
      </c>
      <c r="Q1605" s="61" t="str">
        <f t="shared" si="920"/>
        <v>500-990 шт - 0,38 руб / шт с НДС</v>
      </c>
      <c r="R1605" s="235"/>
      <c r="S1605" s="239"/>
      <c r="T1605" s="234"/>
      <c r="U1605" s="228"/>
      <c r="V1605" s="222"/>
      <c r="W1605" s="229"/>
      <c r="X1605" s="227"/>
      <c r="Y1605" s="229"/>
      <c r="Z1605" s="236"/>
      <c r="AA1605" s="237"/>
      <c r="AB1605" s="238"/>
      <c r="AC1605" s="223"/>
      <c r="AD1605" s="222"/>
    </row>
    <row r="1606" spans="1:30" x14ac:dyDescent="0.4">
      <c r="A1606" s="232"/>
      <c r="B1606" s="42">
        <v>322</v>
      </c>
      <c r="C1606" s="118">
        <f t="shared" ca="1" si="906"/>
        <v>0.26</v>
      </c>
      <c r="D1606" s="119">
        <f t="shared" ca="1" si="911"/>
        <v>0.312</v>
      </c>
      <c r="E1606" s="225"/>
      <c r="F1606" s="231"/>
      <c r="G1606" s="172" t="str">
        <f t="shared" ca="1" si="932"/>
        <v>Sale</v>
      </c>
      <c r="H1606" s="93" t="str">
        <f t="shared" ca="1" si="933"/>
        <v>old min обр</v>
      </c>
      <c r="I1606" s="120">
        <v>1000</v>
      </c>
      <c r="J1606" s="121">
        <f t="shared" si="934"/>
        <v>0.31666666666666671</v>
      </c>
      <c r="K1606" s="69">
        <v>0.38</v>
      </c>
      <c r="L1606" s="122">
        <f t="shared" ca="1" si="929"/>
        <v>4.5333333333333357E-2</v>
      </c>
      <c r="M1606" s="123">
        <f t="shared" ca="1" si="930"/>
        <v>45.333333333333357</v>
      </c>
      <c r="N1606" s="124" t="s">
        <v>44</v>
      </c>
      <c r="O1606" s="41" t="s">
        <v>45</v>
      </c>
      <c r="P1606" s="125">
        <f t="shared" si="919"/>
        <v>0.38</v>
      </c>
      <c r="Q1606" s="61" t="str">
        <f t="shared" si="920"/>
        <v>1000 + шт - 0,38 руб / шт с НДС</v>
      </c>
      <c r="R1606" s="235"/>
      <c r="S1606" s="239"/>
      <c r="T1606" s="234"/>
      <c r="U1606" s="228"/>
      <c r="V1606" s="222"/>
      <c r="W1606" s="229"/>
      <c r="X1606" s="227"/>
      <c r="Y1606" s="229"/>
      <c r="Z1606" s="236"/>
      <c r="AA1606" s="237"/>
      <c r="AB1606" s="238"/>
      <c r="AC1606" s="223"/>
      <c r="AD1606" s="222"/>
    </row>
    <row r="1607" spans="1:30" x14ac:dyDescent="0.4">
      <c r="A1607" s="232">
        <v>323</v>
      </c>
      <c r="B1607" s="42">
        <v>323</v>
      </c>
      <c r="C1607" s="118">
        <f t="shared" ca="1" si="906"/>
        <v>0.36</v>
      </c>
      <c r="D1607" s="119">
        <f t="shared" ca="1" si="911"/>
        <v>0.432</v>
      </c>
      <c r="E1607" s="233" t="str">
        <f ca="1">INDIRECT("'Закуп'!D" &amp; A1607)</f>
        <v>БМ</v>
      </c>
      <c r="F1607" s="231" t="str">
        <f t="shared" ref="F1607" ca="1" si="935">INDIRECT("'Закуп'!E" &amp; B1607)</f>
        <v>245х200х80</v>
      </c>
      <c r="G1607" s="172" t="str">
        <f t="shared" ca="1" si="932"/>
        <v>Sale</v>
      </c>
      <c r="H1607" s="93" t="str">
        <f t="shared" ca="1" si="933"/>
        <v>old min обр</v>
      </c>
      <c r="I1607" s="120">
        <v>50</v>
      </c>
      <c r="J1607" s="121">
        <f t="shared" si="934"/>
        <v>0.41666666666666669</v>
      </c>
      <c r="K1607" s="69">
        <v>0.5</v>
      </c>
      <c r="L1607" s="122">
        <f t="shared" ca="1" si="929"/>
        <v>4.5333333333333357E-2</v>
      </c>
      <c r="M1607" s="123">
        <f t="shared" ca="1" si="930"/>
        <v>2.2666666666666679</v>
      </c>
      <c r="N1607" s="124" t="s">
        <v>40</v>
      </c>
      <c r="O1607" s="41" t="s">
        <v>45</v>
      </c>
      <c r="P1607" s="125">
        <f t="shared" si="919"/>
        <v>0.5</v>
      </c>
      <c r="Q1607" s="61" t="str">
        <f t="shared" si="920"/>
        <v>50-90 шт - 0,5 руб / шт с НДС</v>
      </c>
      <c r="R1607" s="235" t="str">
        <f ca="1">INDIRECT("'Закуп'!k" &amp; A1607)</f>
        <v>K516</v>
      </c>
      <c r="S1607" s="239">
        <f ca="1">INDIRECT("'Закуп'!o" &amp; A1607)</f>
        <v>3.92</v>
      </c>
      <c r="T1607" s="234" t="str">
        <f ca="1">INDIRECT("'Закуп'!p" &amp; A1607)</f>
        <v>3-3,9 литра</v>
      </c>
      <c r="U1607" s="228" t="str">
        <f ca="1">INDIRECT("'Закуп'!v" &amp; A1607)</f>
        <v/>
      </c>
      <c r="V1607" s="222" t="str">
        <f ca="1">INDIRECT("'Закуп'!w" &amp; A1607)</f>
        <v>Плоские</v>
      </c>
      <c r="W1607" s="229" t="str">
        <f ca="1">INDIRECT("'Закуп'!H" &amp; A1607)</f>
        <v>0201</v>
      </c>
      <c r="X1607" s="227" t="str">
        <f t="shared" ref="X1607" ca="1" si="936">INDIRECT("'Закуп'!g" &amp; A1607)</f>
        <v>Ч</v>
      </c>
      <c r="Y1607" s="229" t="str">
        <f ca="1">INDIRECT("'Закуп'!i" &amp; A1607)</f>
        <v>В</v>
      </c>
      <c r="Z1607" s="236" t="str">
        <f ca="1">INDIRECT("'Закуп'!x" &amp; A1607)</f>
        <v>200-299 мм</v>
      </c>
      <c r="AA1607" s="237" t="str">
        <f ca="1">INDIRECT("'Закуп'!y" &amp; A1607)</f>
        <v>200-299 мм</v>
      </c>
      <c r="AB1607" s="238" t="str">
        <f ca="1">INDIRECT("'Закуп'!z" &amp; A1607)</f>
        <v>10-99 мм</v>
      </c>
      <c r="AC1607" s="223" t="str">
        <f t="shared" ca="1" si="927"/>
        <v>245x200x80</v>
      </c>
      <c r="AD1607" s="222" t="str">
        <f t="shared" ca="1" si="914"/>
        <v>245x200x80 - 245*200*80 мм</v>
      </c>
    </row>
    <row r="1608" spans="1:30" x14ac:dyDescent="0.4">
      <c r="A1608" s="232"/>
      <c r="B1608" s="42">
        <v>323</v>
      </c>
      <c r="C1608" s="118">
        <f t="shared" ca="1" si="906"/>
        <v>0.36</v>
      </c>
      <c r="D1608" s="119">
        <f t="shared" ca="1" si="911"/>
        <v>0.432</v>
      </c>
      <c r="E1608" s="225"/>
      <c r="F1608" s="231"/>
      <c r="G1608" s="172" t="str">
        <f t="shared" ca="1" si="932"/>
        <v>Sale</v>
      </c>
      <c r="H1608" s="93" t="str">
        <f t="shared" ca="1" si="933"/>
        <v>old min обр</v>
      </c>
      <c r="I1608" s="120">
        <v>100</v>
      </c>
      <c r="J1608" s="121">
        <f t="shared" si="934"/>
        <v>0.41666666666666669</v>
      </c>
      <c r="K1608" s="69">
        <v>0.5</v>
      </c>
      <c r="L1608" s="122">
        <f t="shared" ca="1" si="929"/>
        <v>4.5333333333333357E-2</v>
      </c>
      <c r="M1608" s="123">
        <f t="shared" ca="1" si="930"/>
        <v>4.5333333333333359</v>
      </c>
      <c r="N1608" s="124" t="s">
        <v>41</v>
      </c>
      <c r="O1608" s="41" t="s">
        <v>45</v>
      </c>
      <c r="P1608" s="125">
        <f t="shared" si="919"/>
        <v>0.5</v>
      </c>
      <c r="Q1608" s="61" t="str">
        <f t="shared" si="920"/>
        <v>100-290 шт - 0,5 руб / шт с НДС</v>
      </c>
      <c r="R1608" s="235"/>
      <c r="S1608" s="239"/>
      <c r="T1608" s="234"/>
      <c r="U1608" s="228"/>
      <c r="V1608" s="222"/>
      <c r="W1608" s="229"/>
      <c r="X1608" s="227"/>
      <c r="Y1608" s="229"/>
      <c r="Z1608" s="236"/>
      <c r="AA1608" s="237"/>
      <c r="AB1608" s="238"/>
      <c r="AC1608" s="223"/>
      <c r="AD1608" s="222"/>
    </row>
    <row r="1609" spans="1:30" x14ac:dyDescent="0.4">
      <c r="A1609" s="232"/>
      <c r="B1609" s="42">
        <v>323</v>
      </c>
      <c r="C1609" s="118">
        <f t="shared" ca="1" si="906"/>
        <v>0.36</v>
      </c>
      <c r="D1609" s="119">
        <f t="shared" ca="1" si="911"/>
        <v>0.432</v>
      </c>
      <c r="E1609" s="225"/>
      <c r="F1609" s="231"/>
      <c r="G1609" s="172" t="str">
        <f t="shared" ca="1" si="932"/>
        <v>Sale</v>
      </c>
      <c r="H1609" s="93" t="str">
        <f t="shared" ca="1" si="933"/>
        <v>old min обр</v>
      </c>
      <c r="I1609" s="120">
        <v>300</v>
      </c>
      <c r="J1609" s="121">
        <f t="shared" si="934"/>
        <v>0.41666666666666669</v>
      </c>
      <c r="K1609" s="69">
        <v>0.5</v>
      </c>
      <c r="L1609" s="122">
        <f t="shared" ca="1" si="929"/>
        <v>4.5333333333333357E-2</v>
      </c>
      <c r="M1609" s="123">
        <f t="shared" ca="1" si="930"/>
        <v>13.600000000000007</v>
      </c>
      <c r="N1609" s="124" t="s">
        <v>42</v>
      </c>
      <c r="O1609" s="41" t="s">
        <v>45</v>
      </c>
      <c r="P1609" s="125">
        <f t="shared" si="919"/>
        <v>0.5</v>
      </c>
      <c r="Q1609" s="61" t="str">
        <f t="shared" si="920"/>
        <v>300-490 шт - 0,5 руб / шт с НДС</v>
      </c>
      <c r="R1609" s="235"/>
      <c r="S1609" s="239"/>
      <c r="T1609" s="234"/>
      <c r="U1609" s="228"/>
      <c r="V1609" s="222"/>
      <c r="W1609" s="229"/>
      <c r="X1609" s="227"/>
      <c r="Y1609" s="229"/>
      <c r="Z1609" s="236"/>
      <c r="AA1609" s="237"/>
      <c r="AB1609" s="238"/>
      <c r="AC1609" s="223"/>
      <c r="AD1609" s="222"/>
    </row>
    <row r="1610" spans="1:30" x14ac:dyDescent="0.4">
      <c r="A1610" s="232"/>
      <c r="B1610" s="42">
        <v>323</v>
      </c>
      <c r="C1610" s="118">
        <f t="shared" ca="1" si="906"/>
        <v>0.36</v>
      </c>
      <c r="D1610" s="119">
        <f t="shared" ca="1" si="911"/>
        <v>0.432</v>
      </c>
      <c r="E1610" s="225"/>
      <c r="F1610" s="231"/>
      <c r="G1610" s="172" t="str">
        <f t="shared" ca="1" si="932"/>
        <v>Sale</v>
      </c>
      <c r="H1610" s="93" t="str">
        <f t="shared" ca="1" si="933"/>
        <v>old min обр</v>
      </c>
      <c r="I1610" s="120">
        <v>500</v>
      </c>
      <c r="J1610" s="121">
        <f t="shared" si="934"/>
        <v>0.41666666666666669</v>
      </c>
      <c r="K1610" s="69">
        <v>0.5</v>
      </c>
      <c r="L1610" s="122">
        <f t="shared" ca="1" si="929"/>
        <v>4.5333333333333357E-2</v>
      </c>
      <c r="M1610" s="123">
        <f t="shared" ca="1" si="930"/>
        <v>22.666666666666679</v>
      </c>
      <c r="N1610" s="124" t="s">
        <v>43</v>
      </c>
      <c r="O1610" s="41" t="s">
        <v>45</v>
      </c>
      <c r="P1610" s="125">
        <f t="shared" si="919"/>
        <v>0.5</v>
      </c>
      <c r="Q1610" s="61" t="str">
        <f t="shared" si="920"/>
        <v>500-990 шт - 0,5 руб / шт с НДС</v>
      </c>
      <c r="R1610" s="235"/>
      <c r="S1610" s="239"/>
      <c r="T1610" s="234"/>
      <c r="U1610" s="228"/>
      <c r="V1610" s="222"/>
      <c r="W1610" s="229"/>
      <c r="X1610" s="227"/>
      <c r="Y1610" s="229"/>
      <c r="Z1610" s="236"/>
      <c r="AA1610" s="237"/>
      <c r="AB1610" s="238"/>
      <c r="AC1610" s="223"/>
      <c r="AD1610" s="222"/>
    </row>
    <row r="1611" spans="1:30" x14ac:dyDescent="0.4">
      <c r="A1611" s="232"/>
      <c r="B1611" s="42">
        <v>323</v>
      </c>
      <c r="C1611" s="118">
        <f t="shared" ca="1" si="906"/>
        <v>0.36</v>
      </c>
      <c r="D1611" s="119">
        <f t="shared" ca="1" si="911"/>
        <v>0.432</v>
      </c>
      <c r="E1611" s="225"/>
      <c r="F1611" s="231"/>
      <c r="G1611" s="172" t="str">
        <f t="shared" ca="1" si="932"/>
        <v>Sale</v>
      </c>
      <c r="H1611" s="93" t="str">
        <f t="shared" ca="1" si="933"/>
        <v>old min обр</v>
      </c>
      <c r="I1611" s="120">
        <v>1000</v>
      </c>
      <c r="J1611" s="121">
        <f t="shared" si="934"/>
        <v>0.41666666666666669</v>
      </c>
      <c r="K1611" s="69">
        <v>0.5</v>
      </c>
      <c r="L1611" s="122">
        <f t="shared" ca="1" si="929"/>
        <v>4.5333333333333357E-2</v>
      </c>
      <c r="M1611" s="123">
        <f t="shared" ca="1" si="930"/>
        <v>45.333333333333357</v>
      </c>
      <c r="N1611" s="124" t="s">
        <v>44</v>
      </c>
      <c r="O1611" s="41" t="s">
        <v>45</v>
      </c>
      <c r="P1611" s="125">
        <f t="shared" si="919"/>
        <v>0.5</v>
      </c>
      <c r="Q1611" s="61" t="str">
        <f t="shared" si="920"/>
        <v>1000 + шт - 0,5 руб / шт с НДС</v>
      </c>
      <c r="R1611" s="235"/>
      <c r="S1611" s="239"/>
      <c r="T1611" s="234"/>
      <c r="U1611" s="228"/>
      <c r="V1611" s="222"/>
      <c r="W1611" s="229"/>
      <c r="X1611" s="227"/>
      <c r="Y1611" s="229"/>
      <c r="Z1611" s="236"/>
      <c r="AA1611" s="237"/>
      <c r="AB1611" s="238"/>
      <c r="AC1611" s="223"/>
      <c r="AD1611" s="222"/>
    </row>
    <row r="1612" spans="1:30" x14ac:dyDescent="0.4">
      <c r="A1612" s="230">
        <v>324</v>
      </c>
      <c r="B1612" s="8">
        <v>324</v>
      </c>
      <c r="C1612" s="14">
        <f t="shared" ca="1" si="906"/>
        <v>1.01</v>
      </c>
      <c r="D1612" s="20">
        <f t="shared" ca="1" si="911"/>
        <v>1.212</v>
      </c>
      <c r="E1612" s="224" t="str">
        <f ca="1">INDIRECT("'Закуп'!D" &amp; A1612)</f>
        <v>У</v>
      </c>
      <c r="F1612" s="231" t="str">
        <f t="shared" ref="F1612" ca="1" si="937">INDIRECT("'Закуп'!E" &amp; B1612)</f>
        <v>287х207х347</v>
      </c>
      <c r="G1612" s="172" t="str">
        <f t="shared" ca="1" si="932"/>
        <v/>
      </c>
      <c r="H1612" s="93" t="str">
        <f t="shared" ca="1" si="933"/>
        <v/>
      </c>
      <c r="I1612" s="21">
        <v>50</v>
      </c>
      <c r="J1612" s="68">
        <f t="shared" si="934"/>
        <v>1.6666666666666667</v>
      </c>
      <c r="K1612" s="70">
        <v>2</v>
      </c>
      <c r="L1612" s="72">
        <f t="shared" ca="1" si="929"/>
        <v>0.52533333333333343</v>
      </c>
      <c r="M1612" s="73">
        <f t="shared" ca="1" si="930"/>
        <v>26.266666666666673</v>
      </c>
      <c r="N1612" s="12" t="s">
        <v>40</v>
      </c>
      <c r="O1612" s="47" t="s">
        <v>45</v>
      </c>
      <c r="P1612" s="13">
        <f t="shared" si="919"/>
        <v>2</v>
      </c>
      <c r="Q1612" s="1" t="str">
        <f t="shared" si="920"/>
        <v>50-90 шт - 2 руб / шт с НДС</v>
      </c>
      <c r="R1612" s="235" t="str">
        <f ca="1">INDIRECT("'Закуп'!k" &amp; A1612)</f>
        <v>K269</v>
      </c>
      <c r="S1612" s="239">
        <f ca="1">INDIRECT("'Закуп'!o" &amp; A1612)</f>
        <v>20.61</v>
      </c>
      <c r="T1612" s="226" t="str">
        <f ca="1">INDIRECT("'Закуп'!p" &amp; A1612)</f>
        <v>20-29 литров</v>
      </c>
      <c r="U1612" s="228" t="str">
        <f ca="1">INDIRECT("'Закуп'!v" &amp; A1612)</f>
        <v/>
      </c>
      <c r="V1612" s="222" t="str">
        <f ca="1">INDIRECT("'Закуп'!w" &amp; A1612)</f>
        <v/>
      </c>
      <c r="W1612" s="229" t="str">
        <f ca="1">INDIRECT("'Закуп'!H" &amp; A1612)</f>
        <v>0201</v>
      </c>
      <c r="X1612" s="227" t="str">
        <f t="shared" ref="X1612" ca="1" si="938">INDIRECT("'Закуп'!g" &amp; A1612)</f>
        <v>Ч</v>
      </c>
      <c r="Y1612" s="229" t="str">
        <f ca="1">INDIRECT("'Закуп'!i" &amp; A1612)</f>
        <v>В</v>
      </c>
      <c r="Z1612" s="236" t="str">
        <f ca="1">INDIRECT("'Закуп'!x" &amp; A1612)</f>
        <v>300-399 мм</v>
      </c>
      <c r="AA1612" s="237" t="str">
        <f ca="1">INDIRECT("'Закуп'!y" &amp; A1612)</f>
        <v>200-299 мм</v>
      </c>
      <c r="AB1612" s="238" t="str">
        <f ca="1">INDIRECT("'Закуп'!z" &amp; A1612)</f>
        <v>200-299 мм</v>
      </c>
      <c r="AC1612" s="223" t="str">
        <f t="shared" ca="1" si="927"/>
        <v>287x207x347</v>
      </c>
      <c r="AD1612" s="222" t="str">
        <f t="shared" ca="1" si="914"/>
        <v>287x207x347 - 287*207*347 мм</v>
      </c>
    </row>
    <row r="1613" spans="1:30" x14ac:dyDescent="0.4">
      <c r="A1613" s="230"/>
      <c r="B1613" s="8">
        <v>324</v>
      </c>
      <c r="C1613" s="14">
        <f t="shared" ca="1" si="906"/>
        <v>1.01</v>
      </c>
      <c r="D1613" s="20">
        <f t="shared" ca="1" si="911"/>
        <v>1.212</v>
      </c>
      <c r="E1613" s="225"/>
      <c r="F1613" s="231"/>
      <c r="G1613" s="172" t="str">
        <f t="shared" ca="1" si="932"/>
        <v/>
      </c>
      <c r="H1613" s="93" t="str">
        <f t="shared" ca="1" si="933"/>
        <v/>
      </c>
      <c r="I1613" s="21">
        <v>100</v>
      </c>
      <c r="J1613" s="68">
        <f t="shared" si="934"/>
        <v>1.5416666666666667</v>
      </c>
      <c r="K1613" s="70">
        <v>1.85</v>
      </c>
      <c r="L1613" s="72">
        <f t="shared" ca="1" si="929"/>
        <v>0.4253333333333334</v>
      </c>
      <c r="M1613" s="73">
        <f t="shared" ca="1" si="930"/>
        <v>42.533333333333339</v>
      </c>
      <c r="N1613" s="12" t="s">
        <v>41</v>
      </c>
      <c r="O1613" s="47" t="s">
        <v>45</v>
      </c>
      <c r="P1613" s="13">
        <f t="shared" si="919"/>
        <v>1.85</v>
      </c>
      <c r="Q1613" s="1" t="str">
        <f t="shared" si="920"/>
        <v>100-290 шт - 1,85 руб / шт с НДС</v>
      </c>
      <c r="R1613" s="235"/>
      <c r="S1613" s="239"/>
      <c r="T1613" s="226"/>
      <c r="U1613" s="228"/>
      <c r="V1613" s="222"/>
      <c r="W1613" s="229"/>
      <c r="X1613" s="227"/>
      <c r="Y1613" s="229"/>
      <c r="Z1613" s="236"/>
      <c r="AA1613" s="237"/>
      <c r="AB1613" s="238"/>
      <c r="AC1613" s="223"/>
      <c r="AD1613" s="222"/>
    </row>
    <row r="1614" spans="1:30" x14ac:dyDescent="0.4">
      <c r="A1614" s="230"/>
      <c r="B1614" s="8">
        <v>324</v>
      </c>
      <c r="C1614" s="14">
        <f t="shared" ca="1" si="906"/>
        <v>1.01</v>
      </c>
      <c r="D1614" s="20">
        <f t="shared" ca="1" si="911"/>
        <v>1.212</v>
      </c>
      <c r="E1614" s="225"/>
      <c r="F1614" s="231"/>
      <c r="G1614" s="172" t="str">
        <f t="shared" ca="1" si="932"/>
        <v/>
      </c>
      <c r="H1614" s="93" t="str">
        <f t="shared" ca="1" si="933"/>
        <v/>
      </c>
      <c r="I1614" s="21">
        <v>300</v>
      </c>
      <c r="J1614" s="68">
        <f t="shared" si="934"/>
        <v>1.4166666666666667</v>
      </c>
      <c r="K1614" s="70">
        <v>1.7</v>
      </c>
      <c r="L1614" s="72">
        <f t="shared" ca="1" si="929"/>
        <v>0.32533333333333336</v>
      </c>
      <c r="M1614" s="73">
        <f t="shared" ca="1" si="930"/>
        <v>97.600000000000009</v>
      </c>
      <c r="N1614" s="12" t="s">
        <v>42</v>
      </c>
      <c r="O1614" s="47" t="s">
        <v>45</v>
      </c>
      <c r="P1614" s="13">
        <f t="shared" si="919"/>
        <v>1.7</v>
      </c>
      <c r="Q1614" s="1" t="str">
        <f t="shared" si="920"/>
        <v>300-490 шт - 1,7 руб / шт с НДС</v>
      </c>
      <c r="R1614" s="235"/>
      <c r="S1614" s="239"/>
      <c r="T1614" s="226"/>
      <c r="U1614" s="228"/>
      <c r="V1614" s="222"/>
      <c r="W1614" s="229"/>
      <c r="X1614" s="227"/>
      <c r="Y1614" s="229"/>
      <c r="Z1614" s="236"/>
      <c r="AA1614" s="237"/>
      <c r="AB1614" s="238"/>
      <c r="AC1614" s="223"/>
      <c r="AD1614" s="222"/>
    </row>
    <row r="1615" spans="1:30" x14ac:dyDescent="0.4">
      <c r="A1615" s="230"/>
      <c r="B1615" s="8">
        <v>324</v>
      </c>
      <c r="C1615" s="14">
        <f t="shared" ca="1" si="906"/>
        <v>1.01</v>
      </c>
      <c r="D1615" s="20">
        <f t="shared" ca="1" si="911"/>
        <v>1.212</v>
      </c>
      <c r="E1615" s="225"/>
      <c r="F1615" s="231"/>
      <c r="G1615" s="172" t="str">
        <f t="shared" ca="1" si="932"/>
        <v/>
      </c>
      <c r="H1615" s="93" t="str">
        <f t="shared" ca="1" si="933"/>
        <v/>
      </c>
      <c r="I1615" s="21">
        <v>500</v>
      </c>
      <c r="J1615" s="68">
        <f t="shared" si="934"/>
        <v>1.2916666666666667</v>
      </c>
      <c r="K1615" s="70">
        <v>1.55</v>
      </c>
      <c r="L1615" s="72">
        <f t="shared" ca="1" si="929"/>
        <v>0.22533333333333339</v>
      </c>
      <c r="M1615" s="73">
        <f t="shared" ca="1" si="930"/>
        <v>112.66666666666669</v>
      </c>
      <c r="N1615" s="12" t="s">
        <v>43</v>
      </c>
      <c r="O1615" s="47" t="s">
        <v>45</v>
      </c>
      <c r="P1615" s="13">
        <f t="shared" si="919"/>
        <v>1.55</v>
      </c>
      <c r="Q1615" s="1" t="str">
        <f t="shared" si="920"/>
        <v>500-990 шт - 1,55 руб / шт с НДС</v>
      </c>
      <c r="R1615" s="235"/>
      <c r="S1615" s="239"/>
      <c r="T1615" s="226"/>
      <c r="U1615" s="228"/>
      <c r="V1615" s="222"/>
      <c r="W1615" s="229"/>
      <c r="X1615" s="227"/>
      <c r="Y1615" s="229"/>
      <c r="Z1615" s="236"/>
      <c r="AA1615" s="237"/>
      <c r="AB1615" s="238"/>
      <c r="AC1615" s="223"/>
      <c r="AD1615" s="222"/>
    </row>
    <row r="1616" spans="1:30" x14ac:dyDescent="0.4">
      <c r="A1616" s="230"/>
      <c r="B1616" s="8">
        <v>324</v>
      </c>
      <c r="C1616" s="14">
        <f t="shared" ca="1" si="906"/>
        <v>1.01</v>
      </c>
      <c r="D1616" s="20">
        <f t="shared" ca="1" si="911"/>
        <v>1.212</v>
      </c>
      <c r="E1616" s="225"/>
      <c r="F1616" s="231"/>
      <c r="G1616" s="172" t="str">
        <f t="shared" ca="1" si="932"/>
        <v/>
      </c>
      <c r="H1616" s="93" t="str">
        <f t="shared" ca="1" si="933"/>
        <v/>
      </c>
      <c r="I1616" s="21">
        <v>1000</v>
      </c>
      <c r="J1616" s="68">
        <f t="shared" si="934"/>
        <v>1.1666666666666667</v>
      </c>
      <c r="K1616" s="70">
        <v>1.4</v>
      </c>
      <c r="L1616" s="72">
        <f t="shared" ca="1" si="929"/>
        <v>0.12533333333333338</v>
      </c>
      <c r="M1616" s="73">
        <f t="shared" ca="1" si="930"/>
        <v>125.33333333333339</v>
      </c>
      <c r="N1616" s="12" t="s">
        <v>44</v>
      </c>
      <c r="O1616" s="47" t="s">
        <v>45</v>
      </c>
      <c r="P1616" s="13">
        <f t="shared" si="919"/>
        <v>1.4</v>
      </c>
      <c r="Q1616" s="1" t="str">
        <f t="shared" si="920"/>
        <v>1000 + шт - 1,4 руб / шт с НДС</v>
      </c>
      <c r="R1616" s="235"/>
      <c r="S1616" s="239"/>
      <c r="T1616" s="226"/>
      <c r="U1616" s="228"/>
      <c r="V1616" s="222"/>
      <c r="W1616" s="229"/>
      <c r="X1616" s="227"/>
      <c r="Y1616" s="229"/>
      <c r="Z1616" s="236"/>
      <c r="AA1616" s="237"/>
      <c r="AB1616" s="238"/>
      <c r="AC1616" s="223"/>
      <c r="AD1616" s="222"/>
    </row>
    <row r="1617" spans="1:30" x14ac:dyDescent="0.4">
      <c r="A1617" s="230">
        <v>325</v>
      </c>
      <c r="B1617" s="8">
        <v>325</v>
      </c>
      <c r="C1617" s="14">
        <f t="shared" ca="1" si="906"/>
        <v>0.66</v>
      </c>
      <c r="D1617" s="20">
        <f t="shared" ca="1" si="911"/>
        <v>0.79200000000000004</v>
      </c>
      <c r="E1617" s="233" t="str">
        <f ca="1">INDIRECT("'Закуп'!D" &amp; A1617)</f>
        <v>БМ</v>
      </c>
      <c r="F1617" s="231" t="str">
        <f t="shared" ref="F1617" ca="1" si="939">INDIRECT("'Закуп'!E" &amp; B1617)</f>
        <v>365х155х192</v>
      </c>
      <c r="G1617" s="172" t="str">
        <f t="shared" ca="1" si="932"/>
        <v/>
      </c>
      <c r="H1617" s="93" t="str">
        <f t="shared" ca="1" si="933"/>
        <v/>
      </c>
      <c r="I1617" s="21">
        <v>50</v>
      </c>
      <c r="J1617" s="68">
        <f t="shared" si="934"/>
        <v>1.25</v>
      </c>
      <c r="K1617" s="70">
        <v>1.5</v>
      </c>
      <c r="L1617" s="72">
        <f t="shared" ca="1" si="929"/>
        <v>0.47199999999999998</v>
      </c>
      <c r="M1617" s="73">
        <f t="shared" ca="1" si="930"/>
        <v>23.599999999999998</v>
      </c>
      <c r="N1617" s="12" t="s">
        <v>40</v>
      </c>
      <c r="O1617" s="47" t="s">
        <v>45</v>
      </c>
      <c r="P1617" s="13">
        <f t="shared" si="919"/>
        <v>1.5</v>
      </c>
      <c r="Q1617" s="1" t="str">
        <f t="shared" si="920"/>
        <v>50-90 шт - 1,5 руб / шт с НДС</v>
      </c>
      <c r="R1617" s="235" t="str">
        <f ca="1">INDIRECT("'Закуп'!k" &amp; A1617)</f>
        <v>K517</v>
      </c>
      <c r="S1617" s="239">
        <f ca="1">INDIRECT("'Закуп'!o" &amp; A1617)</f>
        <v>10.86</v>
      </c>
      <c r="T1617" s="226" t="str">
        <f ca="1">INDIRECT("'Закуп'!p" &amp; A1617)</f>
        <v>10-14,9 литров</v>
      </c>
      <c r="U1617" s="228" t="str">
        <f ca="1">INDIRECT("'Закуп'!v" &amp; A1617)</f>
        <v/>
      </c>
      <c r="V1617" s="222" t="str">
        <f ca="1">INDIRECT("'Закуп'!w" &amp; A1617)</f>
        <v/>
      </c>
      <c r="W1617" s="229" t="str">
        <f ca="1">INDIRECT("'Закуп'!H" &amp; A1617)</f>
        <v>0201</v>
      </c>
      <c r="X1617" s="227" t="str">
        <f t="shared" ref="X1617" ca="1" si="940">INDIRECT("'Закуп'!g" &amp; A1617)</f>
        <v>Ч</v>
      </c>
      <c r="Y1617" s="229" t="str">
        <f ca="1">INDIRECT("'Закуп'!i" &amp; A1617)</f>
        <v>B</v>
      </c>
      <c r="Z1617" s="236" t="str">
        <f ca="1">INDIRECT("'Закуп'!x" &amp; A1617)</f>
        <v>300-399 мм</v>
      </c>
      <c r="AA1617" s="237" t="str">
        <f ca="1">INDIRECT("'Закуп'!y" &amp; A1617)</f>
        <v>100-199 мм</v>
      </c>
      <c r="AB1617" s="238" t="str">
        <f ca="1">INDIRECT("'Закуп'!z" &amp; A1617)</f>
        <v>100-199 мм</v>
      </c>
      <c r="AC1617" s="223" t="str">
        <f t="shared" ca="1" si="927"/>
        <v>365x155x192</v>
      </c>
      <c r="AD1617" s="222" t="str">
        <f t="shared" ca="1" si="914"/>
        <v>365x155x192 - 365*155*192 мм</v>
      </c>
    </row>
    <row r="1618" spans="1:30" x14ac:dyDescent="0.4">
      <c r="A1618" s="230"/>
      <c r="B1618" s="8">
        <v>325</v>
      </c>
      <c r="C1618" s="14">
        <f t="shared" ca="1" si="906"/>
        <v>0.66</v>
      </c>
      <c r="D1618" s="20">
        <f t="shared" ca="1" si="911"/>
        <v>0.79200000000000004</v>
      </c>
      <c r="E1618" s="225"/>
      <c r="F1618" s="231"/>
      <c r="G1618" s="172" t="str">
        <f t="shared" ca="1" si="932"/>
        <v/>
      </c>
      <c r="H1618" s="93" t="str">
        <f t="shared" ca="1" si="933"/>
        <v/>
      </c>
      <c r="I1618" s="21">
        <v>100</v>
      </c>
      <c r="J1618" s="68">
        <f t="shared" si="934"/>
        <v>1.1666666666666667</v>
      </c>
      <c r="K1618" s="70">
        <v>1.4</v>
      </c>
      <c r="L1618" s="72">
        <f t="shared" ca="1" si="929"/>
        <v>0.40533333333333338</v>
      </c>
      <c r="M1618" s="73">
        <f t="shared" ca="1" si="930"/>
        <v>40.533333333333339</v>
      </c>
      <c r="N1618" s="12" t="s">
        <v>41</v>
      </c>
      <c r="O1618" s="47" t="s">
        <v>45</v>
      </c>
      <c r="P1618" s="13">
        <f t="shared" si="919"/>
        <v>1.4</v>
      </c>
      <c r="Q1618" s="1" t="str">
        <f t="shared" si="920"/>
        <v>100-290 шт - 1,4 руб / шт с НДС</v>
      </c>
      <c r="R1618" s="235"/>
      <c r="S1618" s="239"/>
      <c r="T1618" s="226"/>
      <c r="U1618" s="228"/>
      <c r="V1618" s="222"/>
      <c r="W1618" s="229"/>
      <c r="X1618" s="227"/>
      <c r="Y1618" s="229"/>
      <c r="Z1618" s="236"/>
      <c r="AA1618" s="237"/>
      <c r="AB1618" s="238"/>
      <c r="AC1618" s="223"/>
      <c r="AD1618" s="222"/>
    </row>
    <row r="1619" spans="1:30" x14ac:dyDescent="0.4">
      <c r="A1619" s="230"/>
      <c r="B1619" s="8">
        <v>325</v>
      </c>
      <c r="C1619" s="14">
        <f t="shared" ca="1" si="906"/>
        <v>0.66</v>
      </c>
      <c r="D1619" s="20">
        <f t="shared" ca="1" si="911"/>
        <v>0.79200000000000004</v>
      </c>
      <c r="E1619" s="225"/>
      <c r="F1619" s="231"/>
      <c r="G1619" s="172" t="str">
        <f t="shared" ca="1" si="932"/>
        <v/>
      </c>
      <c r="H1619" s="93" t="str">
        <f t="shared" ca="1" si="933"/>
        <v/>
      </c>
      <c r="I1619" s="21">
        <v>300</v>
      </c>
      <c r="J1619" s="68">
        <f t="shared" si="934"/>
        <v>1.0833333333333335</v>
      </c>
      <c r="K1619" s="70">
        <v>1.3</v>
      </c>
      <c r="L1619" s="72">
        <f t="shared" ca="1" si="929"/>
        <v>0.33866666666666678</v>
      </c>
      <c r="M1619" s="73">
        <f t="shared" ca="1" si="930"/>
        <v>101.60000000000004</v>
      </c>
      <c r="N1619" s="12" t="s">
        <v>42</v>
      </c>
      <c r="O1619" s="47" t="s">
        <v>45</v>
      </c>
      <c r="P1619" s="13">
        <f t="shared" si="919"/>
        <v>1.3</v>
      </c>
      <c r="Q1619" s="1" t="str">
        <f t="shared" si="920"/>
        <v>300-490 шт - 1,3 руб / шт с НДС</v>
      </c>
      <c r="R1619" s="235"/>
      <c r="S1619" s="239"/>
      <c r="T1619" s="226"/>
      <c r="U1619" s="228"/>
      <c r="V1619" s="222"/>
      <c r="W1619" s="229"/>
      <c r="X1619" s="227"/>
      <c r="Y1619" s="229"/>
      <c r="Z1619" s="236"/>
      <c r="AA1619" s="237"/>
      <c r="AB1619" s="238"/>
      <c r="AC1619" s="223"/>
      <c r="AD1619" s="222"/>
    </row>
    <row r="1620" spans="1:30" x14ac:dyDescent="0.4">
      <c r="A1620" s="230"/>
      <c r="B1620" s="8">
        <v>325</v>
      </c>
      <c r="C1620" s="14">
        <f t="shared" ca="1" si="906"/>
        <v>0.66</v>
      </c>
      <c r="D1620" s="20">
        <f t="shared" ca="1" si="911"/>
        <v>0.79200000000000004</v>
      </c>
      <c r="E1620" s="225"/>
      <c r="F1620" s="231"/>
      <c r="G1620" s="172" t="str">
        <f t="shared" ca="1" si="932"/>
        <v/>
      </c>
      <c r="H1620" s="93" t="str">
        <f t="shared" ca="1" si="933"/>
        <v/>
      </c>
      <c r="I1620" s="21">
        <v>500</v>
      </c>
      <c r="J1620" s="68">
        <f t="shared" si="934"/>
        <v>0.95833333333333326</v>
      </c>
      <c r="K1620" s="70">
        <v>1.1499999999999999</v>
      </c>
      <c r="L1620" s="72">
        <f t="shared" ca="1" si="929"/>
        <v>0.23866666666666658</v>
      </c>
      <c r="M1620" s="73">
        <f t="shared" ca="1" si="930"/>
        <v>119.33333333333329</v>
      </c>
      <c r="N1620" s="12" t="s">
        <v>43</v>
      </c>
      <c r="O1620" s="47" t="s">
        <v>45</v>
      </c>
      <c r="P1620" s="13">
        <f t="shared" si="919"/>
        <v>1.1499999999999999</v>
      </c>
      <c r="Q1620" s="1" t="str">
        <f t="shared" si="920"/>
        <v>500-990 шт - 1,15 руб / шт с НДС</v>
      </c>
      <c r="R1620" s="235"/>
      <c r="S1620" s="239"/>
      <c r="T1620" s="226"/>
      <c r="U1620" s="228"/>
      <c r="V1620" s="222"/>
      <c r="W1620" s="229"/>
      <c r="X1620" s="227"/>
      <c r="Y1620" s="229"/>
      <c r="Z1620" s="236"/>
      <c r="AA1620" s="237"/>
      <c r="AB1620" s="238"/>
      <c r="AC1620" s="223"/>
      <c r="AD1620" s="222"/>
    </row>
    <row r="1621" spans="1:30" x14ac:dyDescent="0.4">
      <c r="A1621" s="230"/>
      <c r="B1621" s="8">
        <v>325</v>
      </c>
      <c r="C1621" s="14">
        <f t="shared" ca="1" si="906"/>
        <v>0.66</v>
      </c>
      <c r="D1621" s="20">
        <f t="shared" ca="1" si="911"/>
        <v>0.79200000000000004</v>
      </c>
      <c r="E1621" s="225"/>
      <c r="F1621" s="231"/>
      <c r="G1621" s="172" t="str">
        <f t="shared" ca="1" si="932"/>
        <v/>
      </c>
      <c r="H1621" s="93" t="str">
        <f t="shared" ca="1" si="933"/>
        <v/>
      </c>
      <c r="I1621" s="21">
        <v>1000</v>
      </c>
      <c r="J1621" s="68">
        <f t="shared" si="934"/>
        <v>0.83333333333333337</v>
      </c>
      <c r="K1621" s="70">
        <v>1</v>
      </c>
      <c r="L1621" s="72">
        <f t="shared" ca="1" si="929"/>
        <v>0.13866666666666666</v>
      </c>
      <c r="M1621" s="73">
        <f t="shared" ca="1" si="930"/>
        <v>138.66666666666666</v>
      </c>
      <c r="N1621" s="12" t="s">
        <v>44</v>
      </c>
      <c r="O1621" s="47" t="s">
        <v>45</v>
      </c>
      <c r="P1621" s="13">
        <f t="shared" si="919"/>
        <v>1</v>
      </c>
      <c r="Q1621" s="1" t="str">
        <f t="shared" si="920"/>
        <v>1000 + шт - 1 руб / шт с НДС</v>
      </c>
      <c r="R1621" s="235"/>
      <c r="S1621" s="239"/>
      <c r="T1621" s="226"/>
      <c r="U1621" s="228"/>
      <c r="V1621" s="222"/>
      <c r="W1621" s="229"/>
      <c r="X1621" s="227"/>
      <c r="Y1621" s="229"/>
      <c r="Z1621" s="236"/>
      <c r="AA1621" s="237"/>
      <c r="AB1621" s="238"/>
      <c r="AC1621" s="223"/>
      <c r="AD1621" s="222"/>
    </row>
    <row r="1622" spans="1:30" x14ac:dyDescent="0.4">
      <c r="A1622" s="230">
        <v>326</v>
      </c>
      <c r="B1622" s="8">
        <v>326</v>
      </c>
      <c r="C1622" s="14">
        <f t="shared" ref="C1622:C1685" ca="1" si="941">INDIRECT("'Закуп'!A" &amp; B1622)</f>
        <v>0.45</v>
      </c>
      <c r="D1622" s="20">
        <f t="shared" ca="1" si="911"/>
        <v>0.54</v>
      </c>
      <c r="E1622" s="225" t="str">
        <f ca="1">INDIRECT("'Закуп'!D" &amp; A1622)</f>
        <v>БМ</v>
      </c>
      <c r="F1622" s="231" t="str">
        <f t="shared" ref="F1622" ca="1" si="942">INDIRECT("'Закуп'!E" &amp; B1622)</f>
        <v>500х100х40</v>
      </c>
      <c r="G1622" s="172" t="str">
        <f t="shared" ca="1" si="932"/>
        <v/>
      </c>
      <c r="H1622" s="93" t="str">
        <f t="shared" ca="1" si="933"/>
        <v/>
      </c>
      <c r="I1622" s="21">
        <v>50</v>
      </c>
      <c r="J1622" s="68">
        <f t="shared" si="934"/>
        <v>1.1666666666666667</v>
      </c>
      <c r="K1622" s="70">
        <v>1.4</v>
      </c>
      <c r="L1622" s="72">
        <f t="shared" ca="1" si="929"/>
        <v>0.57333333333333347</v>
      </c>
      <c r="M1622" s="73">
        <f t="shared" ca="1" si="930"/>
        <v>28.666666666666675</v>
      </c>
      <c r="N1622" s="12" t="s">
        <v>40</v>
      </c>
      <c r="O1622" s="47" t="s">
        <v>45</v>
      </c>
      <c r="P1622" s="13">
        <f t="shared" si="919"/>
        <v>1.4</v>
      </c>
      <c r="Q1622" s="1" t="str">
        <f t="shared" si="920"/>
        <v>50-90 шт - 1,4 руб / шт с НДС</v>
      </c>
      <c r="R1622" s="235" t="str">
        <f ca="1">INDIRECT("'Закуп'!k" &amp; A1622)</f>
        <v>K518</v>
      </c>
      <c r="S1622" s="239">
        <f ca="1">INDIRECT("'Закуп'!o" &amp; A1622)</f>
        <v>2</v>
      </c>
      <c r="T1622" s="226" t="str">
        <f ca="1">INDIRECT("'Закуп'!p" &amp; A1622)</f>
        <v>2-2,9 литра</v>
      </c>
      <c r="U1622" s="228" t="str">
        <f ca="1">INDIRECT("'Закуп'!v" &amp; A1622)</f>
        <v>Длинные</v>
      </c>
      <c r="V1622" s="222" t="str">
        <f ca="1">INDIRECT("'Закуп'!w" &amp; A1622)</f>
        <v>Плоские</v>
      </c>
      <c r="W1622" s="229" t="str">
        <f ca="1">INDIRECT("'Закуп'!H" &amp; A1622)</f>
        <v>0427</v>
      </c>
      <c r="X1622" s="227" t="str">
        <f t="shared" ref="X1622" ca="1" si="943">INDIRECT("'Закуп'!g" &amp; A1622)</f>
        <v>С</v>
      </c>
      <c r="Y1622" s="229" t="str">
        <f ca="1">INDIRECT("'Закуп'!i" &amp; A1622)</f>
        <v>В</v>
      </c>
      <c r="Z1622" s="236" t="str">
        <f ca="1">INDIRECT("'Закуп'!x" &amp; A1622)</f>
        <v>500-599 мм</v>
      </c>
      <c r="AA1622" s="237" t="str">
        <f ca="1">INDIRECT("'Закуп'!y" &amp; A1622)</f>
        <v>100-199 мм</v>
      </c>
      <c r="AB1622" s="238" t="str">
        <f ca="1">INDIRECT("'Закуп'!z" &amp; A1622)</f>
        <v>10-99 мм</v>
      </c>
      <c r="AC1622" s="223" t="str">
        <f t="shared" ca="1" si="927"/>
        <v>500x100x40</v>
      </c>
      <c r="AD1622" s="222" t="str">
        <f t="shared" ca="1" si="914"/>
        <v>500x100x40 - 500*100*40 мм</v>
      </c>
    </row>
    <row r="1623" spans="1:30" x14ac:dyDescent="0.4">
      <c r="A1623" s="230"/>
      <c r="B1623" s="8">
        <v>326</v>
      </c>
      <c r="C1623" s="14">
        <f t="shared" ca="1" si="941"/>
        <v>0.45</v>
      </c>
      <c r="D1623" s="20">
        <f t="shared" ca="1" si="911"/>
        <v>0.54</v>
      </c>
      <c r="E1623" s="225"/>
      <c r="F1623" s="231"/>
      <c r="G1623" s="172" t="str">
        <f t="shared" ca="1" si="932"/>
        <v/>
      </c>
      <c r="H1623" s="93" t="str">
        <f t="shared" ca="1" si="933"/>
        <v/>
      </c>
      <c r="I1623" s="21">
        <v>100</v>
      </c>
      <c r="J1623" s="68">
        <f t="shared" si="934"/>
        <v>1.0833333333333335</v>
      </c>
      <c r="K1623" s="70">
        <v>1.3</v>
      </c>
      <c r="L1623" s="72">
        <f t="shared" ca="1" si="929"/>
        <v>0.50666666666666682</v>
      </c>
      <c r="M1623" s="73">
        <f t="shared" ca="1" si="930"/>
        <v>50.666666666666686</v>
      </c>
      <c r="N1623" s="12" t="s">
        <v>41</v>
      </c>
      <c r="O1623" s="47" t="s">
        <v>45</v>
      </c>
      <c r="P1623" s="13">
        <f t="shared" si="919"/>
        <v>1.3</v>
      </c>
      <c r="Q1623" s="1" t="str">
        <f t="shared" si="920"/>
        <v>100-290 шт - 1,3 руб / шт с НДС</v>
      </c>
      <c r="R1623" s="235"/>
      <c r="S1623" s="239"/>
      <c r="T1623" s="226"/>
      <c r="U1623" s="228"/>
      <c r="V1623" s="222"/>
      <c r="W1623" s="229"/>
      <c r="X1623" s="227"/>
      <c r="Y1623" s="229"/>
      <c r="Z1623" s="236"/>
      <c r="AA1623" s="237"/>
      <c r="AB1623" s="238"/>
      <c r="AC1623" s="223"/>
      <c r="AD1623" s="222"/>
    </row>
    <row r="1624" spans="1:30" x14ac:dyDescent="0.4">
      <c r="A1624" s="230"/>
      <c r="B1624" s="8">
        <v>326</v>
      </c>
      <c r="C1624" s="14">
        <f t="shared" ca="1" si="941"/>
        <v>0.45</v>
      </c>
      <c r="D1624" s="20">
        <f t="shared" ca="1" si="911"/>
        <v>0.54</v>
      </c>
      <c r="E1624" s="225"/>
      <c r="F1624" s="231"/>
      <c r="G1624" s="172" t="str">
        <f t="shared" ca="1" si="932"/>
        <v/>
      </c>
      <c r="H1624" s="93" t="str">
        <f t="shared" ca="1" si="933"/>
        <v/>
      </c>
      <c r="I1624" s="21">
        <v>300</v>
      </c>
      <c r="J1624" s="68">
        <f t="shared" si="934"/>
        <v>0.95833333333333326</v>
      </c>
      <c r="K1624" s="70">
        <v>1.1499999999999999</v>
      </c>
      <c r="L1624" s="72">
        <f t="shared" ca="1" si="929"/>
        <v>0.40666666666666662</v>
      </c>
      <c r="M1624" s="73">
        <f t="shared" ca="1" si="930"/>
        <v>121.99999999999999</v>
      </c>
      <c r="N1624" s="12" t="s">
        <v>42</v>
      </c>
      <c r="O1624" s="47" t="s">
        <v>45</v>
      </c>
      <c r="P1624" s="13">
        <f t="shared" si="919"/>
        <v>1.1499999999999999</v>
      </c>
      <c r="Q1624" s="1" t="str">
        <f t="shared" si="920"/>
        <v>300-490 шт - 1,15 руб / шт с НДС</v>
      </c>
      <c r="R1624" s="235"/>
      <c r="S1624" s="239"/>
      <c r="T1624" s="226"/>
      <c r="U1624" s="228"/>
      <c r="V1624" s="222"/>
      <c r="W1624" s="229"/>
      <c r="X1624" s="227"/>
      <c r="Y1624" s="229"/>
      <c r="Z1624" s="236"/>
      <c r="AA1624" s="237"/>
      <c r="AB1624" s="238"/>
      <c r="AC1624" s="223"/>
      <c r="AD1624" s="222"/>
    </row>
    <row r="1625" spans="1:30" x14ac:dyDescent="0.4">
      <c r="A1625" s="230"/>
      <c r="B1625" s="8">
        <v>326</v>
      </c>
      <c r="C1625" s="14">
        <f t="shared" ca="1" si="941"/>
        <v>0.45</v>
      </c>
      <c r="D1625" s="20">
        <f t="shared" ca="1" si="911"/>
        <v>0.54</v>
      </c>
      <c r="E1625" s="225"/>
      <c r="F1625" s="231"/>
      <c r="G1625" s="172" t="str">
        <f t="shared" ca="1" si="932"/>
        <v/>
      </c>
      <c r="H1625" s="93" t="str">
        <f t="shared" ca="1" si="933"/>
        <v/>
      </c>
      <c r="I1625" s="21">
        <v>500</v>
      </c>
      <c r="J1625" s="68">
        <f t="shared" si="934"/>
        <v>0.83333333333333337</v>
      </c>
      <c r="K1625" s="70">
        <v>1</v>
      </c>
      <c r="L1625" s="72">
        <f t="shared" ca="1" si="929"/>
        <v>0.3066666666666667</v>
      </c>
      <c r="M1625" s="73">
        <f t="shared" ca="1" si="930"/>
        <v>153.33333333333334</v>
      </c>
      <c r="N1625" s="12" t="s">
        <v>43</v>
      </c>
      <c r="O1625" s="47" t="s">
        <v>45</v>
      </c>
      <c r="P1625" s="13">
        <f t="shared" si="919"/>
        <v>1</v>
      </c>
      <c r="Q1625" s="1" t="str">
        <f t="shared" si="920"/>
        <v>500-990 шт - 1 руб / шт с НДС</v>
      </c>
      <c r="R1625" s="235"/>
      <c r="S1625" s="239"/>
      <c r="T1625" s="226"/>
      <c r="U1625" s="228"/>
      <c r="V1625" s="222"/>
      <c r="W1625" s="229"/>
      <c r="X1625" s="227"/>
      <c r="Y1625" s="229"/>
      <c r="Z1625" s="236"/>
      <c r="AA1625" s="237"/>
      <c r="AB1625" s="238"/>
      <c r="AC1625" s="223"/>
      <c r="AD1625" s="222"/>
    </row>
    <row r="1626" spans="1:30" x14ac:dyDescent="0.4">
      <c r="A1626" s="230"/>
      <c r="B1626" s="8">
        <v>326</v>
      </c>
      <c r="C1626" s="14">
        <f t="shared" ca="1" si="941"/>
        <v>0.45</v>
      </c>
      <c r="D1626" s="20">
        <f t="shared" ca="1" si="911"/>
        <v>0.54</v>
      </c>
      <c r="E1626" s="225"/>
      <c r="F1626" s="231"/>
      <c r="G1626" s="172" t="str">
        <f t="shared" ca="1" si="932"/>
        <v/>
      </c>
      <c r="H1626" s="93" t="str">
        <f t="shared" ca="1" si="933"/>
        <v/>
      </c>
      <c r="I1626" s="21">
        <v>1000</v>
      </c>
      <c r="J1626" s="68">
        <f t="shared" si="934"/>
        <v>0.75</v>
      </c>
      <c r="K1626" s="70">
        <v>0.9</v>
      </c>
      <c r="L1626" s="72">
        <f t="shared" ca="1" si="929"/>
        <v>0.24</v>
      </c>
      <c r="M1626" s="73">
        <f t="shared" ca="1" si="930"/>
        <v>240</v>
      </c>
      <c r="N1626" s="12" t="s">
        <v>44</v>
      </c>
      <c r="O1626" s="47" t="s">
        <v>45</v>
      </c>
      <c r="P1626" s="13">
        <f t="shared" si="919"/>
        <v>0.9</v>
      </c>
      <c r="Q1626" s="1" t="str">
        <f t="shared" si="920"/>
        <v>1000 + шт - 0,9 руб / шт с НДС</v>
      </c>
      <c r="R1626" s="235"/>
      <c r="S1626" s="239"/>
      <c r="T1626" s="226"/>
      <c r="U1626" s="228"/>
      <c r="V1626" s="222"/>
      <c r="W1626" s="229"/>
      <c r="X1626" s="227"/>
      <c r="Y1626" s="229"/>
      <c r="Z1626" s="236"/>
      <c r="AA1626" s="237"/>
      <c r="AB1626" s="238"/>
      <c r="AC1626" s="223"/>
      <c r="AD1626" s="222"/>
    </row>
    <row r="1627" spans="1:30" x14ac:dyDescent="0.4">
      <c r="A1627" s="230">
        <v>327</v>
      </c>
      <c r="B1627" s="8">
        <v>327</v>
      </c>
      <c r="C1627" s="14">
        <f t="shared" ca="1" si="941"/>
        <v>0.56999999999999995</v>
      </c>
      <c r="D1627" s="20">
        <f t="shared" ca="1" si="911"/>
        <v>0.68399999999999994</v>
      </c>
      <c r="E1627" s="225" t="str">
        <f ca="1">INDIRECT("'Закуп'!D" &amp; A1627)</f>
        <v>У</v>
      </c>
      <c r="F1627" s="231" t="str">
        <f t="shared" ref="F1627" ca="1" si="944">INDIRECT("'Закуп'!E" &amp; B1627)</f>
        <v>150х150х170</v>
      </c>
      <c r="G1627" s="172" t="str">
        <f t="shared" ca="1" si="932"/>
        <v/>
      </c>
      <c r="H1627" s="93" t="str">
        <f t="shared" ca="1" si="933"/>
        <v/>
      </c>
      <c r="I1627" s="21">
        <v>50</v>
      </c>
      <c r="J1627" s="68">
        <f t="shared" si="934"/>
        <v>1.1666666666666667</v>
      </c>
      <c r="K1627" s="70">
        <v>1.4</v>
      </c>
      <c r="L1627" s="72">
        <f t="shared" ca="1" si="929"/>
        <v>0.47733333333333344</v>
      </c>
      <c r="M1627" s="73">
        <f t="shared" ca="1" si="930"/>
        <v>23.866666666666671</v>
      </c>
      <c r="N1627" s="12" t="s">
        <v>40</v>
      </c>
      <c r="O1627" s="47" t="s">
        <v>45</v>
      </c>
      <c r="P1627" s="13">
        <f t="shared" si="919"/>
        <v>1.4</v>
      </c>
      <c r="Q1627" s="1" t="str">
        <f t="shared" si="920"/>
        <v>50-90 шт - 1,4 руб / шт с НДС</v>
      </c>
      <c r="R1627" s="235" t="str">
        <f ca="1">INDIRECT("'Закуп'!k" &amp; A1627)</f>
        <v>K270</v>
      </c>
      <c r="S1627" s="239">
        <f ca="1">INDIRECT("'Закуп'!o" &amp; A1627)</f>
        <v>3.83</v>
      </c>
      <c r="T1627" s="226" t="str">
        <f ca="1">INDIRECT("'Закуп'!p" &amp; A1627)</f>
        <v>3-3,9 литра</v>
      </c>
      <c r="U1627" s="228" t="str">
        <f ca="1">INDIRECT("'Закуп'!v" &amp; A1627)</f>
        <v/>
      </c>
      <c r="V1627" s="222" t="str">
        <f ca="1">INDIRECT("'Закуп'!w" &amp; A1627)</f>
        <v/>
      </c>
      <c r="W1627" s="229" t="str">
        <f ca="1">INDIRECT("'Закуп'!H" &amp; A1627)</f>
        <v>0201</v>
      </c>
      <c r="X1627" s="227" t="str">
        <f t="shared" ref="X1627" ca="1" si="945">INDIRECT("'Закуп'!g" &amp; A1627)</f>
        <v>Ч</v>
      </c>
      <c r="Y1627" s="229" t="str">
        <f ca="1">INDIRECT("'Закуп'!i" &amp; A1627)</f>
        <v>В</v>
      </c>
      <c r="Z1627" s="236" t="str">
        <f ca="1">INDIRECT("'Закуп'!x" &amp; A1627)</f>
        <v>100-199 мм</v>
      </c>
      <c r="AA1627" s="237" t="str">
        <f ca="1">INDIRECT("'Закуп'!y" &amp; A1627)</f>
        <v>100-199 мм</v>
      </c>
      <c r="AB1627" s="238" t="str">
        <f ca="1">INDIRECT("'Закуп'!z" &amp; A1627)</f>
        <v>100-199 мм</v>
      </c>
      <c r="AC1627" s="223" t="str">
        <f t="shared" ca="1" si="927"/>
        <v>150x150x170</v>
      </c>
      <c r="AD1627" s="222" t="str">
        <f t="shared" ca="1" si="914"/>
        <v>150x150x170 - 150*150*170 мм</v>
      </c>
    </row>
    <row r="1628" spans="1:30" x14ac:dyDescent="0.4">
      <c r="A1628" s="230"/>
      <c r="B1628" s="8">
        <v>327</v>
      </c>
      <c r="C1628" s="14">
        <f t="shared" ca="1" si="941"/>
        <v>0.56999999999999995</v>
      </c>
      <c r="D1628" s="20">
        <f t="shared" ca="1" si="911"/>
        <v>0.68399999999999994</v>
      </c>
      <c r="E1628" s="225"/>
      <c r="F1628" s="231"/>
      <c r="G1628" s="172" t="str">
        <f t="shared" ca="1" si="932"/>
        <v/>
      </c>
      <c r="H1628" s="93" t="str">
        <f t="shared" ca="1" si="933"/>
        <v/>
      </c>
      <c r="I1628" s="21">
        <v>100</v>
      </c>
      <c r="J1628" s="68">
        <f t="shared" si="934"/>
        <v>1.0833333333333335</v>
      </c>
      <c r="K1628" s="70">
        <v>1.3</v>
      </c>
      <c r="L1628" s="72">
        <f t="shared" ca="1" si="929"/>
        <v>0.41066666666666685</v>
      </c>
      <c r="M1628" s="73">
        <f t="shared" ca="1" si="930"/>
        <v>41.066666666666684</v>
      </c>
      <c r="N1628" s="12" t="s">
        <v>41</v>
      </c>
      <c r="O1628" s="47" t="s">
        <v>45</v>
      </c>
      <c r="P1628" s="13">
        <f t="shared" si="919"/>
        <v>1.3</v>
      </c>
      <c r="Q1628" s="1" t="str">
        <f t="shared" si="920"/>
        <v>100-290 шт - 1,3 руб / шт с НДС</v>
      </c>
      <c r="R1628" s="235"/>
      <c r="S1628" s="239"/>
      <c r="T1628" s="226"/>
      <c r="U1628" s="228"/>
      <c r="V1628" s="222"/>
      <c r="W1628" s="229"/>
      <c r="X1628" s="227"/>
      <c r="Y1628" s="229"/>
      <c r="Z1628" s="236"/>
      <c r="AA1628" s="237"/>
      <c r="AB1628" s="238"/>
      <c r="AC1628" s="223"/>
      <c r="AD1628" s="222"/>
    </row>
    <row r="1629" spans="1:30" x14ac:dyDescent="0.4">
      <c r="A1629" s="230"/>
      <c r="B1629" s="8">
        <v>327</v>
      </c>
      <c r="C1629" s="14">
        <f t="shared" ca="1" si="941"/>
        <v>0.56999999999999995</v>
      </c>
      <c r="D1629" s="20">
        <f t="shared" ca="1" si="911"/>
        <v>0.68399999999999994</v>
      </c>
      <c r="E1629" s="225"/>
      <c r="F1629" s="231"/>
      <c r="G1629" s="172" t="str">
        <f t="shared" ca="1" si="932"/>
        <v/>
      </c>
      <c r="H1629" s="93" t="str">
        <f t="shared" ca="1" si="933"/>
        <v/>
      </c>
      <c r="I1629" s="21">
        <v>300</v>
      </c>
      <c r="J1629" s="68">
        <f t="shared" si="934"/>
        <v>1</v>
      </c>
      <c r="K1629" s="70">
        <v>1.2</v>
      </c>
      <c r="L1629" s="72">
        <f t="shared" ca="1" si="929"/>
        <v>0.34400000000000003</v>
      </c>
      <c r="M1629" s="73">
        <f t="shared" ca="1" si="930"/>
        <v>103.2</v>
      </c>
      <c r="N1629" s="12" t="s">
        <v>42</v>
      </c>
      <c r="O1629" s="47" t="s">
        <v>45</v>
      </c>
      <c r="P1629" s="13">
        <f t="shared" si="919"/>
        <v>1.2</v>
      </c>
      <c r="Q1629" s="1" t="str">
        <f t="shared" si="920"/>
        <v>300-490 шт - 1,2 руб / шт с НДС</v>
      </c>
      <c r="R1629" s="235"/>
      <c r="S1629" s="239"/>
      <c r="T1629" s="226"/>
      <c r="U1629" s="228"/>
      <c r="V1629" s="222"/>
      <c r="W1629" s="229"/>
      <c r="X1629" s="227"/>
      <c r="Y1629" s="229"/>
      <c r="Z1629" s="236"/>
      <c r="AA1629" s="237"/>
      <c r="AB1629" s="238"/>
      <c r="AC1629" s="223"/>
      <c r="AD1629" s="222"/>
    </row>
    <row r="1630" spans="1:30" x14ac:dyDescent="0.4">
      <c r="A1630" s="230"/>
      <c r="B1630" s="8">
        <v>327</v>
      </c>
      <c r="C1630" s="14">
        <f t="shared" ca="1" si="941"/>
        <v>0.56999999999999995</v>
      </c>
      <c r="D1630" s="20">
        <f t="shared" ca="1" si="911"/>
        <v>0.68399999999999994</v>
      </c>
      <c r="E1630" s="225"/>
      <c r="F1630" s="231"/>
      <c r="G1630" s="172" t="str">
        <f t="shared" ca="1" si="932"/>
        <v/>
      </c>
      <c r="H1630" s="93" t="str">
        <f t="shared" ca="1" si="933"/>
        <v/>
      </c>
      <c r="I1630" s="21">
        <v>500</v>
      </c>
      <c r="J1630" s="68">
        <f t="shared" si="934"/>
        <v>0.91666666666666674</v>
      </c>
      <c r="K1630" s="70">
        <v>1.1000000000000001</v>
      </c>
      <c r="L1630" s="72">
        <f t="shared" ca="1" si="929"/>
        <v>0.27733333333333343</v>
      </c>
      <c r="M1630" s="73">
        <f t="shared" ca="1" si="930"/>
        <v>138.66666666666671</v>
      </c>
      <c r="N1630" s="12" t="s">
        <v>43</v>
      </c>
      <c r="O1630" s="47" t="s">
        <v>45</v>
      </c>
      <c r="P1630" s="13">
        <f t="shared" si="919"/>
        <v>1.1000000000000001</v>
      </c>
      <c r="Q1630" s="1" t="str">
        <f t="shared" si="920"/>
        <v>500-990 шт - 1,1 руб / шт с НДС</v>
      </c>
      <c r="R1630" s="235"/>
      <c r="S1630" s="239"/>
      <c r="T1630" s="226"/>
      <c r="U1630" s="228"/>
      <c r="V1630" s="222"/>
      <c r="W1630" s="229"/>
      <c r="X1630" s="227"/>
      <c r="Y1630" s="229"/>
      <c r="Z1630" s="236"/>
      <c r="AA1630" s="237"/>
      <c r="AB1630" s="238"/>
      <c r="AC1630" s="223"/>
      <c r="AD1630" s="222"/>
    </row>
    <row r="1631" spans="1:30" x14ac:dyDescent="0.4">
      <c r="A1631" s="230"/>
      <c r="B1631" s="8">
        <v>327</v>
      </c>
      <c r="C1631" s="14">
        <f t="shared" ca="1" si="941"/>
        <v>0.56999999999999995</v>
      </c>
      <c r="D1631" s="20">
        <f t="shared" ca="1" si="911"/>
        <v>0.68399999999999994</v>
      </c>
      <c r="E1631" s="225"/>
      <c r="F1631" s="231"/>
      <c r="G1631" s="172" t="str">
        <f t="shared" ca="1" si="932"/>
        <v/>
      </c>
      <c r="H1631" s="93" t="str">
        <f t="shared" ca="1" si="933"/>
        <v/>
      </c>
      <c r="I1631" s="21">
        <v>1000</v>
      </c>
      <c r="J1631" s="68">
        <f t="shared" si="934"/>
        <v>0.83333333333333337</v>
      </c>
      <c r="K1631" s="70">
        <v>1</v>
      </c>
      <c r="L1631" s="72">
        <f t="shared" ca="1" si="929"/>
        <v>0.21066666666666672</v>
      </c>
      <c r="M1631" s="73">
        <f t="shared" ca="1" si="930"/>
        <v>210.66666666666671</v>
      </c>
      <c r="N1631" s="12" t="s">
        <v>44</v>
      </c>
      <c r="O1631" s="47" t="s">
        <v>45</v>
      </c>
      <c r="P1631" s="13">
        <f t="shared" si="919"/>
        <v>1</v>
      </c>
      <c r="Q1631" s="1" t="str">
        <f t="shared" si="920"/>
        <v>1000 + шт - 1 руб / шт с НДС</v>
      </c>
      <c r="R1631" s="235"/>
      <c r="S1631" s="239"/>
      <c r="T1631" s="226"/>
      <c r="U1631" s="228"/>
      <c r="V1631" s="222"/>
      <c r="W1631" s="229"/>
      <c r="X1631" s="227"/>
      <c r="Y1631" s="229"/>
      <c r="Z1631" s="236"/>
      <c r="AA1631" s="237"/>
      <c r="AB1631" s="238"/>
      <c r="AC1631" s="223"/>
      <c r="AD1631" s="222"/>
    </row>
    <row r="1632" spans="1:30" x14ac:dyDescent="0.4">
      <c r="A1632" s="230">
        <v>328</v>
      </c>
      <c r="B1632" s="8">
        <v>328</v>
      </c>
      <c r="C1632" s="14">
        <f t="shared" ca="1" si="941"/>
        <v>0.35</v>
      </c>
      <c r="D1632" s="20">
        <f t="shared" ca="1" si="911"/>
        <v>0.42</v>
      </c>
      <c r="E1632" s="225" t="str">
        <f ca="1">INDIRECT("'Закуп'!D" &amp; A1632)</f>
        <v>У</v>
      </c>
      <c r="F1632" s="231" t="str">
        <f t="shared" ref="F1632" ca="1" si="946">INDIRECT("'Закуп'!E" &amp; B1632)</f>
        <v>125х125х250</v>
      </c>
      <c r="G1632" s="172" t="str">
        <f t="shared" ca="1" si="932"/>
        <v/>
      </c>
      <c r="H1632" s="93" t="str">
        <f t="shared" ca="1" si="933"/>
        <v/>
      </c>
      <c r="I1632" s="21">
        <v>50</v>
      </c>
      <c r="J1632" s="68">
        <f t="shared" si="934"/>
        <v>1.1333333333333335</v>
      </c>
      <c r="K1632" s="70">
        <v>1.36</v>
      </c>
      <c r="L1632" s="72">
        <f t="shared" ca="1" si="929"/>
        <v>0.62666666666666682</v>
      </c>
      <c r="M1632" s="73">
        <f t="shared" ca="1" si="930"/>
        <v>31.333333333333339</v>
      </c>
      <c r="N1632" s="12" t="s">
        <v>40</v>
      </c>
      <c r="O1632" s="47" t="s">
        <v>45</v>
      </c>
      <c r="P1632" s="13">
        <f t="shared" si="919"/>
        <v>1.36</v>
      </c>
      <c r="Q1632" s="1" t="str">
        <f t="shared" si="920"/>
        <v>50-90 шт - 1,36 руб / шт с НДС</v>
      </c>
      <c r="R1632" s="235" t="str">
        <f ca="1">INDIRECT("'Закуп'!k" &amp; A1632)</f>
        <v>K271</v>
      </c>
      <c r="S1632" s="239">
        <f ca="1">INDIRECT("'Закуп'!o" &amp; A1632)</f>
        <v>3.91</v>
      </c>
      <c r="T1632" s="226" t="str">
        <f ca="1">INDIRECT("'Закуп'!p" &amp; A1632)</f>
        <v>3-3,9 литра</v>
      </c>
      <c r="U1632" s="228" t="str">
        <f ca="1">INDIRECT("'Закуп'!v" &amp; A1632)</f>
        <v>Длинные</v>
      </c>
      <c r="V1632" s="222" t="str">
        <f ca="1">INDIRECT("'Закуп'!w" &amp; A1632)</f>
        <v/>
      </c>
      <c r="W1632" s="229" t="str">
        <f ca="1">INDIRECT("'Закуп'!H" &amp; A1632)</f>
        <v>0201</v>
      </c>
      <c r="X1632" s="227" t="str">
        <f t="shared" ref="X1632" ca="1" si="947">INDIRECT("'Закуп'!g" &amp; A1632)</f>
        <v>Ч</v>
      </c>
      <c r="Y1632" s="229" t="str">
        <f ca="1">INDIRECT("'Закуп'!i" &amp; A1632)</f>
        <v>В</v>
      </c>
      <c r="Z1632" s="236" t="str">
        <f ca="1">INDIRECT("'Закуп'!x" &amp; A1632)</f>
        <v>200-299 мм</v>
      </c>
      <c r="AA1632" s="237" t="str">
        <f ca="1">INDIRECT("'Закуп'!y" &amp; A1632)</f>
        <v>100-199 мм</v>
      </c>
      <c r="AB1632" s="238" t="str">
        <f ca="1">INDIRECT("'Закуп'!z" &amp; A1632)</f>
        <v>100-199 мм</v>
      </c>
      <c r="AC1632" s="223" t="str">
        <f t="shared" ca="1" si="927"/>
        <v>125x125x250</v>
      </c>
      <c r="AD1632" s="222" t="str">
        <f t="shared" ca="1" si="914"/>
        <v>125x125x250 - 125*125*250 мм</v>
      </c>
    </row>
    <row r="1633" spans="1:30" x14ac:dyDescent="0.4">
      <c r="A1633" s="230"/>
      <c r="B1633" s="8">
        <v>328</v>
      </c>
      <c r="C1633" s="14">
        <f t="shared" ca="1" si="941"/>
        <v>0.35</v>
      </c>
      <c r="D1633" s="20">
        <f t="shared" ref="D1633:D1696" ca="1" si="948">C1633*1.2</f>
        <v>0.42</v>
      </c>
      <c r="E1633" s="225"/>
      <c r="F1633" s="231"/>
      <c r="G1633" s="172" t="str">
        <f t="shared" ca="1" si="932"/>
        <v/>
      </c>
      <c r="H1633" s="93" t="str">
        <f t="shared" ca="1" si="933"/>
        <v/>
      </c>
      <c r="I1633" s="21">
        <v>100</v>
      </c>
      <c r="J1633" s="68">
        <f t="shared" si="934"/>
        <v>1</v>
      </c>
      <c r="K1633" s="70">
        <v>1.2</v>
      </c>
      <c r="L1633" s="72">
        <f t="shared" ca="1" si="929"/>
        <v>0.52</v>
      </c>
      <c r="M1633" s="73">
        <f t="shared" ca="1" si="930"/>
        <v>52</v>
      </c>
      <c r="N1633" s="12" t="s">
        <v>41</v>
      </c>
      <c r="O1633" s="47" t="s">
        <v>45</v>
      </c>
      <c r="P1633" s="13">
        <f t="shared" si="919"/>
        <v>1.2</v>
      </c>
      <c r="Q1633" s="1" t="str">
        <f t="shared" si="920"/>
        <v>100-290 шт - 1,2 руб / шт с НДС</v>
      </c>
      <c r="R1633" s="235"/>
      <c r="S1633" s="239"/>
      <c r="T1633" s="226"/>
      <c r="U1633" s="228"/>
      <c r="V1633" s="222"/>
      <c r="W1633" s="229"/>
      <c r="X1633" s="227"/>
      <c r="Y1633" s="229"/>
      <c r="Z1633" s="236"/>
      <c r="AA1633" s="237"/>
      <c r="AB1633" s="238"/>
      <c r="AC1633" s="223"/>
      <c r="AD1633" s="222"/>
    </row>
    <row r="1634" spans="1:30" x14ac:dyDescent="0.4">
      <c r="A1634" s="230"/>
      <c r="B1634" s="8">
        <v>328</v>
      </c>
      <c r="C1634" s="14">
        <f t="shared" ca="1" si="941"/>
        <v>0.35</v>
      </c>
      <c r="D1634" s="20">
        <f t="shared" ca="1" si="948"/>
        <v>0.42</v>
      </c>
      <c r="E1634" s="225"/>
      <c r="F1634" s="231"/>
      <c r="G1634" s="172" t="str">
        <f t="shared" ca="1" si="932"/>
        <v/>
      </c>
      <c r="H1634" s="93" t="str">
        <f t="shared" ca="1" si="933"/>
        <v/>
      </c>
      <c r="I1634" s="21">
        <v>300</v>
      </c>
      <c r="J1634" s="68">
        <f t="shared" si="934"/>
        <v>0.8666666666666667</v>
      </c>
      <c r="K1634" s="70">
        <v>1.04</v>
      </c>
      <c r="L1634" s="72">
        <f t="shared" ca="1" si="929"/>
        <v>0.41333333333333339</v>
      </c>
      <c r="M1634" s="73">
        <f t="shared" ca="1" si="930"/>
        <v>124.00000000000001</v>
      </c>
      <c r="N1634" s="12" t="s">
        <v>42</v>
      </c>
      <c r="O1634" s="47" t="s">
        <v>45</v>
      </c>
      <c r="P1634" s="13">
        <f t="shared" si="919"/>
        <v>1.04</v>
      </c>
      <c r="Q1634" s="1" t="str">
        <f t="shared" si="920"/>
        <v>300-490 шт - 1,04 руб / шт с НДС</v>
      </c>
      <c r="R1634" s="235"/>
      <c r="S1634" s="239"/>
      <c r="T1634" s="226"/>
      <c r="U1634" s="228"/>
      <c r="V1634" s="222"/>
      <c r="W1634" s="229"/>
      <c r="X1634" s="227"/>
      <c r="Y1634" s="229"/>
      <c r="Z1634" s="236"/>
      <c r="AA1634" s="237"/>
      <c r="AB1634" s="238"/>
      <c r="AC1634" s="223"/>
      <c r="AD1634" s="222"/>
    </row>
    <row r="1635" spans="1:30" x14ac:dyDescent="0.4">
      <c r="A1635" s="230"/>
      <c r="B1635" s="8">
        <v>328</v>
      </c>
      <c r="C1635" s="14">
        <f t="shared" ca="1" si="941"/>
        <v>0.35</v>
      </c>
      <c r="D1635" s="20">
        <f t="shared" ca="1" si="948"/>
        <v>0.42</v>
      </c>
      <c r="E1635" s="225"/>
      <c r="F1635" s="231"/>
      <c r="G1635" s="172" t="str">
        <f t="shared" ca="1" si="932"/>
        <v/>
      </c>
      <c r="H1635" s="93" t="str">
        <f t="shared" ca="1" si="933"/>
        <v/>
      </c>
      <c r="I1635" s="21">
        <v>500</v>
      </c>
      <c r="J1635" s="68">
        <f t="shared" si="934"/>
        <v>0.8</v>
      </c>
      <c r="K1635" s="70">
        <v>0.96</v>
      </c>
      <c r="L1635" s="72">
        <f t="shared" ca="1" si="929"/>
        <v>0.36000000000000004</v>
      </c>
      <c r="M1635" s="73">
        <f t="shared" ca="1" si="930"/>
        <v>180.00000000000003</v>
      </c>
      <c r="N1635" s="12" t="s">
        <v>43</v>
      </c>
      <c r="O1635" s="47" t="s">
        <v>45</v>
      </c>
      <c r="P1635" s="13">
        <f t="shared" si="919"/>
        <v>0.96</v>
      </c>
      <c r="Q1635" s="1" t="str">
        <f t="shared" si="920"/>
        <v>500-990 шт - 0,96 руб / шт с НДС</v>
      </c>
      <c r="R1635" s="235"/>
      <c r="S1635" s="239"/>
      <c r="T1635" s="226"/>
      <c r="U1635" s="228"/>
      <c r="V1635" s="222"/>
      <c r="W1635" s="229"/>
      <c r="X1635" s="227"/>
      <c r="Y1635" s="229"/>
      <c r="Z1635" s="236"/>
      <c r="AA1635" s="237"/>
      <c r="AB1635" s="238"/>
      <c r="AC1635" s="223"/>
      <c r="AD1635" s="222"/>
    </row>
    <row r="1636" spans="1:30" x14ac:dyDescent="0.4">
      <c r="A1636" s="230"/>
      <c r="B1636" s="8">
        <v>328</v>
      </c>
      <c r="C1636" s="14">
        <f t="shared" ca="1" si="941"/>
        <v>0.35</v>
      </c>
      <c r="D1636" s="20">
        <f t="shared" ca="1" si="948"/>
        <v>0.42</v>
      </c>
      <c r="E1636" s="225"/>
      <c r="F1636" s="231"/>
      <c r="G1636" s="172" t="str">
        <f t="shared" ca="1" si="932"/>
        <v/>
      </c>
      <c r="H1636" s="93" t="str">
        <f t="shared" ca="1" si="933"/>
        <v/>
      </c>
      <c r="I1636" s="21">
        <v>1000</v>
      </c>
      <c r="J1636" s="68">
        <f t="shared" si="934"/>
        <v>0.66666666666666674</v>
      </c>
      <c r="K1636" s="70">
        <v>0.8</v>
      </c>
      <c r="L1636" s="72">
        <f t="shared" ca="1" si="929"/>
        <v>0.25333333333333341</v>
      </c>
      <c r="M1636" s="73">
        <f t="shared" ca="1" si="930"/>
        <v>253.3333333333334</v>
      </c>
      <c r="N1636" s="12" t="s">
        <v>44</v>
      </c>
      <c r="O1636" s="47" t="s">
        <v>45</v>
      </c>
      <c r="P1636" s="13">
        <f t="shared" si="919"/>
        <v>0.8</v>
      </c>
      <c r="Q1636" s="1" t="str">
        <f t="shared" si="920"/>
        <v>1000 + шт - 0,8 руб / шт с НДС</v>
      </c>
      <c r="R1636" s="235"/>
      <c r="S1636" s="239"/>
      <c r="T1636" s="226"/>
      <c r="U1636" s="228"/>
      <c r="V1636" s="222"/>
      <c r="W1636" s="229"/>
      <c r="X1636" s="227"/>
      <c r="Y1636" s="229"/>
      <c r="Z1636" s="236"/>
      <c r="AA1636" s="237"/>
      <c r="AB1636" s="238"/>
      <c r="AC1636" s="223"/>
      <c r="AD1636" s="222"/>
    </row>
    <row r="1637" spans="1:30" x14ac:dyDescent="0.4">
      <c r="A1637" s="230">
        <v>329</v>
      </c>
      <c r="B1637" s="8">
        <v>329</v>
      </c>
      <c r="C1637" s="14">
        <f t="shared" ca="1" si="941"/>
        <v>1</v>
      </c>
      <c r="D1637" s="20">
        <f t="shared" ca="1" si="948"/>
        <v>1.2</v>
      </c>
      <c r="E1637" s="225" t="str">
        <f ca="1">INDIRECT("'Закуп'!D" &amp; A1637)</f>
        <v>БМ</v>
      </c>
      <c r="F1637" s="231" t="str">
        <f t="shared" ref="F1637" ca="1" si="949">INDIRECT("'Закуп'!E" &amp; B1637)</f>
        <v>270х225х140</v>
      </c>
      <c r="G1637" s="172" t="str">
        <f t="shared" ca="1" si="932"/>
        <v/>
      </c>
      <c r="H1637" s="93" t="str">
        <f t="shared" ca="1" si="933"/>
        <v/>
      </c>
      <c r="I1637" s="21">
        <v>50</v>
      </c>
      <c r="J1637" s="68">
        <f t="shared" si="934"/>
        <v>1.875</v>
      </c>
      <c r="K1637" s="70">
        <v>2.25</v>
      </c>
      <c r="L1637" s="72">
        <f t="shared" ca="1" si="929"/>
        <v>0.7</v>
      </c>
      <c r="M1637" s="73">
        <f t="shared" ca="1" si="930"/>
        <v>35</v>
      </c>
      <c r="N1637" s="12" t="s">
        <v>40</v>
      </c>
      <c r="O1637" s="47" t="s">
        <v>45</v>
      </c>
      <c r="P1637" s="13">
        <f t="shared" si="919"/>
        <v>2.25</v>
      </c>
      <c r="Q1637" s="1" t="str">
        <f t="shared" si="920"/>
        <v>50-90 шт - 2,25 руб / шт с НДС</v>
      </c>
      <c r="R1637" s="235" t="str">
        <f ca="1">INDIRECT("'Закуп'!k" &amp; A1637)</f>
        <v>K519</v>
      </c>
      <c r="S1637" s="239">
        <f ca="1">INDIRECT("'Закуп'!o" &amp; A1637)</f>
        <v>8.51</v>
      </c>
      <c r="T1637" s="226" t="str">
        <f ca="1">INDIRECT("'Закуп'!p" &amp; A1637)</f>
        <v>8-9,9 литров</v>
      </c>
      <c r="U1637" s="228" t="str">
        <f ca="1">INDIRECT("'Закуп'!v" &amp; A1637)</f>
        <v/>
      </c>
      <c r="V1637" s="222" t="str">
        <f ca="1">INDIRECT("'Закуп'!w" &amp; A1637)</f>
        <v/>
      </c>
      <c r="W1637" s="229" t="str">
        <f ca="1">INDIRECT("'Закуп'!H" &amp; A1637)</f>
        <v>0471</v>
      </c>
      <c r="X1637" s="227" t="str">
        <f t="shared" ref="X1637" ca="1" si="950">INDIRECT("'Закуп'!g" &amp; A1637)</f>
        <v>С</v>
      </c>
      <c r="Y1637" s="229" t="str">
        <f ca="1">INDIRECT("'Закуп'!i" &amp; A1637)</f>
        <v>В</v>
      </c>
      <c r="Z1637" s="236" t="str">
        <f ca="1">INDIRECT("'Закуп'!x" &amp; A1637)</f>
        <v>200-299 мм</v>
      </c>
      <c r="AA1637" s="237" t="str">
        <f ca="1">INDIRECT("'Закуп'!y" &amp; A1637)</f>
        <v>200-299 мм</v>
      </c>
      <c r="AB1637" s="238" t="str">
        <f ca="1">INDIRECT("'Закуп'!z" &amp; A1637)</f>
        <v>100-199 мм</v>
      </c>
      <c r="AC1637" s="223" t="str">
        <f t="shared" ca="1" si="927"/>
        <v>270x225x140</v>
      </c>
      <c r="AD1637" s="222" t="str">
        <f t="shared" ref="AD1637:AD1697" ca="1" si="951">SUBSTITUTE(INDEX(F:F, ROUNDUP((ROW(A1636))/5,0)*5 - 3), "х", "x") &amp; " - " &amp; SUBSTITUTE(SUBSTITUTE(INDEX(F:F, ROUNDUP((ROW(A1636))/5,0)*5 - 3), "х", "*"), "x", "*") &amp; " мм"</f>
        <v>270x225x140 - 270*225*140 мм</v>
      </c>
    </row>
    <row r="1638" spans="1:30" x14ac:dyDescent="0.4">
      <c r="A1638" s="230"/>
      <c r="B1638" s="8">
        <v>329</v>
      </c>
      <c r="C1638" s="14">
        <f t="shared" ca="1" si="941"/>
        <v>1</v>
      </c>
      <c r="D1638" s="20">
        <f t="shared" ca="1" si="948"/>
        <v>1.2</v>
      </c>
      <c r="E1638" s="225"/>
      <c r="F1638" s="231"/>
      <c r="G1638" s="172" t="str">
        <f t="shared" ca="1" si="932"/>
        <v/>
      </c>
      <c r="H1638" s="93" t="str">
        <f t="shared" ca="1" si="933"/>
        <v/>
      </c>
      <c r="I1638" s="21">
        <v>100</v>
      </c>
      <c r="J1638" s="68">
        <f t="shared" si="934"/>
        <v>1.7916666666666667</v>
      </c>
      <c r="K1638" s="70">
        <v>2.15</v>
      </c>
      <c r="L1638" s="72">
        <f t="shared" ca="1" si="929"/>
        <v>0.63333333333333341</v>
      </c>
      <c r="M1638" s="73">
        <f t="shared" ca="1" si="930"/>
        <v>63.333333333333343</v>
      </c>
      <c r="N1638" s="12" t="s">
        <v>41</v>
      </c>
      <c r="O1638" s="47" t="s">
        <v>45</v>
      </c>
      <c r="P1638" s="13">
        <f t="shared" si="919"/>
        <v>2.15</v>
      </c>
      <c r="Q1638" s="1" t="str">
        <f t="shared" si="920"/>
        <v>100-290 шт - 2,15 руб / шт с НДС</v>
      </c>
      <c r="R1638" s="235"/>
      <c r="S1638" s="239"/>
      <c r="T1638" s="226"/>
      <c r="U1638" s="228"/>
      <c r="V1638" s="222"/>
      <c r="W1638" s="229"/>
      <c r="X1638" s="227"/>
      <c r="Y1638" s="229"/>
      <c r="Z1638" s="236"/>
      <c r="AA1638" s="237"/>
      <c r="AB1638" s="238"/>
      <c r="AC1638" s="223"/>
      <c r="AD1638" s="222"/>
    </row>
    <row r="1639" spans="1:30" x14ac:dyDescent="0.4">
      <c r="A1639" s="230"/>
      <c r="B1639" s="8">
        <v>329</v>
      </c>
      <c r="C1639" s="14">
        <f t="shared" ca="1" si="941"/>
        <v>1</v>
      </c>
      <c r="D1639" s="20">
        <f t="shared" ca="1" si="948"/>
        <v>1.2</v>
      </c>
      <c r="E1639" s="225"/>
      <c r="F1639" s="231"/>
      <c r="G1639" s="172" t="str">
        <f t="shared" ca="1" si="932"/>
        <v/>
      </c>
      <c r="H1639" s="93" t="str">
        <f t="shared" ca="1" si="933"/>
        <v/>
      </c>
      <c r="I1639" s="21">
        <v>300</v>
      </c>
      <c r="J1639" s="68">
        <f t="shared" si="934"/>
        <v>1.7083333333333333</v>
      </c>
      <c r="K1639" s="70">
        <v>2.0499999999999998</v>
      </c>
      <c r="L1639" s="72">
        <f t="shared" ca="1" si="929"/>
        <v>0.56666666666666665</v>
      </c>
      <c r="M1639" s="73">
        <f t="shared" ca="1" si="930"/>
        <v>170</v>
      </c>
      <c r="N1639" s="12" t="s">
        <v>42</v>
      </c>
      <c r="O1639" s="47" t="s">
        <v>45</v>
      </c>
      <c r="P1639" s="13">
        <f t="shared" si="919"/>
        <v>2.0499999999999998</v>
      </c>
      <c r="Q1639" s="1" t="str">
        <f t="shared" si="920"/>
        <v>300-490 шт - 2,05 руб / шт с НДС</v>
      </c>
      <c r="R1639" s="235"/>
      <c r="S1639" s="239"/>
      <c r="T1639" s="226"/>
      <c r="U1639" s="228"/>
      <c r="V1639" s="222"/>
      <c r="W1639" s="229"/>
      <c r="X1639" s="227"/>
      <c r="Y1639" s="229"/>
      <c r="Z1639" s="236"/>
      <c r="AA1639" s="237"/>
      <c r="AB1639" s="238"/>
      <c r="AC1639" s="223"/>
      <c r="AD1639" s="222"/>
    </row>
    <row r="1640" spans="1:30" x14ac:dyDescent="0.4">
      <c r="A1640" s="230"/>
      <c r="B1640" s="8">
        <v>329</v>
      </c>
      <c r="C1640" s="14">
        <f t="shared" ca="1" si="941"/>
        <v>1</v>
      </c>
      <c r="D1640" s="20">
        <f t="shared" ca="1" si="948"/>
        <v>1.2</v>
      </c>
      <c r="E1640" s="225"/>
      <c r="F1640" s="231"/>
      <c r="G1640" s="172" t="str">
        <f t="shared" ca="1" si="932"/>
        <v/>
      </c>
      <c r="H1640" s="93" t="str">
        <f t="shared" ca="1" si="933"/>
        <v/>
      </c>
      <c r="I1640" s="21">
        <v>500</v>
      </c>
      <c r="J1640" s="68">
        <f t="shared" si="934"/>
        <v>1.625</v>
      </c>
      <c r="K1640" s="70">
        <v>1.95</v>
      </c>
      <c r="L1640" s="72">
        <f t="shared" ca="1" si="929"/>
        <v>0.5</v>
      </c>
      <c r="M1640" s="73">
        <f t="shared" ca="1" si="930"/>
        <v>250</v>
      </c>
      <c r="N1640" s="12" t="s">
        <v>43</v>
      </c>
      <c r="O1640" s="47" t="s">
        <v>45</v>
      </c>
      <c r="P1640" s="13">
        <f t="shared" si="919"/>
        <v>1.95</v>
      </c>
      <c r="Q1640" s="1" t="str">
        <f t="shared" si="920"/>
        <v>500-990 шт - 1,95 руб / шт с НДС</v>
      </c>
      <c r="R1640" s="235"/>
      <c r="S1640" s="239"/>
      <c r="T1640" s="226"/>
      <c r="U1640" s="228"/>
      <c r="V1640" s="222"/>
      <c r="W1640" s="229"/>
      <c r="X1640" s="227"/>
      <c r="Y1640" s="229"/>
      <c r="Z1640" s="236"/>
      <c r="AA1640" s="237"/>
      <c r="AB1640" s="238"/>
      <c r="AC1640" s="223"/>
      <c r="AD1640" s="222"/>
    </row>
    <row r="1641" spans="1:30" x14ac:dyDescent="0.4">
      <c r="A1641" s="230"/>
      <c r="B1641" s="8">
        <v>329</v>
      </c>
      <c r="C1641" s="14">
        <f t="shared" ca="1" si="941"/>
        <v>1</v>
      </c>
      <c r="D1641" s="20">
        <f t="shared" ca="1" si="948"/>
        <v>1.2</v>
      </c>
      <c r="E1641" s="225"/>
      <c r="F1641" s="231"/>
      <c r="G1641" s="172" t="str">
        <f t="shared" ca="1" si="932"/>
        <v/>
      </c>
      <c r="H1641" s="93" t="str">
        <f t="shared" ca="1" si="933"/>
        <v/>
      </c>
      <c r="I1641" s="21">
        <v>1000</v>
      </c>
      <c r="J1641" s="68">
        <f t="shared" si="934"/>
        <v>1.5416666666666667</v>
      </c>
      <c r="K1641" s="70">
        <v>1.85</v>
      </c>
      <c r="L1641" s="72">
        <f t="shared" ca="1" si="929"/>
        <v>0.4333333333333334</v>
      </c>
      <c r="M1641" s="73">
        <f t="shared" ca="1" si="930"/>
        <v>433.33333333333343</v>
      </c>
      <c r="N1641" s="12" t="s">
        <v>44</v>
      </c>
      <c r="O1641" s="47" t="s">
        <v>45</v>
      </c>
      <c r="P1641" s="13">
        <f t="shared" si="919"/>
        <v>1.85</v>
      </c>
      <c r="Q1641" s="1" t="str">
        <f t="shared" si="920"/>
        <v>1000 + шт - 1,85 руб / шт с НДС</v>
      </c>
      <c r="R1641" s="235"/>
      <c r="S1641" s="239"/>
      <c r="T1641" s="226"/>
      <c r="U1641" s="228"/>
      <c r="V1641" s="222"/>
      <c r="W1641" s="229"/>
      <c r="X1641" s="227"/>
      <c r="Y1641" s="229"/>
      <c r="Z1641" s="236"/>
      <c r="AA1641" s="237"/>
      <c r="AB1641" s="238"/>
      <c r="AC1641" s="223"/>
      <c r="AD1641" s="222"/>
    </row>
    <row r="1642" spans="1:30" ht="21.45" x14ac:dyDescent="0.4">
      <c r="A1642" s="230">
        <v>330</v>
      </c>
      <c r="B1642" s="8">
        <v>330</v>
      </c>
      <c r="C1642" s="14">
        <f t="shared" ca="1" si="941"/>
        <v>0.36</v>
      </c>
      <c r="D1642" s="20">
        <f t="shared" ca="1" si="948"/>
        <v>0.432</v>
      </c>
      <c r="E1642" s="225" t="str">
        <f ca="1">INDIRECT("'Закуп'!D" &amp; A1642)</f>
        <v>БМ</v>
      </c>
      <c r="F1642" s="231" t="str">
        <f t="shared" ref="F1642" ca="1" si="952">INDIRECT("'Закуп'!E" &amp; B1642)</f>
        <v>245х140х180</v>
      </c>
      <c r="G1642" s="172" t="str">
        <f t="shared" ca="1" si="932"/>
        <v/>
      </c>
      <c r="H1642" s="93" t="str">
        <f t="shared" ca="1" si="933"/>
        <v>Ш+Д=320 old</v>
      </c>
      <c r="I1642" s="21">
        <v>50</v>
      </c>
      <c r="J1642" s="68">
        <f t="shared" si="934"/>
        <v>1.1666666666666667</v>
      </c>
      <c r="K1642" s="70">
        <v>1.4</v>
      </c>
      <c r="L1642" s="72">
        <f t="shared" ca="1" si="929"/>
        <v>0.64533333333333343</v>
      </c>
      <c r="M1642" s="73">
        <f t="shared" ca="1" si="930"/>
        <v>32.266666666666673</v>
      </c>
      <c r="N1642" s="12" t="s">
        <v>40</v>
      </c>
      <c r="O1642" s="47" t="s">
        <v>45</v>
      </c>
      <c r="P1642" s="13">
        <f t="shared" si="919"/>
        <v>1.4</v>
      </c>
      <c r="Q1642" s="1" t="str">
        <f t="shared" si="920"/>
        <v>50-90 шт - 1,4 руб / шт с НДС</v>
      </c>
      <c r="R1642" s="235" t="str">
        <f ca="1">INDIRECT("'Закуп'!k" &amp; A1642)</f>
        <v>K520</v>
      </c>
      <c r="S1642" s="239">
        <f ca="1">INDIRECT("'Закуп'!o" &amp; A1642)</f>
        <v>6.17</v>
      </c>
      <c r="T1642" s="226" t="str">
        <f ca="1">INDIRECT("'Закуп'!p" &amp; A1642)</f>
        <v>6-7,9 литра</v>
      </c>
      <c r="U1642" s="228" t="str">
        <f ca="1">INDIRECT("'Закуп'!v" &amp; A1642)</f>
        <v/>
      </c>
      <c r="V1642" s="222" t="str">
        <f ca="1">INDIRECT("'Закуп'!w" &amp; A1642)</f>
        <v/>
      </c>
      <c r="W1642" s="229" t="str">
        <f ca="1">INDIRECT("'Закуп'!H" &amp; A1642)</f>
        <v>0201</v>
      </c>
      <c r="X1642" s="227" t="str">
        <f t="shared" ref="X1642" ca="1" si="953">INDIRECT("'Закуп'!g" &amp; A1642)</f>
        <v>Ч</v>
      </c>
      <c r="Y1642" s="229" t="str">
        <f ca="1">INDIRECT("'Закуп'!i" &amp; A1642)</f>
        <v>В</v>
      </c>
      <c r="Z1642" s="236" t="str">
        <f ca="1">INDIRECT("'Закуп'!x" &amp; A1642)</f>
        <v>200-299 мм</v>
      </c>
      <c r="AA1642" s="237" t="str">
        <f ca="1">INDIRECT("'Закуп'!y" &amp; A1642)</f>
        <v>100-199 мм</v>
      </c>
      <c r="AB1642" s="238" t="str">
        <f ca="1">INDIRECT("'Закуп'!z" &amp; A1642)</f>
        <v>100-199 мм</v>
      </c>
      <c r="AC1642" s="223" t="str">
        <f t="shared" ca="1" si="927"/>
        <v>245x140x180</v>
      </c>
      <c r="AD1642" s="222" t="str">
        <f t="shared" ca="1" si="951"/>
        <v>245x140x180 - 245*140*180 мм</v>
      </c>
    </row>
    <row r="1643" spans="1:30" ht="21.45" x14ac:dyDescent="0.4">
      <c r="A1643" s="230"/>
      <c r="B1643" s="8">
        <v>330</v>
      </c>
      <c r="C1643" s="14">
        <f t="shared" ca="1" si="941"/>
        <v>0.36</v>
      </c>
      <c r="D1643" s="20">
        <f t="shared" ca="1" si="948"/>
        <v>0.432</v>
      </c>
      <c r="E1643" s="225"/>
      <c r="F1643" s="231"/>
      <c r="G1643" s="172" t="str">
        <f t="shared" ca="1" si="932"/>
        <v/>
      </c>
      <c r="H1643" s="93" t="str">
        <f t="shared" ca="1" si="933"/>
        <v>Ш+Д=320 old</v>
      </c>
      <c r="I1643" s="21">
        <v>100</v>
      </c>
      <c r="J1643" s="68">
        <f t="shared" si="934"/>
        <v>1.0833333333333335</v>
      </c>
      <c r="K1643" s="70">
        <v>1.3</v>
      </c>
      <c r="L1643" s="72">
        <f t="shared" ca="1" si="929"/>
        <v>0.57866666666666677</v>
      </c>
      <c r="M1643" s="73">
        <f t="shared" ca="1" si="930"/>
        <v>57.866666666666674</v>
      </c>
      <c r="N1643" s="12" t="s">
        <v>41</v>
      </c>
      <c r="O1643" s="47" t="s">
        <v>45</v>
      </c>
      <c r="P1643" s="13">
        <f t="shared" si="919"/>
        <v>1.3</v>
      </c>
      <c r="Q1643" s="1" t="str">
        <f t="shared" si="920"/>
        <v>100-290 шт - 1,3 руб / шт с НДС</v>
      </c>
      <c r="R1643" s="235"/>
      <c r="S1643" s="239"/>
      <c r="T1643" s="226"/>
      <c r="U1643" s="228"/>
      <c r="V1643" s="222"/>
      <c r="W1643" s="229"/>
      <c r="X1643" s="227"/>
      <c r="Y1643" s="229"/>
      <c r="Z1643" s="236"/>
      <c r="AA1643" s="237"/>
      <c r="AB1643" s="238"/>
      <c r="AC1643" s="223"/>
      <c r="AD1643" s="222"/>
    </row>
    <row r="1644" spans="1:30" ht="21.45" x14ac:dyDescent="0.4">
      <c r="A1644" s="230"/>
      <c r="B1644" s="8">
        <v>330</v>
      </c>
      <c r="C1644" s="14">
        <f t="shared" ca="1" si="941"/>
        <v>0.36</v>
      </c>
      <c r="D1644" s="20">
        <f t="shared" ca="1" si="948"/>
        <v>0.432</v>
      </c>
      <c r="E1644" s="225"/>
      <c r="F1644" s="231"/>
      <c r="G1644" s="172" t="str">
        <f t="shared" ca="1" si="932"/>
        <v/>
      </c>
      <c r="H1644" s="93" t="str">
        <f t="shared" ca="1" si="933"/>
        <v>Ш+Д=320 old</v>
      </c>
      <c r="I1644" s="21">
        <v>300</v>
      </c>
      <c r="J1644" s="68">
        <f t="shared" si="934"/>
        <v>1</v>
      </c>
      <c r="K1644" s="70">
        <v>1.2</v>
      </c>
      <c r="L1644" s="72">
        <f t="shared" ca="1" si="929"/>
        <v>0.51200000000000001</v>
      </c>
      <c r="M1644" s="73">
        <f t="shared" ca="1" si="930"/>
        <v>153.6</v>
      </c>
      <c r="N1644" s="12" t="s">
        <v>42</v>
      </c>
      <c r="O1644" s="47" t="s">
        <v>45</v>
      </c>
      <c r="P1644" s="13">
        <f t="shared" si="919"/>
        <v>1.2</v>
      </c>
      <c r="Q1644" s="1" t="str">
        <f t="shared" si="920"/>
        <v>300-490 шт - 1,2 руб / шт с НДС</v>
      </c>
      <c r="R1644" s="235"/>
      <c r="S1644" s="239"/>
      <c r="T1644" s="226"/>
      <c r="U1644" s="228"/>
      <c r="V1644" s="222"/>
      <c r="W1644" s="229"/>
      <c r="X1644" s="227"/>
      <c r="Y1644" s="229"/>
      <c r="Z1644" s="236"/>
      <c r="AA1644" s="237"/>
      <c r="AB1644" s="238"/>
      <c r="AC1644" s="223"/>
      <c r="AD1644" s="222"/>
    </row>
    <row r="1645" spans="1:30" ht="21.45" x14ac:dyDescent="0.4">
      <c r="A1645" s="230"/>
      <c r="B1645" s="8">
        <v>330</v>
      </c>
      <c r="C1645" s="14">
        <f t="shared" ca="1" si="941"/>
        <v>0.36</v>
      </c>
      <c r="D1645" s="20">
        <f t="shared" ca="1" si="948"/>
        <v>0.432</v>
      </c>
      <c r="E1645" s="225"/>
      <c r="F1645" s="231"/>
      <c r="G1645" s="172" t="str">
        <f t="shared" ca="1" si="932"/>
        <v/>
      </c>
      <c r="H1645" s="93" t="str">
        <f t="shared" ca="1" si="933"/>
        <v>Ш+Д=320 old</v>
      </c>
      <c r="I1645" s="21">
        <v>500</v>
      </c>
      <c r="J1645" s="68">
        <f t="shared" si="934"/>
        <v>0.91666666666666674</v>
      </c>
      <c r="K1645" s="70">
        <v>1.1000000000000001</v>
      </c>
      <c r="L1645" s="72">
        <f t="shared" ca="1" si="929"/>
        <v>0.44533333333333341</v>
      </c>
      <c r="M1645" s="73">
        <f t="shared" ca="1" si="930"/>
        <v>222.66666666666671</v>
      </c>
      <c r="N1645" s="12" t="s">
        <v>43</v>
      </c>
      <c r="O1645" s="47" t="s">
        <v>45</v>
      </c>
      <c r="P1645" s="13">
        <f t="shared" si="919"/>
        <v>1.1000000000000001</v>
      </c>
      <c r="Q1645" s="1" t="str">
        <f t="shared" si="920"/>
        <v>500-990 шт - 1,1 руб / шт с НДС</v>
      </c>
      <c r="R1645" s="235"/>
      <c r="S1645" s="239"/>
      <c r="T1645" s="226"/>
      <c r="U1645" s="228"/>
      <c r="V1645" s="222"/>
      <c r="W1645" s="229"/>
      <c r="X1645" s="227"/>
      <c r="Y1645" s="229"/>
      <c r="Z1645" s="236"/>
      <c r="AA1645" s="237"/>
      <c r="AB1645" s="238"/>
      <c r="AC1645" s="223"/>
      <c r="AD1645" s="222"/>
    </row>
    <row r="1646" spans="1:30" ht="21.45" x14ac:dyDescent="0.4">
      <c r="A1646" s="230"/>
      <c r="B1646" s="8">
        <v>330</v>
      </c>
      <c r="C1646" s="14">
        <f t="shared" ca="1" si="941"/>
        <v>0.36</v>
      </c>
      <c r="D1646" s="20">
        <f t="shared" ca="1" si="948"/>
        <v>0.432</v>
      </c>
      <c r="E1646" s="225"/>
      <c r="F1646" s="231"/>
      <c r="G1646" s="172" t="str">
        <f t="shared" ca="1" si="932"/>
        <v/>
      </c>
      <c r="H1646" s="93" t="str">
        <f t="shared" ca="1" si="933"/>
        <v>Ш+Д=320 old</v>
      </c>
      <c r="I1646" s="21">
        <v>1000</v>
      </c>
      <c r="J1646" s="68">
        <f t="shared" si="934"/>
        <v>0.83333333333333337</v>
      </c>
      <c r="K1646" s="70">
        <v>1</v>
      </c>
      <c r="L1646" s="72">
        <f t="shared" ca="1" si="929"/>
        <v>0.37866666666666671</v>
      </c>
      <c r="M1646" s="73">
        <f t="shared" ca="1" si="930"/>
        <v>378.66666666666669</v>
      </c>
      <c r="N1646" s="12" t="s">
        <v>44</v>
      </c>
      <c r="O1646" s="47" t="s">
        <v>45</v>
      </c>
      <c r="P1646" s="13">
        <f t="shared" si="919"/>
        <v>1</v>
      </c>
      <c r="Q1646" s="1" t="str">
        <f t="shared" si="920"/>
        <v>1000 + шт - 1 руб / шт с НДС</v>
      </c>
      <c r="R1646" s="235"/>
      <c r="S1646" s="239"/>
      <c r="T1646" s="226"/>
      <c r="U1646" s="228"/>
      <c r="V1646" s="222"/>
      <c r="W1646" s="229"/>
      <c r="X1646" s="227"/>
      <c r="Y1646" s="229"/>
      <c r="Z1646" s="236"/>
      <c r="AA1646" s="237"/>
      <c r="AB1646" s="238"/>
      <c r="AC1646" s="223"/>
      <c r="AD1646" s="222"/>
    </row>
    <row r="1647" spans="1:30" x14ac:dyDescent="0.4">
      <c r="A1647" s="230">
        <v>331</v>
      </c>
      <c r="B1647" s="8">
        <v>331</v>
      </c>
      <c r="C1647" s="14">
        <f t="shared" ca="1" si="941"/>
        <v>0.38</v>
      </c>
      <c r="D1647" s="20">
        <f t="shared" ca="1" si="948"/>
        <v>0.45599999999999996</v>
      </c>
      <c r="E1647" s="225" t="str">
        <f ca="1">INDIRECT("'Закуп'!D" &amp; A1647)</f>
        <v>БМ</v>
      </c>
      <c r="F1647" s="231" t="str">
        <f t="shared" ref="F1647" ca="1" si="954">INDIRECT("'Закуп'!E" &amp; B1647)</f>
        <v>240х80х200</v>
      </c>
      <c r="G1647" s="172" t="str">
        <f t="shared" ca="1" si="932"/>
        <v/>
      </c>
      <c r="H1647" s="93" t="str">
        <f t="shared" ca="1" si="933"/>
        <v>min обр</v>
      </c>
      <c r="I1647" s="21">
        <v>50</v>
      </c>
      <c r="J1647" s="68">
        <f t="shared" si="934"/>
        <v>0.88333333333333341</v>
      </c>
      <c r="K1647" s="70">
        <v>1.06</v>
      </c>
      <c r="L1647" s="72">
        <f t="shared" ca="1" si="929"/>
        <v>0.40266666666666673</v>
      </c>
      <c r="M1647" s="73">
        <f t="shared" ca="1" si="930"/>
        <v>20.133333333333336</v>
      </c>
      <c r="N1647" s="12" t="s">
        <v>40</v>
      </c>
      <c r="O1647" s="47" t="s">
        <v>45</v>
      </c>
      <c r="P1647" s="13">
        <f t="shared" ref="P1647:P1710" si="955">ROUND(K1647,2)</f>
        <v>1.06</v>
      </c>
      <c r="Q1647" s="1" t="str">
        <f t="shared" si="920"/>
        <v>50-90 шт - 1,06 руб / шт с НДС</v>
      </c>
      <c r="R1647" s="235" t="str">
        <f ca="1">INDIRECT("'Закуп'!k" &amp; A1647)</f>
        <v>K521</v>
      </c>
      <c r="S1647" s="239">
        <f ca="1">INDIRECT("'Закуп'!o" &amp; A1647)</f>
        <v>3.84</v>
      </c>
      <c r="T1647" s="226" t="str">
        <f ca="1">INDIRECT("'Закуп'!p" &amp; A1647)</f>
        <v>3-3,9 литра</v>
      </c>
      <c r="U1647" s="228" t="str">
        <f ca="1">INDIRECT("'Закуп'!v" &amp; A1647)</f>
        <v/>
      </c>
      <c r="V1647" s="222" t="str">
        <f ca="1">INDIRECT("'Закуп'!w" &amp; A1647)</f>
        <v>Плоские</v>
      </c>
      <c r="W1647" s="229" t="str">
        <f ca="1">INDIRECT("'Закуп'!H" &amp; A1647)</f>
        <v>0201</v>
      </c>
      <c r="X1647" s="227" t="str">
        <f t="shared" ref="X1647" ca="1" si="956">INDIRECT("'Закуп'!g" &amp; A1647)</f>
        <v>Ч</v>
      </c>
      <c r="Y1647" s="229" t="str">
        <f ca="1">INDIRECT("'Закуп'!i" &amp; A1647)</f>
        <v>В</v>
      </c>
      <c r="Z1647" s="236" t="str">
        <f ca="1">INDIRECT("'Закуп'!x" &amp; A1647)</f>
        <v>200-299 мм</v>
      </c>
      <c r="AA1647" s="237" t="str">
        <f ca="1">INDIRECT("'Закуп'!y" &amp; A1647)</f>
        <v>200-299 мм</v>
      </c>
      <c r="AB1647" s="238" t="str">
        <f ca="1">INDIRECT("'Закуп'!z" &amp; A1647)</f>
        <v>10-99 мм</v>
      </c>
      <c r="AC1647" s="223" t="str">
        <f t="shared" ca="1" si="927"/>
        <v>240x80x200</v>
      </c>
      <c r="AD1647" s="222" t="str">
        <f t="shared" ca="1" si="951"/>
        <v>240x80x200 - 240*80*200 мм</v>
      </c>
    </row>
    <row r="1648" spans="1:30" x14ac:dyDescent="0.4">
      <c r="A1648" s="230"/>
      <c r="B1648" s="8">
        <v>331</v>
      </c>
      <c r="C1648" s="14">
        <f t="shared" ca="1" si="941"/>
        <v>0.38</v>
      </c>
      <c r="D1648" s="20">
        <f t="shared" ca="1" si="948"/>
        <v>0.45599999999999996</v>
      </c>
      <c r="E1648" s="225"/>
      <c r="F1648" s="231"/>
      <c r="G1648" s="172" t="str">
        <f t="shared" ca="1" si="932"/>
        <v/>
      </c>
      <c r="H1648" s="93" t="str">
        <f t="shared" ca="1" si="933"/>
        <v>min обр</v>
      </c>
      <c r="I1648" s="21">
        <v>100</v>
      </c>
      <c r="J1648" s="68">
        <f t="shared" si="934"/>
        <v>0.7416666666666667</v>
      </c>
      <c r="K1648" s="70">
        <v>0.89</v>
      </c>
      <c r="L1648" s="72">
        <f t="shared" ca="1" si="929"/>
        <v>0.28933333333333333</v>
      </c>
      <c r="M1648" s="73">
        <f t="shared" ca="1" si="930"/>
        <v>28.933333333333334</v>
      </c>
      <c r="N1648" s="12" t="s">
        <v>41</v>
      </c>
      <c r="O1648" s="47" t="s">
        <v>45</v>
      </c>
      <c r="P1648" s="13">
        <f t="shared" si="955"/>
        <v>0.89</v>
      </c>
      <c r="Q1648" s="1" t="str">
        <f t="shared" ref="Q1648:Q1711" si="957">CONCATENATE(N1648,P1648,O1648,)</f>
        <v>100-290 шт - 0,89 руб / шт с НДС</v>
      </c>
      <c r="R1648" s="235"/>
      <c r="S1648" s="239"/>
      <c r="T1648" s="226"/>
      <c r="U1648" s="228"/>
      <c r="V1648" s="222"/>
      <c r="W1648" s="229"/>
      <c r="X1648" s="227"/>
      <c r="Y1648" s="229"/>
      <c r="Z1648" s="236"/>
      <c r="AA1648" s="237"/>
      <c r="AB1648" s="238"/>
      <c r="AC1648" s="223"/>
      <c r="AD1648" s="222"/>
    </row>
    <row r="1649" spans="1:30" x14ac:dyDescent="0.4">
      <c r="A1649" s="230"/>
      <c r="B1649" s="8">
        <v>331</v>
      </c>
      <c r="C1649" s="14">
        <f t="shared" ca="1" si="941"/>
        <v>0.38</v>
      </c>
      <c r="D1649" s="20">
        <f t="shared" ca="1" si="948"/>
        <v>0.45599999999999996</v>
      </c>
      <c r="E1649" s="225"/>
      <c r="F1649" s="231"/>
      <c r="G1649" s="172" t="str">
        <f t="shared" ca="1" si="932"/>
        <v/>
      </c>
      <c r="H1649" s="93" t="str">
        <f t="shared" ca="1" si="933"/>
        <v>min обр</v>
      </c>
      <c r="I1649" s="21">
        <v>300</v>
      </c>
      <c r="J1649" s="68">
        <f t="shared" si="934"/>
        <v>0.71666666666666667</v>
      </c>
      <c r="K1649" s="70">
        <v>0.86</v>
      </c>
      <c r="L1649" s="72">
        <f t="shared" ca="1" si="929"/>
        <v>0.26933333333333331</v>
      </c>
      <c r="M1649" s="73">
        <f t="shared" ca="1" si="930"/>
        <v>80.8</v>
      </c>
      <c r="N1649" s="12" t="s">
        <v>42</v>
      </c>
      <c r="O1649" s="47" t="s">
        <v>45</v>
      </c>
      <c r="P1649" s="13">
        <f t="shared" si="955"/>
        <v>0.86</v>
      </c>
      <c r="Q1649" s="1" t="str">
        <f t="shared" si="957"/>
        <v>300-490 шт - 0,86 руб / шт с НДС</v>
      </c>
      <c r="R1649" s="235"/>
      <c r="S1649" s="239"/>
      <c r="T1649" s="226"/>
      <c r="U1649" s="228"/>
      <c r="V1649" s="222"/>
      <c r="W1649" s="229"/>
      <c r="X1649" s="227"/>
      <c r="Y1649" s="229"/>
      <c r="Z1649" s="236"/>
      <c r="AA1649" s="237"/>
      <c r="AB1649" s="238"/>
      <c r="AC1649" s="223"/>
      <c r="AD1649" s="222"/>
    </row>
    <row r="1650" spans="1:30" x14ac:dyDescent="0.4">
      <c r="A1650" s="230"/>
      <c r="B1650" s="8">
        <v>331</v>
      </c>
      <c r="C1650" s="14">
        <f t="shared" ca="1" si="941"/>
        <v>0.38</v>
      </c>
      <c r="D1650" s="20">
        <f t="shared" ca="1" si="948"/>
        <v>0.45599999999999996</v>
      </c>
      <c r="E1650" s="225"/>
      <c r="F1650" s="231"/>
      <c r="G1650" s="172" t="str">
        <f t="shared" ca="1" si="932"/>
        <v/>
      </c>
      <c r="H1650" s="93" t="str">
        <f t="shared" ca="1" si="933"/>
        <v>min обр</v>
      </c>
      <c r="I1650" s="21">
        <v>500</v>
      </c>
      <c r="J1650" s="68">
        <f t="shared" si="934"/>
        <v>0.67500000000000004</v>
      </c>
      <c r="K1650" s="70">
        <v>0.81</v>
      </c>
      <c r="L1650" s="72">
        <f t="shared" ca="1" si="929"/>
        <v>0.23600000000000004</v>
      </c>
      <c r="M1650" s="73">
        <f t="shared" ca="1" si="930"/>
        <v>118.00000000000003</v>
      </c>
      <c r="N1650" s="12" t="s">
        <v>43</v>
      </c>
      <c r="O1650" s="47" t="s">
        <v>45</v>
      </c>
      <c r="P1650" s="13">
        <f t="shared" si="955"/>
        <v>0.81</v>
      </c>
      <c r="Q1650" s="1" t="str">
        <f t="shared" si="957"/>
        <v>500-990 шт - 0,81 руб / шт с НДС</v>
      </c>
      <c r="R1650" s="235"/>
      <c r="S1650" s="239"/>
      <c r="T1650" s="226"/>
      <c r="U1650" s="228"/>
      <c r="V1650" s="222"/>
      <c r="W1650" s="229"/>
      <c r="X1650" s="227"/>
      <c r="Y1650" s="229"/>
      <c r="Z1650" s="236"/>
      <c r="AA1650" s="237"/>
      <c r="AB1650" s="238"/>
      <c r="AC1650" s="223"/>
      <c r="AD1650" s="222"/>
    </row>
    <row r="1651" spans="1:30" x14ac:dyDescent="0.4">
      <c r="A1651" s="230"/>
      <c r="B1651" s="8">
        <v>331</v>
      </c>
      <c r="C1651" s="14">
        <f t="shared" ca="1" si="941"/>
        <v>0.38</v>
      </c>
      <c r="D1651" s="20">
        <f t="shared" ca="1" si="948"/>
        <v>0.45599999999999996</v>
      </c>
      <c r="E1651" s="225"/>
      <c r="F1651" s="231"/>
      <c r="G1651" s="172" t="str">
        <f t="shared" ca="1" si="932"/>
        <v/>
      </c>
      <c r="H1651" s="93" t="str">
        <f t="shared" ca="1" si="933"/>
        <v>min обр</v>
      </c>
      <c r="I1651" s="21">
        <v>1000</v>
      </c>
      <c r="J1651" s="68">
        <f t="shared" si="934"/>
        <v>0.63333333333333341</v>
      </c>
      <c r="K1651" s="70">
        <v>0.76</v>
      </c>
      <c r="L1651" s="72">
        <f t="shared" ca="1" si="929"/>
        <v>0.20266666666666672</v>
      </c>
      <c r="M1651" s="73">
        <f t="shared" ca="1" si="930"/>
        <v>202.66666666666671</v>
      </c>
      <c r="N1651" s="12" t="s">
        <v>44</v>
      </c>
      <c r="O1651" s="47" t="s">
        <v>45</v>
      </c>
      <c r="P1651" s="13">
        <f t="shared" si="955"/>
        <v>0.76</v>
      </c>
      <c r="Q1651" s="1" t="str">
        <f t="shared" si="957"/>
        <v>1000 + шт - 0,76 руб / шт с НДС</v>
      </c>
      <c r="R1651" s="235"/>
      <c r="S1651" s="239"/>
      <c r="T1651" s="226"/>
      <c r="U1651" s="228"/>
      <c r="V1651" s="222"/>
      <c r="W1651" s="229"/>
      <c r="X1651" s="227"/>
      <c r="Y1651" s="229"/>
      <c r="Z1651" s="236"/>
      <c r="AA1651" s="237"/>
      <c r="AB1651" s="238"/>
      <c r="AC1651" s="223"/>
      <c r="AD1651" s="222"/>
    </row>
    <row r="1652" spans="1:30" x14ac:dyDescent="0.4">
      <c r="A1652" s="230">
        <v>332</v>
      </c>
      <c r="B1652" s="8">
        <v>332</v>
      </c>
      <c r="C1652" s="14">
        <f t="shared" ca="1" si="941"/>
        <v>0.5</v>
      </c>
      <c r="D1652" s="20">
        <f t="shared" ca="1" si="948"/>
        <v>0.6</v>
      </c>
      <c r="E1652" s="225" t="str">
        <f ca="1">INDIRECT("'Закуп'!D" &amp; A1652)</f>
        <v>БМ</v>
      </c>
      <c r="F1652" s="231" t="str">
        <f t="shared" ref="F1652" ca="1" si="958">INDIRECT("'Закуп'!E" &amp; B1652)</f>
        <v>240х200х80</v>
      </c>
      <c r="G1652" s="172" t="str">
        <f t="shared" ca="1" si="932"/>
        <v/>
      </c>
      <c r="H1652" s="93" t="str">
        <f t="shared" ca="1" si="933"/>
        <v>min обр</v>
      </c>
      <c r="I1652" s="21">
        <v>50</v>
      </c>
      <c r="J1652" s="68">
        <f t="shared" si="934"/>
        <v>1.1583333333333332</v>
      </c>
      <c r="K1652" s="70">
        <v>1.39</v>
      </c>
      <c r="L1652" s="72">
        <f t="shared" ca="1" si="929"/>
        <v>0.52666666666666662</v>
      </c>
      <c r="M1652" s="73">
        <f t="shared" ca="1" si="930"/>
        <v>26.333333333333332</v>
      </c>
      <c r="N1652" s="12" t="s">
        <v>40</v>
      </c>
      <c r="O1652" s="47" t="s">
        <v>45</v>
      </c>
      <c r="P1652" s="13">
        <f t="shared" si="955"/>
        <v>1.39</v>
      </c>
      <c r="Q1652" s="1" t="str">
        <f t="shared" si="957"/>
        <v>50-90 шт - 1,39 руб / шт с НДС</v>
      </c>
      <c r="R1652" s="235" t="str">
        <f ca="1">INDIRECT("'Закуп'!k" &amp; A1652)</f>
        <v>K522</v>
      </c>
      <c r="S1652" s="239">
        <f ca="1">INDIRECT("'Закуп'!o" &amp; A1652)</f>
        <v>3.84</v>
      </c>
      <c r="T1652" s="226" t="str">
        <f ca="1">INDIRECT("'Закуп'!p" &amp; A1652)</f>
        <v>3-3,9 литра</v>
      </c>
      <c r="U1652" s="228" t="str">
        <f ca="1">INDIRECT("'Закуп'!v" &amp; A1652)</f>
        <v/>
      </c>
      <c r="V1652" s="222" t="str">
        <f ca="1">INDIRECT("'Закуп'!w" &amp; A1652)</f>
        <v>Плоские</v>
      </c>
      <c r="W1652" s="229" t="str">
        <f ca="1">INDIRECT("'Закуп'!H" &amp; A1652)</f>
        <v>0201</v>
      </c>
      <c r="X1652" s="227" t="str">
        <f t="shared" ref="X1652" ca="1" si="959">INDIRECT("'Закуп'!g" &amp; A1652)</f>
        <v>Ч</v>
      </c>
      <c r="Y1652" s="229" t="str">
        <f ca="1">INDIRECT("'Закуп'!i" &amp; A1652)</f>
        <v>В</v>
      </c>
      <c r="Z1652" s="236" t="str">
        <f ca="1">INDIRECT("'Закуп'!x" &amp; A1652)</f>
        <v>200-299 мм</v>
      </c>
      <c r="AA1652" s="237" t="str">
        <f ca="1">INDIRECT("'Закуп'!y" &amp; A1652)</f>
        <v>200-299 мм</v>
      </c>
      <c r="AB1652" s="238" t="str">
        <f ca="1">INDIRECT("'Закуп'!z" &amp; A1652)</f>
        <v>10-99 мм</v>
      </c>
      <c r="AC1652" s="223" t="str">
        <f t="shared" ca="1" si="927"/>
        <v>240x200x80</v>
      </c>
      <c r="AD1652" s="222" t="str">
        <f t="shared" ca="1" si="951"/>
        <v>240x200x80 - 240*200*80 мм</v>
      </c>
    </row>
    <row r="1653" spans="1:30" x14ac:dyDescent="0.4">
      <c r="A1653" s="230"/>
      <c r="B1653" s="8">
        <v>332</v>
      </c>
      <c r="C1653" s="14">
        <f t="shared" ca="1" si="941"/>
        <v>0.5</v>
      </c>
      <c r="D1653" s="20">
        <f t="shared" ca="1" si="948"/>
        <v>0.6</v>
      </c>
      <c r="E1653" s="225"/>
      <c r="F1653" s="231"/>
      <c r="G1653" s="172" t="str">
        <f t="shared" ca="1" si="932"/>
        <v/>
      </c>
      <c r="H1653" s="93" t="str">
        <f t="shared" ca="1" si="933"/>
        <v>min обр</v>
      </c>
      <c r="I1653" s="21">
        <v>100</v>
      </c>
      <c r="J1653" s="68">
        <f t="shared" si="934"/>
        <v>0.97499999999999998</v>
      </c>
      <c r="K1653" s="70">
        <v>1.17</v>
      </c>
      <c r="L1653" s="72">
        <f t="shared" ca="1" si="929"/>
        <v>0.38</v>
      </c>
      <c r="M1653" s="73">
        <f t="shared" ca="1" si="930"/>
        <v>38</v>
      </c>
      <c r="N1653" s="12" t="s">
        <v>41</v>
      </c>
      <c r="O1653" s="47" t="s">
        <v>45</v>
      </c>
      <c r="P1653" s="13">
        <f t="shared" si="955"/>
        <v>1.17</v>
      </c>
      <c r="Q1653" s="1" t="str">
        <f t="shared" si="957"/>
        <v>100-290 шт - 1,17 руб / шт с НДС</v>
      </c>
      <c r="R1653" s="235"/>
      <c r="S1653" s="239"/>
      <c r="T1653" s="226"/>
      <c r="U1653" s="228"/>
      <c r="V1653" s="222"/>
      <c r="W1653" s="229"/>
      <c r="X1653" s="227"/>
      <c r="Y1653" s="229"/>
      <c r="Z1653" s="236"/>
      <c r="AA1653" s="237"/>
      <c r="AB1653" s="238"/>
      <c r="AC1653" s="223"/>
      <c r="AD1653" s="222"/>
    </row>
    <row r="1654" spans="1:30" x14ac:dyDescent="0.4">
      <c r="A1654" s="230"/>
      <c r="B1654" s="8">
        <v>332</v>
      </c>
      <c r="C1654" s="14">
        <f t="shared" ca="1" si="941"/>
        <v>0.5</v>
      </c>
      <c r="D1654" s="20">
        <f t="shared" ca="1" si="948"/>
        <v>0.6</v>
      </c>
      <c r="E1654" s="225"/>
      <c r="F1654" s="231"/>
      <c r="G1654" s="172" t="str">
        <f t="shared" ca="1" si="932"/>
        <v/>
      </c>
      <c r="H1654" s="93" t="str">
        <f t="shared" ca="1" si="933"/>
        <v>min обр</v>
      </c>
      <c r="I1654" s="21">
        <v>300</v>
      </c>
      <c r="J1654" s="68">
        <f t="shared" si="934"/>
        <v>0.94166666666666665</v>
      </c>
      <c r="K1654" s="70">
        <v>1.1299999999999999</v>
      </c>
      <c r="L1654" s="72">
        <f t="shared" ca="1" si="929"/>
        <v>0.35333333333333333</v>
      </c>
      <c r="M1654" s="73">
        <f t="shared" ca="1" si="930"/>
        <v>106</v>
      </c>
      <c r="N1654" s="12" t="s">
        <v>42</v>
      </c>
      <c r="O1654" s="47" t="s">
        <v>45</v>
      </c>
      <c r="P1654" s="13">
        <f t="shared" si="955"/>
        <v>1.1299999999999999</v>
      </c>
      <c r="Q1654" s="1" t="str">
        <f t="shared" si="957"/>
        <v>300-490 шт - 1,13 руб / шт с НДС</v>
      </c>
      <c r="R1654" s="235"/>
      <c r="S1654" s="239"/>
      <c r="T1654" s="226"/>
      <c r="U1654" s="228"/>
      <c r="V1654" s="222"/>
      <c r="W1654" s="229"/>
      <c r="X1654" s="227"/>
      <c r="Y1654" s="229"/>
      <c r="Z1654" s="236"/>
      <c r="AA1654" s="237"/>
      <c r="AB1654" s="238"/>
      <c r="AC1654" s="223"/>
      <c r="AD1654" s="222"/>
    </row>
    <row r="1655" spans="1:30" x14ac:dyDescent="0.4">
      <c r="A1655" s="230"/>
      <c r="B1655" s="8">
        <v>332</v>
      </c>
      <c r="C1655" s="14">
        <f t="shared" ca="1" si="941"/>
        <v>0.5</v>
      </c>
      <c r="D1655" s="20">
        <f t="shared" ca="1" si="948"/>
        <v>0.6</v>
      </c>
      <c r="E1655" s="225"/>
      <c r="F1655" s="231"/>
      <c r="G1655" s="172" t="str">
        <f t="shared" ca="1" si="932"/>
        <v/>
      </c>
      <c r="H1655" s="93" t="str">
        <f t="shared" ca="1" si="933"/>
        <v>min обр</v>
      </c>
      <c r="I1655" s="21">
        <v>500</v>
      </c>
      <c r="J1655" s="68">
        <f t="shared" si="934"/>
        <v>0.87500000000000011</v>
      </c>
      <c r="K1655" s="70">
        <v>1.05</v>
      </c>
      <c r="L1655" s="72">
        <f t="shared" ca="1" si="929"/>
        <v>0.3000000000000001</v>
      </c>
      <c r="M1655" s="73">
        <f t="shared" ca="1" si="930"/>
        <v>150.00000000000006</v>
      </c>
      <c r="N1655" s="12" t="s">
        <v>43</v>
      </c>
      <c r="O1655" s="47" t="s">
        <v>45</v>
      </c>
      <c r="P1655" s="13">
        <f t="shared" si="955"/>
        <v>1.05</v>
      </c>
      <c r="Q1655" s="1" t="str">
        <f t="shared" si="957"/>
        <v>500-990 шт - 1,05 руб / шт с НДС</v>
      </c>
      <c r="R1655" s="235"/>
      <c r="S1655" s="239"/>
      <c r="T1655" s="226"/>
      <c r="U1655" s="228"/>
      <c r="V1655" s="222"/>
      <c r="W1655" s="229"/>
      <c r="X1655" s="227"/>
      <c r="Y1655" s="229"/>
      <c r="Z1655" s="236"/>
      <c r="AA1655" s="237"/>
      <c r="AB1655" s="238"/>
      <c r="AC1655" s="223"/>
      <c r="AD1655" s="222"/>
    </row>
    <row r="1656" spans="1:30" x14ac:dyDescent="0.4">
      <c r="A1656" s="230"/>
      <c r="B1656" s="8">
        <v>332</v>
      </c>
      <c r="C1656" s="14">
        <f t="shared" ca="1" si="941"/>
        <v>0.5</v>
      </c>
      <c r="D1656" s="20">
        <f t="shared" ca="1" si="948"/>
        <v>0.6</v>
      </c>
      <c r="E1656" s="225"/>
      <c r="F1656" s="231"/>
      <c r="G1656" s="172" t="str">
        <f t="shared" ca="1" si="932"/>
        <v/>
      </c>
      <c r="H1656" s="93" t="str">
        <f t="shared" ca="1" si="933"/>
        <v>min обр</v>
      </c>
      <c r="I1656" s="21">
        <v>1000</v>
      </c>
      <c r="J1656" s="68">
        <f t="shared" si="934"/>
        <v>0.82500000000000007</v>
      </c>
      <c r="K1656" s="70">
        <v>0.99</v>
      </c>
      <c r="L1656" s="72">
        <f t="shared" ca="1" si="929"/>
        <v>0.26000000000000006</v>
      </c>
      <c r="M1656" s="73">
        <f t="shared" ca="1" si="930"/>
        <v>260.00000000000006</v>
      </c>
      <c r="N1656" s="12" t="s">
        <v>44</v>
      </c>
      <c r="O1656" s="47" t="s">
        <v>45</v>
      </c>
      <c r="P1656" s="13">
        <f t="shared" si="955"/>
        <v>0.99</v>
      </c>
      <c r="Q1656" s="1" t="str">
        <f t="shared" si="957"/>
        <v>1000 + шт - 0,99 руб / шт с НДС</v>
      </c>
      <c r="R1656" s="235"/>
      <c r="S1656" s="239"/>
      <c r="T1656" s="226"/>
      <c r="U1656" s="228"/>
      <c r="V1656" s="222"/>
      <c r="W1656" s="229"/>
      <c r="X1656" s="227"/>
      <c r="Y1656" s="229"/>
      <c r="Z1656" s="236"/>
      <c r="AA1656" s="237"/>
      <c r="AB1656" s="238"/>
      <c r="AC1656" s="223"/>
      <c r="AD1656" s="222"/>
    </row>
    <row r="1657" spans="1:30" x14ac:dyDescent="0.4">
      <c r="A1657" s="230">
        <v>333</v>
      </c>
      <c r="B1657" s="8">
        <v>333</v>
      </c>
      <c r="C1657" s="14">
        <f t="shared" ca="1" si="941"/>
        <v>0.56000000000000005</v>
      </c>
      <c r="D1657" s="20">
        <f t="shared" ca="1" si="948"/>
        <v>0.67200000000000004</v>
      </c>
      <c r="E1657" s="225" t="str">
        <f ca="1">INDIRECT("'Закуп'!D" &amp; A1657)</f>
        <v>БМ</v>
      </c>
      <c r="F1657" s="231" t="str">
        <f t="shared" ref="F1657" ca="1" si="960">INDIRECT("'Закуп'!E" &amp; B1657)</f>
        <v>245х80х240</v>
      </c>
      <c r="G1657" s="172" t="str">
        <f t="shared" ca="1" si="932"/>
        <v/>
      </c>
      <c r="H1657" s="93" t="str">
        <f t="shared" ca="1" si="933"/>
        <v/>
      </c>
      <c r="I1657" s="21">
        <v>50</v>
      </c>
      <c r="J1657" s="68">
        <f t="shared" si="934"/>
        <v>1.0833333333333335</v>
      </c>
      <c r="K1657" s="70">
        <v>1.3</v>
      </c>
      <c r="L1657" s="72">
        <f t="shared" ca="1" si="929"/>
        <v>0.41866666666666674</v>
      </c>
      <c r="M1657" s="73">
        <f t="shared" ca="1" si="930"/>
        <v>20.933333333333337</v>
      </c>
      <c r="N1657" s="12" t="s">
        <v>40</v>
      </c>
      <c r="O1657" s="47" t="s">
        <v>45</v>
      </c>
      <c r="P1657" s="13">
        <f t="shared" si="955"/>
        <v>1.3</v>
      </c>
      <c r="Q1657" s="1" t="str">
        <f t="shared" si="957"/>
        <v>50-90 шт - 1,3 руб / шт с НДС</v>
      </c>
      <c r="R1657" s="235" t="str">
        <f ca="1">INDIRECT("'Закуп'!k" &amp; A1657)</f>
        <v>K523</v>
      </c>
      <c r="S1657" s="239">
        <f ca="1">INDIRECT("'Закуп'!o" &amp; A1657)</f>
        <v>4.7</v>
      </c>
      <c r="T1657" s="226" t="str">
        <f ca="1">INDIRECT("'Закуп'!p" &amp; A1657)</f>
        <v>4-5,9 литра</v>
      </c>
      <c r="U1657" s="228" t="str">
        <f ca="1">INDIRECT("'Закуп'!v" &amp; A1657)</f>
        <v/>
      </c>
      <c r="V1657" s="222" t="str">
        <f ca="1">INDIRECT("'Закуп'!w" &amp; A1657)</f>
        <v>Плоские</v>
      </c>
      <c r="W1657" s="229" t="str">
        <f ca="1">INDIRECT("'Закуп'!H" &amp; A1657)</f>
        <v>0201</v>
      </c>
      <c r="X1657" s="227" t="str">
        <f t="shared" ref="X1657" ca="1" si="961">INDIRECT("'Закуп'!g" &amp; A1657)</f>
        <v>Ч</v>
      </c>
      <c r="Y1657" s="229" t="str">
        <f ca="1">INDIRECT("'Закуп'!i" &amp; A1657)</f>
        <v>В</v>
      </c>
      <c r="Z1657" s="236" t="str">
        <f ca="1">INDIRECT("'Закуп'!x" &amp; A1657)</f>
        <v>200-299 мм</v>
      </c>
      <c r="AA1657" s="237" t="str">
        <f ca="1">INDIRECT("'Закуп'!y" &amp; A1657)</f>
        <v>200-299 мм</v>
      </c>
      <c r="AB1657" s="238" t="str">
        <f ca="1">INDIRECT("'Закуп'!z" &amp; A1657)</f>
        <v>10-99 мм</v>
      </c>
      <c r="AC1657" s="223" t="str">
        <f t="shared" ca="1" si="927"/>
        <v>245x80x240</v>
      </c>
      <c r="AD1657" s="222" t="str">
        <f t="shared" ca="1" si="951"/>
        <v>245x80x240 - 245*80*240 мм</v>
      </c>
    </row>
    <row r="1658" spans="1:30" x14ac:dyDescent="0.4">
      <c r="A1658" s="230"/>
      <c r="B1658" s="8">
        <v>333</v>
      </c>
      <c r="C1658" s="14">
        <f t="shared" ca="1" si="941"/>
        <v>0.56000000000000005</v>
      </c>
      <c r="D1658" s="20">
        <f t="shared" ca="1" si="948"/>
        <v>0.67200000000000004</v>
      </c>
      <c r="E1658" s="225"/>
      <c r="F1658" s="231"/>
      <c r="G1658" s="172" t="str">
        <f t="shared" ca="1" si="932"/>
        <v/>
      </c>
      <c r="H1658" s="93" t="str">
        <f t="shared" ca="1" si="933"/>
        <v/>
      </c>
      <c r="I1658" s="21">
        <v>100</v>
      </c>
      <c r="J1658" s="68">
        <f t="shared" si="934"/>
        <v>0.93333333333333346</v>
      </c>
      <c r="K1658" s="70">
        <v>1.1200000000000001</v>
      </c>
      <c r="L1658" s="72">
        <f t="shared" ca="1" si="929"/>
        <v>0.29866666666666675</v>
      </c>
      <c r="M1658" s="73">
        <f t="shared" ca="1" si="930"/>
        <v>29.866666666666674</v>
      </c>
      <c r="N1658" s="12" t="s">
        <v>41</v>
      </c>
      <c r="O1658" s="47" t="s">
        <v>45</v>
      </c>
      <c r="P1658" s="13">
        <f t="shared" si="955"/>
        <v>1.1200000000000001</v>
      </c>
      <c r="Q1658" s="1" t="str">
        <f t="shared" si="957"/>
        <v>100-290 шт - 1,12 руб / шт с НДС</v>
      </c>
      <c r="R1658" s="235"/>
      <c r="S1658" s="239"/>
      <c r="T1658" s="226"/>
      <c r="U1658" s="228"/>
      <c r="V1658" s="222"/>
      <c r="W1658" s="229"/>
      <c r="X1658" s="227"/>
      <c r="Y1658" s="229"/>
      <c r="Z1658" s="236"/>
      <c r="AA1658" s="237"/>
      <c r="AB1658" s="238"/>
      <c r="AC1658" s="223"/>
      <c r="AD1658" s="222"/>
    </row>
    <row r="1659" spans="1:30" x14ac:dyDescent="0.4">
      <c r="A1659" s="230"/>
      <c r="B1659" s="8">
        <v>333</v>
      </c>
      <c r="C1659" s="14">
        <f t="shared" ca="1" si="941"/>
        <v>0.56000000000000005</v>
      </c>
      <c r="D1659" s="20">
        <f t="shared" ca="1" si="948"/>
        <v>0.67200000000000004</v>
      </c>
      <c r="E1659" s="225"/>
      <c r="F1659" s="231"/>
      <c r="G1659" s="172" t="str">
        <f t="shared" ca="1" si="932"/>
        <v/>
      </c>
      <c r="H1659" s="93" t="str">
        <f t="shared" ca="1" si="933"/>
        <v/>
      </c>
      <c r="I1659" s="21">
        <v>300</v>
      </c>
      <c r="J1659" s="68">
        <f t="shared" si="934"/>
        <v>0.84166666666666667</v>
      </c>
      <c r="K1659" s="70">
        <v>1.01</v>
      </c>
      <c r="L1659" s="72">
        <f t="shared" ca="1" si="929"/>
        <v>0.2253333333333333</v>
      </c>
      <c r="M1659" s="73">
        <f t="shared" ca="1" si="930"/>
        <v>67.599999999999994</v>
      </c>
      <c r="N1659" s="12" t="s">
        <v>42</v>
      </c>
      <c r="O1659" s="47" t="s">
        <v>45</v>
      </c>
      <c r="P1659" s="13">
        <f t="shared" si="955"/>
        <v>1.01</v>
      </c>
      <c r="Q1659" s="1" t="str">
        <f t="shared" si="957"/>
        <v>300-490 шт - 1,01 руб / шт с НДС</v>
      </c>
      <c r="R1659" s="235"/>
      <c r="S1659" s="239"/>
      <c r="T1659" s="226"/>
      <c r="U1659" s="228"/>
      <c r="V1659" s="222"/>
      <c r="W1659" s="229"/>
      <c r="X1659" s="227"/>
      <c r="Y1659" s="229"/>
      <c r="Z1659" s="236"/>
      <c r="AA1659" s="237"/>
      <c r="AB1659" s="238"/>
      <c r="AC1659" s="223"/>
      <c r="AD1659" s="222"/>
    </row>
    <row r="1660" spans="1:30" x14ac:dyDescent="0.4">
      <c r="A1660" s="230"/>
      <c r="B1660" s="8">
        <v>333</v>
      </c>
      <c r="C1660" s="14">
        <f t="shared" ca="1" si="941"/>
        <v>0.56000000000000005</v>
      </c>
      <c r="D1660" s="20">
        <f t="shared" ca="1" si="948"/>
        <v>0.67200000000000004</v>
      </c>
      <c r="E1660" s="225"/>
      <c r="F1660" s="231"/>
      <c r="G1660" s="172" t="str">
        <f t="shared" ca="1" si="932"/>
        <v/>
      </c>
      <c r="H1660" s="93" t="str">
        <f t="shared" ca="1" si="933"/>
        <v/>
      </c>
      <c r="I1660" s="21">
        <v>500</v>
      </c>
      <c r="J1660" s="68">
        <f t="shared" si="934"/>
        <v>0.76666666666666672</v>
      </c>
      <c r="K1660" s="70">
        <v>0.92</v>
      </c>
      <c r="L1660" s="72">
        <f t="shared" ca="1" si="929"/>
        <v>0.16533333333333333</v>
      </c>
      <c r="M1660" s="73">
        <f t="shared" ca="1" si="930"/>
        <v>82.666666666666671</v>
      </c>
      <c r="N1660" s="12" t="s">
        <v>43</v>
      </c>
      <c r="O1660" s="47" t="s">
        <v>45</v>
      </c>
      <c r="P1660" s="13">
        <f t="shared" si="955"/>
        <v>0.92</v>
      </c>
      <c r="Q1660" s="1" t="str">
        <f t="shared" si="957"/>
        <v>500-990 шт - 0,92 руб / шт с НДС</v>
      </c>
      <c r="R1660" s="235"/>
      <c r="S1660" s="239"/>
      <c r="T1660" s="226"/>
      <c r="U1660" s="228"/>
      <c r="V1660" s="222"/>
      <c r="W1660" s="229"/>
      <c r="X1660" s="227"/>
      <c r="Y1660" s="229"/>
      <c r="Z1660" s="236"/>
      <c r="AA1660" s="237"/>
      <c r="AB1660" s="238"/>
      <c r="AC1660" s="223"/>
      <c r="AD1660" s="222"/>
    </row>
    <row r="1661" spans="1:30" x14ac:dyDescent="0.4">
      <c r="A1661" s="230"/>
      <c r="B1661" s="8">
        <v>333</v>
      </c>
      <c r="C1661" s="14">
        <f t="shared" ca="1" si="941"/>
        <v>0.56000000000000005</v>
      </c>
      <c r="D1661" s="20">
        <f t="shared" ca="1" si="948"/>
        <v>0.67200000000000004</v>
      </c>
      <c r="E1661" s="225"/>
      <c r="F1661" s="231"/>
      <c r="G1661" s="172" t="str">
        <f t="shared" ca="1" si="932"/>
        <v/>
      </c>
      <c r="H1661" s="93" t="str">
        <f t="shared" ca="1" si="933"/>
        <v/>
      </c>
      <c r="I1661" s="21">
        <v>1000</v>
      </c>
      <c r="J1661" s="68">
        <f t="shared" si="934"/>
        <v>0.75</v>
      </c>
      <c r="K1661" s="70">
        <v>0.9</v>
      </c>
      <c r="L1661" s="72">
        <f t="shared" ca="1" si="929"/>
        <v>0.15199999999999997</v>
      </c>
      <c r="M1661" s="73">
        <f t="shared" ca="1" si="930"/>
        <v>151.99999999999997</v>
      </c>
      <c r="N1661" s="12" t="s">
        <v>44</v>
      </c>
      <c r="O1661" s="47" t="s">
        <v>45</v>
      </c>
      <c r="P1661" s="13">
        <f t="shared" si="955"/>
        <v>0.9</v>
      </c>
      <c r="Q1661" s="1" t="str">
        <f t="shared" si="957"/>
        <v>1000 + шт - 0,9 руб / шт с НДС</v>
      </c>
      <c r="R1661" s="235"/>
      <c r="S1661" s="239"/>
      <c r="T1661" s="226"/>
      <c r="U1661" s="228"/>
      <c r="V1661" s="222"/>
      <c r="W1661" s="229"/>
      <c r="X1661" s="227"/>
      <c r="Y1661" s="229"/>
      <c r="Z1661" s="236"/>
      <c r="AA1661" s="237"/>
      <c r="AB1661" s="238"/>
      <c r="AC1661" s="223"/>
      <c r="AD1661" s="222"/>
    </row>
    <row r="1662" spans="1:30" x14ac:dyDescent="0.4">
      <c r="A1662" s="230">
        <v>334</v>
      </c>
      <c r="B1662" s="8">
        <v>334</v>
      </c>
      <c r="C1662" s="14">
        <f t="shared" ca="1" si="941"/>
        <v>0.51</v>
      </c>
      <c r="D1662" s="20">
        <f t="shared" ca="1" si="948"/>
        <v>0.61199999999999999</v>
      </c>
      <c r="E1662" s="225" t="str">
        <f ca="1">INDIRECT("'Закуп'!D" &amp; A1662)</f>
        <v>У</v>
      </c>
      <c r="F1662" s="231" t="str">
        <f t="shared" ref="F1662" ca="1" si="962">INDIRECT("'Закуп'!E" &amp; B1662)</f>
        <v>350х160х85</v>
      </c>
      <c r="G1662" s="172" t="str">
        <f t="shared" ca="1" si="932"/>
        <v/>
      </c>
      <c r="H1662" s="93" t="str">
        <f t="shared" ca="1" si="933"/>
        <v/>
      </c>
      <c r="I1662" s="21">
        <v>50</v>
      </c>
      <c r="J1662" s="68">
        <f t="shared" si="934"/>
        <v>1.3666666666666667</v>
      </c>
      <c r="K1662" s="70">
        <v>1.64</v>
      </c>
      <c r="L1662" s="72">
        <f t="shared" ca="1" si="929"/>
        <v>0.68533333333333335</v>
      </c>
      <c r="M1662" s="73">
        <f t="shared" ca="1" si="930"/>
        <v>34.266666666666666</v>
      </c>
      <c r="N1662" s="12" t="s">
        <v>40</v>
      </c>
      <c r="O1662" s="47" t="s">
        <v>45</v>
      </c>
      <c r="P1662" s="13">
        <f t="shared" si="955"/>
        <v>1.64</v>
      </c>
      <c r="Q1662" s="1" t="str">
        <f t="shared" si="957"/>
        <v>50-90 шт - 1,64 руб / шт с НДС</v>
      </c>
      <c r="R1662" s="235" t="str">
        <f ca="1">INDIRECT("'Закуп'!k" &amp; A1662)</f>
        <v>K272</v>
      </c>
      <c r="S1662" s="239">
        <f ca="1">INDIRECT("'Закуп'!o" &amp; A1662)</f>
        <v>4.76</v>
      </c>
      <c r="T1662" s="226" t="str">
        <f ca="1">INDIRECT("'Закуп'!p" &amp; A1662)</f>
        <v>4-5,9 литра</v>
      </c>
      <c r="U1662" s="228" t="str">
        <f ca="1">INDIRECT("'Закуп'!v" &amp; A1662)</f>
        <v>Длинные</v>
      </c>
      <c r="V1662" s="222" t="str">
        <f ca="1">INDIRECT("'Закуп'!w" &amp; A1662)</f>
        <v/>
      </c>
      <c r="W1662" s="229" t="str">
        <f ca="1">INDIRECT("'Закуп'!H" &amp; A1662)</f>
        <v>0201</v>
      </c>
      <c r="X1662" s="227" t="str">
        <f t="shared" ref="X1662" ca="1" si="963">INDIRECT("'Закуп'!g" &amp; A1662)</f>
        <v>Ч</v>
      </c>
      <c r="Y1662" s="229" t="str">
        <f ca="1">INDIRECT("'Закуп'!i" &amp; A1662)</f>
        <v>В</v>
      </c>
      <c r="Z1662" s="236" t="str">
        <f ca="1">INDIRECT("'Закуп'!x" &amp; A1662)</f>
        <v>300-399 мм</v>
      </c>
      <c r="AA1662" s="237" t="str">
        <f ca="1">INDIRECT("'Закуп'!y" &amp; A1662)</f>
        <v>100-199 мм</v>
      </c>
      <c r="AB1662" s="238" t="str">
        <f ca="1">INDIRECT("'Закуп'!z" &amp; A1662)</f>
        <v>10-99 мм</v>
      </c>
      <c r="AC1662" s="223" t="str">
        <f t="shared" ref="AC1662:AC1722" ca="1" si="964">SUBSTITUTE(INDEX(F:F, ROUNDUP((ROW(A1661))/5,0)*5 - 3), "х", "x")</f>
        <v>350x160x85</v>
      </c>
      <c r="AD1662" s="222" t="str">
        <f t="shared" ca="1" si="951"/>
        <v>350x160x85 - 350*160*85 мм</v>
      </c>
    </row>
    <row r="1663" spans="1:30" x14ac:dyDescent="0.4">
      <c r="A1663" s="230"/>
      <c r="B1663" s="8">
        <v>334</v>
      </c>
      <c r="C1663" s="14">
        <f t="shared" ca="1" si="941"/>
        <v>0.51</v>
      </c>
      <c r="D1663" s="20">
        <f t="shared" ca="1" si="948"/>
        <v>0.61199999999999999</v>
      </c>
      <c r="E1663" s="225"/>
      <c r="F1663" s="231"/>
      <c r="G1663" s="172" t="str">
        <f t="shared" ca="1" si="932"/>
        <v/>
      </c>
      <c r="H1663" s="93" t="str">
        <f t="shared" ca="1" si="933"/>
        <v/>
      </c>
      <c r="I1663" s="21">
        <v>100</v>
      </c>
      <c r="J1663" s="68">
        <f t="shared" si="934"/>
        <v>1.2083333333333333</v>
      </c>
      <c r="K1663" s="70">
        <v>1.45</v>
      </c>
      <c r="L1663" s="72">
        <f t="shared" ca="1" si="929"/>
        <v>0.55866666666666664</v>
      </c>
      <c r="M1663" s="73">
        <f t="shared" ca="1" si="930"/>
        <v>55.866666666666667</v>
      </c>
      <c r="N1663" s="12" t="s">
        <v>41</v>
      </c>
      <c r="O1663" s="47" t="s">
        <v>45</v>
      </c>
      <c r="P1663" s="13">
        <f t="shared" si="955"/>
        <v>1.45</v>
      </c>
      <c r="Q1663" s="1" t="str">
        <f t="shared" si="957"/>
        <v>100-290 шт - 1,45 руб / шт с НДС</v>
      </c>
      <c r="R1663" s="235"/>
      <c r="S1663" s="239"/>
      <c r="T1663" s="226"/>
      <c r="U1663" s="228"/>
      <c r="V1663" s="222"/>
      <c r="W1663" s="229"/>
      <c r="X1663" s="227"/>
      <c r="Y1663" s="229"/>
      <c r="Z1663" s="236"/>
      <c r="AA1663" s="237"/>
      <c r="AB1663" s="238"/>
      <c r="AC1663" s="223"/>
      <c r="AD1663" s="222"/>
    </row>
    <row r="1664" spans="1:30" x14ac:dyDescent="0.4">
      <c r="A1664" s="230"/>
      <c r="B1664" s="8">
        <v>334</v>
      </c>
      <c r="C1664" s="14">
        <f t="shared" ca="1" si="941"/>
        <v>0.51</v>
      </c>
      <c r="D1664" s="20">
        <f t="shared" ca="1" si="948"/>
        <v>0.61199999999999999</v>
      </c>
      <c r="E1664" s="225"/>
      <c r="F1664" s="231"/>
      <c r="G1664" s="172" t="str">
        <f t="shared" ca="1" si="932"/>
        <v/>
      </c>
      <c r="H1664" s="93" t="str">
        <f t="shared" ca="1" si="933"/>
        <v/>
      </c>
      <c r="I1664" s="21">
        <v>300</v>
      </c>
      <c r="J1664" s="68">
        <f t="shared" si="934"/>
        <v>1.0416666666666667</v>
      </c>
      <c r="K1664" s="70">
        <v>1.25</v>
      </c>
      <c r="L1664" s="72">
        <f t="shared" ca="1" si="929"/>
        <v>0.4253333333333334</v>
      </c>
      <c r="M1664" s="73">
        <f t="shared" ca="1" si="930"/>
        <v>127.60000000000002</v>
      </c>
      <c r="N1664" s="12" t="s">
        <v>42</v>
      </c>
      <c r="O1664" s="47" t="s">
        <v>45</v>
      </c>
      <c r="P1664" s="13">
        <f t="shared" si="955"/>
        <v>1.25</v>
      </c>
      <c r="Q1664" s="1" t="str">
        <f t="shared" si="957"/>
        <v>300-490 шт - 1,25 руб / шт с НДС</v>
      </c>
      <c r="R1664" s="235"/>
      <c r="S1664" s="239"/>
      <c r="T1664" s="226"/>
      <c r="U1664" s="228"/>
      <c r="V1664" s="222"/>
      <c r="W1664" s="229"/>
      <c r="X1664" s="227"/>
      <c r="Y1664" s="229"/>
      <c r="Z1664" s="236"/>
      <c r="AA1664" s="237"/>
      <c r="AB1664" s="238"/>
      <c r="AC1664" s="223"/>
      <c r="AD1664" s="222"/>
    </row>
    <row r="1665" spans="1:30" x14ac:dyDescent="0.4">
      <c r="A1665" s="230"/>
      <c r="B1665" s="8">
        <v>334</v>
      </c>
      <c r="C1665" s="14">
        <f t="shared" ca="1" si="941"/>
        <v>0.51</v>
      </c>
      <c r="D1665" s="20">
        <f t="shared" ca="1" si="948"/>
        <v>0.61199999999999999</v>
      </c>
      <c r="E1665" s="225"/>
      <c r="F1665" s="231"/>
      <c r="G1665" s="172" t="str">
        <f t="shared" ca="1" si="932"/>
        <v/>
      </c>
      <c r="H1665" s="93" t="str">
        <f t="shared" ca="1" si="933"/>
        <v/>
      </c>
      <c r="I1665" s="21">
        <v>500</v>
      </c>
      <c r="J1665" s="68">
        <f t="shared" si="934"/>
        <v>0.96666666666666667</v>
      </c>
      <c r="K1665" s="70">
        <v>1.1599999999999999</v>
      </c>
      <c r="L1665" s="72">
        <f t="shared" ca="1" si="929"/>
        <v>0.36533333333333334</v>
      </c>
      <c r="M1665" s="73">
        <f t="shared" ca="1" si="930"/>
        <v>182.66666666666669</v>
      </c>
      <c r="N1665" s="12" t="s">
        <v>43</v>
      </c>
      <c r="O1665" s="47" t="s">
        <v>45</v>
      </c>
      <c r="P1665" s="13">
        <f t="shared" si="955"/>
        <v>1.1599999999999999</v>
      </c>
      <c r="Q1665" s="1" t="str">
        <f t="shared" si="957"/>
        <v>500-990 шт - 1,16 руб / шт с НДС</v>
      </c>
      <c r="R1665" s="235"/>
      <c r="S1665" s="239"/>
      <c r="T1665" s="226"/>
      <c r="U1665" s="228"/>
      <c r="V1665" s="222"/>
      <c r="W1665" s="229"/>
      <c r="X1665" s="227"/>
      <c r="Y1665" s="229"/>
      <c r="Z1665" s="236"/>
      <c r="AA1665" s="237"/>
      <c r="AB1665" s="238"/>
      <c r="AC1665" s="223"/>
      <c r="AD1665" s="222"/>
    </row>
    <row r="1666" spans="1:30" x14ac:dyDescent="0.4">
      <c r="A1666" s="230"/>
      <c r="B1666" s="8">
        <v>334</v>
      </c>
      <c r="C1666" s="14">
        <f t="shared" ca="1" si="941"/>
        <v>0.51</v>
      </c>
      <c r="D1666" s="20">
        <f t="shared" ca="1" si="948"/>
        <v>0.61199999999999999</v>
      </c>
      <c r="E1666" s="225"/>
      <c r="F1666" s="231"/>
      <c r="G1666" s="172" t="str">
        <f t="shared" ca="1" si="932"/>
        <v/>
      </c>
      <c r="H1666" s="93" t="str">
        <f t="shared" ca="1" si="933"/>
        <v/>
      </c>
      <c r="I1666" s="21">
        <v>1000</v>
      </c>
      <c r="J1666" s="68">
        <f t="shared" si="934"/>
        <v>0.8</v>
      </c>
      <c r="K1666" s="70">
        <v>0.96</v>
      </c>
      <c r="L1666" s="72">
        <f t="shared" ref="L1666:L1729" ca="1" si="965">J1666-C1666-(J1666-C1666)*0.2</f>
        <v>0.23200000000000004</v>
      </c>
      <c r="M1666" s="73">
        <f t="shared" ref="M1666:M1729" ca="1" si="966">L1666*I1666</f>
        <v>232.00000000000003</v>
      </c>
      <c r="N1666" s="12" t="s">
        <v>44</v>
      </c>
      <c r="O1666" s="47" t="s">
        <v>45</v>
      </c>
      <c r="P1666" s="13">
        <f t="shared" si="955"/>
        <v>0.96</v>
      </c>
      <c r="Q1666" s="1" t="str">
        <f t="shared" si="957"/>
        <v>1000 + шт - 0,96 руб / шт с НДС</v>
      </c>
      <c r="R1666" s="235"/>
      <c r="S1666" s="239"/>
      <c r="T1666" s="226"/>
      <c r="U1666" s="228"/>
      <c r="V1666" s="222"/>
      <c r="W1666" s="229"/>
      <c r="X1666" s="227"/>
      <c r="Y1666" s="229"/>
      <c r="Z1666" s="236"/>
      <c r="AA1666" s="237"/>
      <c r="AB1666" s="238"/>
      <c r="AC1666" s="223"/>
      <c r="AD1666" s="222"/>
    </row>
    <row r="1667" spans="1:30" ht="21.45" x14ac:dyDescent="0.4">
      <c r="A1667" s="230">
        <v>335</v>
      </c>
      <c r="B1667" s="8">
        <v>335</v>
      </c>
      <c r="C1667" s="14">
        <f t="shared" ca="1" si="941"/>
        <v>2.0299999999999998</v>
      </c>
      <c r="D1667" s="20">
        <f t="shared" ca="1" si="948"/>
        <v>2.4359999999999995</v>
      </c>
      <c r="E1667" s="225" t="str">
        <f ca="1">INDIRECT("'Закуп'!D" &amp; A1667)</f>
        <v>БМ</v>
      </c>
      <c r="F1667" s="231" t="str">
        <f t="shared" ref="F1667" ca="1" si="967">INDIRECT("'Закуп'!E" &amp; B1667)</f>
        <v>560х360х390</v>
      </c>
      <c r="G1667" s="172" t="str">
        <f t="shared" ref="G1667:G1730" ca="1" si="968">IF(INDIRECT("'Закуп'!L" &amp; B1667)="Sale","Sale","")</f>
        <v>Sale</v>
      </c>
      <c r="H1667" s="93" t="str">
        <f t="shared" ref="H1667:H1730" ca="1" si="969">IF(INDIRECT("'Закуп'!F" &amp; B1667)=0,"",INDIRECT("'Закуп'!F" &amp; B1667))</f>
        <v>Расспродажа</v>
      </c>
      <c r="I1667" s="21">
        <v>50</v>
      </c>
      <c r="J1667" s="68">
        <f t="shared" ref="J1667:J1730" si="970">K1667/1.2</f>
        <v>2.166666666666667</v>
      </c>
      <c r="K1667" s="70">
        <v>2.6</v>
      </c>
      <c r="L1667" s="72">
        <f t="shared" ca="1" si="965"/>
        <v>0.10933333333333373</v>
      </c>
      <c r="M1667" s="73">
        <f t="shared" ca="1" si="966"/>
        <v>5.4666666666666863</v>
      </c>
      <c r="N1667" s="12" t="s">
        <v>40</v>
      </c>
      <c r="O1667" s="47" t="s">
        <v>45</v>
      </c>
      <c r="P1667" s="13">
        <f t="shared" si="955"/>
        <v>2.6</v>
      </c>
      <c r="Q1667" s="1" t="str">
        <f t="shared" si="957"/>
        <v>50-90 шт - 2,6 руб / шт с НДС</v>
      </c>
      <c r="R1667" s="235" t="str">
        <f ca="1">INDIRECT("'Закуп'!k" &amp; A1667)</f>
        <v>K524</v>
      </c>
      <c r="S1667" s="239">
        <f ca="1">INDIRECT("'Закуп'!o" &amp; A1667)</f>
        <v>78.62</v>
      </c>
      <c r="T1667" s="226" t="str">
        <f ca="1">INDIRECT("'Закуп'!p" &amp; A1667)</f>
        <v>70-79 литров</v>
      </c>
      <c r="U1667" s="228" t="str">
        <f ca="1">INDIRECT("'Закуп'!v" &amp; A1667)</f>
        <v/>
      </c>
      <c r="V1667" s="222" t="str">
        <f ca="1">INDIRECT("'Закуп'!w" &amp; A1667)</f>
        <v/>
      </c>
      <c r="W1667" s="229" t="str">
        <f ca="1">INDIRECT("'Закуп'!H" &amp; A1667)</f>
        <v>0201</v>
      </c>
      <c r="X1667" s="227" t="str">
        <f t="shared" ref="X1667" ca="1" si="971">INDIRECT("'Закуп'!g" &amp; A1667)</f>
        <v>Ч</v>
      </c>
      <c r="Y1667" s="229" t="str">
        <f ca="1">INDIRECT("'Закуп'!i" &amp; A1667)</f>
        <v>В</v>
      </c>
      <c r="Z1667" s="236" t="str">
        <f ca="1">INDIRECT("'Закуп'!x" &amp; A1667)</f>
        <v>500-599 мм</v>
      </c>
      <c r="AA1667" s="237" t="str">
        <f ca="1">INDIRECT("'Закуп'!y" &amp; A1667)</f>
        <v>300-399 мм</v>
      </c>
      <c r="AB1667" s="238" t="str">
        <f ca="1">INDIRECT("'Закуп'!z" &amp; A1667)</f>
        <v>300-399 мм</v>
      </c>
      <c r="AC1667" s="223" t="str">
        <f t="shared" ca="1" si="964"/>
        <v>560x360x390</v>
      </c>
      <c r="AD1667" s="222" t="str">
        <f t="shared" ca="1" si="951"/>
        <v>560x360x390 - 560*360*390 мм</v>
      </c>
    </row>
    <row r="1668" spans="1:30" ht="21.45" x14ac:dyDescent="0.4">
      <c r="A1668" s="230"/>
      <c r="B1668" s="8">
        <v>335</v>
      </c>
      <c r="C1668" s="14">
        <f t="shared" ca="1" si="941"/>
        <v>2.0299999999999998</v>
      </c>
      <c r="D1668" s="20">
        <f t="shared" ca="1" si="948"/>
        <v>2.4359999999999995</v>
      </c>
      <c r="E1668" s="225"/>
      <c r="F1668" s="231"/>
      <c r="G1668" s="172" t="str">
        <f t="shared" ca="1" si="968"/>
        <v>Sale</v>
      </c>
      <c r="H1668" s="93" t="str">
        <f t="shared" ca="1" si="969"/>
        <v>Расспродажа</v>
      </c>
      <c r="I1668" s="21">
        <v>100</v>
      </c>
      <c r="J1668" s="68">
        <f t="shared" si="970"/>
        <v>2.166666666666667</v>
      </c>
      <c r="K1668" s="70">
        <v>2.6</v>
      </c>
      <c r="L1668" s="72">
        <f t="shared" ca="1" si="965"/>
        <v>0.10933333333333373</v>
      </c>
      <c r="M1668" s="73">
        <f t="shared" ca="1" si="966"/>
        <v>10.933333333333373</v>
      </c>
      <c r="N1668" s="12" t="s">
        <v>41</v>
      </c>
      <c r="O1668" s="47" t="s">
        <v>45</v>
      </c>
      <c r="P1668" s="13">
        <f t="shared" si="955"/>
        <v>2.6</v>
      </c>
      <c r="Q1668" s="1" t="str">
        <f t="shared" si="957"/>
        <v>100-290 шт - 2,6 руб / шт с НДС</v>
      </c>
      <c r="R1668" s="235"/>
      <c r="S1668" s="239"/>
      <c r="T1668" s="226"/>
      <c r="U1668" s="228"/>
      <c r="V1668" s="222"/>
      <c r="W1668" s="229"/>
      <c r="X1668" s="227"/>
      <c r="Y1668" s="229"/>
      <c r="Z1668" s="236"/>
      <c r="AA1668" s="237"/>
      <c r="AB1668" s="238"/>
      <c r="AC1668" s="223"/>
      <c r="AD1668" s="222"/>
    </row>
    <row r="1669" spans="1:30" ht="21.45" x14ac:dyDescent="0.4">
      <c r="A1669" s="230"/>
      <c r="B1669" s="8">
        <v>335</v>
      </c>
      <c r="C1669" s="14">
        <f t="shared" ca="1" si="941"/>
        <v>2.0299999999999998</v>
      </c>
      <c r="D1669" s="20">
        <f t="shared" ca="1" si="948"/>
        <v>2.4359999999999995</v>
      </c>
      <c r="E1669" s="225"/>
      <c r="F1669" s="231"/>
      <c r="G1669" s="172" t="str">
        <f t="shared" ca="1" si="968"/>
        <v>Sale</v>
      </c>
      <c r="H1669" s="93" t="str">
        <f t="shared" ca="1" si="969"/>
        <v>Расспродажа</v>
      </c>
      <c r="I1669" s="21">
        <v>300</v>
      </c>
      <c r="J1669" s="68">
        <f t="shared" si="970"/>
        <v>2.166666666666667</v>
      </c>
      <c r="K1669" s="70">
        <v>2.6</v>
      </c>
      <c r="L1669" s="72">
        <f t="shared" ca="1" si="965"/>
        <v>0.10933333333333373</v>
      </c>
      <c r="M1669" s="73">
        <f t="shared" ca="1" si="966"/>
        <v>32.800000000000118</v>
      </c>
      <c r="N1669" s="12" t="s">
        <v>42</v>
      </c>
      <c r="O1669" s="47" t="s">
        <v>45</v>
      </c>
      <c r="P1669" s="13">
        <f t="shared" si="955"/>
        <v>2.6</v>
      </c>
      <c r="Q1669" s="1" t="str">
        <f t="shared" si="957"/>
        <v>300-490 шт - 2,6 руб / шт с НДС</v>
      </c>
      <c r="R1669" s="235"/>
      <c r="S1669" s="239"/>
      <c r="T1669" s="226"/>
      <c r="U1669" s="228"/>
      <c r="V1669" s="222"/>
      <c r="W1669" s="229"/>
      <c r="X1669" s="227"/>
      <c r="Y1669" s="229"/>
      <c r="Z1669" s="236"/>
      <c r="AA1669" s="237"/>
      <c r="AB1669" s="238"/>
      <c r="AC1669" s="223"/>
      <c r="AD1669" s="222"/>
    </row>
    <row r="1670" spans="1:30" ht="21.45" x14ac:dyDescent="0.4">
      <c r="A1670" s="230"/>
      <c r="B1670" s="8">
        <v>335</v>
      </c>
      <c r="C1670" s="14">
        <f t="shared" ca="1" si="941"/>
        <v>2.0299999999999998</v>
      </c>
      <c r="D1670" s="20">
        <f t="shared" ca="1" si="948"/>
        <v>2.4359999999999995</v>
      </c>
      <c r="E1670" s="225"/>
      <c r="F1670" s="231"/>
      <c r="G1670" s="172" t="str">
        <f t="shared" ca="1" si="968"/>
        <v>Sale</v>
      </c>
      <c r="H1670" s="93" t="str">
        <f t="shared" ca="1" si="969"/>
        <v>Расспродажа</v>
      </c>
      <c r="I1670" s="21">
        <v>500</v>
      </c>
      <c r="J1670" s="68">
        <f t="shared" si="970"/>
        <v>2.166666666666667</v>
      </c>
      <c r="K1670" s="70">
        <v>2.6</v>
      </c>
      <c r="L1670" s="72">
        <f t="shared" ca="1" si="965"/>
        <v>0.10933333333333373</v>
      </c>
      <c r="M1670" s="73">
        <f t="shared" ca="1" si="966"/>
        <v>54.666666666666863</v>
      </c>
      <c r="N1670" s="12" t="s">
        <v>43</v>
      </c>
      <c r="O1670" s="47" t="s">
        <v>45</v>
      </c>
      <c r="P1670" s="13">
        <f t="shared" si="955"/>
        <v>2.6</v>
      </c>
      <c r="Q1670" s="1" t="str">
        <f t="shared" si="957"/>
        <v>500-990 шт - 2,6 руб / шт с НДС</v>
      </c>
      <c r="R1670" s="235"/>
      <c r="S1670" s="239"/>
      <c r="T1670" s="226"/>
      <c r="U1670" s="228"/>
      <c r="V1670" s="222"/>
      <c r="W1670" s="229"/>
      <c r="X1670" s="227"/>
      <c r="Y1670" s="229"/>
      <c r="Z1670" s="236"/>
      <c r="AA1670" s="237"/>
      <c r="AB1670" s="238"/>
      <c r="AC1670" s="223"/>
      <c r="AD1670" s="222"/>
    </row>
    <row r="1671" spans="1:30" ht="21.45" x14ac:dyDescent="0.4">
      <c r="A1671" s="230"/>
      <c r="B1671" s="8">
        <v>335</v>
      </c>
      <c r="C1671" s="14">
        <f t="shared" ca="1" si="941"/>
        <v>2.0299999999999998</v>
      </c>
      <c r="D1671" s="20">
        <f t="shared" ca="1" si="948"/>
        <v>2.4359999999999995</v>
      </c>
      <c r="E1671" s="225"/>
      <c r="F1671" s="231"/>
      <c r="G1671" s="172" t="str">
        <f t="shared" ca="1" si="968"/>
        <v>Sale</v>
      </c>
      <c r="H1671" s="93" t="str">
        <f t="shared" ca="1" si="969"/>
        <v>Расспродажа</v>
      </c>
      <c r="I1671" s="21">
        <v>1000</v>
      </c>
      <c r="J1671" s="68">
        <f t="shared" si="970"/>
        <v>2.166666666666667</v>
      </c>
      <c r="K1671" s="70">
        <v>2.6</v>
      </c>
      <c r="L1671" s="72">
        <f t="shared" ca="1" si="965"/>
        <v>0.10933333333333373</v>
      </c>
      <c r="M1671" s="73">
        <f t="shared" ca="1" si="966"/>
        <v>109.33333333333373</v>
      </c>
      <c r="N1671" s="12" t="s">
        <v>44</v>
      </c>
      <c r="O1671" s="47" t="s">
        <v>45</v>
      </c>
      <c r="P1671" s="13">
        <f t="shared" si="955"/>
        <v>2.6</v>
      </c>
      <c r="Q1671" s="1" t="str">
        <f t="shared" si="957"/>
        <v>1000 + шт - 2,6 руб / шт с НДС</v>
      </c>
      <c r="R1671" s="235"/>
      <c r="S1671" s="239"/>
      <c r="T1671" s="226"/>
      <c r="U1671" s="228"/>
      <c r="V1671" s="222"/>
      <c r="W1671" s="229"/>
      <c r="X1671" s="227"/>
      <c r="Y1671" s="229"/>
      <c r="Z1671" s="236"/>
      <c r="AA1671" s="237"/>
      <c r="AB1671" s="238"/>
      <c r="AC1671" s="223"/>
      <c r="AD1671" s="222"/>
    </row>
    <row r="1672" spans="1:30" x14ac:dyDescent="0.4">
      <c r="A1672" s="230">
        <v>336</v>
      </c>
      <c r="B1672" s="8">
        <v>336</v>
      </c>
      <c r="C1672" s="14">
        <f t="shared" ca="1" si="941"/>
        <v>0.41</v>
      </c>
      <c r="D1672" s="20">
        <f t="shared" ca="1" si="948"/>
        <v>0.49199999999999994</v>
      </c>
      <c r="E1672" s="225" t="str">
        <f ca="1">INDIRECT("'Закуп'!D" &amp; A1672)</f>
        <v>К</v>
      </c>
      <c r="F1672" s="231" t="str">
        <f t="shared" ref="F1672" ca="1" si="972">INDIRECT("'Закуп'!E" &amp; B1672)</f>
        <v>165х120х86</v>
      </c>
      <c r="G1672" s="172" t="str">
        <f t="shared" ca="1" si="968"/>
        <v/>
      </c>
      <c r="H1672" s="93" t="str">
        <f t="shared" ca="1" si="969"/>
        <v/>
      </c>
      <c r="I1672" s="21">
        <v>50</v>
      </c>
      <c r="J1672" s="68">
        <f t="shared" si="970"/>
        <v>0.95833333333333326</v>
      </c>
      <c r="K1672" s="70">
        <v>1.1499999999999999</v>
      </c>
      <c r="L1672" s="72">
        <f t="shared" ca="1" si="965"/>
        <v>0.43866666666666665</v>
      </c>
      <c r="M1672" s="73">
        <f t="shared" ca="1" si="966"/>
        <v>21.933333333333334</v>
      </c>
      <c r="N1672" s="12" t="s">
        <v>40</v>
      </c>
      <c r="O1672" s="47" t="s">
        <v>45</v>
      </c>
      <c r="P1672" s="13">
        <f t="shared" si="955"/>
        <v>1.1499999999999999</v>
      </c>
      <c r="Q1672" s="1" t="str">
        <f t="shared" si="957"/>
        <v>50-90 шт - 1,15 руб / шт с НДС</v>
      </c>
      <c r="R1672" s="235" t="str">
        <f ca="1">INDIRECT("'Закуп'!k" &amp; A1672)</f>
        <v>K273</v>
      </c>
      <c r="S1672" s="239">
        <f ca="1">INDIRECT("'Закуп'!o" &amp; A1672)</f>
        <v>1.7</v>
      </c>
      <c r="T1672" s="226" t="str">
        <f ca="1">INDIRECT("'Закуп'!p" &amp; A1672)</f>
        <v>1-1,9 литра</v>
      </c>
      <c r="U1672" s="228" t="str">
        <f ca="1">INDIRECT("'Закуп'!v" &amp; A1672)</f>
        <v/>
      </c>
      <c r="V1672" s="222" t="str">
        <f ca="1">INDIRECT("'Закуп'!w" &amp; A1672)</f>
        <v/>
      </c>
      <c r="W1672" s="229" t="str">
        <f ca="1">INDIRECT("'Закуп'!H" &amp; A1672)</f>
        <v>0470</v>
      </c>
      <c r="X1672" s="227" t="str">
        <f t="shared" ref="X1672" ca="1" si="973">INDIRECT("'Закуп'!g" &amp; A1672)</f>
        <v>С</v>
      </c>
      <c r="Y1672" s="229" t="str">
        <f ca="1">INDIRECT("'Закуп'!i" &amp; A1672)</f>
        <v>В</v>
      </c>
      <c r="Z1672" s="236" t="str">
        <f ca="1">INDIRECT("'Закуп'!x" &amp; A1672)</f>
        <v>100-199 мм</v>
      </c>
      <c r="AA1672" s="237" t="str">
        <f ca="1">INDIRECT("'Закуп'!y" &amp; A1672)</f>
        <v>100-199 мм</v>
      </c>
      <c r="AB1672" s="238" t="str">
        <f ca="1">INDIRECT("'Закуп'!z" &amp; A1672)</f>
        <v>10-99 мм</v>
      </c>
      <c r="AC1672" s="223" t="str">
        <f t="shared" ca="1" si="964"/>
        <v>165x120x86</v>
      </c>
      <c r="AD1672" s="222" t="str">
        <f t="shared" ca="1" si="951"/>
        <v>165x120x86 - 165*120*86 мм</v>
      </c>
    </row>
    <row r="1673" spans="1:30" x14ac:dyDescent="0.4">
      <c r="A1673" s="230"/>
      <c r="B1673" s="8">
        <v>336</v>
      </c>
      <c r="C1673" s="14">
        <f t="shared" ca="1" si="941"/>
        <v>0.41</v>
      </c>
      <c r="D1673" s="20">
        <f t="shared" ca="1" si="948"/>
        <v>0.49199999999999994</v>
      </c>
      <c r="E1673" s="225"/>
      <c r="F1673" s="231"/>
      <c r="G1673" s="172" t="str">
        <f t="shared" ca="1" si="968"/>
        <v/>
      </c>
      <c r="H1673" s="93" t="str">
        <f t="shared" ca="1" si="969"/>
        <v/>
      </c>
      <c r="I1673" s="21">
        <v>100</v>
      </c>
      <c r="J1673" s="68">
        <f t="shared" si="970"/>
        <v>0.87500000000000011</v>
      </c>
      <c r="K1673" s="70">
        <v>1.05</v>
      </c>
      <c r="L1673" s="72">
        <f t="shared" ca="1" si="965"/>
        <v>0.37200000000000011</v>
      </c>
      <c r="M1673" s="73">
        <f t="shared" ca="1" si="966"/>
        <v>37.20000000000001</v>
      </c>
      <c r="N1673" s="12" t="s">
        <v>41</v>
      </c>
      <c r="O1673" s="47" t="s">
        <v>45</v>
      </c>
      <c r="P1673" s="13">
        <f t="shared" si="955"/>
        <v>1.05</v>
      </c>
      <c r="Q1673" s="1" t="str">
        <f t="shared" si="957"/>
        <v>100-290 шт - 1,05 руб / шт с НДС</v>
      </c>
      <c r="R1673" s="235"/>
      <c r="S1673" s="239"/>
      <c r="T1673" s="226"/>
      <c r="U1673" s="228"/>
      <c r="V1673" s="222"/>
      <c r="W1673" s="229"/>
      <c r="X1673" s="227"/>
      <c r="Y1673" s="229"/>
      <c r="Z1673" s="236"/>
      <c r="AA1673" s="237"/>
      <c r="AB1673" s="238"/>
      <c r="AC1673" s="223"/>
      <c r="AD1673" s="222"/>
    </row>
    <row r="1674" spans="1:30" x14ac:dyDescent="0.4">
      <c r="A1674" s="230"/>
      <c r="B1674" s="8">
        <v>336</v>
      </c>
      <c r="C1674" s="14">
        <f t="shared" ca="1" si="941"/>
        <v>0.41</v>
      </c>
      <c r="D1674" s="20">
        <f t="shared" ca="1" si="948"/>
        <v>0.49199999999999994</v>
      </c>
      <c r="E1674" s="225"/>
      <c r="F1674" s="231"/>
      <c r="G1674" s="172" t="str">
        <f t="shared" ca="1" si="968"/>
        <v/>
      </c>
      <c r="H1674" s="93" t="str">
        <f t="shared" ca="1" si="969"/>
        <v/>
      </c>
      <c r="I1674" s="21">
        <v>300</v>
      </c>
      <c r="J1674" s="68">
        <f t="shared" si="970"/>
        <v>0.79166666666666663</v>
      </c>
      <c r="K1674" s="70">
        <v>0.95</v>
      </c>
      <c r="L1674" s="72">
        <f t="shared" ca="1" si="965"/>
        <v>0.30533333333333335</v>
      </c>
      <c r="M1674" s="73">
        <f t="shared" ca="1" si="966"/>
        <v>91.600000000000009</v>
      </c>
      <c r="N1674" s="12" t="s">
        <v>42</v>
      </c>
      <c r="O1674" s="47" t="s">
        <v>45</v>
      </c>
      <c r="P1674" s="13">
        <f t="shared" si="955"/>
        <v>0.95</v>
      </c>
      <c r="Q1674" s="1" t="str">
        <f t="shared" si="957"/>
        <v>300-490 шт - 0,95 руб / шт с НДС</v>
      </c>
      <c r="R1674" s="235"/>
      <c r="S1674" s="239"/>
      <c r="T1674" s="226"/>
      <c r="U1674" s="228"/>
      <c r="V1674" s="222"/>
      <c r="W1674" s="229"/>
      <c r="X1674" s="227"/>
      <c r="Y1674" s="229"/>
      <c r="Z1674" s="236"/>
      <c r="AA1674" s="237"/>
      <c r="AB1674" s="238"/>
      <c r="AC1674" s="223"/>
      <c r="AD1674" s="222"/>
    </row>
    <row r="1675" spans="1:30" x14ac:dyDescent="0.4">
      <c r="A1675" s="230"/>
      <c r="B1675" s="8">
        <v>336</v>
      </c>
      <c r="C1675" s="14">
        <f t="shared" ca="1" si="941"/>
        <v>0.41</v>
      </c>
      <c r="D1675" s="20">
        <f t="shared" ca="1" si="948"/>
        <v>0.49199999999999994</v>
      </c>
      <c r="E1675" s="225"/>
      <c r="F1675" s="231"/>
      <c r="G1675" s="172" t="str">
        <f t="shared" ca="1" si="968"/>
        <v/>
      </c>
      <c r="H1675" s="93" t="str">
        <f t="shared" ca="1" si="969"/>
        <v/>
      </c>
      <c r="I1675" s="21">
        <v>500</v>
      </c>
      <c r="J1675" s="68">
        <f t="shared" si="970"/>
        <v>0.70833333333333337</v>
      </c>
      <c r="K1675" s="70">
        <v>0.85</v>
      </c>
      <c r="L1675" s="72">
        <f t="shared" ca="1" si="965"/>
        <v>0.23866666666666672</v>
      </c>
      <c r="M1675" s="73">
        <f t="shared" ca="1" si="966"/>
        <v>119.33333333333336</v>
      </c>
      <c r="N1675" s="12" t="s">
        <v>43</v>
      </c>
      <c r="O1675" s="47" t="s">
        <v>45</v>
      </c>
      <c r="P1675" s="13">
        <f t="shared" si="955"/>
        <v>0.85</v>
      </c>
      <c r="Q1675" s="1" t="str">
        <f t="shared" si="957"/>
        <v>500-990 шт - 0,85 руб / шт с НДС</v>
      </c>
      <c r="R1675" s="235"/>
      <c r="S1675" s="239"/>
      <c r="T1675" s="226"/>
      <c r="U1675" s="228"/>
      <c r="V1675" s="222"/>
      <c r="W1675" s="229"/>
      <c r="X1675" s="227"/>
      <c r="Y1675" s="229"/>
      <c r="Z1675" s="236"/>
      <c r="AA1675" s="237"/>
      <c r="AB1675" s="238"/>
      <c r="AC1675" s="223"/>
      <c r="AD1675" s="222"/>
    </row>
    <row r="1676" spans="1:30" x14ac:dyDescent="0.4">
      <c r="A1676" s="230"/>
      <c r="B1676" s="8">
        <v>336</v>
      </c>
      <c r="C1676" s="14">
        <f t="shared" ca="1" si="941"/>
        <v>0.41</v>
      </c>
      <c r="D1676" s="20">
        <f t="shared" ca="1" si="948"/>
        <v>0.49199999999999994</v>
      </c>
      <c r="E1676" s="225"/>
      <c r="F1676" s="231"/>
      <c r="G1676" s="172" t="str">
        <f t="shared" ca="1" si="968"/>
        <v/>
      </c>
      <c r="H1676" s="93" t="str">
        <f t="shared" ca="1" si="969"/>
        <v/>
      </c>
      <c r="I1676" s="21">
        <v>1000</v>
      </c>
      <c r="J1676" s="68">
        <f t="shared" si="970"/>
        <v>0.625</v>
      </c>
      <c r="K1676" s="70">
        <v>0.75</v>
      </c>
      <c r="L1676" s="72">
        <f t="shared" ca="1" si="965"/>
        <v>0.17200000000000001</v>
      </c>
      <c r="M1676" s="73">
        <f t="shared" ca="1" si="966"/>
        <v>172</v>
      </c>
      <c r="N1676" s="12" t="s">
        <v>44</v>
      </c>
      <c r="O1676" s="47" t="s">
        <v>45</v>
      </c>
      <c r="P1676" s="13">
        <f t="shared" si="955"/>
        <v>0.75</v>
      </c>
      <c r="Q1676" s="1" t="str">
        <f t="shared" si="957"/>
        <v>1000 + шт - 0,75 руб / шт с НДС</v>
      </c>
      <c r="R1676" s="235"/>
      <c r="S1676" s="239"/>
      <c r="T1676" s="226"/>
      <c r="U1676" s="228"/>
      <c r="V1676" s="222"/>
      <c r="W1676" s="229"/>
      <c r="X1676" s="227"/>
      <c r="Y1676" s="229"/>
      <c r="Z1676" s="236"/>
      <c r="AA1676" s="237"/>
      <c r="AB1676" s="238"/>
      <c r="AC1676" s="223"/>
      <c r="AD1676" s="222"/>
    </row>
    <row r="1677" spans="1:30" x14ac:dyDescent="0.4">
      <c r="A1677" s="230">
        <v>337</v>
      </c>
      <c r="B1677" s="8">
        <v>337</v>
      </c>
      <c r="C1677" s="14">
        <f t="shared" ca="1" si="941"/>
        <v>0.24</v>
      </c>
      <c r="D1677" s="20">
        <f t="shared" ca="1" si="948"/>
        <v>0.28799999999999998</v>
      </c>
      <c r="E1677" s="225" t="str">
        <f ca="1">INDIRECT("'Закуп'!D" &amp; A1677)</f>
        <v>У</v>
      </c>
      <c r="F1677" s="231" t="str">
        <f t="shared" ref="F1677" ca="1" si="974">INDIRECT("'Закуп'!E" &amp; B1677)</f>
        <v>170х70х180</v>
      </c>
      <c r="G1677" s="172" t="str">
        <f t="shared" ca="1" si="968"/>
        <v/>
      </c>
      <c r="H1677" s="93" t="str">
        <f t="shared" ca="1" si="969"/>
        <v/>
      </c>
      <c r="I1677" s="21">
        <v>50</v>
      </c>
      <c r="J1677" s="68">
        <f t="shared" si="970"/>
        <v>0.83333333333333337</v>
      </c>
      <c r="K1677" s="70">
        <v>1</v>
      </c>
      <c r="L1677" s="72">
        <f t="shared" ca="1" si="965"/>
        <v>0.47466666666666668</v>
      </c>
      <c r="M1677" s="73">
        <f t="shared" ca="1" si="966"/>
        <v>23.733333333333334</v>
      </c>
      <c r="N1677" s="12" t="s">
        <v>40</v>
      </c>
      <c r="O1677" s="47" t="s">
        <v>45</v>
      </c>
      <c r="P1677" s="13">
        <f t="shared" si="955"/>
        <v>1</v>
      </c>
      <c r="Q1677" s="1" t="str">
        <f t="shared" si="957"/>
        <v>50-90 шт - 1 руб / шт с НДС</v>
      </c>
      <c r="R1677" s="235" t="str">
        <f ca="1">INDIRECT("'Закуп'!k" &amp; A1677)</f>
        <v>K274</v>
      </c>
      <c r="S1677" s="239">
        <f ca="1">INDIRECT("'Закуп'!o" &amp; A1677)</f>
        <v>2.14</v>
      </c>
      <c r="T1677" s="226" t="str">
        <f ca="1">INDIRECT("'Закуп'!p" &amp; A1677)</f>
        <v>2-2,9 литра</v>
      </c>
      <c r="U1677" s="228" t="str">
        <f ca="1">INDIRECT("'Закуп'!v" &amp; A1677)</f>
        <v/>
      </c>
      <c r="V1677" s="222" t="str">
        <f ca="1">INDIRECT("'Закуп'!w" &amp; A1677)</f>
        <v>Плоские</v>
      </c>
      <c r="W1677" s="229" t="str">
        <f ca="1">INDIRECT("'Закуп'!H" &amp; A1677)</f>
        <v>0201</v>
      </c>
      <c r="X1677" s="227" t="str">
        <f t="shared" ref="X1677" ca="1" si="975">INDIRECT("'Закуп'!g" &amp; A1677)</f>
        <v>Ч</v>
      </c>
      <c r="Y1677" s="229" t="str">
        <f ca="1">INDIRECT("'Закуп'!i" &amp; A1677)</f>
        <v>В</v>
      </c>
      <c r="Z1677" s="236" t="str">
        <f ca="1">INDIRECT("'Закуп'!x" &amp; A1677)</f>
        <v>100-199 мм</v>
      </c>
      <c r="AA1677" s="237" t="str">
        <f ca="1">INDIRECT("'Закуп'!y" &amp; A1677)</f>
        <v>100-199 мм</v>
      </c>
      <c r="AB1677" s="238" t="str">
        <f ca="1">INDIRECT("'Закуп'!z" &amp; A1677)</f>
        <v>10-99 мм</v>
      </c>
      <c r="AC1677" s="223" t="str">
        <f t="shared" ca="1" si="964"/>
        <v>170x70x180</v>
      </c>
      <c r="AD1677" s="222" t="str">
        <f t="shared" ca="1" si="951"/>
        <v>170x70x180 - 170*70*180 мм</v>
      </c>
    </row>
    <row r="1678" spans="1:30" x14ac:dyDescent="0.4">
      <c r="A1678" s="230"/>
      <c r="B1678" s="8">
        <v>337</v>
      </c>
      <c r="C1678" s="14">
        <f t="shared" ca="1" si="941"/>
        <v>0.24</v>
      </c>
      <c r="D1678" s="20">
        <f t="shared" ca="1" si="948"/>
        <v>0.28799999999999998</v>
      </c>
      <c r="E1678" s="225"/>
      <c r="F1678" s="231"/>
      <c r="G1678" s="172" t="str">
        <f t="shared" ca="1" si="968"/>
        <v/>
      </c>
      <c r="H1678" s="93" t="str">
        <f t="shared" ca="1" si="969"/>
        <v/>
      </c>
      <c r="I1678" s="21">
        <v>100</v>
      </c>
      <c r="J1678" s="68">
        <f t="shared" si="970"/>
        <v>0.75</v>
      </c>
      <c r="K1678" s="70">
        <v>0.9</v>
      </c>
      <c r="L1678" s="72">
        <f t="shared" ca="1" si="965"/>
        <v>0.40800000000000003</v>
      </c>
      <c r="M1678" s="73">
        <f t="shared" ca="1" si="966"/>
        <v>40.800000000000004</v>
      </c>
      <c r="N1678" s="12" t="s">
        <v>41</v>
      </c>
      <c r="O1678" s="47" t="s">
        <v>45</v>
      </c>
      <c r="P1678" s="13">
        <f t="shared" si="955"/>
        <v>0.9</v>
      </c>
      <c r="Q1678" s="1" t="str">
        <f t="shared" si="957"/>
        <v>100-290 шт - 0,9 руб / шт с НДС</v>
      </c>
      <c r="R1678" s="235"/>
      <c r="S1678" s="239"/>
      <c r="T1678" s="226"/>
      <c r="U1678" s="228"/>
      <c r="V1678" s="222"/>
      <c r="W1678" s="229"/>
      <c r="X1678" s="227"/>
      <c r="Y1678" s="229"/>
      <c r="Z1678" s="236"/>
      <c r="AA1678" s="237"/>
      <c r="AB1678" s="238"/>
      <c r="AC1678" s="223"/>
      <c r="AD1678" s="222"/>
    </row>
    <row r="1679" spans="1:30" x14ac:dyDescent="0.4">
      <c r="A1679" s="230"/>
      <c r="B1679" s="8">
        <v>337</v>
      </c>
      <c r="C1679" s="14">
        <f t="shared" ca="1" si="941"/>
        <v>0.24</v>
      </c>
      <c r="D1679" s="20">
        <f t="shared" ca="1" si="948"/>
        <v>0.28799999999999998</v>
      </c>
      <c r="E1679" s="225"/>
      <c r="F1679" s="231"/>
      <c r="G1679" s="172" t="str">
        <f t="shared" ca="1" si="968"/>
        <v/>
      </c>
      <c r="H1679" s="93" t="str">
        <f t="shared" ca="1" si="969"/>
        <v/>
      </c>
      <c r="I1679" s="21">
        <v>300</v>
      </c>
      <c r="J1679" s="68">
        <f t="shared" si="970"/>
        <v>0.66666666666666674</v>
      </c>
      <c r="K1679" s="70">
        <v>0.8</v>
      </c>
      <c r="L1679" s="72">
        <f t="shared" ca="1" si="965"/>
        <v>0.34133333333333338</v>
      </c>
      <c r="M1679" s="73">
        <f t="shared" ca="1" si="966"/>
        <v>102.40000000000002</v>
      </c>
      <c r="N1679" s="12" t="s">
        <v>42</v>
      </c>
      <c r="O1679" s="47" t="s">
        <v>45</v>
      </c>
      <c r="P1679" s="13">
        <f t="shared" si="955"/>
        <v>0.8</v>
      </c>
      <c r="Q1679" s="1" t="str">
        <f t="shared" si="957"/>
        <v>300-490 шт - 0,8 руб / шт с НДС</v>
      </c>
      <c r="R1679" s="235"/>
      <c r="S1679" s="239"/>
      <c r="T1679" s="226"/>
      <c r="U1679" s="228"/>
      <c r="V1679" s="222"/>
      <c r="W1679" s="229"/>
      <c r="X1679" s="227"/>
      <c r="Y1679" s="229"/>
      <c r="Z1679" s="236"/>
      <c r="AA1679" s="237"/>
      <c r="AB1679" s="238"/>
      <c r="AC1679" s="223"/>
      <c r="AD1679" s="222"/>
    </row>
    <row r="1680" spans="1:30" x14ac:dyDescent="0.4">
      <c r="A1680" s="230"/>
      <c r="B1680" s="8">
        <v>337</v>
      </c>
      <c r="C1680" s="14">
        <f t="shared" ca="1" si="941"/>
        <v>0.24</v>
      </c>
      <c r="D1680" s="20">
        <f t="shared" ca="1" si="948"/>
        <v>0.28799999999999998</v>
      </c>
      <c r="E1680" s="225"/>
      <c r="F1680" s="231"/>
      <c r="G1680" s="172" t="str">
        <f t="shared" ca="1" si="968"/>
        <v/>
      </c>
      <c r="H1680" s="93" t="str">
        <f t="shared" ca="1" si="969"/>
        <v/>
      </c>
      <c r="I1680" s="21">
        <v>500</v>
      </c>
      <c r="J1680" s="68">
        <f t="shared" si="970"/>
        <v>0.58333333333333337</v>
      </c>
      <c r="K1680" s="70">
        <v>0.7</v>
      </c>
      <c r="L1680" s="72">
        <f t="shared" ca="1" si="965"/>
        <v>0.27466666666666673</v>
      </c>
      <c r="M1680" s="73">
        <f t="shared" ca="1" si="966"/>
        <v>137.33333333333337</v>
      </c>
      <c r="N1680" s="12" t="s">
        <v>43</v>
      </c>
      <c r="O1680" s="47" t="s">
        <v>45</v>
      </c>
      <c r="P1680" s="13">
        <f t="shared" si="955"/>
        <v>0.7</v>
      </c>
      <c r="Q1680" s="1" t="str">
        <f t="shared" si="957"/>
        <v>500-990 шт - 0,7 руб / шт с НДС</v>
      </c>
      <c r="R1680" s="235"/>
      <c r="S1680" s="239"/>
      <c r="T1680" s="226"/>
      <c r="U1680" s="228"/>
      <c r="V1680" s="222"/>
      <c r="W1680" s="229"/>
      <c r="X1680" s="227"/>
      <c r="Y1680" s="229"/>
      <c r="Z1680" s="236"/>
      <c r="AA1680" s="237"/>
      <c r="AB1680" s="238"/>
      <c r="AC1680" s="223"/>
      <c r="AD1680" s="222"/>
    </row>
    <row r="1681" spans="1:30" x14ac:dyDescent="0.4">
      <c r="A1681" s="230"/>
      <c r="B1681" s="8">
        <v>337</v>
      </c>
      <c r="C1681" s="14">
        <f t="shared" ca="1" si="941"/>
        <v>0.24</v>
      </c>
      <c r="D1681" s="20">
        <f t="shared" ca="1" si="948"/>
        <v>0.28799999999999998</v>
      </c>
      <c r="E1681" s="225"/>
      <c r="F1681" s="231"/>
      <c r="G1681" s="172" t="str">
        <f t="shared" ca="1" si="968"/>
        <v/>
      </c>
      <c r="H1681" s="93" t="str">
        <f t="shared" ca="1" si="969"/>
        <v/>
      </c>
      <c r="I1681" s="21">
        <v>1000</v>
      </c>
      <c r="J1681" s="68">
        <f t="shared" si="970"/>
        <v>0.5</v>
      </c>
      <c r="K1681" s="70">
        <v>0.6</v>
      </c>
      <c r="L1681" s="72">
        <f t="shared" ca="1" si="965"/>
        <v>0.20800000000000002</v>
      </c>
      <c r="M1681" s="73">
        <f t="shared" ca="1" si="966"/>
        <v>208.00000000000003</v>
      </c>
      <c r="N1681" s="12" t="s">
        <v>44</v>
      </c>
      <c r="O1681" s="47" t="s">
        <v>45</v>
      </c>
      <c r="P1681" s="13">
        <f t="shared" si="955"/>
        <v>0.6</v>
      </c>
      <c r="Q1681" s="1" t="str">
        <f t="shared" si="957"/>
        <v>1000 + шт - 0,6 руб / шт с НДС</v>
      </c>
      <c r="R1681" s="235"/>
      <c r="S1681" s="239"/>
      <c r="T1681" s="226"/>
      <c r="U1681" s="228"/>
      <c r="V1681" s="222"/>
      <c r="W1681" s="229"/>
      <c r="X1681" s="227"/>
      <c r="Y1681" s="229"/>
      <c r="Z1681" s="236"/>
      <c r="AA1681" s="237"/>
      <c r="AB1681" s="238"/>
      <c r="AC1681" s="223"/>
      <c r="AD1681" s="222"/>
    </row>
    <row r="1682" spans="1:30" x14ac:dyDescent="0.4">
      <c r="A1682" s="230">
        <v>338</v>
      </c>
      <c r="B1682" s="8">
        <v>338</v>
      </c>
      <c r="C1682" s="14">
        <f t="shared" ca="1" si="941"/>
        <v>0.35</v>
      </c>
      <c r="D1682" s="20">
        <f t="shared" ca="1" si="948"/>
        <v>0.42</v>
      </c>
      <c r="E1682" s="225" t="str">
        <f ca="1">INDIRECT("'Закуп'!D" &amp; A1682)</f>
        <v>У</v>
      </c>
      <c r="F1682" s="231" t="str">
        <f t="shared" ref="F1682" ca="1" si="976">INDIRECT("'Закуп'!E" &amp; B1682)</f>
        <v>210х80х230</v>
      </c>
      <c r="G1682" s="172" t="str">
        <f t="shared" ca="1" si="968"/>
        <v/>
      </c>
      <c r="H1682" s="93" t="str">
        <f t="shared" ca="1" si="969"/>
        <v/>
      </c>
      <c r="I1682" s="21">
        <v>50</v>
      </c>
      <c r="J1682" s="68">
        <f t="shared" si="970"/>
        <v>0.91666666666666674</v>
      </c>
      <c r="K1682" s="70">
        <v>1.1000000000000001</v>
      </c>
      <c r="L1682" s="72">
        <f t="shared" ca="1" si="965"/>
        <v>0.45333333333333342</v>
      </c>
      <c r="M1682" s="73">
        <f t="shared" ca="1" si="966"/>
        <v>22.666666666666671</v>
      </c>
      <c r="N1682" s="12" t="s">
        <v>40</v>
      </c>
      <c r="O1682" s="47" t="s">
        <v>45</v>
      </c>
      <c r="P1682" s="13">
        <f t="shared" si="955"/>
        <v>1.1000000000000001</v>
      </c>
      <c r="Q1682" s="1" t="str">
        <f t="shared" si="957"/>
        <v>50-90 шт - 1,1 руб / шт с НДС</v>
      </c>
      <c r="R1682" s="235" t="str">
        <f ca="1">INDIRECT("'Закуп'!k" &amp; A1682)</f>
        <v>K275</v>
      </c>
      <c r="S1682" s="239">
        <f ca="1">INDIRECT("'Закуп'!o" &amp; A1682)</f>
        <v>3.86</v>
      </c>
      <c r="T1682" s="226" t="str">
        <f ca="1">INDIRECT("'Закуп'!p" &amp; A1682)</f>
        <v>3-3,9 литра</v>
      </c>
      <c r="U1682" s="228" t="str">
        <f ca="1">INDIRECT("'Закуп'!v" &amp; A1682)</f>
        <v/>
      </c>
      <c r="V1682" s="222" t="str">
        <f ca="1">INDIRECT("'Закуп'!w" &amp; A1682)</f>
        <v>Плоские</v>
      </c>
      <c r="W1682" s="229" t="str">
        <f ca="1">INDIRECT("'Закуп'!H" &amp; A1682)</f>
        <v>0201</v>
      </c>
      <c r="X1682" s="227" t="str">
        <f t="shared" ref="X1682" ca="1" si="977">INDIRECT("'Закуп'!g" &amp; A1682)</f>
        <v>Ч</v>
      </c>
      <c r="Y1682" s="229" t="str">
        <f ca="1">INDIRECT("'Закуп'!i" &amp; A1682)</f>
        <v>В</v>
      </c>
      <c r="Z1682" s="236" t="str">
        <f ca="1">INDIRECT("'Закуп'!x" &amp; A1682)</f>
        <v>200-299 мм</v>
      </c>
      <c r="AA1682" s="237" t="str">
        <f ca="1">INDIRECT("'Закуп'!y" &amp; A1682)</f>
        <v>200-299 мм</v>
      </c>
      <c r="AB1682" s="238" t="str">
        <f ca="1">INDIRECT("'Закуп'!z" &amp; A1682)</f>
        <v>10-99 мм</v>
      </c>
      <c r="AC1682" s="223" t="str">
        <f t="shared" ca="1" si="964"/>
        <v>210x80x230</v>
      </c>
      <c r="AD1682" s="222" t="str">
        <f t="shared" ca="1" si="951"/>
        <v>210x80x230 - 210*80*230 мм</v>
      </c>
    </row>
    <row r="1683" spans="1:30" x14ac:dyDescent="0.4">
      <c r="A1683" s="230"/>
      <c r="B1683" s="8">
        <v>338</v>
      </c>
      <c r="C1683" s="14">
        <f t="shared" ca="1" si="941"/>
        <v>0.35</v>
      </c>
      <c r="D1683" s="20">
        <f t="shared" ca="1" si="948"/>
        <v>0.42</v>
      </c>
      <c r="E1683" s="225"/>
      <c r="F1683" s="231"/>
      <c r="G1683" s="172" t="str">
        <f t="shared" ca="1" si="968"/>
        <v/>
      </c>
      <c r="H1683" s="93" t="str">
        <f t="shared" ca="1" si="969"/>
        <v/>
      </c>
      <c r="I1683" s="21">
        <v>100</v>
      </c>
      <c r="J1683" s="68">
        <f t="shared" si="970"/>
        <v>0.83333333333333337</v>
      </c>
      <c r="K1683" s="70">
        <v>1</v>
      </c>
      <c r="L1683" s="72">
        <f t="shared" ca="1" si="965"/>
        <v>0.38666666666666671</v>
      </c>
      <c r="M1683" s="73">
        <f t="shared" ca="1" si="966"/>
        <v>38.666666666666671</v>
      </c>
      <c r="N1683" s="12" t="s">
        <v>41</v>
      </c>
      <c r="O1683" s="47" t="s">
        <v>45</v>
      </c>
      <c r="P1683" s="13">
        <f t="shared" si="955"/>
        <v>1</v>
      </c>
      <c r="Q1683" s="1" t="str">
        <f t="shared" si="957"/>
        <v>100-290 шт - 1 руб / шт с НДС</v>
      </c>
      <c r="R1683" s="235"/>
      <c r="S1683" s="239"/>
      <c r="T1683" s="226"/>
      <c r="U1683" s="228"/>
      <c r="V1683" s="222"/>
      <c r="W1683" s="229"/>
      <c r="X1683" s="227"/>
      <c r="Y1683" s="229"/>
      <c r="Z1683" s="236"/>
      <c r="AA1683" s="237"/>
      <c r="AB1683" s="238"/>
      <c r="AC1683" s="223"/>
      <c r="AD1683" s="222"/>
    </row>
    <row r="1684" spans="1:30" x14ac:dyDescent="0.4">
      <c r="A1684" s="230"/>
      <c r="B1684" s="8">
        <v>338</v>
      </c>
      <c r="C1684" s="14">
        <f t="shared" ca="1" si="941"/>
        <v>0.35</v>
      </c>
      <c r="D1684" s="20">
        <f t="shared" ca="1" si="948"/>
        <v>0.42</v>
      </c>
      <c r="E1684" s="225"/>
      <c r="F1684" s="231"/>
      <c r="G1684" s="172" t="str">
        <f t="shared" ca="1" si="968"/>
        <v/>
      </c>
      <c r="H1684" s="93" t="str">
        <f t="shared" ca="1" si="969"/>
        <v/>
      </c>
      <c r="I1684" s="21">
        <v>300</v>
      </c>
      <c r="J1684" s="68">
        <f t="shared" si="970"/>
        <v>0.75</v>
      </c>
      <c r="K1684" s="70">
        <v>0.9</v>
      </c>
      <c r="L1684" s="72">
        <f t="shared" ca="1" si="965"/>
        <v>0.32</v>
      </c>
      <c r="M1684" s="73">
        <f t="shared" ca="1" si="966"/>
        <v>96</v>
      </c>
      <c r="N1684" s="12" t="s">
        <v>42</v>
      </c>
      <c r="O1684" s="47" t="s">
        <v>45</v>
      </c>
      <c r="P1684" s="13">
        <f t="shared" si="955"/>
        <v>0.9</v>
      </c>
      <c r="Q1684" s="1" t="str">
        <f t="shared" si="957"/>
        <v>300-490 шт - 0,9 руб / шт с НДС</v>
      </c>
      <c r="R1684" s="235"/>
      <c r="S1684" s="239"/>
      <c r="T1684" s="226"/>
      <c r="U1684" s="228"/>
      <c r="V1684" s="222"/>
      <c r="W1684" s="229"/>
      <c r="X1684" s="227"/>
      <c r="Y1684" s="229"/>
      <c r="Z1684" s="236"/>
      <c r="AA1684" s="237"/>
      <c r="AB1684" s="238"/>
      <c r="AC1684" s="223"/>
      <c r="AD1684" s="222"/>
    </row>
    <row r="1685" spans="1:30" x14ac:dyDescent="0.4">
      <c r="A1685" s="230"/>
      <c r="B1685" s="8">
        <v>338</v>
      </c>
      <c r="C1685" s="14">
        <f t="shared" ca="1" si="941"/>
        <v>0.35</v>
      </c>
      <c r="D1685" s="20">
        <f t="shared" ca="1" si="948"/>
        <v>0.42</v>
      </c>
      <c r="E1685" s="225"/>
      <c r="F1685" s="231"/>
      <c r="G1685" s="172" t="str">
        <f t="shared" ca="1" si="968"/>
        <v/>
      </c>
      <c r="H1685" s="93" t="str">
        <f t="shared" ca="1" si="969"/>
        <v/>
      </c>
      <c r="I1685" s="21">
        <v>500</v>
      </c>
      <c r="J1685" s="68">
        <f t="shared" si="970"/>
        <v>0.66666666666666674</v>
      </c>
      <c r="K1685" s="70">
        <v>0.8</v>
      </c>
      <c r="L1685" s="72">
        <f t="shared" ca="1" si="965"/>
        <v>0.25333333333333341</v>
      </c>
      <c r="M1685" s="73">
        <f t="shared" ca="1" si="966"/>
        <v>126.6666666666667</v>
      </c>
      <c r="N1685" s="12" t="s">
        <v>43</v>
      </c>
      <c r="O1685" s="47" t="s">
        <v>45</v>
      </c>
      <c r="P1685" s="13">
        <f t="shared" si="955"/>
        <v>0.8</v>
      </c>
      <c r="Q1685" s="1" t="str">
        <f t="shared" si="957"/>
        <v>500-990 шт - 0,8 руб / шт с НДС</v>
      </c>
      <c r="R1685" s="235"/>
      <c r="S1685" s="239"/>
      <c r="T1685" s="226"/>
      <c r="U1685" s="228"/>
      <c r="V1685" s="222"/>
      <c r="W1685" s="229"/>
      <c r="X1685" s="227"/>
      <c r="Y1685" s="229"/>
      <c r="Z1685" s="236"/>
      <c r="AA1685" s="237"/>
      <c r="AB1685" s="238"/>
      <c r="AC1685" s="223"/>
      <c r="AD1685" s="222"/>
    </row>
    <row r="1686" spans="1:30" x14ac:dyDescent="0.4">
      <c r="A1686" s="230"/>
      <c r="B1686" s="8">
        <v>338</v>
      </c>
      <c r="C1686" s="14">
        <f t="shared" ref="C1686:C1746" ca="1" si="978">INDIRECT("'Закуп'!A" &amp; B1686)</f>
        <v>0.35</v>
      </c>
      <c r="D1686" s="20">
        <f t="shared" ca="1" si="948"/>
        <v>0.42</v>
      </c>
      <c r="E1686" s="225"/>
      <c r="F1686" s="231"/>
      <c r="G1686" s="172" t="str">
        <f t="shared" ca="1" si="968"/>
        <v/>
      </c>
      <c r="H1686" s="93" t="str">
        <f t="shared" ca="1" si="969"/>
        <v/>
      </c>
      <c r="I1686" s="21">
        <v>1000</v>
      </c>
      <c r="J1686" s="68">
        <f t="shared" si="970"/>
        <v>0.58333333333333337</v>
      </c>
      <c r="K1686" s="70">
        <v>0.7</v>
      </c>
      <c r="L1686" s="72">
        <f t="shared" ca="1" si="965"/>
        <v>0.1866666666666667</v>
      </c>
      <c r="M1686" s="73">
        <f t="shared" ca="1" si="966"/>
        <v>186.66666666666671</v>
      </c>
      <c r="N1686" s="12" t="s">
        <v>44</v>
      </c>
      <c r="O1686" s="47" t="s">
        <v>45</v>
      </c>
      <c r="P1686" s="13">
        <f t="shared" si="955"/>
        <v>0.7</v>
      </c>
      <c r="Q1686" s="1" t="str">
        <f t="shared" si="957"/>
        <v>1000 + шт - 0,7 руб / шт с НДС</v>
      </c>
      <c r="R1686" s="235"/>
      <c r="S1686" s="239"/>
      <c r="T1686" s="226"/>
      <c r="U1686" s="228"/>
      <c r="V1686" s="222"/>
      <c r="W1686" s="229"/>
      <c r="X1686" s="227"/>
      <c r="Y1686" s="229"/>
      <c r="Z1686" s="236"/>
      <c r="AA1686" s="237"/>
      <c r="AB1686" s="238"/>
      <c r="AC1686" s="223"/>
      <c r="AD1686" s="222"/>
    </row>
    <row r="1687" spans="1:30" x14ac:dyDescent="0.4">
      <c r="A1687" s="230">
        <v>339</v>
      </c>
      <c r="B1687" s="8">
        <v>339</v>
      </c>
      <c r="C1687" s="14">
        <f t="shared" ca="1" si="978"/>
        <v>0.46</v>
      </c>
      <c r="D1687" s="20">
        <f t="shared" ca="1" si="948"/>
        <v>0.55200000000000005</v>
      </c>
      <c r="E1687" s="225" t="str">
        <f ca="1">INDIRECT("'Закуп'!D" &amp; A1687)</f>
        <v>У</v>
      </c>
      <c r="F1687" s="231" t="str">
        <f t="shared" ref="F1687" ca="1" si="979">INDIRECT("'Закуп'!E" &amp; B1687)</f>
        <v>160х120х85</v>
      </c>
      <c r="G1687" s="172" t="str">
        <f t="shared" ca="1" si="968"/>
        <v/>
      </c>
      <c r="H1687" s="93" t="str">
        <f t="shared" ca="1" si="969"/>
        <v>лучше K273</v>
      </c>
      <c r="I1687" s="21">
        <v>50</v>
      </c>
      <c r="J1687" s="68">
        <f t="shared" si="970"/>
        <v>0.97499999999999998</v>
      </c>
      <c r="K1687" s="70">
        <v>1.17</v>
      </c>
      <c r="L1687" s="72">
        <f t="shared" ca="1" si="965"/>
        <v>0.41199999999999992</v>
      </c>
      <c r="M1687" s="73">
        <f t="shared" ca="1" si="966"/>
        <v>20.599999999999994</v>
      </c>
      <c r="N1687" s="12" t="s">
        <v>40</v>
      </c>
      <c r="O1687" s="47" t="s">
        <v>45</v>
      </c>
      <c r="P1687" s="13">
        <f t="shared" si="955"/>
        <v>1.17</v>
      </c>
      <c r="Q1687" s="1" t="str">
        <f t="shared" si="957"/>
        <v>50-90 шт - 1,17 руб / шт с НДС</v>
      </c>
      <c r="R1687" s="235" t="str">
        <f ca="1">INDIRECT("'Закуп'!k" &amp; A1687)</f>
        <v>K276</v>
      </c>
      <c r="S1687" s="239">
        <f ca="1">INDIRECT("'Закуп'!o" &amp; A1687)</f>
        <v>1.63</v>
      </c>
      <c r="T1687" s="226" t="str">
        <f ca="1">INDIRECT("'Закуп'!p" &amp; A1687)</f>
        <v>1-1,9 литра</v>
      </c>
      <c r="U1687" s="228" t="str">
        <f ca="1">INDIRECT("'Закуп'!v" &amp; A1687)</f>
        <v/>
      </c>
      <c r="V1687" s="222" t="str">
        <f ca="1">INDIRECT("'Закуп'!w" &amp; A1687)</f>
        <v/>
      </c>
      <c r="W1687" s="229" t="str">
        <f ca="1">INDIRECT("'Закуп'!H" &amp; A1687)</f>
        <v>0427</v>
      </c>
      <c r="X1687" s="227" t="str">
        <f t="shared" ref="X1687" ca="1" si="980">INDIRECT("'Закуп'!g" &amp; A1687)</f>
        <v>С</v>
      </c>
      <c r="Y1687" s="229" t="str">
        <f ca="1">INDIRECT("'Закуп'!i" &amp; A1687)</f>
        <v>Е</v>
      </c>
      <c r="Z1687" s="236" t="str">
        <f ca="1">INDIRECT("'Закуп'!x" &amp; A1687)</f>
        <v>100-199 мм</v>
      </c>
      <c r="AA1687" s="237" t="str">
        <f ca="1">INDIRECT("'Закуп'!y" &amp; A1687)</f>
        <v>100-199 мм</v>
      </c>
      <c r="AB1687" s="238" t="str">
        <f ca="1">INDIRECT("'Закуп'!z" &amp; A1687)</f>
        <v>10-99 мм</v>
      </c>
      <c r="AC1687" s="223" t="str">
        <f t="shared" ca="1" si="964"/>
        <v>160x120x85</v>
      </c>
      <c r="AD1687" s="222" t="str">
        <f t="shared" ca="1" si="951"/>
        <v>160x120x85 - 160*120*85 мм</v>
      </c>
    </row>
    <row r="1688" spans="1:30" x14ac:dyDescent="0.4">
      <c r="A1688" s="230"/>
      <c r="B1688" s="8">
        <v>339</v>
      </c>
      <c r="C1688" s="14">
        <f t="shared" ca="1" si="978"/>
        <v>0.46</v>
      </c>
      <c r="D1688" s="20">
        <f t="shared" ca="1" si="948"/>
        <v>0.55200000000000005</v>
      </c>
      <c r="E1688" s="225"/>
      <c r="F1688" s="231"/>
      <c r="G1688" s="172" t="str">
        <f t="shared" ca="1" si="968"/>
        <v/>
      </c>
      <c r="H1688" s="93" t="str">
        <f t="shared" ca="1" si="969"/>
        <v>лучше K273</v>
      </c>
      <c r="I1688" s="21">
        <v>100</v>
      </c>
      <c r="J1688" s="68">
        <f t="shared" si="970"/>
        <v>0.89166666666666672</v>
      </c>
      <c r="K1688" s="70">
        <v>1.07</v>
      </c>
      <c r="L1688" s="72">
        <f t="shared" ca="1" si="965"/>
        <v>0.34533333333333338</v>
      </c>
      <c r="M1688" s="73">
        <f t="shared" ca="1" si="966"/>
        <v>34.533333333333339</v>
      </c>
      <c r="N1688" s="12" t="s">
        <v>41</v>
      </c>
      <c r="O1688" s="47" t="s">
        <v>45</v>
      </c>
      <c r="P1688" s="13">
        <f t="shared" si="955"/>
        <v>1.07</v>
      </c>
      <c r="Q1688" s="1" t="str">
        <f t="shared" si="957"/>
        <v>100-290 шт - 1,07 руб / шт с НДС</v>
      </c>
      <c r="R1688" s="235"/>
      <c r="S1688" s="239"/>
      <c r="T1688" s="226"/>
      <c r="U1688" s="228"/>
      <c r="V1688" s="222"/>
      <c r="W1688" s="229"/>
      <c r="X1688" s="227"/>
      <c r="Y1688" s="229"/>
      <c r="Z1688" s="236"/>
      <c r="AA1688" s="237"/>
      <c r="AB1688" s="238"/>
      <c r="AC1688" s="223"/>
      <c r="AD1688" s="222"/>
    </row>
    <row r="1689" spans="1:30" x14ac:dyDescent="0.4">
      <c r="A1689" s="230"/>
      <c r="B1689" s="8">
        <v>339</v>
      </c>
      <c r="C1689" s="14">
        <f t="shared" ca="1" si="978"/>
        <v>0.46</v>
      </c>
      <c r="D1689" s="20">
        <f t="shared" ca="1" si="948"/>
        <v>0.55200000000000005</v>
      </c>
      <c r="E1689" s="225"/>
      <c r="F1689" s="231"/>
      <c r="G1689" s="172" t="str">
        <f t="shared" ca="1" si="968"/>
        <v/>
      </c>
      <c r="H1689" s="93" t="str">
        <f t="shared" ca="1" si="969"/>
        <v>лучше K273</v>
      </c>
      <c r="I1689" s="21">
        <v>300</v>
      </c>
      <c r="J1689" s="68">
        <f t="shared" si="970"/>
        <v>0.80833333333333335</v>
      </c>
      <c r="K1689" s="70">
        <v>0.97</v>
      </c>
      <c r="L1689" s="72">
        <f t="shared" ca="1" si="965"/>
        <v>0.27866666666666667</v>
      </c>
      <c r="M1689" s="73">
        <f t="shared" ca="1" si="966"/>
        <v>83.600000000000009</v>
      </c>
      <c r="N1689" s="12" t="s">
        <v>42</v>
      </c>
      <c r="O1689" s="47" t="s">
        <v>45</v>
      </c>
      <c r="P1689" s="13">
        <f t="shared" si="955"/>
        <v>0.97</v>
      </c>
      <c r="Q1689" s="1" t="str">
        <f t="shared" si="957"/>
        <v>300-490 шт - 0,97 руб / шт с НДС</v>
      </c>
      <c r="R1689" s="235"/>
      <c r="S1689" s="239"/>
      <c r="T1689" s="226"/>
      <c r="U1689" s="228"/>
      <c r="V1689" s="222"/>
      <c r="W1689" s="229"/>
      <c r="X1689" s="227"/>
      <c r="Y1689" s="229"/>
      <c r="Z1689" s="236"/>
      <c r="AA1689" s="237"/>
      <c r="AB1689" s="238"/>
      <c r="AC1689" s="223"/>
      <c r="AD1689" s="222"/>
    </row>
    <row r="1690" spans="1:30" x14ac:dyDescent="0.4">
      <c r="A1690" s="230"/>
      <c r="B1690" s="8">
        <v>339</v>
      </c>
      <c r="C1690" s="14">
        <f t="shared" ca="1" si="978"/>
        <v>0.46</v>
      </c>
      <c r="D1690" s="20">
        <f t="shared" ca="1" si="948"/>
        <v>0.55200000000000005</v>
      </c>
      <c r="E1690" s="225"/>
      <c r="F1690" s="231"/>
      <c r="G1690" s="172" t="str">
        <f t="shared" ca="1" si="968"/>
        <v/>
      </c>
      <c r="H1690" s="93" t="str">
        <f t="shared" ca="1" si="969"/>
        <v>лучше K273</v>
      </c>
      <c r="I1690" s="21">
        <v>500</v>
      </c>
      <c r="J1690" s="68">
        <f t="shared" si="970"/>
        <v>0.72499999999999998</v>
      </c>
      <c r="K1690" s="70">
        <v>0.87</v>
      </c>
      <c r="L1690" s="72">
        <f t="shared" ca="1" si="965"/>
        <v>0.21199999999999997</v>
      </c>
      <c r="M1690" s="73">
        <f t="shared" ca="1" si="966"/>
        <v>105.99999999999999</v>
      </c>
      <c r="N1690" s="12" t="s">
        <v>43</v>
      </c>
      <c r="O1690" s="47" t="s">
        <v>45</v>
      </c>
      <c r="P1690" s="13">
        <f t="shared" si="955"/>
        <v>0.87</v>
      </c>
      <c r="Q1690" s="1" t="str">
        <f t="shared" si="957"/>
        <v>500-990 шт - 0,87 руб / шт с НДС</v>
      </c>
      <c r="R1690" s="235"/>
      <c r="S1690" s="239"/>
      <c r="T1690" s="226"/>
      <c r="U1690" s="228"/>
      <c r="V1690" s="222"/>
      <c r="W1690" s="229"/>
      <c r="X1690" s="227"/>
      <c r="Y1690" s="229"/>
      <c r="Z1690" s="236"/>
      <c r="AA1690" s="237"/>
      <c r="AB1690" s="238"/>
      <c r="AC1690" s="223"/>
      <c r="AD1690" s="222"/>
    </row>
    <row r="1691" spans="1:30" x14ac:dyDescent="0.4">
      <c r="A1691" s="230"/>
      <c r="B1691" s="8">
        <v>339</v>
      </c>
      <c r="C1691" s="14">
        <f t="shared" ca="1" si="978"/>
        <v>0.46</v>
      </c>
      <c r="D1691" s="20">
        <f t="shared" ca="1" si="948"/>
        <v>0.55200000000000005</v>
      </c>
      <c r="E1691" s="225"/>
      <c r="F1691" s="231"/>
      <c r="G1691" s="172" t="str">
        <f t="shared" ca="1" si="968"/>
        <v/>
      </c>
      <c r="H1691" s="93" t="str">
        <f t="shared" ca="1" si="969"/>
        <v>лучше K273</v>
      </c>
      <c r="I1691" s="21">
        <v>1000</v>
      </c>
      <c r="J1691" s="68">
        <f t="shared" si="970"/>
        <v>0.64166666666666672</v>
      </c>
      <c r="K1691" s="70">
        <v>0.77</v>
      </c>
      <c r="L1691" s="72">
        <f t="shared" ca="1" si="965"/>
        <v>0.14533333333333337</v>
      </c>
      <c r="M1691" s="73">
        <f t="shared" ca="1" si="966"/>
        <v>145.33333333333337</v>
      </c>
      <c r="N1691" s="12" t="s">
        <v>44</v>
      </c>
      <c r="O1691" s="47" t="s">
        <v>45</v>
      </c>
      <c r="P1691" s="13">
        <f t="shared" si="955"/>
        <v>0.77</v>
      </c>
      <c r="Q1691" s="1" t="str">
        <f t="shared" si="957"/>
        <v>1000 + шт - 0,77 руб / шт с НДС</v>
      </c>
      <c r="R1691" s="235"/>
      <c r="S1691" s="239"/>
      <c r="T1691" s="226"/>
      <c r="U1691" s="228"/>
      <c r="V1691" s="222"/>
      <c r="W1691" s="229"/>
      <c r="X1691" s="227"/>
      <c r="Y1691" s="229"/>
      <c r="Z1691" s="236"/>
      <c r="AA1691" s="237"/>
      <c r="AB1691" s="238"/>
      <c r="AC1691" s="223"/>
      <c r="AD1691" s="222"/>
    </row>
    <row r="1692" spans="1:30" x14ac:dyDescent="0.4">
      <c r="A1692" s="230">
        <v>340</v>
      </c>
      <c r="B1692" s="8">
        <v>340</v>
      </c>
      <c r="C1692" s="14">
        <f t="shared" ca="1" si="978"/>
        <v>0.71</v>
      </c>
      <c r="D1692" s="20">
        <f t="shared" ca="1" si="948"/>
        <v>0.85199999999999998</v>
      </c>
      <c r="E1692" s="225" t="str">
        <f ca="1">INDIRECT("'Закуп'!D" &amp; A1692)</f>
        <v>У</v>
      </c>
      <c r="F1692" s="231" t="str">
        <f t="shared" ref="F1692" ca="1" si="981">INDIRECT("'Закуп'!E" &amp; B1692)</f>
        <v>370х225х95</v>
      </c>
      <c r="G1692" s="172" t="str">
        <f t="shared" ca="1" si="968"/>
        <v/>
      </c>
      <c r="H1692" s="93" t="str">
        <f t="shared" ca="1" si="969"/>
        <v/>
      </c>
      <c r="I1692" s="21">
        <v>50</v>
      </c>
      <c r="J1692" s="68">
        <f t="shared" si="970"/>
        <v>1.4583333333333335</v>
      </c>
      <c r="K1692" s="70">
        <v>1.75</v>
      </c>
      <c r="L1692" s="72">
        <f t="shared" ca="1" si="965"/>
        <v>0.59866666666666679</v>
      </c>
      <c r="M1692" s="73">
        <f t="shared" ca="1" si="966"/>
        <v>29.933333333333341</v>
      </c>
      <c r="N1692" s="12" t="s">
        <v>40</v>
      </c>
      <c r="O1692" s="47" t="s">
        <v>45</v>
      </c>
      <c r="P1692" s="13">
        <f t="shared" si="955"/>
        <v>1.75</v>
      </c>
      <c r="Q1692" s="1" t="str">
        <f t="shared" si="957"/>
        <v>50-90 шт - 1,75 руб / шт с НДС</v>
      </c>
      <c r="R1692" s="235" t="str">
        <f ca="1">INDIRECT("'Закуп'!k" &amp; A1692)</f>
        <v>K277</v>
      </c>
      <c r="S1692" s="239">
        <f ca="1">INDIRECT("'Закуп'!o" &amp; A1692)</f>
        <v>7.91</v>
      </c>
      <c r="T1692" s="226" t="str">
        <f ca="1">INDIRECT("'Закуп'!p" &amp; A1692)</f>
        <v>6-7,9 литра</v>
      </c>
      <c r="U1692" s="228" t="str">
        <f ca="1">INDIRECT("'Закуп'!v" &amp; A1692)</f>
        <v/>
      </c>
      <c r="V1692" s="222" t="str">
        <f ca="1">INDIRECT("'Закуп'!w" &amp; A1692)</f>
        <v>Плоские</v>
      </c>
      <c r="W1692" s="229" t="str">
        <f ca="1">INDIRECT("'Закуп'!H" &amp; A1692)</f>
        <v>0201</v>
      </c>
      <c r="X1692" s="227" t="str">
        <f t="shared" ref="X1692" ca="1" si="982">INDIRECT("'Закуп'!g" &amp; A1692)</f>
        <v>Ч</v>
      </c>
      <c r="Y1692" s="229" t="str">
        <f ca="1">INDIRECT("'Закуп'!i" &amp; A1692)</f>
        <v>В</v>
      </c>
      <c r="Z1692" s="236" t="str">
        <f ca="1">INDIRECT("'Закуп'!x" &amp; A1692)</f>
        <v>300-399 мм</v>
      </c>
      <c r="AA1692" s="237" t="str">
        <f ca="1">INDIRECT("'Закуп'!y" &amp; A1692)</f>
        <v>200-299 мм</v>
      </c>
      <c r="AB1692" s="238" t="str">
        <f ca="1">INDIRECT("'Закуп'!z" &amp; A1692)</f>
        <v>10-99 мм</v>
      </c>
      <c r="AC1692" s="223" t="str">
        <f t="shared" ca="1" si="964"/>
        <v>370x225x95</v>
      </c>
      <c r="AD1692" s="222" t="str">
        <f t="shared" ca="1" si="951"/>
        <v>370x225x95 - 370*225*95 мм</v>
      </c>
    </row>
    <row r="1693" spans="1:30" x14ac:dyDescent="0.4">
      <c r="A1693" s="230"/>
      <c r="B1693" s="8">
        <v>340</v>
      </c>
      <c r="C1693" s="14">
        <f t="shared" ca="1" si="978"/>
        <v>0.71</v>
      </c>
      <c r="D1693" s="20">
        <f t="shared" ca="1" si="948"/>
        <v>0.85199999999999998</v>
      </c>
      <c r="E1693" s="225"/>
      <c r="F1693" s="231"/>
      <c r="G1693" s="172" t="str">
        <f t="shared" ca="1" si="968"/>
        <v/>
      </c>
      <c r="H1693" s="93" t="str">
        <f t="shared" ca="1" si="969"/>
        <v/>
      </c>
      <c r="I1693" s="21">
        <v>100</v>
      </c>
      <c r="J1693" s="68">
        <f t="shared" si="970"/>
        <v>1.3166666666666669</v>
      </c>
      <c r="K1693" s="70">
        <v>1.58</v>
      </c>
      <c r="L1693" s="72">
        <f t="shared" ca="1" si="965"/>
        <v>0.48533333333333351</v>
      </c>
      <c r="M1693" s="73">
        <f t="shared" ca="1" si="966"/>
        <v>48.533333333333353</v>
      </c>
      <c r="N1693" s="12" t="s">
        <v>41</v>
      </c>
      <c r="O1693" s="47" t="s">
        <v>45</v>
      </c>
      <c r="P1693" s="13">
        <f t="shared" si="955"/>
        <v>1.58</v>
      </c>
      <c r="Q1693" s="1" t="str">
        <f t="shared" si="957"/>
        <v>100-290 шт - 1,58 руб / шт с НДС</v>
      </c>
      <c r="R1693" s="235"/>
      <c r="S1693" s="239"/>
      <c r="T1693" s="226"/>
      <c r="U1693" s="228"/>
      <c r="V1693" s="222"/>
      <c r="W1693" s="229"/>
      <c r="X1693" s="227"/>
      <c r="Y1693" s="229"/>
      <c r="Z1693" s="236"/>
      <c r="AA1693" s="237"/>
      <c r="AB1693" s="238"/>
      <c r="AC1693" s="223"/>
      <c r="AD1693" s="222"/>
    </row>
    <row r="1694" spans="1:30" x14ac:dyDescent="0.4">
      <c r="A1694" s="230"/>
      <c r="B1694" s="8">
        <v>340</v>
      </c>
      <c r="C1694" s="14">
        <f t="shared" ca="1" si="978"/>
        <v>0.71</v>
      </c>
      <c r="D1694" s="20">
        <f t="shared" ca="1" si="948"/>
        <v>0.85199999999999998</v>
      </c>
      <c r="E1694" s="225"/>
      <c r="F1694" s="231"/>
      <c r="G1694" s="172" t="str">
        <f t="shared" ca="1" si="968"/>
        <v/>
      </c>
      <c r="H1694" s="93" t="str">
        <f t="shared" ca="1" si="969"/>
        <v/>
      </c>
      <c r="I1694" s="21">
        <v>300</v>
      </c>
      <c r="J1694" s="68">
        <f t="shared" si="970"/>
        <v>1.1916666666666667</v>
      </c>
      <c r="K1694" s="70">
        <v>1.43</v>
      </c>
      <c r="L1694" s="72">
        <f t="shared" ca="1" si="965"/>
        <v>0.38533333333333336</v>
      </c>
      <c r="M1694" s="73">
        <f t="shared" ca="1" si="966"/>
        <v>115.60000000000001</v>
      </c>
      <c r="N1694" s="12" t="s">
        <v>42</v>
      </c>
      <c r="O1694" s="47" t="s">
        <v>45</v>
      </c>
      <c r="P1694" s="13">
        <f t="shared" si="955"/>
        <v>1.43</v>
      </c>
      <c r="Q1694" s="1" t="str">
        <f t="shared" si="957"/>
        <v>300-490 шт - 1,43 руб / шт с НДС</v>
      </c>
      <c r="R1694" s="235"/>
      <c r="S1694" s="239"/>
      <c r="T1694" s="226"/>
      <c r="U1694" s="228"/>
      <c r="V1694" s="222"/>
      <c r="W1694" s="229"/>
      <c r="X1694" s="227"/>
      <c r="Y1694" s="229"/>
      <c r="Z1694" s="236"/>
      <c r="AA1694" s="237"/>
      <c r="AB1694" s="238"/>
      <c r="AC1694" s="223"/>
      <c r="AD1694" s="222"/>
    </row>
    <row r="1695" spans="1:30" x14ac:dyDescent="0.4">
      <c r="A1695" s="230"/>
      <c r="B1695" s="8">
        <v>340</v>
      </c>
      <c r="C1695" s="14">
        <f t="shared" ca="1" si="978"/>
        <v>0.71</v>
      </c>
      <c r="D1695" s="20">
        <f t="shared" ca="1" si="948"/>
        <v>0.85199999999999998</v>
      </c>
      <c r="E1695" s="225"/>
      <c r="F1695" s="231"/>
      <c r="G1695" s="172" t="str">
        <f t="shared" ca="1" si="968"/>
        <v/>
      </c>
      <c r="H1695" s="93" t="str">
        <f t="shared" ca="1" si="969"/>
        <v/>
      </c>
      <c r="I1695" s="21">
        <v>500</v>
      </c>
      <c r="J1695" s="68">
        <f t="shared" si="970"/>
        <v>1.1000000000000001</v>
      </c>
      <c r="K1695" s="70">
        <v>1.32</v>
      </c>
      <c r="L1695" s="72">
        <f t="shared" ca="1" si="965"/>
        <v>0.31200000000000011</v>
      </c>
      <c r="M1695" s="73">
        <f t="shared" ca="1" si="966"/>
        <v>156.00000000000006</v>
      </c>
      <c r="N1695" s="12" t="s">
        <v>43</v>
      </c>
      <c r="O1695" s="47" t="s">
        <v>45</v>
      </c>
      <c r="P1695" s="13">
        <f t="shared" si="955"/>
        <v>1.32</v>
      </c>
      <c r="Q1695" s="1" t="str">
        <f t="shared" si="957"/>
        <v>500-990 шт - 1,32 руб / шт с НДС</v>
      </c>
      <c r="R1695" s="235"/>
      <c r="S1695" s="239"/>
      <c r="T1695" s="226"/>
      <c r="U1695" s="228"/>
      <c r="V1695" s="222"/>
      <c r="W1695" s="229"/>
      <c r="X1695" s="227"/>
      <c r="Y1695" s="229"/>
      <c r="Z1695" s="236"/>
      <c r="AA1695" s="237"/>
      <c r="AB1695" s="238"/>
      <c r="AC1695" s="223"/>
      <c r="AD1695" s="222"/>
    </row>
    <row r="1696" spans="1:30" x14ac:dyDescent="0.4">
      <c r="A1696" s="230"/>
      <c r="B1696" s="8">
        <v>340</v>
      </c>
      <c r="C1696" s="14">
        <f t="shared" ca="1" si="978"/>
        <v>0.71</v>
      </c>
      <c r="D1696" s="20">
        <f t="shared" ca="1" si="948"/>
        <v>0.85199999999999998</v>
      </c>
      <c r="E1696" s="225"/>
      <c r="F1696" s="231"/>
      <c r="G1696" s="172" t="str">
        <f t="shared" ca="1" si="968"/>
        <v/>
      </c>
      <c r="H1696" s="93" t="str">
        <f t="shared" ca="1" si="969"/>
        <v/>
      </c>
      <c r="I1696" s="21">
        <v>1000</v>
      </c>
      <c r="J1696" s="68">
        <f t="shared" si="970"/>
        <v>0.95833333333333326</v>
      </c>
      <c r="K1696" s="70">
        <v>1.1499999999999999</v>
      </c>
      <c r="L1696" s="72">
        <f t="shared" ca="1" si="965"/>
        <v>0.19866666666666663</v>
      </c>
      <c r="M1696" s="73">
        <f t="shared" ca="1" si="966"/>
        <v>198.66666666666663</v>
      </c>
      <c r="N1696" s="12" t="s">
        <v>44</v>
      </c>
      <c r="O1696" s="47" t="s">
        <v>45</v>
      </c>
      <c r="P1696" s="13">
        <f t="shared" si="955"/>
        <v>1.1499999999999999</v>
      </c>
      <c r="Q1696" s="1" t="str">
        <f t="shared" si="957"/>
        <v>1000 + шт - 1,15 руб / шт с НДС</v>
      </c>
      <c r="R1696" s="235"/>
      <c r="S1696" s="239"/>
      <c r="T1696" s="226"/>
      <c r="U1696" s="228"/>
      <c r="V1696" s="222"/>
      <c r="W1696" s="229"/>
      <c r="X1696" s="227"/>
      <c r="Y1696" s="229"/>
      <c r="Z1696" s="236"/>
      <c r="AA1696" s="237"/>
      <c r="AB1696" s="238"/>
      <c r="AC1696" s="223"/>
      <c r="AD1696" s="222"/>
    </row>
    <row r="1697" spans="1:30" x14ac:dyDescent="0.4">
      <c r="A1697" s="230">
        <v>341</v>
      </c>
      <c r="B1697" s="8">
        <v>341</v>
      </c>
      <c r="C1697" s="14">
        <f t="shared" ca="1" si="978"/>
        <v>0.86</v>
      </c>
      <c r="D1697" s="20">
        <f t="shared" ref="D1697:D1746" ca="1" si="983">C1697*1.2</f>
        <v>1.032</v>
      </c>
      <c r="E1697" s="225" t="str">
        <f ca="1">INDIRECT("'Закуп'!D" &amp; A1697)</f>
        <v>У</v>
      </c>
      <c r="F1697" s="231" t="str">
        <f t="shared" ref="F1697" ca="1" si="984">INDIRECT("'Закуп'!E" &amp; B1697)</f>
        <v>370х275х95</v>
      </c>
      <c r="G1697" s="172" t="str">
        <f t="shared" ca="1" si="968"/>
        <v/>
      </c>
      <c r="H1697" s="93" t="str">
        <f t="shared" ca="1" si="969"/>
        <v/>
      </c>
      <c r="I1697" s="21">
        <v>50</v>
      </c>
      <c r="J1697" s="68">
        <f t="shared" si="970"/>
        <v>1.6833333333333333</v>
      </c>
      <c r="K1697" s="70">
        <v>2.02</v>
      </c>
      <c r="L1697" s="72">
        <f t="shared" ca="1" si="965"/>
        <v>0.65866666666666673</v>
      </c>
      <c r="M1697" s="73">
        <f t="shared" ca="1" si="966"/>
        <v>32.933333333333337</v>
      </c>
      <c r="N1697" s="12" t="s">
        <v>40</v>
      </c>
      <c r="O1697" s="47" t="s">
        <v>45</v>
      </c>
      <c r="P1697" s="13">
        <f t="shared" si="955"/>
        <v>2.02</v>
      </c>
      <c r="Q1697" s="1" t="str">
        <f t="shared" si="957"/>
        <v>50-90 шт - 2,02 руб / шт с НДС</v>
      </c>
      <c r="R1697" s="235" t="str">
        <f ca="1">INDIRECT("'Закуп'!k" &amp; A1697)</f>
        <v>K278</v>
      </c>
      <c r="S1697" s="239">
        <f ca="1">INDIRECT("'Закуп'!o" &amp; A1697)</f>
        <v>9.67</v>
      </c>
      <c r="T1697" s="226" t="str">
        <f ca="1">INDIRECT("'Закуп'!p" &amp; A1697)</f>
        <v>8-9,9 литров</v>
      </c>
      <c r="U1697" s="228" t="str">
        <f ca="1">INDIRECT("'Закуп'!v" &amp; A1697)</f>
        <v/>
      </c>
      <c r="V1697" s="222" t="str">
        <f ca="1">INDIRECT("'Закуп'!w" &amp; A1697)</f>
        <v>Плоские</v>
      </c>
      <c r="W1697" s="229" t="str">
        <f ca="1">INDIRECT("'Закуп'!H" &amp; A1697)</f>
        <v>0201</v>
      </c>
      <c r="X1697" s="227" t="str">
        <f t="shared" ref="X1697" ca="1" si="985">INDIRECT("'Закуп'!g" &amp; A1697)</f>
        <v>Ч</v>
      </c>
      <c r="Y1697" s="229" t="str">
        <f ca="1">INDIRECT("'Закуп'!i" &amp; A1697)</f>
        <v>В</v>
      </c>
      <c r="Z1697" s="236" t="str">
        <f ca="1">INDIRECT("'Закуп'!x" &amp; A1697)</f>
        <v>300-399 мм</v>
      </c>
      <c r="AA1697" s="237" t="str">
        <f ca="1">INDIRECT("'Закуп'!y" &amp; A1697)</f>
        <v>200-299 мм</v>
      </c>
      <c r="AB1697" s="238" t="str">
        <f ca="1">INDIRECT("'Закуп'!z" &amp; A1697)</f>
        <v>10-99 мм</v>
      </c>
      <c r="AC1697" s="223" t="str">
        <f t="shared" ca="1" si="964"/>
        <v>370x275x95</v>
      </c>
      <c r="AD1697" s="222" t="str">
        <f t="shared" ca="1" si="951"/>
        <v>370x275x95 - 370*275*95 мм</v>
      </c>
    </row>
    <row r="1698" spans="1:30" x14ac:dyDescent="0.4">
      <c r="A1698" s="230"/>
      <c r="B1698" s="8">
        <v>341</v>
      </c>
      <c r="C1698" s="14">
        <f t="shared" ca="1" si="978"/>
        <v>0.86</v>
      </c>
      <c r="D1698" s="20">
        <f t="shared" ca="1" si="983"/>
        <v>1.032</v>
      </c>
      <c r="E1698" s="225"/>
      <c r="F1698" s="231"/>
      <c r="G1698" s="172" t="str">
        <f t="shared" ca="1" si="968"/>
        <v/>
      </c>
      <c r="H1698" s="93" t="str">
        <f t="shared" ca="1" si="969"/>
        <v/>
      </c>
      <c r="I1698" s="21">
        <v>100</v>
      </c>
      <c r="J1698" s="68">
        <f t="shared" si="970"/>
        <v>1.4166666666666667</v>
      </c>
      <c r="K1698" s="70">
        <v>1.7</v>
      </c>
      <c r="L1698" s="72">
        <f t="shared" ca="1" si="965"/>
        <v>0.44533333333333341</v>
      </c>
      <c r="M1698" s="73">
        <f t="shared" ca="1" si="966"/>
        <v>44.533333333333339</v>
      </c>
      <c r="N1698" s="12" t="s">
        <v>41</v>
      </c>
      <c r="O1698" s="47" t="s">
        <v>45</v>
      </c>
      <c r="P1698" s="13">
        <f t="shared" si="955"/>
        <v>1.7</v>
      </c>
      <c r="Q1698" s="1" t="str">
        <f t="shared" si="957"/>
        <v>100-290 шт - 1,7 руб / шт с НДС</v>
      </c>
      <c r="R1698" s="235"/>
      <c r="S1698" s="239"/>
      <c r="T1698" s="226"/>
      <c r="U1698" s="228"/>
      <c r="V1698" s="222"/>
      <c r="W1698" s="229"/>
      <c r="X1698" s="227"/>
      <c r="Y1698" s="229"/>
      <c r="Z1698" s="236"/>
      <c r="AA1698" s="237"/>
      <c r="AB1698" s="238"/>
      <c r="AC1698" s="223"/>
      <c r="AD1698" s="222"/>
    </row>
    <row r="1699" spans="1:30" x14ac:dyDescent="0.4">
      <c r="A1699" s="230"/>
      <c r="B1699" s="8">
        <v>341</v>
      </c>
      <c r="C1699" s="14">
        <f t="shared" ca="1" si="978"/>
        <v>0.86</v>
      </c>
      <c r="D1699" s="20">
        <f t="shared" ca="1" si="983"/>
        <v>1.032</v>
      </c>
      <c r="E1699" s="225"/>
      <c r="F1699" s="231"/>
      <c r="G1699" s="172" t="str">
        <f t="shared" ca="1" si="968"/>
        <v/>
      </c>
      <c r="H1699" s="93" t="str">
        <f t="shared" ca="1" si="969"/>
        <v/>
      </c>
      <c r="I1699" s="21">
        <v>300</v>
      </c>
      <c r="J1699" s="68">
        <f t="shared" si="970"/>
        <v>1.375</v>
      </c>
      <c r="K1699" s="70">
        <v>1.65</v>
      </c>
      <c r="L1699" s="72">
        <f t="shared" ca="1" si="965"/>
        <v>0.41200000000000003</v>
      </c>
      <c r="M1699" s="73">
        <f t="shared" ca="1" si="966"/>
        <v>123.60000000000001</v>
      </c>
      <c r="N1699" s="12" t="s">
        <v>42</v>
      </c>
      <c r="O1699" s="47" t="s">
        <v>45</v>
      </c>
      <c r="P1699" s="13">
        <f t="shared" si="955"/>
        <v>1.65</v>
      </c>
      <c r="Q1699" s="1" t="str">
        <f t="shared" si="957"/>
        <v>300-490 шт - 1,65 руб / шт с НДС</v>
      </c>
      <c r="R1699" s="235"/>
      <c r="S1699" s="239"/>
      <c r="T1699" s="226"/>
      <c r="U1699" s="228"/>
      <c r="V1699" s="222"/>
      <c r="W1699" s="229"/>
      <c r="X1699" s="227"/>
      <c r="Y1699" s="229"/>
      <c r="Z1699" s="236"/>
      <c r="AA1699" s="237"/>
      <c r="AB1699" s="238"/>
      <c r="AC1699" s="223"/>
      <c r="AD1699" s="222"/>
    </row>
    <row r="1700" spans="1:30" x14ac:dyDescent="0.4">
      <c r="A1700" s="230"/>
      <c r="B1700" s="8">
        <v>341</v>
      </c>
      <c r="C1700" s="14">
        <f t="shared" ca="1" si="978"/>
        <v>0.86</v>
      </c>
      <c r="D1700" s="20">
        <f t="shared" ca="1" si="983"/>
        <v>1.032</v>
      </c>
      <c r="E1700" s="225"/>
      <c r="F1700" s="231"/>
      <c r="G1700" s="172" t="str">
        <f t="shared" ca="1" si="968"/>
        <v/>
      </c>
      <c r="H1700" s="93" t="str">
        <f t="shared" ca="1" si="969"/>
        <v/>
      </c>
      <c r="I1700" s="21">
        <v>500</v>
      </c>
      <c r="J1700" s="68">
        <f t="shared" si="970"/>
        <v>1.2833333333333334</v>
      </c>
      <c r="K1700" s="70">
        <v>1.54</v>
      </c>
      <c r="L1700" s="72">
        <f t="shared" ca="1" si="965"/>
        <v>0.33866666666666678</v>
      </c>
      <c r="M1700" s="73">
        <f t="shared" ca="1" si="966"/>
        <v>169.3333333333334</v>
      </c>
      <c r="N1700" s="12" t="s">
        <v>43</v>
      </c>
      <c r="O1700" s="47" t="s">
        <v>45</v>
      </c>
      <c r="P1700" s="13">
        <f t="shared" si="955"/>
        <v>1.54</v>
      </c>
      <c r="Q1700" s="1" t="str">
        <f t="shared" si="957"/>
        <v>500-990 шт - 1,54 руб / шт с НДС</v>
      </c>
      <c r="R1700" s="235"/>
      <c r="S1700" s="239"/>
      <c r="T1700" s="226"/>
      <c r="U1700" s="228"/>
      <c r="V1700" s="222"/>
      <c r="W1700" s="229"/>
      <c r="X1700" s="227"/>
      <c r="Y1700" s="229"/>
      <c r="Z1700" s="236"/>
      <c r="AA1700" s="237"/>
      <c r="AB1700" s="238"/>
      <c r="AC1700" s="223"/>
      <c r="AD1700" s="222"/>
    </row>
    <row r="1701" spans="1:30" x14ac:dyDescent="0.4">
      <c r="A1701" s="230"/>
      <c r="B1701" s="8">
        <v>341</v>
      </c>
      <c r="C1701" s="14">
        <f t="shared" ca="1" si="978"/>
        <v>0.86</v>
      </c>
      <c r="D1701" s="20">
        <f t="shared" ca="1" si="983"/>
        <v>1.032</v>
      </c>
      <c r="E1701" s="225"/>
      <c r="F1701" s="231"/>
      <c r="G1701" s="172" t="str">
        <f t="shared" ca="1" si="968"/>
        <v/>
      </c>
      <c r="H1701" s="93" t="str">
        <f t="shared" ca="1" si="969"/>
        <v/>
      </c>
      <c r="I1701" s="21">
        <v>1000</v>
      </c>
      <c r="J1701" s="68">
        <f t="shared" si="970"/>
        <v>1.2083333333333333</v>
      </c>
      <c r="K1701" s="70">
        <v>1.45</v>
      </c>
      <c r="L1701" s="72">
        <f t="shared" ca="1" si="965"/>
        <v>0.27866666666666662</v>
      </c>
      <c r="M1701" s="73">
        <f t="shared" ca="1" si="966"/>
        <v>278.66666666666663</v>
      </c>
      <c r="N1701" s="12" t="s">
        <v>44</v>
      </c>
      <c r="O1701" s="47" t="s">
        <v>45</v>
      </c>
      <c r="P1701" s="13">
        <f t="shared" si="955"/>
        <v>1.45</v>
      </c>
      <c r="Q1701" s="1" t="str">
        <f t="shared" si="957"/>
        <v>1000 + шт - 1,45 руб / шт с НДС</v>
      </c>
      <c r="R1701" s="235"/>
      <c r="S1701" s="239"/>
      <c r="T1701" s="226"/>
      <c r="U1701" s="228"/>
      <c r="V1701" s="222"/>
      <c r="W1701" s="229"/>
      <c r="X1701" s="227"/>
      <c r="Y1701" s="229"/>
      <c r="Z1701" s="236"/>
      <c r="AA1701" s="237"/>
      <c r="AB1701" s="238"/>
      <c r="AC1701" s="223"/>
      <c r="AD1701" s="222"/>
    </row>
    <row r="1702" spans="1:30" x14ac:dyDescent="0.4">
      <c r="A1702" s="230">
        <v>342</v>
      </c>
      <c r="B1702" s="8">
        <v>342</v>
      </c>
      <c r="C1702" s="14">
        <f t="shared" ca="1" si="978"/>
        <v>0</v>
      </c>
      <c r="D1702" s="20">
        <f t="shared" ca="1" si="983"/>
        <v>0</v>
      </c>
      <c r="E1702" s="225">
        <f ca="1">INDIRECT("'Закуп'!D" &amp; A1702)</f>
        <v>0</v>
      </c>
      <c r="F1702" s="231">
        <f t="shared" ref="F1702" ca="1" si="986">INDIRECT("'Закуп'!E" &amp; B1702)</f>
        <v>0</v>
      </c>
      <c r="G1702" s="172" t="str">
        <f t="shared" ca="1" si="968"/>
        <v/>
      </c>
      <c r="H1702" s="93" t="str">
        <f t="shared" ca="1" si="969"/>
        <v/>
      </c>
      <c r="I1702" s="21">
        <v>50</v>
      </c>
      <c r="J1702" s="68">
        <f t="shared" si="970"/>
        <v>0</v>
      </c>
      <c r="L1702" s="72">
        <f t="shared" ca="1" si="965"/>
        <v>0</v>
      </c>
      <c r="M1702" s="73">
        <f t="shared" ca="1" si="966"/>
        <v>0</v>
      </c>
      <c r="N1702" s="12" t="s">
        <v>40</v>
      </c>
      <c r="O1702" s="47" t="s">
        <v>45</v>
      </c>
      <c r="P1702" s="13">
        <f t="shared" si="955"/>
        <v>0</v>
      </c>
      <c r="Q1702" s="1" t="str">
        <f t="shared" si="957"/>
        <v>50-90 шт - 0 руб / шт с НДС</v>
      </c>
      <c r="R1702" s="235">
        <f ca="1">INDIRECT("'Закуп'!k" &amp; A1702)</f>
        <v>0</v>
      </c>
      <c r="S1702" s="239">
        <f ca="1">INDIRECT("'Закуп'!o" &amp; A1702)</f>
        <v>0</v>
      </c>
      <c r="T1702" s="226">
        <f ca="1">INDIRECT("'Закуп'!p" &amp; A1702)</f>
        <v>0</v>
      </c>
      <c r="U1702" s="228">
        <f ca="1">INDIRECT("'Закуп'!v" &amp; A1702)</f>
        <v>0</v>
      </c>
      <c r="V1702" s="222">
        <f ca="1">INDIRECT("'Закуп'!w" &amp; A1702)</f>
        <v>0</v>
      </c>
      <c r="W1702" s="229">
        <f ca="1">INDIRECT("'Закуп'!H" &amp; A1702)</f>
        <v>0</v>
      </c>
      <c r="X1702" s="227">
        <f t="shared" ref="X1702" ca="1" si="987">INDIRECT("'Закуп'!g" &amp; A1702)</f>
        <v>0</v>
      </c>
      <c r="Y1702" s="229">
        <f ca="1">INDIRECT("'Закуп'!i" &amp; A1702)</f>
        <v>0</v>
      </c>
      <c r="Z1702" s="236">
        <f ca="1">INDIRECT("'Закуп'!x" &amp; A1702)</f>
        <v>0</v>
      </c>
      <c r="AA1702" s="237">
        <f ca="1">INDIRECT("'Закуп'!y" &amp; A1702)</f>
        <v>0</v>
      </c>
      <c r="AB1702" s="238">
        <f ca="1">INDIRECT("'Закуп'!z" &amp; A1702)</f>
        <v>0</v>
      </c>
      <c r="AC1702" s="223" t="str">
        <f t="shared" ca="1" si="964"/>
        <v>0</v>
      </c>
      <c r="AD1702" s="222" t="str">
        <f t="shared" ref="AD1702:AD1742" ca="1" si="988">SUBSTITUTE(INDEX(F:F, ROUNDUP((ROW(A1701))/5,0)*5 - 3), "х", "x") &amp; " - " &amp; SUBSTITUTE(SUBSTITUTE(INDEX(F:F, ROUNDUP((ROW(A1701))/5,0)*5 - 3), "х", "*"), "x", "*") &amp; " мм"</f>
        <v>0 - 0 мм</v>
      </c>
    </row>
    <row r="1703" spans="1:30" x14ac:dyDescent="0.4">
      <c r="A1703" s="230"/>
      <c r="B1703" s="8">
        <v>342</v>
      </c>
      <c r="C1703" s="14">
        <f t="shared" ca="1" si="978"/>
        <v>0</v>
      </c>
      <c r="D1703" s="20">
        <f t="shared" ca="1" si="983"/>
        <v>0</v>
      </c>
      <c r="E1703" s="225"/>
      <c r="F1703" s="231"/>
      <c r="G1703" s="172" t="str">
        <f t="shared" ca="1" si="968"/>
        <v/>
      </c>
      <c r="H1703" s="93" t="str">
        <f t="shared" ca="1" si="969"/>
        <v/>
      </c>
      <c r="I1703" s="21">
        <v>100</v>
      </c>
      <c r="J1703" s="68">
        <f t="shared" si="970"/>
        <v>0</v>
      </c>
      <c r="L1703" s="72">
        <f t="shared" ca="1" si="965"/>
        <v>0</v>
      </c>
      <c r="M1703" s="73">
        <f t="shared" ca="1" si="966"/>
        <v>0</v>
      </c>
      <c r="N1703" s="12" t="s">
        <v>41</v>
      </c>
      <c r="O1703" s="47" t="s">
        <v>45</v>
      </c>
      <c r="P1703" s="13">
        <f t="shared" si="955"/>
        <v>0</v>
      </c>
      <c r="Q1703" s="1" t="str">
        <f t="shared" si="957"/>
        <v>100-290 шт - 0 руб / шт с НДС</v>
      </c>
      <c r="R1703" s="235"/>
      <c r="S1703" s="239"/>
      <c r="T1703" s="226"/>
      <c r="U1703" s="228"/>
      <c r="V1703" s="222"/>
      <c r="W1703" s="229"/>
      <c r="X1703" s="227"/>
      <c r="Y1703" s="229"/>
      <c r="Z1703" s="236"/>
      <c r="AA1703" s="237"/>
      <c r="AB1703" s="238"/>
      <c r="AC1703" s="223"/>
      <c r="AD1703" s="222"/>
    </row>
    <row r="1704" spans="1:30" x14ac:dyDescent="0.4">
      <c r="A1704" s="230"/>
      <c r="B1704" s="8">
        <v>342</v>
      </c>
      <c r="C1704" s="14">
        <f t="shared" ca="1" si="978"/>
        <v>0</v>
      </c>
      <c r="D1704" s="20">
        <f t="shared" ca="1" si="983"/>
        <v>0</v>
      </c>
      <c r="E1704" s="225"/>
      <c r="F1704" s="231"/>
      <c r="G1704" s="172" t="str">
        <f t="shared" ca="1" si="968"/>
        <v/>
      </c>
      <c r="H1704" s="93" t="str">
        <f t="shared" ca="1" si="969"/>
        <v/>
      </c>
      <c r="I1704" s="21">
        <v>300</v>
      </c>
      <c r="J1704" s="68">
        <f t="shared" si="970"/>
        <v>0</v>
      </c>
      <c r="L1704" s="72">
        <f t="shared" ca="1" si="965"/>
        <v>0</v>
      </c>
      <c r="M1704" s="73">
        <f t="shared" ca="1" si="966"/>
        <v>0</v>
      </c>
      <c r="N1704" s="12" t="s">
        <v>42</v>
      </c>
      <c r="O1704" s="47" t="s">
        <v>45</v>
      </c>
      <c r="P1704" s="13">
        <f t="shared" si="955"/>
        <v>0</v>
      </c>
      <c r="Q1704" s="1" t="str">
        <f t="shared" si="957"/>
        <v>300-490 шт - 0 руб / шт с НДС</v>
      </c>
      <c r="R1704" s="235"/>
      <c r="S1704" s="239"/>
      <c r="T1704" s="226"/>
      <c r="U1704" s="228"/>
      <c r="V1704" s="222"/>
      <c r="W1704" s="229"/>
      <c r="X1704" s="227"/>
      <c r="Y1704" s="229"/>
      <c r="Z1704" s="236"/>
      <c r="AA1704" s="237"/>
      <c r="AB1704" s="238"/>
      <c r="AC1704" s="223"/>
      <c r="AD1704" s="222"/>
    </row>
    <row r="1705" spans="1:30" x14ac:dyDescent="0.4">
      <c r="A1705" s="230"/>
      <c r="B1705" s="8">
        <v>342</v>
      </c>
      <c r="C1705" s="14">
        <f t="shared" ca="1" si="978"/>
        <v>0</v>
      </c>
      <c r="D1705" s="20">
        <f t="shared" ca="1" si="983"/>
        <v>0</v>
      </c>
      <c r="E1705" s="225"/>
      <c r="F1705" s="231"/>
      <c r="G1705" s="172" t="str">
        <f t="shared" ca="1" si="968"/>
        <v/>
      </c>
      <c r="H1705" s="93" t="str">
        <f t="shared" ca="1" si="969"/>
        <v/>
      </c>
      <c r="I1705" s="21">
        <v>500</v>
      </c>
      <c r="J1705" s="68">
        <f t="shared" si="970"/>
        <v>0</v>
      </c>
      <c r="L1705" s="72">
        <f t="shared" ca="1" si="965"/>
        <v>0</v>
      </c>
      <c r="M1705" s="73">
        <f t="shared" ca="1" si="966"/>
        <v>0</v>
      </c>
      <c r="N1705" s="12" t="s">
        <v>43</v>
      </c>
      <c r="O1705" s="47" t="s">
        <v>45</v>
      </c>
      <c r="P1705" s="13">
        <f t="shared" si="955"/>
        <v>0</v>
      </c>
      <c r="Q1705" s="1" t="str">
        <f t="shared" si="957"/>
        <v>500-990 шт - 0 руб / шт с НДС</v>
      </c>
      <c r="R1705" s="235"/>
      <c r="S1705" s="239"/>
      <c r="T1705" s="226"/>
      <c r="U1705" s="228"/>
      <c r="V1705" s="222"/>
      <c r="W1705" s="229"/>
      <c r="X1705" s="227"/>
      <c r="Y1705" s="229"/>
      <c r="Z1705" s="236"/>
      <c r="AA1705" s="237"/>
      <c r="AB1705" s="238"/>
      <c r="AC1705" s="223"/>
      <c r="AD1705" s="222"/>
    </row>
    <row r="1706" spans="1:30" x14ac:dyDescent="0.4">
      <c r="A1706" s="230"/>
      <c r="B1706" s="8">
        <v>342</v>
      </c>
      <c r="C1706" s="14">
        <f t="shared" ca="1" si="978"/>
        <v>0</v>
      </c>
      <c r="D1706" s="20">
        <f t="shared" ca="1" si="983"/>
        <v>0</v>
      </c>
      <c r="E1706" s="225"/>
      <c r="F1706" s="231"/>
      <c r="G1706" s="172" t="str">
        <f t="shared" ca="1" si="968"/>
        <v/>
      </c>
      <c r="H1706" s="93" t="str">
        <f t="shared" ca="1" si="969"/>
        <v/>
      </c>
      <c r="I1706" s="21">
        <v>1000</v>
      </c>
      <c r="J1706" s="68">
        <f t="shared" si="970"/>
        <v>0</v>
      </c>
      <c r="L1706" s="72">
        <f t="shared" ca="1" si="965"/>
        <v>0</v>
      </c>
      <c r="M1706" s="73">
        <f t="shared" ca="1" si="966"/>
        <v>0</v>
      </c>
      <c r="N1706" s="12" t="s">
        <v>44</v>
      </c>
      <c r="O1706" s="47" t="s">
        <v>45</v>
      </c>
      <c r="P1706" s="13">
        <f t="shared" si="955"/>
        <v>0</v>
      </c>
      <c r="Q1706" s="1" t="str">
        <f t="shared" si="957"/>
        <v>1000 + шт - 0 руб / шт с НДС</v>
      </c>
      <c r="R1706" s="235"/>
      <c r="S1706" s="239"/>
      <c r="T1706" s="226"/>
      <c r="U1706" s="228"/>
      <c r="V1706" s="222"/>
      <c r="W1706" s="229"/>
      <c r="X1706" s="227"/>
      <c r="Y1706" s="229"/>
      <c r="Z1706" s="236"/>
      <c r="AA1706" s="237"/>
      <c r="AB1706" s="238"/>
      <c r="AC1706" s="223"/>
      <c r="AD1706" s="222"/>
    </row>
    <row r="1707" spans="1:30" x14ac:dyDescent="0.4">
      <c r="A1707" s="230">
        <v>343</v>
      </c>
      <c r="B1707" s="8">
        <v>343</v>
      </c>
      <c r="C1707" s="14">
        <f t="shared" ca="1" si="978"/>
        <v>0</v>
      </c>
      <c r="D1707" s="20">
        <f t="shared" ca="1" si="983"/>
        <v>0</v>
      </c>
      <c r="F1707" s="231">
        <f t="shared" ref="F1707" ca="1" si="989">INDIRECT("'Закуп'!E" &amp; B1707)</f>
        <v>0</v>
      </c>
      <c r="G1707" s="172" t="str">
        <f t="shared" ca="1" si="968"/>
        <v/>
      </c>
      <c r="H1707" s="93" t="str">
        <f t="shared" ca="1" si="969"/>
        <v/>
      </c>
      <c r="J1707" s="68">
        <f t="shared" si="970"/>
        <v>0</v>
      </c>
      <c r="L1707" s="72">
        <f t="shared" ca="1" si="965"/>
        <v>0</v>
      </c>
      <c r="M1707" s="73">
        <f t="shared" ca="1" si="966"/>
        <v>0</v>
      </c>
      <c r="N1707" s="12" t="s">
        <v>40</v>
      </c>
      <c r="O1707" s="47" t="s">
        <v>45</v>
      </c>
      <c r="P1707" s="13">
        <f t="shared" si="955"/>
        <v>0</v>
      </c>
      <c r="Q1707" s="1" t="str">
        <f t="shared" si="957"/>
        <v>50-90 шт - 0 руб / шт с НДС</v>
      </c>
      <c r="R1707" s="235">
        <f ca="1">INDIRECT("'Закуп'!k" &amp; A1707)</f>
        <v>0</v>
      </c>
      <c r="S1707" s="239">
        <f ca="1">INDIRECT("'Закуп'!o" &amp; A1707)</f>
        <v>0</v>
      </c>
      <c r="T1707" s="226">
        <f ca="1">INDIRECT("'Закуп'!p" &amp; A1707)</f>
        <v>0</v>
      </c>
      <c r="U1707" s="228">
        <f ca="1">INDIRECT("'Закуп'!v" &amp; A1707)</f>
        <v>0</v>
      </c>
      <c r="V1707" s="222">
        <f ca="1">INDIRECT("'Закуп'!w" &amp; A1707)</f>
        <v>0</v>
      </c>
      <c r="W1707" s="229">
        <f ca="1">INDIRECT("'Закуп'!H" &amp; A1707)</f>
        <v>0</v>
      </c>
      <c r="X1707" s="227">
        <f t="shared" ref="X1707" ca="1" si="990">INDIRECT("'Закуп'!g" &amp; A1707)</f>
        <v>0</v>
      </c>
      <c r="Y1707" s="229">
        <f ca="1">INDIRECT("'Закуп'!i" &amp; A1707)</f>
        <v>0</v>
      </c>
      <c r="Z1707" s="236">
        <f ca="1">INDIRECT("'Закуп'!x" &amp; A1707)</f>
        <v>0</v>
      </c>
      <c r="AA1707" s="237">
        <f ca="1">INDIRECT("'Закуп'!y" &amp; A1707)</f>
        <v>0</v>
      </c>
      <c r="AB1707" s="238">
        <f ca="1">INDIRECT("'Закуп'!z" &amp; A1707)</f>
        <v>0</v>
      </c>
      <c r="AC1707" s="223" t="str">
        <f t="shared" ca="1" si="964"/>
        <v>0</v>
      </c>
      <c r="AD1707" s="222" t="str">
        <f t="shared" ca="1" si="988"/>
        <v>0 - 0 мм</v>
      </c>
    </row>
    <row r="1708" spans="1:30" x14ac:dyDescent="0.4">
      <c r="A1708" s="230"/>
      <c r="B1708" s="8">
        <v>343</v>
      </c>
      <c r="C1708" s="14">
        <f t="shared" ca="1" si="978"/>
        <v>0</v>
      </c>
      <c r="D1708" s="20">
        <f t="shared" ca="1" si="983"/>
        <v>0</v>
      </c>
      <c r="F1708" s="231"/>
      <c r="G1708" s="172" t="str">
        <f t="shared" ca="1" si="968"/>
        <v/>
      </c>
      <c r="H1708" s="93" t="str">
        <f t="shared" ca="1" si="969"/>
        <v/>
      </c>
      <c r="J1708" s="68">
        <f t="shared" si="970"/>
        <v>0</v>
      </c>
      <c r="L1708" s="72">
        <f t="shared" ca="1" si="965"/>
        <v>0</v>
      </c>
      <c r="M1708" s="73">
        <f t="shared" ca="1" si="966"/>
        <v>0</v>
      </c>
      <c r="N1708" s="12" t="s">
        <v>41</v>
      </c>
      <c r="O1708" s="47" t="s">
        <v>45</v>
      </c>
      <c r="P1708" s="13">
        <f t="shared" si="955"/>
        <v>0</v>
      </c>
      <c r="Q1708" s="1" t="str">
        <f t="shared" si="957"/>
        <v>100-290 шт - 0 руб / шт с НДС</v>
      </c>
      <c r="R1708" s="235"/>
      <c r="S1708" s="239"/>
      <c r="T1708" s="226"/>
      <c r="U1708" s="228"/>
      <c r="V1708" s="222"/>
      <c r="W1708" s="229"/>
      <c r="X1708" s="227"/>
      <c r="Y1708" s="229"/>
      <c r="Z1708" s="236"/>
      <c r="AA1708" s="237"/>
      <c r="AB1708" s="238"/>
      <c r="AC1708" s="223"/>
      <c r="AD1708" s="222"/>
    </row>
    <row r="1709" spans="1:30" x14ac:dyDescent="0.4">
      <c r="A1709" s="230"/>
      <c r="B1709" s="8">
        <v>343</v>
      </c>
      <c r="C1709" s="14">
        <f t="shared" ca="1" si="978"/>
        <v>0</v>
      </c>
      <c r="D1709" s="20">
        <f t="shared" ca="1" si="983"/>
        <v>0</v>
      </c>
      <c r="F1709" s="231"/>
      <c r="G1709" s="172" t="str">
        <f t="shared" ca="1" si="968"/>
        <v/>
      </c>
      <c r="H1709" s="93" t="str">
        <f t="shared" ca="1" si="969"/>
        <v/>
      </c>
      <c r="J1709" s="68">
        <f t="shared" si="970"/>
        <v>0</v>
      </c>
      <c r="L1709" s="72">
        <f t="shared" ca="1" si="965"/>
        <v>0</v>
      </c>
      <c r="M1709" s="73">
        <f t="shared" ca="1" si="966"/>
        <v>0</v>
      </c>
      <c r="N1709" s="12" t="s">
        <v>42</v>
      </c>
      <c r="O1709" s="47" t="s">
        <v>45</v>
      </c>
      <c r="P1709" s="13">
        <f t="shared" si="955"/>
        <v>0</v>
      </c>
      <c r="Q1709" s="1" t="str">
        <f t="shared" si="957"/>
        <v>300-490 шт - 0 руб / шт с НДС</v>
      </c>
      <c r="R1709" s="235"/>
      <c r="S1709" s="239"/>
      <c r="T1709" s="226"/>
      <c r="U1709" s="228"/>
      <c r="V1709" s="222"/>
      <c r="W1709" s="229"/>
      <c r="X1709" s="227"/>
      <c r="Y1709" s="229"/>
      <c r="Z1709" s="236"/>
      <c r="AA1709" s="237"/>
      <c r="AB1709" s="238"/>
      <c r="AC1709" s="223"/>
      <c r="AD1709" s="222"/>
    </row>
    <row r="1710" spans="1:30" x14ac:dyDescent="0.4">
      <c r="A1710" s="230"/>
      <c r="B1710" s="8">
        <v>343</v>
      </c>
      <c r="C1710" s="14">
        <f t="shared" ca="1" si="978"/>
        <v>0</v>
      </c>
      <c r="D1710" s="20">
        <f t="shared" ca="1" si="983"/>
        <v>0</v>
      </c>
      <c r="F1710" s="231"/>
      <c r="G1710" s="172" t="str">
        <f t="shared" ca="1" si="968"/>
        <v/>
      </c>
      <c r="H1710" s="93" t="str">
        <f t="shared" ca="1" si="969"/>
        <v/>
      </c>
      <c r="J1710" s="68">
        <f t="shared" si="970"/>
        <v>0</v>
      </c>
      <c r="L1710" s="72">
        <f t="shared" ca="1" si="965"/>
        <v>0</v>
      </c>
      <c r="M1710" s="73">
        <f t="shared" ca="1" si="966"/>
        <v>0</v>
      </c>
      <c r="N1710" s="12" t="s">
        <v>43</v>
      </c>
      <c r="O1710" s="47" t="s">
        <v>45</v>
      </c>
      <c r="P1710" s="13">
        <f t="shared" si="955"/>
        <v>0</v>
      </c>
      <c r="Q1710" s="1" t="str">
        <f t="shared" si="957"/>
        <v>500-990 шт - 0 руб / шт с НДС</v>
      </c>
      <c r="R1710" s="235"/>
      <c r="S1710" s="239"/>
      <c r="T1710" s="226"/>
      <c r="U1710" s="228"/>
      <c r="V1710" s="222"/>
      <c r="W1710" s="229"/>
      <c r="X1710" s="227"/>
      <c r="Y1710" s="229"/>
      <c r="Z1710" s="236"/>
      <c r="AA1710" s="237"/>
      <c r="AB1710" s="238"/>
      <c r="AC1710" s="223"/>
      <c r="AD1710" s="222"/>
    </row>
    <row r="1711" spans="1:30" x14ac:dyDescent="0.4">
      <c r="A1711" s="230"/>
      <c r="B1711" s="8">
        <v>343</v>
      </c>
      <c r="C1711" s="14">
        <f t="shared" ca="1" si="978"/>
        <v>0</v>
      </c>
      <c r="D1711" s="20">
        <f t="shared" ca="1" si="983"/>
        <v>0</v>
      </c>
      <c r="F1711" s="231"/>
      <c r="G1711" s="172" t="str">
        <f t="shared" ca="1" si="968"/>
        <v/>
      </c>
      <c r="H1711" s="93" t="str">
        <f t="shared" ca="1" si="969"/>
        <v/>
      </c>
      <c r="J1711" s="68">
        <f t="shared" si="970"/>
        <v>0</v>
      </c>
      <c r="L1711" s="72">
        <f t="shared" ca="1" si="965"/>
        <v>0</v>
      </c>
      <c r="M1711" s="73">
        <f t="shared" ca="1" si="966"/>
        <v>0</v>
      </c>
      <c r="N1711" s="12" t="s">
        <v>44</v>
      </c>
      <c r="O1711" s="47" t="s">
        <v>45</v>
      </c>
      <c r="P1711" s="13">
        <f t="shared" ref="P1711:P1746" si="991">ROUND(K1711,2)</f>
        <v>0</v>
      </c>
      <c r="Q1711" s="1" t="str">
        <f t="shared" si="957"/>
        <v>1000 + шт - 0 руб / шт с НДС</v>
      </c>
      <c r="R1711" s="235"/>
      <c r="S1711" s="239"/>
      <c r="T1711" s="226"/>
      <c r="U1711" s="228"/>
      <c r="V1711" s="222"/>
      <c r="W1711" s="229"/>
      <c r="X1711" s="227"/>
      <c r="Y1711" s="229"/>
      <c r="Z1711" s="236"/>
      <c r="AA1711" s="237"/>
      <c r="AB1711" s="238"/>
      <c r="AC1711" s="223"/>
      <c r="AD1711" s="222"/>
    </row>
    <row r="1712" spans="1:30" x14ac:dyDescent="0.4">
      <c r="A1712" s="230">
        <v>344</v>
      </c>
      <c r="B1712" s="8">
        <v>344</v>
      </c>
      <c r="C1712" s="14">
        <f t="shared" ca="1" si="978"/>
        <v>0</v>
      </c>
      <c r="D1712" s="20">
        <f t="shared" ca="1" si="983"/>
        <v>0</v>
      </c>
      <c r="F1712" s="231">
        <f t="shared" ref="F1712" ca="1" si="992">INDIRECT("'Закуп'!E" &amp; B1712)</f>
        <v>0</v>
      </c>
      <c r="G1712" s="172" t="str">
        <f t="shared" ca="1" si="968"/>
        <v/>
      </c>
      <c r="H1712" s="93" t="str">
        <f t="shared" ca="1" si="969"/>
        <v/>
      </c>
      <c r="J1712" s="68">
        <f t="shared" si="970"/>
        <v>0</v>
      </c>
      <c r="L1712" s="72">
        <f t="shared" ca="1" si="965"/>
        <v>0</v>
      </c>
      <c r="M1712" s="73">
        <f t="shared" ca="1" si="966"/>
        <v>0</v>
      </c>
      <c r="N1712" s="12" t="s">
        <v>40</v>
      </c>
      <c r="O1712" s="47" t="s">
        <v>45</v>
      </c>
      <c r="P1712" s="13">
        <f t="shared" si="991"/>
        <v>0</v>
      </c>
      <c r="Q1712" s="1" t="str">
        <f t="shared" ref="Q1712:Q1746" si="993">CONCATENATE(N1712,P1712,O1712,)</f>
        <v>50-90 шт - 0 руб / шт с НДС</v>
      </c>
      <c r="R1712" s="235">
        <f ca="1">INDIRECT("'Закуп'!k" &amp; A1712)</f>
        <v>0</v>
      </c>
      <c r="S1712" s="239">
        <f ca="1">INDIRECT("'Закуп'!o" &amp; A1712)</f>
        <v>0</v>
      </c>
      <c r="T1712" s="226">
        <f ca="1">INDIRECT("'Закуп'!p" &amp; A1712)</f>
        <v>0</v>
      </c>
      <c r="U1712" s="228">
        <f ca="1">INDIRECT("'Закуп'!v" &amp; A1712)</f>
        <v>0</v>
      </c>
      <c r="V1712" s="222">
        <f ca="1">INDIRECT("'Закуп'!w" &amp; A1712)</f>
        <v>0</v>
      </c>
      <c r="W1712" s="229">
        <f ca="1">INDIRECT("'Закуп'!H" &amp; A1712)</f>
        <v>0</v>
      </c>
      <c r="X1712" s="227">
        <f t="shared" ref="X1712" ca="1" si="994">INDIRECT("'Закуп'!g" &amp; A1712)</f>
        <v>0</v>
      </c>
      <c r="Y1712" s="229">
        <f ca="1">INDIRECT("'Закуп'!i" &amp; A1712)</f>
        <v>0</v>
      </c>
      <c r="Z1712" s="236">
        <f ca="1">INDIRECT("'Закуп'!x" &amp; A1712)</f>
        <v>0</v>
      </c>
      <c r="AA1712" s="237">
        <f ca="1">INDIRECT("'Закуп'!y" &amp; A1712)</f>
        <v>0</v>
      </c>
      <c r="AB1712" s="238">
        <f ca="1">INDIRECT("'Закуп'!z" &amp; A1712)</f>
        <v>0</v>
      </c>
      <c r="AC1712" s="223" t="str">
        <f t="shared" ca="1" si="964"/>
        <v>0</v>
      </c>
      <c r="AD1712" s="222" t="str">
        <f t="shared" ca="1" si="988"/>
        <v>0 - 0 мм</v>
      </c>
    </row>
    <row r="1713" spans="1:30" x14ac:dyDescent="0.4">
      <c r="A1713" s="230"/>
      <c r="B1713" s="8">
        <v>344</v>
      </c>
      <c r="C1713" s="14">
        <f t="shared" ca="1" si="978"/>
        <v>0</v>
      </c>
      <c r="D1713" s="20">
        <f t="shared" ca="1" si="983"/>
        <v>0</v>
      </c>
      <c r="F1713" s="231"/>
      <c r="G1713" s="172" t="str">
        <f t="shared" ca="1" si="968"/>
        <v/>
      </c>
      <c r="H1713" s="93" t="str">
        <f t="shared" ca="1" si="969"/>
        <v/>
      </c>
      <c r="J1713" s="68">
        <f t="shared" si="970"/>
        <v>0</v>
      </c>
      <c r="L1713" s="72">
        <f t="shared" ca="1" si="965"/>
        <v>0</v>
      </c>
      <c r="M1713" s="73">
        <f t="shared" ca="1" si="966"/>
        <v>0</v>
      </c>
      <c r="N1713" s="12" t="s">
        <v>41</v>
      </c>
      <c r="O1713" s="47" t="s">
        <v>45</v>
      </c>
      <c r="P1713" s="13">
        <f t="shared" si="991"/>
        <v>0</v>
      </c>
      <c r="Q1713" s="1" t="str">
        <f t="shared" si="993"/>
        <v>100-290 шт - 0 руб / шт с НДС</v>
      </c>
      <c r="R1713" s="235"/>
      <c r="S1713" s="239"/>
      <c r="T1713" s="226"/>
      <c r="U1713" s="228"/>
      <c r="V1713" s="222"/>
      <c r="W1713" s="229"/>
      <c r="X1713" s="227"/>
      <c r="Y1713" s="229"/>
      <c r="Z1713" s="236"/>
      <c r="AA1713" s="237"/>
      <c r="AB1713" s="238"/>
      <c r="AC1713" s="223"/>
      <c r="AD1713" s="222"/>
    </row>
    <row r="1714" spans="1:30" x14ac:dyDescent="0.4">
      <c r="A1714" s="230"/>
      <c r="B1714" s="8">
        <v>344</v>
      </c>
      <c r="C1714" s="14">
        <f t="shared" ca="1" si="978"/>
        <v>0</v>
      </c>
      <c r="D1714" s="20">
        <f t="shared" ca="1" si="983"/>
        <v>0</v>
      </c>
      <c r="F1714" s="231"/>
      <c r="G1714" s="172" t="str">
        <f t="shared" ca="1" si="968"/>
        <v/>
      </c>
      <c r="H1714" s="93" t="str">
        <f t="shared" ca="1" si="969"/>
        <v/>
      </c>
      <c r="J1714" s="68">
        <f t="shared" si="970"/>
        <v>0</v>
      </c>
      <c r="L1714" s="72">
        <f t="shared" ca="1" si="965"/>
        <v>0</v>
      </c>
      <c r="M1714" s="73">
        <f t="shared" ca="1" si="966"/>
        <v>0</v>
      </c>
      <c r="N1714" s="12" t="s">
        <v>42</v>
      </c>
      <c r="O1714" s="47" t="s">
        <v>45</v>
      </c>
      <c r="P1714" s="13">
        <f t="shared" si="991"/>
        <v>0</v>
      </c>
      <c r="Q1714" s="1" t="str">
        <f t="shared" si="993"/>
        <v>300-490 шт - 0 руб / шт с НДС</v>
      </c>
      <c r="R1714" s="235"/>
      <c r="S1714" s="239"/>
      <c r="T1714" s="226"/>
      <c r="U1714" s="228"/>
      <c r="V1714" s="222"/>
      <c r="W1714" s="229"/>
      <c r="X1714" s="227"/>
      <c r="Y1714" s="229"/>
      <c r="Z1714" s="236"/>
      <c r="AA1714" s="237"/>
      <c r="AB1714" s="238"/>
      <c r="AC1714" s="223"/>
      <c r="AD1714" s="222"/>
    </row>
    <row r="1715" spans="1:30" x14ac:dyDescent="0.4">
      <c r="A1715" s="230"/>
      <c r="B1715" s="8">
        <v>344</v>
      </c>
      <c r="C1715" s="14">
        <f t="shared" ca="1" si="978"/>
        <v>0</v>
      </c>
      <c r="D1715" s="20">
        <f t="shared" ca="1" si="983"/>
        <v>0</v>
      </c>
      <c r="F1715" s="231"/>
      <c r="G1715" s="172" t="str">
        <f t="shared" ca="1" si="968"/>
        <v/>
      </c>
      <c r="H1715" s="93" t="str">
        <f t="shared" ca="1" si="969"/>
        <v/>
      </c>
      <c r="J1715" s="68">
        <f t="shared" si="970"/>
        <v>0</v>
      </c>
      <c r="L1715" s="72">
        <f t="shared" ca="1" si="965"/>
        <v>0</v>
      </c>
      <c r="M1715" s="73">
        <f t="shared" ca="1" si="966"/>
        <v>0</v>
      </c>
      <c r="N1715" s="12" t="s">
        <v>43</v>
      </c>
      <c r="O1715" s="47" t="s">
        <v>45</v>
      </c>
      <c r="P1715" s="13">
        <f t="shared" si="991"/>
        <v>0</v>
      </c>
      <c r="Q1715" s="1" t="str">
        <f t="shared" si="993"/>
        <v>500-990 шт - 0 руб / шт с НДС</v>
      </c>
      <c r="R1715" s="235"/>
      <c r="S1715" s="239"/>
      <c r="T1715" s="226"/>
      <c r="U1715" s="228"/>
      <c r="V1715" s="222"/>
      <c r="W1715" s="229"/>
      <c r="X1715" s="227"/>
      <c r="Y1715" s="229"/>
      <c r="Z1715" s="236"/>
      <c r="AA1715" s="237"/>
      <c r="AB1715" s="238"/>
      <c r="AC1715" s="223"/>
      <c r="AD1715" s="222"/>
    </row>
    <row r="1716" spans="1:30" x14ac:dyDescent="0.4">
      <c r="A1716" s="230"/>
      <c r="B1716" s="8">
        <v>344</v>
      </c>
      <c r="C1716" s="14">
        <f t="shared" ca="1" si="978"/>
        <v>0</v>
      </c>
      <c r="D1716" s="20">
        <f t="shared" ca="1" si="983"/>
        <v>0</v>
      </c>
      <c r="F1716" s="231"/>
      <c r="G1716" s="172" t="str">
        <f t="shared" ca="1" si="968"/>
        <v/>
      </c>
      <c r="H1716" s="93" t="str">
        <f t="shared" ca="1" si="969"/>
        <v/>
      </c>
      <c r="J1716" s="68">
        <f t="shared" si="970"/>
        <v>0</v>
      </c>
      <c r="L1716" s="72">
        <f t="shared" ca="1" si="965"/>
        <v>0</v>
      </c>
      <c r="M1716" s="73">
        <f t="shared" ca="1" si="966"/>
        <v>0</v>
      </c>
      <c r="N1716" s="12" t="s">
        <v>44</v>
      </c>
      <c r="O1716" s="47" t="s">
        <v>45</v>
      </c>
      <c r="P1716" s="13">
        <f t="shared" si="991"/>
        <v>0</v>
      </c>
      <c r="Q1716" s="1" t="str">
        <f t="shared" si="993"/>
        <v>1000 + шт - 0 руб / шт с НДС</v>
      </c>
      <c r="R1716" s="235"/>
      <c r="S1716" s="239"/>
      <c r="T1716" s="226"/>
      <c r="U1716" s="228"/>
      <c r="V1716" s="222"/>
      <c r="W1716" s="229"/>
      <c r="X1716" s="227"/>
      <c r="Y1716" s="229"/>
      <c r="Z1716" s="236"/>
      <c r="AA1716" s="237"/>
      <c r="AB1716" s="238"/>
      <c r="AC1716" s="223"/>
      <c r="AD1716" s="222"/>
    </row>
    <row r="1717" spans="1:30" x14ac:dyDescent="0.4">
      <c r="A1717" s="230">
        <v>345</v>
      </c>
      <c r="B1717" s="8">
        <v>345</v>
      </c>
      <c r="C1717" s="14">
        <f t="shared" ca="1" si="978"/>
        <v>0</v>
      </c>
      <c r="D1717" s="20">
        <f t="shared" ca="1" si="983"/>
        <v>0</v>
      </c>
      <c r="F1717" s="231">
        <f t="shared" ref="F1717" ca="1" si="995">INDIRECT("'Закуп'!E" &amp; B1717)</f>
        <v>0</v>
      </c>
      <c r="G1717" s="172" t="str">
        <f t="shared" ca="1" si="968"/>
        <v/>
      </c>
      <c r="H1717" s="93" t="str">
        <f t="shared" ca="1" si="969"/>
        <v/>
      </c>
      <c r="J1717" s="68">
        <f t="shared" si="970"/>
        <v>0</v>
      </c>
      <c r="L1717" s="72">
        <f t="shared" ca="1" si="965"/>
        <v>0</v>
      </c>
      <c r="M1717" s="73">
        <f t="shared" ca="1" si="966"/>
        <v>0</v>
      </c>
      <c r="N1717" s="12" t="s">
        <v>40</v>
      </c>
      <c r="O1717" s="47" t="s">
        <v>45</v>
      </c>
      <c r="P1717" s="13">
        <f t="shared" si="991"/>
        <v>0</v>
      </c>
      <c r="Q1717" s="1" t="str">
        <f t="shared" si="993"/>
        <v>50-90 шт - 0 руб / шт с НДС</v>
      </c>
      <c r="R1717" s="235">
        <f ca="1">INDIRECT("'Закуп'!k" &amp; A1717)</f>
        <v>0</v>
      </c>
      <c r="S1717" s="239">
        <f ca="1">INDIRECT("'Закуп'!o" &amp; A1717)</f>
        <v>0</v>
      </c>
      <c r="T1717" s="226">
        <f ca="1">INDIRECT("'Закуп'!p" &amp; A1717)</f>
        <v>0</v>
      </c>
      <c r="U1717" s="228">
        <f ca="1">INDIRECT("'Закуп'!v" &amp; A1717)</f>
        <v>0</v>
      </c>
      <c r="V1717" s="222">
        <f ca="1">INDIRECT("'Закуп'!w" &amp; A1717)</f>
        <v>0</v>
      </c>
      <c r="W1717" s="229">
        <f ca="1">INDIRECT("'Закуп'!H" &amp; A1717)</f>
        <v>0</v>
      </c>
      <c r="X1717" s="227">
        <f t="shared" ref="X1717" ca="1" si="996">INDIRECT("'Закуп'!g" &amp; A1717)</f>
        <v>0</v>
      </c>
      <c r="Y1717" s="229">
        <f ca="1">INDIRECT("'Закуп'!i" &amp; A1717)</f>
        <v>0</v>
      </c>
      <c r="Z1717" s="236">
        <f ca="1">INDIRECT("'Закуп'!x" &amp; A1717)</f>
        <v>0</v>
      </c>
      <c r="AA1717" s="237">
        <f ca="1">INDIRECT("'Закуп'!y" &amp; A1717)</f>
        <v>0</v>
      </c>
      <c r="AB1717" s="238">
        <f ca="1">INDIRECT("'Закуп'!z" &amp; A1717)</f>
        <v>0</v>
      </c>
      <c r="AC1717" s="223" t="str">
        <f t="shared" ca="1" si="964"/>
        <v>0</v>
      </c>
      <c r="AD1717" s="222" t="str">
        <f t="shared" ca="1" si="988"/>
        <v>0 - 0 мм</v>
      </c>
    </row>
    <row r="1718" spans="1:30" x14ac:dyDescent="0.4">
      <c r="A1718" s="230"/>
      <c r="B1718" s="8">
        <v>345</v>
      </c>
      <c r="C1718" s="14">
        <f t="shared" ca="1" si="978"/>
        <v>0</v>
      </c>
      <c r="D1718" s="20">
        <f t="shared" ca="1" si="983"/>
        <v>0</v>
      </c>
      <c r="F1718" s="231"/>
      <c r="G1718" s="172" t="str">
        <f t="shared" ca="1" si="968"/>
        <v/>
      </c>
      <c r="H1718" s="93" t="str">
        <f t="shared" ca="1" si="969"/>
        <v/>
      </c>
      <c r="J1718" s="68">
        <f t="shared" si="970"/>
        <v>0</v>
      </c>
      <c r="L1718" s="72">
        <f t="shared" ca="1" si="965"/>
        <v>0</v>
      </c>
      <c r="M1718" s="73">
        <f t="shared" ca="1" si="966"/>
        <v>0</v>
      </c>
      <c r="N1718" s="12" t="s">
        <v>41</v>
      </c>
      <c r="O1718" s="47" t="s">
        <v>45</v>
      </c>
      <c r="P1718" s="13">
        <f t="shared" si="991"/>
        <v>0</v>
      </c>
      <c r="Q1718" s="1" t="str">
        <f t="shared" si="993"/>
        <v>100-290 шт - 0 руб / шт с НДС</v>
      </c>
      <c r="R1718" s="235"/>
      <c r="S1718" s="239"/>
      <c r="T1718" s="226"/>
      <c r="U1718" s="228"/>
      <c r="V1718" s="222"/>
      <c r="W1718" s="229"/>
      <c r="X1718" s="227"/>
      <c r="Y1718" s="229"/>
      <c r="Z1718" s="236"/>
      <c r="AA1718" s="237"/>
      <c r="AB1718" s="238"/>
      <c r="AC1718" s="223"/>
      <c r="AD1718" s="222"/>
    </row>
    <row r="1719" spans="1:30" x14ac:dyDescent="0.4">
      <c r="A1719" s="230"/>
      <c r="B1719" s="8">
        <v>345</v>
      </c>
      <c r="C1719" s="14">
        <f t="shared" ca="1" si="978"/>
        <v>0</v>
      </c>
      <c r="D1719" s="20">
        <f t="shared" ca="1" si="983"/>
        <v>0</v>
      </c>
      <c r="F1719" s="231"/>
      <c r="G1719" s="172" t="str">
        <f t="shared" ca="1" si="968"/>
        <v/>
      </c>
      <c r="H1719" s="93" t="str">
        <f t="shared" ca="1" si="969"/>
        <v/>
      </c>
      <c r="J1719" s="68">
        <f t="shared" si="970"/>
        <v>0</v>
      </c>
      <c r="L1719" s="72">
        <f t="shared" ca="1" si="965"/>
        <v>0</v>
      </c>
      <c r="M1719" s="73">
        <f t="shared" ca="1" si="966"/>
        <v>0</v>
      </c>
      <c r="N1719" s="12" t="s">
        <v>42</v>
      </c>
      <c r="O1719" s="47" t="s">
        <v>45</v>
      </c>
      <c r="P1719" s="13">
        <f t="shared" si="991"/>
        <v>0</v>
      </c>
      <c r="Q1719" s="1" t="str">
        <f t="shared" si="993"/>
        <v>300-490 шт - 0 руб / шт с НДС</v>
      </c>
      <c r="R1719" s="235"/>
      <c r="S1719" s="239"/>
      <c r="T1719" s="226"/>
      <c r="U1719" s="228"/>
      <c r="V1719" s="222"/>
      <c r="W1719" s="229"/>
      <c r="X1719" s="227"/>
      <c r="Y1719" s="229"/>
      <c r="Z1719" s="236"/>
      <c r="AA1719" s="237"/>
      <c r="AB1719" s="238"/>
      <c r="AC1719" s="223"/>
      <c r="AD1719" s="222"/>
    </row>
    <row r="1720" spans="1:30" x14ac:dyDescent="0.4">
      <c r="A1720" s="230"/>
      <c r="B1720" s="8">
        <v>345</v>
      </c>
      <c r="C1720" s="14">
        <f t="shared" ca="1" si="978"/>
        <v>0</v>
      </c>
      <c r="D1720" s="20">
        <f t="shared" ca="1" si="983"/>
        <v>0</v>
      </c>
      <c r="F1720" s="231"/>
      <c r="G1720" s="172" t="str">
        <f t="shared" ca="1" si="968"/>
        <v/>
      </c>
      <c r="H1720" s="93" t="str">
        <f t="shared" ca="1" si="969"/>
        <v/>
      </c>
      <c r="J1720" s="68">
        <f t="shared" si="970"/>
        <v>0</v>
      </c>
      <c r="L1720" s="72">
        <f t="shared" ca="1" si="965"/>
        <v>0</v>
      </c>
      <c r="M1720" s="73">
        <f t="shared" ca="1" si="966"/>
        <v>0</v>
      </c>
      <c r="N1720" s="12" t="s">
        <v>43</v>
      </c>
      <c r="O1720" s="47" t="s">
        <v>45</v>
      </c>
      <c r="P1720" s="13">
        <f t="shared" si="991"/>
        <v>0</v>
      </c>
      <c r="Q1720" s="1" t="str">
        <f t="shared" si="993"/>
        <v>500-990 шт - 0 руб / шт с НДС</v>
      </c>
      <c r="R1720" s="235"/>
      <c r="S1720" s="239"/>
      <c r="T1720" s="226"/>
      <c r="U1720" s="228"/>
      <c r="V1720" s="222"/>
      <c r="W1720" s="229"/>
      <c r="X1720" s="227"/>
      <c r="Y1720" s="229"/>
      <c r="Z1720" s="236"/>
      <c r="AA1720" s="237"/>
      <c r="AB1720" s="238"/>
      <c r="AC1720" s="223"/>
      <c r="AD1720" s="222"/>
    </row>
    <row r="1721" spans="1:30" x14ac:dyDescent="0.4">
      <c r="A1721" s="230"/>
      <c r="B1721" s="8">
        <v>345</v>
      </c>
      <c r="C1721" s="14">
        <f t="shared" ca="1" si="978"/>
        <v>0</v>
      </c>
      <c r="D1721" s="20">
        <f t="shared" ca="1" si="983"/>
        <v>0</v>
      </c>
      <c r="F1721" s="231"/>
      <c r="G1721" s="172" t="str">
        <f t="shared" ca="1" si="968"/>
        <v/>
      </c>
      <c r="H1721" s="93" t="str">
        <f t="shared" ca="1" si="969"/>
        <v/>
      </c>
      <c r="J1721" s="68">
        <f t="shared" si="970"/>
        <v>0</v>
      </c>
      <c r="L1721" s="72">
        <f t="shared" ca="1" si="965"/>
        <v>0</v>
      </c>
      <c r="M1721" s="73">
        <f t="shared" ca="1" si="966"/>
        <v>0</v>
      </c>
      <c r="N1721" s="12" t="s">
        <v>44</v>
      </c>
      <c r="O1721" s="47" t="s">
        <v>45</v>
      </c>
      <c r="P1721" s="13">
        <f t="shared" si="991"/>
        <v>0</v>
      </c>
      <c r="Q1721" s="1" t="str">
        <f t="shared" si="993"/>
        <v>1000 + шт - 0 руб / шт с НДС</v>
      </c>
      <c r="R1721" s="235"/>
      <c r="S1721" s="239"/>
      <c r="T1721" s="226"/>
      <c r="U1721" s="228"/>
      <c r="V1721" s="222"/>
      <c r="W1721" s="229"/>
      <c r="X1721" s="227"/>
      <c r="Y1721" s="229"/>
      <c r="Z1721" s="236"/>
      <c r="AA1721" s="237"/>
      <c r="AB1721" s="238"/>
      <c r="AC1721" s="223"/>
      <c r="AD1721" s="222"/>
    </row>
    <row r="1722" spans="1:30" x14ac:dyDescent="0.4">
      <c r="A1722" s="230">
        <v>346</v>
      </c>
      <c r="B1722" s="8">
        <v>346</v>
      </c>
      <c r="C1722" s="14">
        <f t="shared" ca="1" si="978"/>
        <v>0</v>
      </c>
      <c r="D1722" s="20">
        <f t="shared" ca="1" si="983"/>
        <v>0</v>
      </c>
      <c r="F1722" s="231">
        <f t="shared" ref="F1722" ca="1" si="997">INDIRECT("'Закуп'!E" &amp; B1722)</f>
        <v>0</v>
      </c>
      <c r="G1722" s="172" t="str">
        <f t="shared" ca="1" si="968"/>
        <v/>
      </c>
      <c r="H1722" s="93" t="str">
        <f t="shared" ca="1" si="969"/>
        <v/>
      </c>
      <c r="J1722" s="68">
        <f t="shared" si="970"/>
        <v>0</v>
      </c>
      <c r="L1722" s="72">
        <f t="shared" ca="1" si="965"/>
        <v>0</v>
      </c>
      <c r="M1722" s="73">
        <f t="shared" ca="1" si="966"/>
        <v>0</v>
      </c>
      <c r="N1722" s="12" t="s">
        <v>40</v>
      </c>
      <c r="O1722" s="47" t="s">
        <v>45</v>
      </c>
      <c r="P1722" s="13">
        <f t="shared" si="991"/>
        <v>0</v>
      </c>
      <c r="Q1722" s="1" t="str">
        <f t="shared" si="993"/>
        <v>50-90 шт - 0 руб / шт с НДС</v>
      </c>
      <c r="R1722" s="235">
        <f ca="1">INDIRECT("'Закуп'!k" &amp; A1722)</f>
        <v>0</v>
      </c>
      <c r="S1722" s="239">
        <f ca="1">INDIRECT("'Закуп'!o" &amp; A1722)</f>
        <v>0</v>
      </c>
      <c r="T1722" s="226">
        <f ca="1">INDIRECT("'Закуп'!p" &amp; A1722)</f>
        <v>0</v>
      </c>
      <c r="U1722" s="228">
        <f ca="1">INDIRECT("'Закуп'!v" &amp; A1722)</f>
        <v>0</v>
      </c>
      <c r="V1722" s="222">
        <f ca="1">INDIRECT("'Закуп'!w" &amp; A1722)</f>
        <v>0</v>
      </c>
      <c r="W1722" s="229">
        <f ca="1">INDIRECT("'Закуп'!H" &amp; A1722)</f>
        <v>0</v>
      </c>
      <c r="X1722" s="227">
        <f t="shared" ref="X1722" ca="1" si="998">INDIRECT("'Закуп'!g" &amp; A1722)</f>
        <v>0</v>
      </c>
      <c r="Y1722" s="229">
        <f ca="1">INDIRECT("'Закуп'!i" &amp; A1722)</f>
        <v>0</v>
      </c>
      <c r="Z1722" s="236">
        <f ca="1">INDIRECT("'Закуп'!x" &amp; A1722)</f>
        <v>0</v>
      </c>
      <c r="AA1722" s="237">
        <f ca="1">INDIRECT("'Закуп'!y" &amp; A1722)</f>
        <v>0</v>
      </c>
      <c r="AB1722" s="238">
        <f ca="1">INDIRECT("'Закуп'!z" &amp; A1722)</f>
        <v>0</v>
      </c>
      <c r="AC1722" s="223" t="str">
        <f t="shared" ca="1" si="964"/>
        <v>0</v>
      </c>
      <c r="AD1722" s="222" t="str">
        <f t="shared" ca="1" si="988"/>
        <v>0 - 0 мм</v>
      </c>
    </row>
    <row r="1723" spans="1:30" x14ac:dyDescent="0.4">
      <c r="A1723" s="230"/>
      <c r="B1723" s="8">
        <v>346</v>
      </c>
      <c r="C1723" s="14">
        <f t="shared" ca="1" si="978"/>
        <v>0</v>
      </c>
      <c r="D1723" s="20">
        <f t="shared" ca="1" si="983"/>
        <v>0</v>
      </c>
      <c r="F1723" s="231"/>
      <c r="G1723" s="172" t="str">
        <f t="shared" ca="1" si="968"/>
        <v/>
      </c>
      <c r="H1723" s="93" t="str">
        <f t="shared" ca="1" si="969"/>
        <v/>
      </c>
      <c r="J1723" s="68">
        <f t="shared" si="970"/>
        <v>0</v>
      </c>
      <c r="L1723" s="72">
        <f t="shared" ca="1" si="965"/>
        <v>0</v>
      </c>
      <c r="M1723" s="73">
        <f t="shared" ca="1" si="966"/>
        <v>0</v>
      </c>
      <c r="N1723" s="12" t="s">
        <v>41</v>
      </c>
      <c r="O1723" s="47" t="s">
        <v>45</v>
      </c>
      <c r="P1723" s="13">
        <f t="shared" si="991"/>
        <v>0</v>
      </c>
      <c r="Q1723" s="1" t="str">
        <f t="shared" si="993"/>
        <v>100-290 шт - 0 руб / шт с НДС</v>
      </c>
      <c r="R1723" s="235"/>
      <c r="S1723" s="239"/>
      <c r="T1723" s="226"/>
      <c r="U1723" s="228"/>
      <c r="V1723" s="222"/>
      <c r="W1723" s="229"/>
      <c r="X1723" s="227"/>
      <c r="Y1723" s="229"/>
      <c r="Z1723" s="236"/>
      <c r="AA1723" s="237"/>
      <c r="AB1723" s="238"/>
      <c r="AC1723" s="223"/>
      <c r="AD1723" s="222"/>
    </row>
    <row r="1724" spans="1:30" x14ac:dyDescent="0.4">
      <c r="A1724" s="230"/>
      <c r="B1724" s="8">
        <v>346</v>
      </c>
      <c r="C1724" s="14">
        <f t="shared" ca="1" si="978"/>
        <v>0</v>
      </c>
      <c r="D1724" s="20">
        <f t="shared" ca="1" si="983"/>
        <v>0</v>
      </c>
      <c r="F1724" s="231"/>
      <c r="G1724" s="172" t="str">
        <f t="shared" ca="1" si="968"/>
        <v/>
      </c>
      <c r="H1724" s="93" t="str">
        <f t="shared" ca="1" si="969"/>
        <v/>
      </c>
      <c r="J1724" s="68">
        <f t="shared" si="970"/>
        <v>0</v>
      </c>
      <c r="L1724" s="72">
        <f t="shared" ca="1" si="965"/>
        <v>0</v>
      </c>
      <c r="M1724" s="73">
        <f t="shared" ca="1" si="966"/>
        <v>0</v>
      </c>
      <c r="N1724" s="12" t="s">
        <v>42</v>
      </c>
      <c r="O1724" s="47" t="s">
        <v>45</v>
      </c>
      <c r="P1724" s="13">
        <f t="shared" si="991"/>
        <v>0</v>
      </c>
      <c r="Q1724" s="1" t="str">
        <f t="shared" si="993"/>
        <v>300-490 шт - 0 руб / шт с НДС</v>
      </c>
      <c r="R1724" s="235"/>
      <c r="S1724" s="239"/>
      <c r="T1724" s="226"/>
      <c r="U1724" s="228"/>
      <c r="V1724" s="222"/>
      <c r="W1724" s="229"/>
      <c r="X1724" s="227"/>
      <c r="Y1724" s="229"/>
      <c r="Z1724" s="236"/>
      <c r="AA1724" s="237"/>
      <c r="AB1724" s="238"/>
      <c r="AC1724" s="223"/>
      <c r="AD1724" s="222"/>
    </row>
    <row r="1725" spans="1:30" x14ac:dyDescent="0.4">
      <c r="A1725" s="230"/>
      <c r="B1725" s="8">
        <v>346</v>
      </c>
      <c r="C1725" s="14">
        <f t="shared" ca="1" si="978"/>
        <v>0</v>
      </c>
      <c r="D1725" s="20">
        <f t="shared" ca="1" si="983"/>
        <v>0</v>
      </c>
      <c r="F1725" s="231"/>
      <c r="G1725" s="172" t="str">
        <f t="shared" ca="1" si="968"/>
        <v/>
      </c>
      <c r="H1725" s="93" t="str">
        <f t="shared" ca="1" si="969"/>
        <v/>
      </c>
      <c r="J1725" s="68">
        <f t="shared" si="970"/>
        <v>0</v>
      </c>
      <c r="L1725" s="72">
        <f t="shared" ca="1" si="965"/>
        <v>0</v>
      </c>
      <c r="M1725" s="73">
        <f t="shared" ca="1" si="966"/>
        <v>0</v>
      </c>
      <c r="N1725" s="12" t="s">
        <v>43</v>
      </c>
      <c r="O1725" s="47" t="s">
        <v>45</v>
      </c>
      <c r="P1725" s="13">
        <f t="shared" si="991"/>
        <v>0</v>
      </c>
      <c r="Q1725" s="1" t="str">
        <f t="shared" si="993"/>
        <v>500-990 шт - 0 руб / шт с НДС</v>
      </c>
      <c r="R1725" s="235"/>
      <c r="S1725" s="239"/>
      <c r="T1725" s="226"/>
      <c r="U1725" s="228"/>
      <c r="V1725" s="222"/>
      <c r="W1725" s="229"/>
      <c r="X1725" s="227"/>
      <c r="Y1725" s="229"/>
      <c r="Z1725" s="236"/>
      <c r="AA1725" s="237"/>
      <c r="AB1725" s="238"/>
      <c r="AC1725" s="223"/>
      <c r="AD1725" s="222"/>
    </row>
    <row r="1726" spans="1:30" x14ac:dyDescent="0.4">
      <c r="A1726" s="230"/>
      <c r="B1726" s="8">
        <v>346</v>
      </c>
      <c r="C1726" s="14">
        <f t="shared" ca="1" si="978"/>
        <v>0</v>
      </c>
      <c r="D1726" s="20">
        <f t="shared" ca="1" si="983"/>
        <v>0</v>
      </c>
      <c r="F1726" s="231"/>
      <c r="G1726" s="172" t="str">
        <f t="shared" ca="1" si="968"/>
        <v/>
      </c>
      <c r="H1726" s="93" t="str">
        <f t="shared" ca="1" si="969"/>
        <v/>
      </c>
      <c r="J1726" s="68">
        <f t="shared" si="970"/>
        <v>0</v>
      </c>
      <c r="L1726" s="72">
        <f t="shared" ca="1" si="965"/>
        <v>0</v>
      </c>
      <c r="M1726" s="73">
        <f t="shared" ca="1" si="966"/>
        <v>0</v>
      </c>
      <c r="N1726" s="12" t="s">
        <v>44</v>
      </c>
      <c r="O1726" s="47" t="s">
        <v>45</v>
      </c>
      <c r="P1726" s="13">
        <f t="shared" si="991"/>
        <v>0</v>
      </c>
      <c r="Q1726" s="1" t="str">
        <f t="shared" si="993"/>
        <v>1000 + шт - 0 руб / шт с НДС</v>
      </c>
      <c r="R1726" s="235"/>
      <c r="S1726" s="239"/>
      <c r="T1726" s="226"/>
      <c r="U1726" s="228"/>
      <c r="V1726" s="222"/>
      <c r="W1726" s="229"/>
      <c r="X1726" s="227"/>
      <c r="Y1726" s="229"/>
      <c r="Z1726" s="236"/>
      <c r="AA1726" s="237"/>
      <c r="AB1726" s="238"/>
      <c r="AC1726" s="223"/>
      <c r="AD1726" s="222"/>
    </row>
    <row r="1727" spans="1:30" x14ac:dyDescent="0.4">
      <c r="A1727" s="230">
        <v>347</v>
      </c>
      <c r="B1727" s="8">
        <v>347</v>
      </c>
      <c r="C1727" s="14">
        <f t="shared" ca="1" si="978"/>
        <v>0</v>
      </c>
      <c r="D1727" s="20">
        <f t="shared" ca="1" si="983"/>
        <v>0</v>
      </c>
      <c r="F1727" s="231">
        <f t="shared" ref="F1727" ca="1" si="999">INDIRECT("'Закуп'!E" &amp; B1727)</f>
        <v>0</v>
      </c>
      <c r="G1727" s="172" t="str">
        <f t="shared" ca="1" si="968"/>
        <v/>
      </c>
      <c r="H1727" s="93" t="str">
        <f t="shared" ca="1" si="969"/>
        <v/>
      </c>
      <c r="J1727" s="68">
        <f t="shared" si="970"/>
        <v>0</v>
      </c>
      <c r="L1727" s="72">
        <f t="shared" ca="1" si="965"/>
        <v>0</v>
      </c>
      <c r="M1727" s="73">
        <f t="shared" ca="1" si="966"/>
        <v>0</v>
      </c>
      <c r="N1727" s="12" t="s">
        <v>40</v>
      </c>
      <c r="O1727" s="47" t="s">
        <v>45</v>
      </c>
      <c r="P1727" s="13">
        <f t="shared" si="991"/>
        <v>0</v>
      </c>
      <c r="Q1727" s="1" t="str">
        <f t="shared" si="993"/>
        <v>50-90 шт - 0 руб / шт с НДС</v>
      </c>
      <c r="R1727" s="235">
        <f ca="1">INDIRECT("'Закуп'!k" &amp; A1727)</f>
        <v>0</v>
      </c>
      <c r="S1727" s="239">
        <f ca="1">INDIRECT("'Закуп'!o" &amp; A1727)</f>
        <v>0</v>
      </c>
      <c r="T1727" s="226">
        <f ca="1">INDIRECT("'Закуп'!p" &amp; A1727)</f>
        <v>0</v>
      </c>
      <c r="U1727" s="228">
        <f ca="1">INDIRECT("'Закуп'!v" &amp; A1727)</f>
        <v>0</v>
      </c>
      <c r="V1727" s="222">
        <f ca="1">INDIRECT("'Закуп'!w" &amp; A1727)</f>
        <v>0</v>
      </c>
      <c r="W1727" s="229">
        <f ca="1">INDIRECT("'Закуп'!H" &amp; A1727)</f>
        <v>0</v>
      </c>
      <c r="X1727" s="227">
        <f t="shared" ref="X1727" ca="1" si="1000">INDIRECT("'Закуп'!g" &amp; A1727)</f>
        <v>0</v>
      </c>
      <c r="Y1727" s="229">
        <f ca="1">INDIRECT("'Закуп'!i" &amp; A1727)</f>
        <v>0</v>
      </c>
      <c r="Z1727" s="236">
        <f ca="1">INDIRECT("'Закуп'!x" &amp; A1727)</f>
        <v>0</v>
      </c>
      <c r="AA1727" s="237">
        <f ca="1">INDIRECT("'Закуп'!y" &amp; A1727)</f>
        <v>0</v>
      </c>
      <c r="AB1727" s="238">
        <f ca="1">INDIRECT("'Закуп'!z" &amp; A1727)</f>
        <v>0</v>
      </c>
      <c r="AC1727" s="223" t="str">
        <f t="shared" ref="AC1727:AC1742" ca="1" si="1001">SUBSTITUTE(INDEX(F:F, ROUNDUP((ROW(A1726))/5,0)*5 - 3), "х", "x")</f>
        <v>0</v>
      </c>
      <c r="AD1727" s="222" t="str">
        <f t="shared" ca="1" si="988"/>
        <v>0 - 0 мм</v>
      </c>
    </row>
    <row r="1728" spans="1:30" x14ac:dyDescent="0.4">
      <c r="A1728" s="230"/>
      <c r="B1728" s="8">
        <v>347</v>
      </c>
      <c r="C1728" s="14">
        <f t="shared" ca="1" si="978"/>
        <v>0</v>
      </c>
      <c r="D1728" s="20">
        <f t="shared" ca="1" si="983"/>
        <v>0</v>
      </c>
      <c r="F1728" s="231"/>
      <c r="G1728" s="172" t="str">
        <f t="shared" ca="1" si="968"/>
        <v/>
      </c>
      <c r="H1728" s="93" t="str">
        <f t="shared" ca="1" si="969"/>
        <v/>
      </c>
      <c r="J1728" s="68">
        <f t="shared" si="970"/>
        <v>0</v>
      </c>
      <c r="L1728" s="72">
        <f t="shared" ca="1" si="965"/>
        <v>0</v>
      </c>
      <c r="M1728" s="73">
        <f t="shared" ca="1" si="966"/>
        <v>0</v>
      </c>
      <c r="N1728" s="12" t="s">
        <v>41</v>
      </c>
      <c r="O1728" s="47" t="s">
        <v>45</v>
      </c>
      <c r="P1728" s="13">
        <f t="shared" si="991"/>
        <v>0</v>
      </c>
      <c r="Q1728" s="1" t="str">
        <f t="shared" si="993"/>
        <v>100-290 шт - 0 руб / шт с НДС</v>
      </c>
      <c r="R1728" s="235"/>
      <c r="S1728" s="239"/>
      <c r="T1728" s="226"/>
      <c r="U1728" s="228"/>
      <c r="V1728" s="222"/>
      <c r="W1728" s="229"/>
      <c r="X1728" s="227"/>
      <c r="Y1728" s="229"/>
      <c r="Z1728" s="236"/>
      <c r="AA1728" s="237"/>
      <c r="AB1728" s="238"/>
      <c r="AC1728" s="223"/>
      <c r="AD1728" s="222"/>
    </row>
    <row r="1729" spans="1:30" x14ac:dyDescent="0.4">
      <c r="A1729" s="230"/>
      <c r="B1729" s="8">
        <v>347</v>
      </c>
      <c r="C1729" s="14">
        <f t="shared" ca="1" si="978"/>
        <v>0</v>
      </c>
      <c r="D1729" s="20">
        <f t="shared" ca="1" si="983"/>
        <v>0</v>
      </c>
      <c r="F1729" s="231"/>
      <c r="G1729" s="172" t="str">
        <f t="shared" ca="1" si="968"/>
        <v/>
      </c>
      <c r="H1729" s="93" t="str">
        <f t="shared" ca="1" si="969"/>
        <v/>
      </c>
      <c r="J1729" s="68">
        <f t="shared" si="970"/>
        <v>0</v>
      </c>
      <c r="L1729" s="72">
        <f t="shared" ca="1" si="965"/>
        <v>0</v>
      </c>
      <c r="M1729" s="73">
        <f t="shared" ca="1" si="966"/>
        <v>0</v>
      </c>
      <c r="N1729" s="12" t="s">
        <v>42</v>
      </c>
      <c r="O1729" s="47" t="s">
        <v>45</v>
      </c>
      <c r="P1729" s="13">
        <f t="shared" si="991"/>
        <v>0</v>
      </c>
      <c r="Q1729" s="1" t="str">
        <f t="shared" si="993"/>
        <v>300-490 шт - 0 руб / шт с НДС</v>
      </c>
      <c r="R1729" s="235"/>
      <c r="S1729" s="239"/>
      <c r="T1729" s="226"/>
      <c r="U1729" s="228"/>
      <c r="V1729" s="222"/>
      <c r="W1729" s="229"/>
      <c r="X1729" s="227"/>
      <c r="Y1729" s="229"/>
      <c r="Z1729" s="236"/>
      <c r="AA1729" s="237"/>
      <c r="AB1729" s="238"/>
      <c r="AC1729" s="223"/>
      <c r="AD1729" s="222"/>
    </row>
    <row r="1730" spans="1:30" x14ac:dyDescent="0.4">
      <c r="A1730" s="230"/>
      <c r="B1730" s="8">
        <v>347</v>
      </c>
      <c r="C1730" s="14">
        <f t="shared" ca="1" si="978"/>
        <v>0</v>
      </c>
      <c r="D1730" s="20">
        <f t="shared" ca="1" si="983"/>
        <v>0</v>
      </c>
      <c r="F1730" s="231"/>
      <c r="G1730" s="172" t="str">
        <f t="shared" ca="1" si="968"/>
        <v/>
      </c>
      <c r="H1730" s="93" t="str">
        <f t="shared" ca="1" si="969"/>
        <v/>
      </c>
      <c r="J1730" s="68">
        <f t="shared" si="970"/>
        <v>0</v>
      </c>
      <c r="L1730" s="72">
        <f t="shared" ref="L1730:L1746" ca="1" si="1002">J1730-C1730-(J1730-C1730)*0.2</f>
        <v>0</v>
      </c>
      <c r="M1730" s="73">
        <f t="shared" ref="M1730:M1746" ca="1" si="1003">L1730*I1730</f>
        <v>0</v>
      </c>
      <c r="N1730" s="12" t="s">
        <v>43</v>
      </c>
      <c r="O1730" s="47" t="s">
        <v>45</v>
      </c>
      <c r="P1730" s="13">
        <f t="shared" si="991"/>
        <v>0</v>
      </c>
      <c r="Q1730" s="1" t="str">
        <f t="shared" si="993"/>
        <v>500-990 шт - 0 руб / шт с НДС</v>
      </c>
      <c r="R1730" s="235"/>
      <c r="S1730" s="239"/>
      <c r="T1730" s="226"/>
      <c r="U1730" s="228"/>
      <c r="V1730" s="222"/>
      <c r="W1730" s="229"/>
      <c r="X1730" s="227"/>
      <c r="Y1730" s="229"/>
      <c r="Z1730" s="236"/>
      <c r="AA1730" s="237"/>
      <c r="AB1730" s="238"/>
      <c r="AC1730" s="223"/>
      <c r="AD1730" s="222"/>
    </row>
    <row r="1731" spans="1:30" x14ac:dyDescent="0.4">
      <c r="A1731" s="230"/>
      <c r="B1731" s="8">
        <v>347</v>
      </c>
      <c r="C1731" s="14">
        <f t="shared" ca="1" si="978"/>
        <v>0</v>
      </c>
      <c r="D1731" s="20">
        <f t="shared" ca="1" si="983"/>
        <v>0</v>
      </c>
      <c r="F1731" s="231"/>
      <c r="G1731" s="172" t="str">
        <f t="shared" ref="G1731:G1746" ca="1" si="1004">IF(INDIRECT("'Закуп'!L" &amp; B1731)="Sale","Sale","")</f>
        <v/>
      </c>
      <c r="H1731" s="93" t="str">
        <f t="shared" ref="H1731:H1746" ca="1" si="1005">IF(INDIRECT("'Закуп'!F" &amp; B1731)=0,"",INDIRECT("'Закуп'!F" &amp; B1731))</f>
        <v/>
      </c>
      <c r="J1731" s="68">
        <f t="shared" ref="J1731:J1746" si="1006">K1731/1.2</f>
        <v>0</v>
      </c>
      <c r="L1731" s="72">
        <f t="shared" ca="1" si="1002"/>
        <v>0</v>
      </c>
      <c r="M1731" s="73">
        <f t="shared" ca="1" si="1003"/>
        <v>0</v>
      </c>
      <c r="N1731" s="12" t="s">
        <v>44</v>
      </c>
      <c r="O1731" s="47" t="s">
        <v>45</v>
      </c>
      <c r="P1731" s="13">
        <f t="shared" si="991"/>
        <v>0</v>
      </c>
      <c r="Q1731" s="1" t="str">
        <f t="shared" si="993"/>
        <v>1000 + шт - 0 руб / шт с НДС</v>
      </c>
      <c r="R1731" s="235"/>
      <c r="S1731" s="239"/>
      <c r="T1731" s="226"/>
      <c r="U1731" s="228"/>
      <c r="V1731" s="222"/>
      <c r="W1731" s="229"/>
      <c r="X1731" s="227"/>
      <c r="Y1731" s="229"/>
      <c r="Z1731" s="236"/>
      <c r="AA1731" s="237"/>
      <c r="AB1731" s="238"/>
      <c r="AC1731" s="223"/>
      <c r="AD1731" s="222"/>
    </row>
    <row r="1732" spans="1:30" x14ac:dyDescent="0.4">
      <c r="A1732" s="230">
        <v>348</v>
      </c>
      <c r="B1732" s="8">
        <v>348</v>
      </c>
      <c r="C1732" s="14">
        <f t="shared" ca="1" si="978"/>
        <v>0</v>
      </c>
      <c r="D1732" s="20">
        <f t="shared" ca="1" si="983"/>
        <v>0</v>
      </c>
      <c r="F1732" s="231" t="str">
        <f t="shared" ref="F1732" ca="1" si="1007">INDIRECT("'Закуп'!E" &amp; B1732)</f>
        <v>end только стирать</v>
      </c>
      <c r="G1732" s="172" t="str">
        <f t="shared" ca="1" si="1004"/>
        <v/>
      </c>
      <c r="H1732" s="93" t="str">
        <f t="shared" ca="1" si="1005"/>
        <v/>
      </c>
      <c r="J1732" s="68">
        <f t="shared" si="1006"/>
        <v>0</v>
      </c>
      <c r="L1732" s="72">
        <f t="shared" ca="1" si="1002"/>
        <v>0</v>
      </c>
      <c r="M1732" s="73">
        <f t="shared" ca="1" si="1003"/>
        <v>0</v>
      </c>
      <c r="N1732" s="12" t="s">
        <v>40</v>
      </c>
      <c r="O1732" s="47" t="s">
        <v>45</v>
      </c>
      <c r="P1732" s="13">
        <f t="shared" si="991"/>
        <v>0</v>
      </c>
      <c r="Q1732" s="1" t="str">
        <f t="shared" si="993"/>
        <v>50-90 шт - 0 руб / шт с НДС</v>
      </c>
      <c r="R1732" s="235">
        <f ca="1">INDIRECT("'Закуп'!k" &amp; A1732)</f>
        <v>0</v>
      </c>
      <c r="S1732" s="239">
        <f ca="1">INDIRECT("'Закуп'!o" &amp; A1732)</f>
        <v>0</v>
      </c>
      <c r="T1732" s="226">
        <f ca="1">INDIRECT("'Закуп'!p" &amp; A1732)</f>
        <v>0</v>
      </c>
      <c r="U1732" s="228">
        <f ca="1">INDIRECT("'Закуп'!v" &amp; A1732)</f>
        <v>0</v>
      </c>
      <c r="V1732" s="222">
        <f ca="1">INDIRECT("'Закуп'!w" &amp; A1732)</f>
        <v>0</v>
      </c>
      <c r="W1732" s="229">
        <f ca="1">INDIRECT("'Закуп'!H" &amp; A1732)</f>
        <v>0</v>
      </c>
      <c r="X1732" s="227">
        <f t="shared" ref="X1732" ca="1" si="1008">INDIRECT("'Закуп'!g" &amp; A1732)</f>
        <v>0</v>
      </c>
      <c r="Y1732" s="229">
        <f ca="1">INDIRECT("'Закуп'!i" &amp; A1732)</f>
        <v>0</v>
      </c>
      <c r="Z1732" s="236">
        <f ca="1">INDIRECT("'Закуп'!x" &amp; A1732)</f>
        <v>0</v>
      </c>
      <c r="AA1732" s="237">
        <f ca="1">INDIRECT("'Закуп'!y" &amp; A1732)</f>
        <v>0</v>
      </c>
      <c r="AB1732" s="238">
        <f ca="1">INDIRECT("'Закуп'!z" &amp; A1732)</f>
        <v>0</v>
      </c>
      <c r="AC1732" s="223" t="str">
        <f t="shared" ca="1" si="1001"/>
        <v>end только стирать</v>
      </c>
      <c r="AD1732" s="222" t="str">
        <f t="shared" ca="1" si="988"/>
        <v>end только стирать - end только стирать мм</v>
      </c>
    </row>
    <row r="1733" spans="1:30" x14ac:dyDescent="0.4">
      <c r="A1733" s="230"/>
      <c r="B1733" s="8">
        <v>348</v>
      </c>
      <c r="C1733" s="14">
        <f t="shared" ca="1" si="978"/>
        <v>0</v>
      </c>
      <c r="D1733" s="20">
        <f t="shared" ca="1" si="983"/>
        <v>0</v>
      </c>
      <c r="F1733" s="231"/>
      <c r="G1733" s="172" t="str">
        <f t="shared" ca="1" si="1004"/>
        <v/>
      </c>
      <c r="H1733" s="93" t="str">
        <f t="shared" ca="1" si="1005"/>
        <v/>
      </c>
      <c r="J1733" s="68">
        <f t="shared" si="1006"/>
        <v>0</v>
      </c>
      <c r="L1733" s="72">
        <f t="shared" ca="1" si="1002"/>
        <v>0</v>
      </c>
      <c r="M1733" s="73">
        <f t="shared" ca="1" si="1003"/>
        <v>0</v>
      </c>
      <c r="N1733" s="12" t="s">
        <v>41</v>
      </c>
      <c r="O1733" s="47" t="s">
        <v>45</v>
      </c>
      <c r="P1733" s="13">
        <f t="shared" si="991"/>
        <v>0</v>
      </c>
      <c r="Q1733" s="1" t="str">
        <f t="shared" si="993"/>
        <v>100-290 шт - 0 руб / шт с НДС</v>
      </c>
      <c r="R1733" s="235"/>
      <c r="S1733" s="239"/>
      <c r="T1733" s="226"/>
      <c r="U1733" s="228"/>
      <c r="V1733" s="222"/>
      <c r="W1733" s="229"/>
      <c r="X1733" s="227"/>
      <c r="Y1733" s="229"/>
      <c r="Z1733" s="236"/>
      <c r="AA1733" s="237"/>
      <c r="AB1733" s="238"/>
      <c r="AC1733" s="223"/>
      <c r="AD1733" s="222"/>
    </row>
    <row r="1734" spans="1:30" x14ac:dyDescent="0.4">
      <c r="A1734" s="230"/>
      <c r="B1734" s="8">
        <v>348</v>
      </c>
      <c r="C1734" s="14">
        <f t="shared" ca="1" si="978"/>
        <v>0</v>
      </c>
      <c r="D1734" s="20">
        <f t="shared" ca="1" si="983"/>
        <v>0</v>
      </c>
      <c r="F1734" s="231"/>
      <c r="G1734" s="172" t="str">
        <f t="shared" ca="1" si="1004"/>
        <v/>
      </c>
      <c r="H1734" s="93" t="str">
        <f t="shared" ca="1" si="1005"/>
        <v/>
      </c>
      <c r="J1734" s="68">
        <f t="shared" si="1006"/>
        <v>0</v>
      </c>
      <c r="L1734" s="72">
        <f t="shared" ca="1" si="1002"/>
        <v>0</v>
      </c>
      <c r="M1734" s="73">
        <f t="shared" ca="1" si="1003"/>
        <v>0</v>
      </c>
      <c r="N1734" s="12" t="s">
        <v>42</v>
      </c>
      <c r="O1734" s="47" t="s">
        <v>45</v>
      </c>
      <c r="P1734" s="13">
        <f t="shared" si="991"/>
        <v>0</v>
      </c>
      <c r="Q1734" s="1" t="str">
        <f t="shared" si="993"/>
        <v>300-490 шт - 0 руб / шт с НДС</v>
      </c>
      <c r="R1734" s="235"/>
      <c r="S1734" s="239"/>
      <c r="T1734" s="226"/>
      <c r="U1734" s="228"/>
      <c r="V1734" s="222"/>
      <c r="W1734" s="229"/>
      <c r="X1734" s="227"/>
      <c r="Y1734" s="229"/>
      <c r="Z1734" s="236"/>
      <c r="AA1734" s="237"/>
      <c r="AB1734" s="238"/>
      <c r="AC1734" s="223"/>
      <c r="AD1734" s="222"/>
    </row>
    <row r="1735" spans="1:30" x14ac:dyDescent="0.4">
      <c r="A1735" s="230"/>
      <c r="B1735" s="8">
        <v>348</v>
      </c>
      <c r="C1735" s="14">
        <f t="shared" ca="1" si="978"/>
        <v>0</v>
      </c>
      <c r="D1735" s="20">
        <f t="shared" ca="1" si="983"/>
        <v>0</v>
      </c>
      <c r="F1735" s="231"/>
      <c r="G1735" s="172" t="str">
        <f t="shared" ca="1" si="1004"/>
        <v/>
      </c>
      <c r="H1735" s="93" t="str">
        <f t="shared" ca="1" si="1005"/>
        <v/>
      </c>
      <c r="J1735" s="68">
        <f t="shared" si="1006"/>
        <v>0</v>
      </c>
      <c r="L1735" s="72">
        <f t="shared" ca="1" si="1002"/>
        <v>0</v>
      </c>
      <c r="M1735" s="73">
        <f t="shared" ca="1" si="1003"/>
        <v>0</v>
      </c>
      <c r="N1735" s="12" t="s">
        <v>43</v>
      </c>
      <c r="O1735" s="47" t="s">
        <v>45</v>
      </c>
      <c r="P1735" s="13">
        <f t="shared" si="991"/>
        <v>0</v>
      </c>
      <c r="Q1735" s="1" t="str">
        <f t="shared" si="993"/>
        <v>500-990 шт - 0 руб / шт с НДС</v>
      </c>
      <c r="R1735" s="235"/>
      <c r="S1735" s="239"/>
      <c r="T1735" s="226"/>
      <c r="U1735" s="228"/>
      <c r="V1735" s="222"/>
      <c r="W1735" s="229"/>
      <c r="X1735" s="227"/>
      <c r="Y1735" s="229"/>
      <c r="Z1735" s="236"/>
      <c r="AA1735" s="237"/>
      <c r="AB1735" s="238"/>
      <c r="AC1735" s="223"/>
      <c r="AD1735" s="222"/>
    </row>
    <row r="1736" spans="1:30" x14ac:dyDescent="0.4">
      <c r="A1736" s="230"/>
      <c r="B1736" s="8">
        <v>348</v>
      </c>
      <c r="C1736" s="14">
        <f t="shared" ca="1" si="978"/>
        <v>0</v>
      </c>
      <c r="D1736" s="20">
        <f t="shared" ca="1" si="983"/>
        <v>0</v>
      </c>
      <c r="F1736" s="231"/>
      <c r="G1736" s="172" t="str">
        <f t="shared" ca="1" si="1004"/>
        <v/>
      </c>
      <c r="H1736" s="93" t="str">
        <f t="shared" ca="1" si="1005"/>
        <v/>
      </c>
      <c r="J1736" s="68">
        <f t="shared" si="1006"/>
        <v>0</v>
      </c>
      <c r="L1736" s="72">
        <f t="shared" ca="1" si="1002"/>
        <v>0</v>
      </c>
      <c r="M1736" s="73">
        <f t="shared" ca="1" si="1003"/>
        <v>0</v>
      </c>
      <c r="N1736" s="12" t="s">
        <v>44</v>
      </c>
      <c r="O1736" s="47" t="s">
        <v>45</v>
      </c>
      <c r="P1736" s="13">
        <f t="shared" si="991"/>
        <v>0</v>
      </c>
      <c r="Q1736" s="1" t="str">
        <f t="shared" si="993"/>
        <v>1000 + шт - 0 руб / шт с НДС</v>
      </c>
      <c r="R1736" s="235"/>
      <c r="S1736" s="239"/>
      <c r="T1736" s="226"/>
      <c r="U1736" s="228"/>
      <c r="V1736" s="222"/>
      <c r="W1736" s="229"/>
      <c r="X1736" s="227"/>
      <c r="Y1736" s="229"/>
      <c r="Z1736" s="236"/>
      <c r="AA1736" s="237"/>
      <c r="AB1736" s="238"/>
      <c r="AC1736" s="223"/>
      <c r="AD1736" s="222"/>
    </row>
    <row r="1737" spans="1:30" x14ac:dyDescent="0.4">
      <c r="A1737" s="230">
        <v>349</v>
      </c>
      <c r="B1737" s="8">
        <v>349</v>
      </c>
      <c r="C1737" s="14">
        <f t="shared" ca="1" si="978"/>
        <v>0</v>
      </c>
      <c r="D1737" s="20">
        <f t="shared" ca="1" si="983"/>
        <v>0</v>
      </c>
      <c r="F1737" s="231">
        <f t="shared" ref="F1737" ca="1" si="1009">INDIRECT("'Закуп'!E" &amp; B1737)</f>
        <v>0</v>
      </c>
      <c r="G1737" s="172" t="str">
        <f t="shared" ca="1" si="1004"/>
        <v/>
      </c>
      <c r="H1737" s="93" t="str">
        <f t="shared" ca="1" si="1005"/>
        <v/>
      </c>
      <c r="J1737" s="68">
        <f t="shared" si="1006"/>
        <v>0</v>
      </c>
      <c r="L1737" s="72">
        <f t="shared" ca="1" si="1002"/>
        <v>0</v>
      </c>
      <c r="M1737" s="73">
        <f t="shared" ca="1" si="1003"/>
        <v>0</v>
      </c>
      <c r="N1737" s="12" t="s">
        <v>40</v>
      </c>
      <c r="O1737" s="47" t="s">
        <v>45</v>
      </c>
      <c r="P1737" s="13">
        <f t="shared" si="991"/>
        <v>0</v>
      </c>
      <c r="Q1737" s="1" t="str">
        <f t="shared" si="993"/>
        <v>50-90 шт - 0 руб / шт с НДС</v>
      </c>
      <c r="R1737" s="235">
        <f ca="1">INDIRECT("'Закуп'!k" &amp; A1737)</f>
        <v>0</v>
      </c>
      <c r="S1737" s="239">
        <f ca="1">INDIRECT("'Закуп'!o" &amp; A1737)</f>
        <v>0</v>
      </c>
      <c r="T1737" s="226">
        <f ca="1">INDIRECT("'Закуп'!p" &amp; A1737)</f>
        <v>0</v>
      </c>
      <c r="U1737" s="228">
        <f ca="1">INDIRECT("'Закуп'!v" &amp; A1737)</f>
        <v>0</v>
      </c>
      <c r="V1737" s="222">
        <f ca="1">INDIRECT("'Закуп'!w" &amp; A1737)</f>
        <v>0</v>
      </c>
      <c r="W1737" s="229">
        <f ca="1">INDIRECT("'Закуп'!H" &amp; A1737)</f>
        <v>0</v>
      </c>
      <c r="X1737" s="227">
        <f t="shared" ref="X1737" ca="1" si="1010">INDIRECT("'Закуп'!g" &amp; A1737)</f>
        <v>0</v>
      </c>
      <c r="Y1737" s="229">
        <f ca="1">INDIRECT("'Закуп'!i" &amp; A1737)</f>
        <v>0</v>
      </c>
      <c r="Z1737" s="236">
        <f ca="1">INDIRECT("'Закуп'!x" &amp; A1737)</f>
        <v>0</v>
      </c>
      <c r="AA1737" s="237">
        <f ca="1">INDIRECT("'Закуп'!y" &amp; A1737)</f>
        <v>0</v>
      </c>
      <c r="AB1737" s="238">
        <f ca="1">INDIRECT("'Закуп'!z" &amp; A1737)</f>
        <v>0</v>
      </c>
      <c r="AC1737" s="223" t="str">
        <f t="shared" ca="1" si="1001"/>
        <v>0</v>
      </c>
      <c r="AD1737" s="222" t="str">
        <f t="shared" ca="1" si="988"/>
        <v>0 - 0 мм</v>
      </c>
    </row>
    <row r="1738" spans="1:30" x14ac:dyDescent="0.4">
      <c r="A1738" s="230"/>
      <c r="B1738" s="8">
        <v>349</v>
      </c>
      <c r="C1738" s="14">
        <f t="shared" ca="1" si="978"/>
        <v>0</v>
      </c>
      <c r="D1738" s="20">
        <f t="shared" ca="1" si="983"/>
        <v>0</v>
      </c>
      <c r="F1738" s="231"/>
      <c r="G1738" s="172" t="str">
        <f t="shared" ca="1" si="1004"/>
        <v/>
      </c>
      <c r="H1738" s="93" t="str">
        <f t="shared" ca="1" si="1005"/>
        <v/>
      </c>
      <c r="J1738" s="68">
        <f t="shared" si="1006"/>
        <v>0</v>
      </c>
      <c r="L1738" s="72">
        <f t="shared" ca="1" si="1002"/>
        <v>0</v>
      </c>
      <c r="M1738" s="73">
        <f t="shared" ca="1" si="1003"/>
        <v>0</v>
      </c>
      <c r="N1738" s="12" t="s">
        <v>41</v>
      </c>
      <c r="O1738" s="47" t="s">
        <v>45</v>
      </c>
      <c r="P1738" s="13">
        <f t="shared" si="991"/>
        <v>0</v>
      </c>
      <c r="Q1738" s="1" t="str">
        <f t="shared" si="993"/>
        <v>100-290 шт - 0 руб / шт с НДС</v>
      </c>
      <c r="R1738" s="235"/>
      <c r="S1738" s="239"/>
      <c r="T1738" s="226"/>
      <c r="U1738" s="228"/>
      <c r="V1738" s="222"/>
      <c r="W1738" s="229"/>
      <c r="X1738" s="227"/>
      <c r="Y1738" s="229"/>
      <c r="Z1738" s="236"/>
      <c r="AA1738" s="237"/>
      <c r="AB1738" s="238"/>
      <c r="AC1738" s="223"/>
      <c r="AD1738" s="222"/>
    </row>
    <row r="1739" spans="1:30" x14ac:dyDescent="0.4">
      <c r="A1739" s="230"/>
      <c r="B1739" s="8">
        <v>349</v>
      </c>
      <c r="C1739" s="14">
        <f t="shared" ca="1" si="978"/>
        <v>0</v>
      </c>
      <c r="D1739" s="20">
        <f t="shared" ca="1" si="983"/>
        <v>0</v>
      </c>
      <c r="F1739" s="231"/>
      <c r="G1739" s="172" t="str">
        <f t="shared" ca="1" si="1004"/>
        <v/>
      </c>
      <c r="H1739" s="93" t="str">
        <f t="shared" ca="1" si="1005"/>
        <v/>
      </c>
      <c r="J1739" s="68">
        <f t="shared" si="1006"/>
        <v>0</v>
      </c>
      <c r="L1739" s="72">
        <f t="shared" ca="1" si="1002"/>
        <v>0</v>
      </c>
      <c r="M1739" s="73">
        <f t="shared" ca="1" si="1003"/>
        <v>0</v>
      </c>
      <c r="N1739" s="12" t="s">
        <v>42</v>
      </c>
      <c r="O1739" s="47" t="s">
        <v>45</v>
      </c>
      <c r="P1739" s="13">
        <f t="shared" si="991"/>
        <v>0</v>
      </c>
      <c r="Q1739" s="1" t="str">
        <f t="shared" si="993"/>
        <v>300-490 шт - 0 руб / шт с НДС</v>
      </c>
      <c r="R1739" s="235"/>
      <c r="S1739" s="239"/>
      <c r="T1739" s="226"/>
      <c r="U1739" s="228"/>
      <c r="V1739" s="222"/>
      <c r="W1739" s="229"/>
      <c r="X1739" s="227"/>
      <c r="Y1739" s="229"/>
      <c r="Z1739" s="236"/>
      <c r="AA1739" s="237"/>
      <c r="AB1739" s="238"/>
      <c r="AC1739" s="223"/>
      <c r="AD1739" s="222"/>
    </row>
    <row r="1740" spans="1:30" x14ac:dyDescent="0.4">
      <c r="A1740" s="230"/>
      <c r="B1740" s="8">
        <v>349</v>
      </c>
      <c r="C1740" s="14">
        <f t="shared" ca="1" si="978"/>
        <v>0</v>
      </c>
      <c r="D1740" s="20">
        <f t="shared" ca="1" si="983"/>
        <v>0</v>
      </c>
      <c r="F1740" s="231"/>
      <c r="G1740" s="172" t="str">
        <f t="shared" ca="1" si="1004"/>
        <v/>
      </c>
      <c r="H1740" s="93" t="str">
        <f t="shared" ca="1" si="1005"/>
        <v/>
      </c>
      <c r="J1740" s="68">
        <f t="shared" si="1006"/>
        <v>0</v>
      </c>
      <c r="L1740" s="72">
        <f t="shared" ca="1" si="1002"/>
        <v>0</v>
      </c>
      <c r="M1740" s="73">
        <f t="shared" ca="1" si="1003"/>
        <v>0</v>
      </c>
      <c r="N1740" s="12" t="s">
        <v>43</v>
      </c>
      <c r="O1740" s="47" t="s">
        <v>45</v>
      </c>
      <c r="P1740" s="13">
        <f t="shared" si="991"/>
        <v>0</v>
      </c>
      <c r="Q1740" s="1" t="str">
        <f t="shared" si="993"/>
        <v>500-990 шт - 0 руб / шт с НДС</v>
      </c>
      <c r="R1740" s="235"/>
      <c r="S1740" s="239"/>
      <c r="T1740" s="226"/>
      <c r="U1740" s="228"/>
      <c r="V1740" s="222"/>
      <c r="W1740" s="229"/>
      <c r="X1740" s="227"/>
      <c r="Y1740" s="229"/>
      <c r="Z1740" s="236"/>
      <c r="AA1740" s="237"/>
      <c r="AB1740" s="238"/>
      <c r="AC1740" s="223"/>
      <c r="AD1740" s="222"/>
    </row>
    <row r="1741" spans="1:30" x14ac:dyDescent="0.4">
      <c r="A1741" s="230"/>
      <c r="B1741" s="8">
        <v>349</v>
      </c>
      <c r="C1741" s="14">
        <f t="shared" ca="1" si="978"/>
        <v>0</v>
      </c>
      <c r="D1741" s="20">
        <f t="shared" ca="1" si="983"/>
        <v>0</v>
      </c>
      <c r="F1741" s="231"/>
      <c r="G1741" s="172" t="str">
        <f t="shared" ca="1" si="1004"/>
        <v/>
      </c>
      <c r="H1741" s="93" t="str">
        <f t="shared" ca="1" si="1005"/>
        <v/>
      </c>
      <c r="J1741" s="68">
        <f t="shared" si="1006"/>
        <v>0</v>
      </c>
      <c r="L1741" s="72">
        <f t="shared" ca="1" si="1002"/>
        <v>0</v>
      </c>
      <c r="M1741" s="73">
        <f t="shared" ca="1" si="1003"/>
        <v>0</v>
      </c>
      <c r="N1741" s="12" t="s">
        <v>44</v>
      </c>
      <c r="O1741" s="47" t="s">
        <v>45</v>
      </c>
      <c r="P1741" s="13">
        <f t="shared" si="991"/>
        <v>0</v>
      </c>
      <c r="Q1741" s="1" t="str">
        <f t="shared" si="993"/>
        <v>1000 + шт - 0 руб / шт с НДС</v>
      </c>
      <c r="R1741" s="235"/>
      <c r="S1741" s="239"/>
      <c r="T1741" s="226"/>
      <c r="U1741" s="228"/>
      <c r="V1741" s="222"/>
      <c r="W1741" s="229"/>
      <c r="X1741" s="227"/>
      <c r="Y1741" s="229"/>
      <c r="Z1741" s="236"/>
      <c r="AA1741" s="237"/>
      <c r="AB1741" s="238"/>
      <c r="AC1741" s="223"/>
      <c r="AD1741" s="222"/>
    </row>
    <row r="1742" spans="1:30" x14ac:dyDescent="0.4">
      <c r="A1742" s="230">
        <v>350</v>
      </c>
      <c r="B1742" s="8">
        <v>350</v>
      </c>
      <c r="C1742" s="14">
        <f t="shared" ca="1" si="978"/>
        <v>0</v>
      </c>
      <c r="D1742" s="20">
        <f t="shared" ca="1" si="983"/>
        <v>0</v>
      </c>
      <c r="F1742" s="231">
        <f t="shared" ref="F1742" ca="1" si="1011">INDIRECT("'Закуп'!E" &amp; B1742)</f>
        <v>0</v>
      </c>
      <c r="G1742" s="172" t="str">
        <f t="shared" ca="1" si="1004"/>
        <v/>
      </c>
      <c r="H1742" s="93" t="str">
        <f t="shared" ca="1" si="1005"/>
        <v/>
      </c>
      <c r="J1742" s="68">
        <f t="shared" si="1006"/>
        <v>0</v>
      </c>
      <c r="L1742" s="72">
        <f t="shared" ca="1" si="1002"/>
        <v>0</v>
      </c>
      <c r="M1742" s="73">
        <f t="shared" ca="1" si="1003"/>
        <v>0</v>
      </c>
      <c r="N1742" s="12" t="s">
        <v>40</v>
      </c>
      <c r="O1742" s="47" t="s">
        <v>45</v>
      </c>
      <c r="P1742" s="13">
        <f t="shared" si="991"/>
        <v>0</v>
      </c>
      <c r="Q1742" s="1" t="str">
        <f t="shared" si="993"/>
        <v>50-90 шт - 0 руб / шт с НДС</v>
      </c>
      <c r="R1742" s="235">
        <f ca="1">INDIRECT("'Закуп'!k" &amp; A1742)</f>
        <v>0</v>
      </c>
      <c r="S1742" s="239">
        <f ca="1">INDIRECT("'Закуп'!o" &amp; A1742)</f>
        <v>0</v>
      </c>
      <c r="T1742" s="226">
        <f ca="1">INDIRECT("'Закуп'!p" &amp; A1742)</f>
        <v>0</v>
      </c>
      <c r="U1742" s="228">
        <f ca="1">INDIRECT("'Закуп'!v" &amp; A1742)</f>
        <v>0</v>
      </c>
      <c r="V1742" s="222">
        <f ca="1">INDIRECT("'Закуп'!w" &amp; A1742)</f>
        <v>0</v>
      </c>
      <c r="W1742" s="229">
        <f ca="1">INDIRECT("'Закуп'!H" &amp; A1742)</f>
        <v>0</v>
      </c>
      <c r="X1742" s="227">
        <f t="shared" ref="X1742" ca="1" si="1012">INDIRECT("'Закуп'!g" &amp; A1742)</f>
        <v>0</v>
      </c>
      <c r="Y1742" s="229">
        <f ca="1">INDIRECT("'Закуп'!i" &amp; A1742)</f>
        <v>0</v>
      </c>
      <c r="Z1742" s="236">
        <f ca="1">INDIRECT("'Закуп'!x" &amp; A1742)</f>
        <v>0</v>
      </c>
      <c r="AA1742" s="237">
        <f ca="1">INDIRECT("'Закуп'!y" &amp; A1742)</f>
        <v>0</v>
      </c>
      <c r="AB1742" s="238">
        <f ca="1">INDIRECT("'Закуп'!z" &amp; A1742)</f>
        <v>0</v>
      </c>
      <c r="AC1742" s="223" t="str">
        <f t="shared" ca="1" si="1001"/>
        <v>0</v>
      </c>
      <c r="AD1742" s="222" t="str">
        <f t="shared" ca="1" si="988"/>
        <v>0 - 0 мм</v>
      </c>
    </row>
    <row r="1743" spans="1:30" x14ac:dyDescent="0.4">
      <c r="A1743" s="230"/>
      <c r="B1743" s="8">
        <v>350</v>
      </c>
      <c r="C1743" s="14">
        <f t="shared" ca="1" si="978"/>
        <v>0</v>
      </c>
      <c r="D1743" s="20">
        <f t="shared" ca="1" si="983"/>
        <v>0</v>
      </c>
      <c r="F1743" s="231"/>
      <c r="G1743" s="172" t="str">
        <f t="shared" ca="1" si="1004"/>
        <v/>
      </c>
      <c r="H1743" s="93" t="str">
        <f t="shared" ca="1" si="1005"/>
        <v/>
      </c>
      <c r="J1743" s="68">
        <f t="shared" si="1006"/>
        <v>0</v>
      </c>
      <c r="L1743" s="72">
        <f t="shared" ca="1" si="1002"/>
        <v>0</v>
      </c>
      <c r="M1743" s="73">
        <f t="shared" ca="1" si="1003"/>
        <v>0</v>
      </c>
      <c r="N1743" s="12" t="s">
        <v>41</v>
      </c>
      <c r="O1743" s="47" t="s">
        <v>45</v>
      </c>
      <c r="P1743" s="13">
        <f t="shared" si="991"/>
        <v>0</v>
      </c>
      <c r="Q1743" s="1" t="str">
        <f t="shared" si="993"/>
        <v>100-290 шт - 0 руб / шт с НДС</v>
      </c>
      <c r="R1743" s="235"/>
      <c r="S1743" s="239"/>
      <c r="T1743" s="226"/>
      <c r="U1743" s="228"/>
      <c r="V1743" s="222"/>
      <c r="W1743" s="229"/>
      <c r="X1743" s="227"/>
      <c r="Y1743" s="229"/>
      <c r="Z1743" s="236"/>
      <c r="AA1743" s="237"/>
      <c r="AB1743" s="238"/>
      <c r="AC1743" s="223"/>
      <c r="AD1743" s="222"/>
    </row>
    <row r="1744" spans="1:30" x14ac:dyDescent="0.4">
      <c r="A1744" s="230"/>
      <c r="B1744" s="8">
        <v>350</v>
      </c>
      <c r="C1744" s="14">
        <f t="shared" ca="1" si="978"/>
        <v>0</v>
      </c>
      <c r="D1744" s="20">
        <f t="shared" ca="1" si="983"/>
        <v>0</v>
      </c>
      <c r="F1744" s="231"/>
      <c r="G1744" s="172" t="str">
        <f t="shared" ca="1" si="1004"/>
        <v/>
      </c>
      <c r="H1744" s="93" t="str">
        <f t="shared" ca="1" si="1005"/>
        <v/>
      </c>
      <c r="J1744" s="68">
        <f t="shared" si="1006"/>
        <v>0</v>
      </c>
      <c r="L1744" s="72">
        <f t="shared" ca="1" si="1002"/>
        <v>0</v>
      </c>
      <c r="M1744" s="73">
        <f t="shared" ca="1" si="1003"/>
        <v>0</v>
      </c>
      <c r="N1744" s="12" t="s">
        <v>42</v>
      </c>
      <c r="O1744" s="47" t="s">
        <v>45</v>
      </c>
      <c r="P1744" s="13">
        <f t="shared" si="991"/>
        <v>0</v>
      </c>
      <c r="Q1744" s="1" t="str">
        <f t="shared" si="993"/>
        <v>300-490 шт - 0 руб / шт с НДС</v>
      </c>
      <c r="R1744" s="235"/>
      <c r="S1744" s="239"/>
      <c r="T1744" s="226"/>
      <c r="U1744" s="228"/>
      <c r="V1744" s="222"/>
      <c r="W1744" s="229"/>
      <c r="X1744" s="227"/>
      <c r="Y1744" s="229"/>
      <c r="Z1744" s="236"/>
      <c r="AA1744" s="237"/>
      <c r="AB1744" s="238"/>
      <c r="AC1744" s="223"/>
      <c r="AD1744" s="222"/>
    </row>
    <row r="1745" spans="1:30" x14ac:dyDescent="0.4">
      <c r="A1745" s="230"/>
      <c r="B1745" s="8">
        <v>350</v>
      </c>
      <c r="C1745" s="14">
        <f t="shared" ca="1" si="978"/>
        <v>0</v>
      </c>
      <c r="D1745" s="20">
        <f t="shared" ca="1" si="983"/>
        <v>0</v>
      </c>
      <c r="F1745" s="231"/>
      <c r="G1745" s="172" t="str">
        <f t="shared" ca="1" si="1004"/>
        <v/>
      </c>
      <c r="H1745" s="93" t="str">
        <f t="shared" ca="1" si="1005"/>
        <v/>
      </c>
      <c r="J1745" s="68">
        <f t="shared" si="1006"/>
        <v>0</v>
      </c>
      <c r="L1745" s="72">
        <f t="shared" ca="1" si="1002"/>
        <v>0</v>
      </c>
      <c r="M1745" s="73">
        <f t="shared" ca="1" si="1003"/>
        <v>0</v>
      </c>
      <c r="N1745" s="12" t="s">
        <v>43</v>
      </c>
      <c r="O1745" s="47" t="s">
        <v>45</v>
      </c>
      <c r="P1745" s="13">
        <f t="shared" si="991"/>
        <v>0</v>
      </c>
      <c r="Q1745" s="1" t="str">
        <f t="shared" si="993"/>
        <v>500-990 шт - 0 руб / шт с НДС</v>
      </c>
      <c r="R1745" s="235"/>
      <c r="S1745" s="239"/>
      <c r="T1745" s="226"/>
      <c r="U1745" s="228"/>
      <c r="V1745" s="222"/>
      <c r="W1745" s="229"/>
      <c r="X1745" s="227"/>
      <c r="Y1745" s="229"/>
      <c r="Z1745" s="236"/>
      <c r="AA1745" s="237"/>
      <c r="AB1745" s="238"/>
      <c r="AC1745" s="223"/>
      <c r="AD1745" s="222"/>
    </row>
    <row r="1746" spans="1:30" x14ac:dyDescent="0.4">
      <c r="A1746" s="230"/>
      <c r="B1746" s="8">
        <v>350</v>
      </c>
      <c r="C1746" s="14">
        <f t="shared" ca="1" si="978"/>
        <v>0</v>
      </c>
      <c r="D1746" s="20">
        <f t="shared" ca="1" si="983"/>
        <v>0</v>
      </c>
      <c r="F1746" s="231"/>
      <c r="G1746" s="172" t="str">
        <f t="shared" ca="1" si="1004"/>
        <v/>
      </c>
      <c r="H1746" s="93" t="str">
        <f t="shared" ca="1" si="1005"/>
        <v/>
      </c>
      <c r="J1746" s="68">
        <f t="shared" si="1006"/>
        <v>0</v>
      </c>
      <c r="L1746" s="72">
        <f t="shared" ca="1" si="1002"/>
        <v>0</v>
      </c>
      <c r="M1746" s="73">
        <f t="shared" ca="1" si="1003"/>
        <v>0</v>
      </c>
      <c r="N1746" s="12" t="s">
        <v>44</v>
      </c>
      <c r="O1746" s="47" t="s">
        <v>45</v>
      </c>
      <c r="P1746" s="13">
        <f t="shared" si="991"/>
        <v>0</v>
      </c>
      <c r="Q1746" s="1" t="str">
        <f t="shared" si="993"/>
        <v>1000 + шт - 0 руб / шт с НДС</v>
      </c>
      <c r="R1746" s="235"/>
      <c r="S1746" s="239"/>
      <c r="T1746" s="226"/>
      <c r="U1746" s="228"/>
      <c r="V1746" s="222"/>
      <c r="W1746" s="229"/>
      <c r="X1746" s="227"/>
      <c r="Y1746" s="229"/>
      <c r="Z1746" s="236"/>
      <c r="AA1746" s="237"/>
      <c r="AB1746" s="238"/>
      <c r="AC1746" s="223"/>
      <c r="AD1746" s="222"/>
    </row>
    <row r="1747" spans="1:30" x14ac:dyDescent="0.4">
      <c r="P1747" s="13"/>
      <c r="T1747" s="226"/>
      <c r="U1747" s="228"/>
      <c r="V1747" s="222"/>
      <c r="W1747" s="229"/>
    </row>
    <row r="1748" spans="1:30" x14ac:dyDescent="0.4">
      <c r="P1748" s="13"/>
      <c r="T1748" s="226"/>
      <c r="U1748" s="228"/>
      <c r="V1748" s="222"/>
      <c r="W1748" s="229"/>
    </row>
    <row r="1749" spans="1:30" x14ac:dyDescent="0.4">
      <c r="P1749" s="13"/>
      <c r="T1749" s="226"/>
      <c r="U1749" s="228"/>
      <c r="V1749" s="222"/>
      <c r="W1749" s="229"/>
    </row>
    <row r="1750" spans="1:30" x14ac:dyDescent="0.4">
      <c r="P1750" s="13"/>
      <c r="T1750" s="226"/>
      <c r="U1750" s="228"/>
      <c r="V1750" s="222"/>
      <c r="W1750" s="229"/>
    </row>
    <row r="1751" spans="1:30" x14ac:dyDescent="0.4">
      <c r="P1751" s="13"/>
      <c r="T1751" s="226"/>
      <c r="U1751" s="228"/>
      <c r="V1751" s="222"/>
      <c r="W1751" s="229"/>
    </row>
    <row r="1752" spans="1:30" x14ac:dyDescent="0.4">
      <c r="P1752" s="13"/>
      <c r="T1752" s="226"/>
      <c r="U1752" s="228"/>
      <c r="V1752" s="222"/>
      <c r="W1752" s="229"/>
    </row>
    <row r="1753" spans="1:30" x14ac:dyDescent="0.4">
      <c r="P1753" s="13"/>
      <c r="T1753" s="226"/>
      <c r="U1753" s="228"/>
      <c r="V1753" s="222"/>
      <c r="W1753" s="229"/>
    </row>
    <row r="1754" spans="1:30" x14ac:dyDescent="0.4">
      <c r="P1754" s="13"/>
      <c r="T1754" s="226"/>
      <c r="U1754" s="228"/>
      <c r="V1754" s="222"/>
      <c r="W1754" s="229"/>
    </row>
    <row r="1755" spans="1:30" x14ac:dyDescent="0.4">
      <c r="P1755" s="13"/>
      <c r="T1755" s="226"/>
      <c r="U1755" s="228"/>
      <c r="V1755" s="222"/>
      <c r="W1755" s="229"/>
    </row>
    <row r="1756" spans="1:30" x14ac:dyDescent="0.4">
      <c r="P1756" s="13"/>
      <c r="T1756" s="226"/>
      <c r="U1756" s="228"/>
      <c r="V1756" s="222"/>
      <c r="W1756" s="229"/>
    </row>
  </sheetData>
  <autoFilter ref="A1:AB1746" xr:uid="{206069D5-40EB-4A92-83C3-1C555B7C4619}"/>
  <mergeCells count="5584">
    <mergeCell ref="Y2:Y6"/>
    <mergeCell ref="Z2:Z6"/>
    <mergeCell ref="AA2:AA6"/>
    <mergeCell ref="AB2:AB6"/>
    <mergeCell ref="Y1527:Y1531"/>
    <mergeCell ref="Z1527:Z1531"/>
    <mergeCell ref="AA1527:AA1531"/>
    <mergeCell ref="AB1527:AB1531"/>
    <mergeCell ref="Y1532:Y1536"/>
    <mergeCell ref="Z1532:Z1536"/>
    <mergeCell ref="AA1532:AA1536"/>
    <mergeCell ref="AB1532:AB1536"/>
    <mergeCell ref="Y1537:Y1541"/>
    <mergeCell ref="Z1537:Z1541"/>
    <mergeCell ref="AA1537:AA1541"/>
    <mergeCell ref="AB1537:AB1541"/>
    <mergeCell ref="Y1542:Y1546"/>
    <mergeCell ref="Z1542:Z1546"/>
    <mergeCell ref="AA1542:AA1546"/>
    <mergeCell ref="AB1542:AB1546"/>
    <mergeCell ref="Y1477:Y1481"/>
    <mergeCell ref="Z1477:Z1481"/>
    <mergeCell ref="AA1477:AA1481"/>
    <mergeCell ref="AB1477:AB1481"/>
    <mergeCell ref="Y1482:Y1486"/>
    <mergeCell ref="Z1482:Z1486"/>
    <mergeCell ref="AA1482:AA1486"/>
    <mergeCell ref="AB1482:AB1486"/>
    <mergeCell ref="Y1487:Y1491"/>
    <mergeCell ref="Z1487:Z1491"/>
    <mergeCell ref="AA1487:AA1491"/>
    <mergeCell ref="AB1487:AB1491"/>
    <mergeCell ref="Y1547:Y1551"/>
    <mergeCell ref="Z1547:Z1551"/>
    <mergeCell ref="AA1547:AA1551"/>
    <mergeCell ref="AB1547:AB1551"/>
    <mergeCell ref="Y1502:Y1506"/>
    <mergeCell ref="Z1502:Z1506"/>
    <mergeCell ref="AA1502:AA1506"/>
    <mergeCell ref="AB1502:AB1506"/>
    <mergeCell ref="Y1507:Y1511"/>
    <mergeCell ref="Z1507:Z1511"/>
    <mergeCell ref="AA1507:AA1511"/>
    <mergeCell ref="AB1507:AB1511"/>
    <mergeCell ref="Y1512:Y1516"/>
    <mergeCell ref="Z1512:Z1516"/>
    <mergeCell ref="AA1512:AA1516"/>
    <mergeCell ref="AB1512:AB1516"/>
    <mergeCell ref="Y1517:Y1521"/>
    <mergeCell ref="Z1517:Z1521"/>
    <mergeCell ref="AA1517:AA1521"/>
    <mergeCell ref="AB1517:AB1521"/>
    <mergeCell ref="Y1522:Y1526"/>
    <mergeCell ref="Z1522:Z1526"/>
    <mergeCell ref="AA1522:AA1526"/>
    <mergeCell ref="AB1522:AB1526"/>
    <mergeCell ref="Y1492:Y1496"/>
    <mergeCell ref="Z1492:Z1496"/>
    <mergeCell ref="AA1492:AA1496"/>
    <mergeCell ref="AB1492:AB1496"/>
    <mergeCell ref="Y1497:Y1501"/>
    <mergeCell ref="Z1497:Z1501"/>
    <mergeCell ref="AA1497:AA1501"/>
    <mergeCell ref="AB1497:AB1501"/>
    <mergeCell ref="Y1452:Y1456"/>
    <mergeCell ref="Z1452:Z1456"/>
    <mergeCell ref="AA1452:AA1456"/>
    <mergeCell ref="AB1452:AB1456"/>
    <mergeCell ref="Y1457:Y1461"/>
    <mergeCell ref="Z1457:Z1461"/>
    <mergeCell ref="AA1457:AA1461"/>
    <mergeCell ref="AB1457:AB1461"/>
    <mergeCell ref="Y1462:Y1466"/>
    <mergeCell ref="Z1462:Z1466"/>
    <mergeCell ref="AA1462:AA1466"/>
    <mergeCell ref="AB1462:AB1466"/>
    <mergeCell ref="Y1467:Y1471"/>
    <mergeCell ref="Z1467:Z1471"/>
    <mergeCell ref="AA1467:AA1471"/>
    <mergeCell ref="AB1467:AB1471"/>
    <mergeCell ref="Y1472:Y1476"/>
    <mergeCell ref="Z1472:Z1476"/>
    <mergeCell ref="AA1472:AA1476"/>
    <mergeCell ref="AB1472:AB1476"/>
    <mergeCell ref="Y1427:Y1431"/>
    <mergeCell ref="Z1427:Z1431"/>
    <mergeCell ref="AA1427:AA1431"/>
    <mergeCell ref="AB1427:AB1431"/>
    <mergeCell ref="Y1432:Y1436"/>
    <mergeCell ref="Z1432:Z1436"/>
    <mergeCell ref="AA1432:AA1436"/>
    <mergeCell ref="AB1432:AB1436"/>
    <mergeCell ref="Y1437:Y1441"/>
    <mergeCell ref="Z1437:Z1441"/>
    <mergeCell ref="AA1437:AA1441"/>
    <mergeCell ref="AB1437:AB1441"/>
    <mergeCell ref="Y1442:Y1446"/>
    <mergeCell ref="Z1442:Z1446"/>
    <mergeCell ref="AA1442:AA1446"/>
    <mergeCell ref="AB1442:AB1446"/>
    <mergeCell ref="Y1447:Y1451"/>
    <mergeCell ref="Z1447:Z1451"/>
    <mergeCell ref="AA1447:AA1451"/>
    <mergeCell ref="AB1447:AB1451"/>
    <mergeCell ref="Y1402:Y1406"/>
    <mergeCell ref="Z1402:Z1406"/>
    <mergeCell ref="AA1402:AA1406"/>
    <mergeCell ref="AB1402:AB1406"/>
    <mergeCell ref="Y1407:Y1411"/>
    <mergeCell ref="Z1407:Z1411"/>
    <mergeCell ref="AA1407:AA1411"/>
    <mergeCell ref="AB1407:AB1411"/>
    <mergeCell ref="Y1412:Y1416"/>
    <mergeCell ref="Z1412:Z1416"/>
    <mergeCell ref="AA1412:AA1416"/>
    <mergeCell ref="AB1412:AB1416"/>
    <mergeCell ref="Y1417:Y1421"/>
    <mergeCell ref="Z1417:Z1421"/>
    <mergeCell ref="AA1417:AA1421"/>
    <mergeCell ref="AB1417:AB1421"/>
    <mergeCell ref="Y1422:Y1426"/>
    <mergeCell ref="Z1422:Z1426"/>
    <mergeCell ref="AA1422:AA1426"/>
    <mergeCell ref="AB1422:AB1426"/>
    <mergeCell ref="Y1377:Y1381"/>
    <mergeCell ref="Z1377:Z1381"/>
    <mergeCell ref="AA1377:AA1381"/>
    <mergeCell ref="AB1377:AB1381"/>
    <mergeCell ref="Y1382:Y1386"/>
    <mergeCell ref="Z1382:Z1386"/>
    <mergeCell ref="AA1382:AA1386"/>
    <mergeCell ref="AB1382:AB1386"/>
    <mergeCell ref="Y1387:Y1391"/>
    <mergeCell ref="Z1387:Z1391"/>
    <mergeCell ref="AA1387:AA1391"/>
    <mergeCell ref="AB1387:AB1391"/>
    <mergeCell ref="Y1392:Y1396"/>
    <mergeCell ref="Z1392:Z1396"/>
    <mergeCell ref="AA1392:AA1396"/>
    <mergeCell ref="AB1392:AB1396"/>
    <mergeCell ref="Y1397:Y1401"/>
    <mergeCell ref="Z1397:Z1401"/>
    <mergeCell ref="AA1397:AA1401"/>
    <mergeCell ref="AB1397:AB1401"/>
    <mergeCell ref="Y1352:Y1356"/>
    <mergeCell ref="Z1352:Z1356"/>
    <mergeCell ref="AA1352:AA1356"/>
    <mergeCell ref="AB1352:AB1356"/>
    <mergeCell ref="Y1357:Y1361"/>
    <mergeCell ref="Z1357:Z1361"/>
    <mergeCell ref="AA1357:AA1361"/>
    <mergeCell ref="AB1357:AB1361"/>
    <mergeCell ref="Y1362:Y1366"/>
    <mergeCell ref="Z1362:Z1366"/>
    <mergeCell ref="AA1362:AA1366"/>
    <mergeCell ref="AB1362:AB1366"/>
    <mergeCell ref="Y1367:Y1371"/>
    <mergeCell ref="Z1367:Z1371"/>
    <mergeCell ref="AA1367:AA1371"/>
    <mergeCell ref="AB1367:AB1371"/>
    <mergeCell ref="Y1372:Y1376"/>
    <mergeCell ref="Z1372:Z1376"/>
    <mergeCell ref="AA1372:AA1376"/>
    <mergeCell ref="AB1372:AB1376"/>
    <mergeCell ref="Y1327:Y1331"/>
    <mergeCell ref="Z1327:Z1331"/>
    <mergeCell ref="AA1327:AA1331"/>
    <mergeCell ref="AB1327:AB1331"/>
    <mergeCell ref="Y1332:Y1336"/>
    <mergeCell ref="Z1332:Z1336"/>
    <mergeCell ref="AA1332:AA1336"/>
    <mergeCell ref="AB1332:AB1336"/>
    <mergeCell ref="Y1337:Y1341"/>
    <mergeCell ref="Z1337:Z1341"/>
    <mergeCell ref="AA1337:AA1341"/>
    <mergeCell ref="AB1337:AB1341"/>
    <mergeCell ref="Y1342:Y1346"/>
    <mergeCell ref="Z1342:Z1346"/>
    <mergeCell ref="AA1342:AA1346"/>
    <mergeCell ref="AB1342:AB1346"/>
    <mergeCell ref="Y1347:Y1351"/>
    <mergeCell ref="Z1347:Z1351"/>
    <mergeCell ref="AA1347:AA1351"/>
    <mergeCell ref="AB1347:AB1351"/>
    <mergeCell ref="Y1302:Y1306"/>
    <mergeCell ref="Z1302:Z1306"/>
    <mergeCell ref="AA1302:AA1306"/>
    <mergeCell ref="AB1302:AB1306"/>
    <mergeCell ref="Y1307:Y1311"/>
    <mergeCell ref="Z1307:Z1311"/>
    <mergeCell ref="AA1307:AA1311"/>
    <mergeCell ref="AB1307:AB1311"/>
    <mergeCell ref="Y1312:Y1316"/>
    <mergeCell ref="Z1312:Z1316"/>
    <mergeCell ref="AA1312:AA1316"/>
    <mergeCell ref="AB1312:AB1316"/>
    <mergeCell ref="Y1317:Y1321"/>
    <mergeCell ref="Z1317:Z1321"/>
    <mergeCell ref="AA1317:AA1321"/>
    <mergeCell ref="AB1317:AB1321"/>
    <mergeCell ref="Y1322:Y1326"/>
    <mergeCell ref="Z1322:Z1326"/>
    <mergeCell ref="AA1322:AA1326"/>
    <mergeCell ref="AB1322:AB1326"/>
    <mergeCell ref="Y1277:Y1281"/>
    <mergeCell ref="Z1277:Z1281"/>
    <mergeCell ref="AA1277:AA1281"/>
    <mergeCell ref="AB1277:AB1281"/>
    <mergeCell ref="Y1282:Y1286"/>
    <mergeCell ref="Z1282:Z1286"/>
    <mergeCell ref="AA1282:AA1286"/>
    <mergeCell ref="AB1282:AB1286"/>
    <mergeCell ref="Y1287:Y1291"/>
    <mergeCell ref="Z1287:Z1291"/>
    <mergeCell ref="AA1287:AA1291"/>
    <mergeCell ref="AB1287:AB1291"/>
    <mergeCell ref="Y1292:Y1296"/>
    <mergeCell ref="Z1292:Z1296"/>
    <mergeCell ref="AA1292:AA1296"/>
    <mergeCell ref="AB1292:AB1296"/>
    <mergeCell ref="Y1297:Y1301"/>
    <mergeCell ref="Z1297:Z1301"/>
    <mergeCell ref="AA1297:AA1301"/>
    <mergeCell ref="AB1297:AB1301"/>
    <mergeCell ref="Y1252:Y1256"/>
    <mergeCell ref="Z1252:Z1256"/>
    <mergeCell ref="AA1252:AA1256"/>
    <mergeCell ref="AB1252:AB1256"/>
    <mergeCell ref="Y1257:Y1261"/>
    <mergeCell ref="Z1257:Z1261"/>
    <mergeCell ref="AA1257:AA1261"/>
    <mergeCell ref="AB1257:AB1261"/>
    <mergeCell ref="Y1262:Y1266"/>
    <mergeCell ref="Z1262:Z1266"/>
    <mergeCell ref="AA1262:AA1266"/>
    <mergeCell ref="AB1262:AB1266"/>
    <mergeCell ref="Y1267:Y1271"/>
    <mergeCell ref="Z1267:Z1271"/>
    <mergeCell ref="AA1267:AA1271"/>
    <mergeCell ref="AB1267:AB1271"/>
    <mergeCell ref="Y1272:Y1276"/>
    <mergeCell ref="Z1272:Z1276"/>
    <mergeCell ref="AA1272:AA1276"/>
    <mergeCell ref="AB1272:AB1276"/>
    <mergeCell ref="Y1227:Y1231"/>
    <mergeCell ref="Z1227:Z1231"/>
    <mergeCell ref="AA1227:AA1231"/>
    <mergeCell ref="AB1227:AB1231"/>
    <mergeCell ref="Y1232:Y1236"/>
    <mergeCell ref="Z1232:Z1236"/>
    <mergeCell ref="AA1232:AA1236"/>
    <mergeCell ref="AB1232:AB1236"/>
    <mergeCell ref="Y1237:Y1241"/>
    <mergeCell ref="Z1237:Z1241"/>
    <mergeCell ref="AA1237:AA1241"/>
    <mergeCell ref="AB1237:AB1241"/>
    <mergeCell ref="Y1242:Y1246"/>
    <mergeCell ref="Z1242:Z1246"/>
    <mergeCell ref="AA1242:AA1246"/>
    <mergeCell ref="AB1242:AB1246"/>
    <mergeCell ref="Y1247:Y1251"/>
    <mergeCell ref="Z1247:Z1251"/>
    <mergeCell ref="AA1247:AA1251"/>
    <mergeCell ref="AB1247:AB1251"/>
    <mergeCell ref="Y1202:Y1206"/>
    <mergeCell ref="Z1202:Z1206"/>
    <mergeCell ref="AA1202:AA1206"/>
    <mergeCell ref="AB1202:AB1206"/>
    <mergeCell ref="Y1207:Y1211"/>
    <mergeCell ref="Z1207:Z1211"/>
    <mergeCell ref="AA1207:AA1211"/>
    <mergeCell ref="AB1207:AB1211"/>
    <mergeCell ref="Y1212:Y1216"/>
    <mergeCell ref="Z1212:Z1216"/>
    <mergeCell ref="AA1212:AA1216"/>
    <mergeCell ref="AB1212:AB1216"/>
    <mergeCell ref="Y1217:Y1221"/>
    <mergeCell ref="Z1217:Z1221"/>
    <mergeCell ref="AA1217:AA1221"/>
    <mergeCell ref="AB1217:AB1221"/>
    <mergeCell ref="Y1222:Y1226"/>
    <mergeCell ref="Z1222:Z1226"/>
    <mergeCell ref="AA1222:AA1226"/>
    <mergeCell ref="AB1222:AB1226"/>
    <mergeCell ref="Y1177:Y1181"/>
    <mergeCell ref="Z1177:Z1181"/>
    <mergeCell ref="AA1177:AA1181"/>
    <mergeCell ref="AB1177:AB1181"/>
    <mergeCell ref="Y1182:Y1186"/>
    <mergeCell ref="Z1182:Z1186"/>
    <mergeCell ref="AA1182:AA1186"/>
    <mergeCell ref="AB1182:AB1186"/>
    <mergeCell ref="Y1187:Y1191"/>
    <mergeCell ref="Z1187:Z1191"/>
    <mergeCell ref="AA1187:AA1191"/>
    <mergeCell ref="AB1187:AB1191"/>
    <mergeCell ref="Y1192:Y1196"/>
    <mergeCell ref="Z1192:Z1196"/>
    <mergeCell ref="AA1192:AA1196"/>
    <mergeCell ref="AB1192:AB1196"/>
    <mergeCell ref="Y1197:Y1201"/>
    <mergeCell ref="Z1197:Z1201"/>
    <mergeCell ref="AA1197:AA1201"/>
    <mergeCell ref="AB1197:AB1201"/>
    <mergeCell ref="Y1152:Y1156"/>
    <mergeCell ref="Z1152:Z1156"/>
    <mergeCell ref="AA1152:AA1156"/>
    <mergeCell ref="AB1152:AB1156"/>
    <mergeCell ref="Y1157:Y1161"/>
    <mergeCell ref="Z1157:Z1161"/>
    <mergeCell ref="AA1157:AA1161"/>
    <mergeCell ref="AB1157:AB1161"/>
    <mergeCell ref="Y1162:Y1166"/>
    <mergeCell ref="Z1162:Z1166"/>
    <mergeCell ref="AA1162:AA1166"/>
    <mergeCell ref="AB1162:AB1166"/>
    <mergeCell ref="Y1167:Y1171"/>
    <mergeCell ref="Z1167:Z1171"/>
    <mergeCell ref="AA1167:AA1171"/>
    <mergeCell ref="AB1167:AB1171"/>
    <mergeCell ref="Y1172:Y1176"/>
    <mergeCell ref="Z1172:Z1176"/>
    <mergeCell ref="AA1172:AA1176"/>
    <mergeCell ref="AB1172:AB1176"/>
    <mergeCell ref="Y1127:Y1131"/>
    <mergeCell ref="Z1127:Z1131"/>
    <mergeCell ref="AA1127:AA1131"/>
    <mergeCell ref="AB1127:AB1131"/>
    <mergeCell ref="Y1132:Y1136"/>
    <mergeCell ref="Z1132:Z1136"/>
    <mergeCell ref="AA1132:AA1136"/>
    <mergeCell ref="AB1132:AB1136"/>
    <mergeCell ref="Y1137:Y1141"/>
    <mergeCell ref="Z1137:Z1141"/>
    <mergeCell ref="AA1137:AA1141"/>
    <mergeCell ref="AB1137:AB1141"/>
    <mergeCell ref="Y1142:Y1146"/>
    <mergeCell ref="Z1142:Z1146"/>
    <mergeCell ref="AA1142:AA1146"/>
    <mergeCell ref="AB1142:AB1146"/>
    <mergeCell ref="Y1147:Y1151"/>
    <mergeCell ref="Z1147:Z1151"/>
    <mergeCell ref="AA1147:AA1151"/>
    <mergeCell ref="AB1147:AB1151"/>
    <mergeCell ref="Y1102:Y1106"/>
    <mergeCell ref="Z1102:Z1106"/>
    <mergeCell ref="AA1102:AA1106"/>
    <mergeCell ref="AB1102:AB1106"/>
    <mergeCell ref="Y1107:Y1111"/>
    <mergeCell ref="Z1107:Z1111"/>
    <mergeCell ref="AA1107:AA1111"/>
    <mergeCell ref="AB1107:AB1111"/>
    <mergeCell ref="Y1112:Y1116"/>
    <mergeCell ref="Z1112:Z1116"/>
    <mergeCell ref="AA1112:AA1116"/>
    <mergeCell ref="AB1112:AB1116"/>
    <mergeCell ref="Y1117:Y1121"/>
    <mergeCell ref="Z1117:Z1121"/>
    <mergeCell ref="AA1117:AA1121"/>
    <mergeCell ref="AB1117:AB1121"/>
    <mergeCell ref="Y1122:Y1126"/>
    <mergeCell ref="Z1122:Z1126"/>
    <mergeCell ref="AA1122:AA1126"/>
    <mergeCell ref="AB1122:AB1126"/>
    <mergeCell ref="Y1077:Y1081"/>
    <mergeCell ref="Z1077:Z1081"/>
    <mergeCell ref="AA1077:AA1081"/>
    <mergeCell ref="AB1077:AB1081"/>
    <mergeCell ref="Y1082:Y1086"/>
    <mergeCell ref="Z1082:Z1086"/>
    <mergeCell ref="AA1082:AA1086"/>
    <mergeCell ref="AB1082:AB1086"/>
    <mergeCell ref="Y1087:Y1091"/>
    <mergeCell ref="Z1087:Z1091"/>
    <mergeCell ref="AA1087:AA1091"/>
    <mergeCell ref="AB1087:AB1091"/>
    <mergeCell ref="Y1092:Y1096"/>
    <mergeCell ref="Z1092:Z1096"/>
    <mergeCell ref="AA1092:AA1096"/>
    <mergeCell ref="AB1092:AB1096"/>
    <mergeCell ref="Y1097:Y1101"/>
    <mergeCell ref="Z1097:Z1101"/>
    <mergeCell ref="AA1097:AA1101"/>
    <mergeCell ref="AB1097:AB1101"/>
    <mergeCell ref="Y1052:Y1056"/>
    <mergeCell ref="Z1052:Z1056"/>
    <mergeCell ref="AA1052:AA1056"/>
    <mergeCell ref="AB1052:AB1056"/>
    <mergeCell ref="Y1057:Y1061"/>
    <mergeCell ref="Z1057:Z1061"/>
    <mergeCell ref="AA1057:AA1061"/>
    <mergeCell ref="AB1057:AB1061"/>
    <mergeCell ref="Y1062:Y1066"/>
    <mergeCell ref="Z1062:Z1066"/>
    <mergeCell ref="AA1062:AA1066"/>
    <mergeCell ref="AB1062:AB1066"/>
    <mergeCell ref="Y1067:Y1071"/>
    <mergeCell ref="Z1067:Z1071"/>
    <mergeCell ref="AA1067:AA1071"/>
    <mergeCell ref="AB1067:AB1071"/>
    <mergeCell ref="Y1072:Y1076"/>
    <mergeCell ref="Z1072:Z1076"/>
    <mergeCell ref="AA1072:AA1076"/>
    <mergeCell ref="AB1072:AB1076"/>
    <mergeCell ref="Y1027:Y1031"/>
    <mergeCell ref="Z1027:Z1031"/>
    <mergeCell ref="AA1027:AA1031"/>
    <mergeCell ref="AB1027:AB1031"/>
    <mergeCell ref="Y1032:Y1036"/>
    <mergeCell ref="Z1032:Z1036"/>
    <mergeCell ref="AA1032:AA1036"/>
    <mergeCell ref="AB1032:AB1036"/>
    <mergeCell ref="Y1037:Y1041"/>
    <mergeCell ref="Z1037:Z1041"/>
    <mergeCell ref="AA1037:AA1041"/>
    <mergeCell ref="AB1037:AB1041"/>
    <mergeCell ref="Y1042:Y1046"/>
    <mergeCell ref="Z1042:Z1046"/>
    <mergeCell ref="AA1042:AA1046"/>
    <mergeCell ref="AB1042:AB1046"/>
    <mergeCell ref="Y1047:Y1051"/>
    <mergeCell ref="Z1047:Z1051"/>
    <mergeCell ref="AA1047:AA1051"/>
    <mergeCell ref="AB1047:AB1051"/>
    <mergeCell ref="Y1002:Y1006"/>
    <mergeCell ref="Z1002:Z1006"/>
    <mergeCell ref="AA1002:AA1006"/>
    <mergeCell ref="AB1002:AB1006"/>
    <mergeCell ref="Y1007:Y1011"/>
    <mergeCell ref="Z1007:Z1011"/>
    <mergeCell ref="AA1007:AA1011"/>
    <mergeCell ref="AB1007:AB1011"/>
    <mergeCell ref="Y1012:Y1016"/>
    <mergeCell ref="Z1012:Z1016"/>
    <mergeCell ref="AA1012:AA1016"/>
    <mergeCell ref="AB1012:AB1016"/>
    <mergeCell ref="Y1017:Y1021"/>
    <mergeCell ref="Z1017:Z1021"/>
    <mergeCell ref="AA1017:AA1021"/>
    <mergeCell ref="AB1017:AB1021"/>
    <mergeCell ref="Y1022:Y1026"/>
    <mergeCell ref="Z1022:Z1026"/>
    <mergeCell ref="AA1022:AA1026"/>
    <mergeCell ref="AB1022:AB1026"/>
    <mergeCell ref="Y977:Y981"/>
    <mergeCell ref="Z977:Z981"/>
    <mergeCell ref="AA977:AA981"/>
    <mergeCell ref="AB977:AB981"/>
    <mergeCell ref="Y982:Y986"/>
    <mergeCell ref="Z982:Z986"/>
    <mergeCell ref="AA982:AA986"/>
    <mergeCell ref="AB982:AB986"/>
    <mergeCell ref="Y987:Y991"/>
    <mergeCell ref="Z987:Z991"/>
    <mergeCell ref="AA987:AA991"/>
    <mergeCell ref="AB987:AB991"/>
    <mergeCell ref="Y992:Y996"/>
    <mergeCell ref="Z992:Z996"/>
    <mergeCell ref="AA992:AA996"/>
    <mergeCell ref="AB992:AB996"/>
    <mergeCell ref="Y997:Y1001"/>
    <mergeCell ref="Z997:Z1001"/>
    <mergeCell ref="AA997:AA1001"/>
    <mergeCell ref="AB997:AB1001"/>
    <mergeCell ref="Y952:Y956"/>
    <mergeCell ref="Z952:Z956"/>
    <mergeCell ref="AA952:AA956"/>
    <mergeCell ref="AB952:AB956"/>
    <mergeCell ref="Y957:Y961"/>
    <mergeCell ref="Z957:Z961"/>
    <mergeCell ref="AA957:AA961"/>
    <mergeCell ref="AB957:AB961"/>
    <mergeCell ref="Y962:Y966"/>
    <mergeCell ref="Z962:Z966"/>
    <mergeCell ref="AA962:AA966"/>
    <mergeCell ref="AB962:AB966"/>
    <mergeCell ref="Y967:Y971"/>
    <mergeCell ref="Z967:Z971"/>
    <mergeCell ref="AA967:AA971"/>
    <mergeCell ref="AB967:AB971"/>
    <mergeCell ref="Y972:Y976"/>
    <mergeCell ref="Z972:Z976"/>
    <mergeCell ref="AA972:AA976"/>
    <mergeCell ref="AB972:AB976"/>
    <mergeCell ref="Y927:Y931"/>
    <mergeCell ref="Z927:Z931"/>
    <mergeCell ref="AA927:AA931"/>
    <mergeCell ref="AB927:AB931"/>
    <mergeCell ref="Y932:Y936"/>
    <mergeCell ref="Z932:Z936"/>
    <mergeCell ref="AA932:AA936"/>
    <mergeCell ref="AB932:AB936"/>
    <mergeCell ref="Y937:Y941"/>
    <mergeCell ref="Z937:Z941"/>
    <mergeCell ref="AA937:AA941"/>
    <mergeCell ref="AB937:AB941"/>
    <mergeCell ref="Y942:Y946"/>
    <mergeCell ref="Z942:Z946"/>
    <mergeCell ref="AA942:AA946"/>
    <mergeCell ref="AB942:AB946"/>
    <mergeCell ref="Y947:Y951"/>
    <mergeCell ref="Z947:Z951"/>
    <mergeCell ref="AA947:AA951"/>
    <mergeCell ref="AB947:AB951"/>
    <mergeCell ref="Y902:Y906"/>
    <mergeCell ref="Z902:Z906"/>
    <mergeCell ref="AA902:AA906"/>
    <mergeCell ref="AB902:AB906"/>
    <mergeCell ref="Y907:Y911"/>
    <mergeCell ref="Z907:Z911"/>
    <mergeCell ref="AA907:AA911"/>
    <mergeCell ref="AB907:AB911"/>
    <mergeCell ref="Y912:Y916"/>
    <mergeCell ref="Z912:Z916"/>
    <mergeCell ref="AA912:AA916"/>
    <mergeCell ref="AB912:AB916"/>
    <mergeCell ref="Y917:Y921"/>
    <mergeCell ref="Z917:Z921"/>
    <mergeCell ref="AA917:AA921"/>
    <mergeCell ref="AB917:AB921"/>
    <mergeCell ref="Y922:Y926"/>
    <mergeCell ref="Z922:Z926"/>
    <mergeCell ref="AA922:AA926"/>
    <mergeCell ref="AB922:AB926"/>
    <mergeCell ref="Y877:Y881"/>
    <mergeCell ref="Z877:Z881"/>
    <mergeCell ref="AA877:AA881"/>
    <mergeCell ref="AB877:AB881"/>
    <mergeCell ref="Y882:Y886"/>
    <mergeCell ref="Z882:Z886"/>
    <mergeCell ref="AA882:AA886"/>
    <mergeCell ref="AB882:AB886"/>
    <mergeCell ref="Y887:Y891"/>
    <mergeCell ref="Z887:Z891"/>
    <mergeCell ref="AA887:AA891"/>
    <mergeCell ref="AB887:AB891"/>
    <mergeCell ref="Y892:Y896"/>
    <mergeCell ref="Z892:Z896"/>
    <mergeCell ref="AA892:AA896"/>
    <mergeCell ref="AB892:AB896"/>
    <mergeCell ref="Y897:Y901"/>
    <mergeCell ref="Z897:Z901"/>
    <mergeCell ref="AA897:AA901"/>
    <mergeCell ref="AB897:AB901"/>
    <mergeCell ref="Y852:Y856"/>
    <mergeCell ref="Z852:Z856"/>
    <mergeCell ref="AA852:AA856"/>
    <mergeCell ref="AB852:AB856"/>
    <mergeCell ref="Y857:Y861"/>
    <mergeCell ref="Z857:Z861"/>
    <mergeCell ref="AA857:AA861"/>
    <mergeCell ref="AB857:AB861"/>
    <mergeCell ref="Y862:Y866"/>
    <mergeCell ref="Z862:Z866"/>
    <mergeCell ref="AA862:AA866"/>
    <mergeCell ref="AB862:AB866"/>
    <mergeCell ref="Y867:Y871"/>
    <mergeCell ref="Z867:Z871"/>
    <mergeCell ref="AA867:AA871"/>
    <mergeCell ref="AB867:AB871"/>
    <mergeCell ref="Y872:Y876"/>
    <mergeCell ref="Z872:Z876"/>
    <mergeCell ref="AA872:AA876"/>
    <mergeCell ref="AB872:AB876"/>
    <mergeCell ref="Y827:Y831"/>
    <mergeCell ref="Z827:Z831"/>
    <mergeCell ref="AA827:AA831"/>
    <mergeCell ref="AB827:AB831"/>
    <mergeCell ref="Y832:Y836"/>
    <mergeCell ref="Z832:Z836"/>
    <mergeCell ref="AA832:AA836"/>
    <mergeCell ref="AB832:AB836"/>
    <mergeCell ref="Y837:Y841"/>
    <mergeCell ref="Z837:Z841"/>
    <mergeCell ref="AA837:AA841"/>
    <mergeCell ref="AB837:AB841"/>
    <mergeCell ref="Y842:Y846"/>
    <mergeCell ref="Z842:Z846"/>
    <mergeCell ref="AA842:AA846"/>
    <mergeCell ref="AB842:AB846"/>
    <mergeCell ref="Y847:Y851"/>
    <mergeCell ref="Z847:Z851"/>
    <mergeCell ref="AA847:AA851"/>
    <mergeCell ref="AB847:AB851"/>
    <mergeCell ref="Y802:Y806"/>
    <mergeCell ref="Z802:Z806"/>
    <mergeCell ref="AA802:AA806"/>
    <mergeCell ref="AB802:AB806"/>
    <mergeCell ref="Y807:Y811"/>
    <mergeCell ref="Z807:Z811"/>
    <mergeCell ref="AA807:AA811"/>
    <mergeCell ref="AB807:AB811"/>
    <mergeCell ref="Y812:Y816"/>
    <mergeCell ref="Z812:Z816"/>
    <mergeCell ref="AA812:AA816"/>
    <mergeCell ref="AB812:AB816"/>
    <mergeCell ref="Y817:Y821"/>
    <mergeCell ref="Z817:Z821"/>
    <mergeCell ref="AA817:AA821"/>
    <mergeCell ref="AB817:AB821"/>
    <mergeCell ref="Y822:Y826"/>
    <mergeCell ref="Z822:Z826"/>
    <mergeCell ref="AA822:AA826"/>
    <mergeCell ref="AB822:AB826"/>
    <mergeCell ref="Y777:Y781"/>
    <mergeCell ref="Z777:Z781"/>
    <mergeCell ref="AA777:AA781"/>
    <mergeCell ref="AB777:AB781"/>
    <mergeCell ref="Y782:Y786"/>
    <mergeCell ref="Z782:Z786"/>
    <mergeCell ref="AA782:AA786"/>
    <mergeCell ref="AB782:AB786"/>
    <mergeCell ref="Y787:Y791"/>
    <mergeCell ref="Z787:Z791"/>
    <mergeCell ref="AA787:AA791"/>
    <mergeCell ref="AB787:AB791"/>
    <mergeCell ref="Y792:Y796"/>
    <mergeCell ref="Z792:Z796"/>
    <mergeCell ref="AA792:AA796"/>
    <mergeCell ref="AB792:AB796"/>
    <mergeCell ref="Y797:Y801"/>
    <mergeCell ref="Z797:Z801"/>
    <mergeCell ref="AA797:AA801"/>
    <mergeCell ref="AB797:AB801"/>
    <mergeCell ref="Y752:Y756"/>
    <mergeCell ref="Z752:Z756"/>
    <mergeCell ref="AA752:AA756"/>
    <mergeCell ref="AB752:AB756"/>
    <mergeCell ref="Y757:Y761"/>
    <mergeCell ref="Z757:Z761"/>
    <mergeCell ref="AA757:AA761"/>
    <mergeCell ref="AB757:AB761"/>
    <mergeCell ref="Y762:Y766"/>
    <mergeCell ref="Z762:Z766"/>
    <mergeCell ref="AA762:AA766"/>
    <mergeCell ref="AB762:AB766"/>
    <mergeCell ref="Y767:Y771"/>
    <mergeCell ref="Z767:Z771"/>
    <mergeCell ref="AA767:AA771"/>
    <mergeCell ref="AB767:AB771"/>
    <mergeCell ref="Y772:Y776"/>
    <mergeCell ref="Z772:Z776"/>
    <mergeCell ref="AA772:AA776"/>
    <mergeCell ref="AB772:AB776"/>
    <mergeCell ref="Y727:Y731"/>
    <mergeCell ref="Z727:Z731"/>
    <mergeCell ref="AA727:AA731"/>
    <mergeCell ref="AB727:AB731"/>
    <mergeCell ref="Y732:Y736"/>
    <mergeCell ref="Z732:Z736"/>
    <mergeCell ref="AA732:AA736"/>
    <mergeCell ref="AB732:AB736"/>
    <mergeCell ref="Y737:Y741"/>
    <mergeCell ref="Z737:Z741"/>
    <mergeCell ref="AA737:AA741"/>
    <mergeCell ref="AB737:AB741"/>
    <mergeCell ref="Y742:Y746"/>
    <mergeCell ref="Z742:Z746"/>
    <mergeCell ref="AA742:AA746"/>
    <mergeCell ref="AB742:AB746"/>
    <mergeCell ref="Y747:Y751"/>
    <mergeCell ref="Z747:Z751"/>
    <mergeCell ref="AA747:AA751"/>
    <mergeCell ref="AB747:AB751"/>
    <mergeCell ref="Y702:Y706"/>
    <mergeCell ref="Z702:Z706"/>
    <mergeCell ref="AA702:AA706"/>
    <mergeCell ref="AB702:AB706"/>
    <mergeCell ref="Y707:Y711"/>
    <mergeCell ref="Z707:Z711"/>
    <mergeCell ref="AA707:AA711"/>
    <mergeCell ref="AB707:AB711"/>
    <mergeCell ref="Y712:Y716"/>
    <mergeCell ref="Z712:Z716"/>
    <mergeCell ref="AA712:AA716"/>
    <mergeCell ref="AB712:AB716"/>
    <mergeCell ref="Y717:Y721"/>
    <mergeCell ref="Z717:Z721"/>
    <mergeCell ref="AA717:AA721"/>
    <mergeCell ref="AB717:AB721"/>
    <mergeCell ref="Y722:Y726"/>
    <mergeCell ref="Z722:Z726"/>
    <mergeCell ref="AA722:AA726"/>
    <mergeCell ref="AB722:AB726"/>
    <mergeCell ref="Y677:Y681"/>
    <mergeCell ref="Z677:Z681"/>
    <mergeCell ref="AA677:AA681"/>
    <mergeCell ref="AB677:AB681"/>
    <mergeCell ref="Y682:Y686"/>
    <mergeCell ref="Z682:Z686"/>
    <mergeCell ref="AA682:AA686"/>
    <mergeCell ref="AB682:AB686"/>
    <mergeCell ref="Y687:Y691"/>
    <mergeCell ref="Z687:Z691"/>
    <mergeCell ref="AA687:AA691"/>
    <mergeCell ref="AB687:AB691"/>
    <mergeCell ref="Y692:Y696"/>
    <mergeCell ref="Z692:Z696"/>
    <mergeCell ref="AA692:AA696"/>
    <mergeCell ref="AB692:AB696"/>
    <mergeCell ref="Y697:Y701"/>
    <mergeCell ref="Z697:Z701"/>
    <mergeCell ref="AA697:AA701"/>
    <mergeCell ref="AB697:AB701"/>
    <mergeCell ref="Y652:Y656"/>
    <mergeCell ref="Z652:Z656"/>
    <mergeCell ref="AA652:AA656"/>
    <mergeCell ref="AB652:AB656"/>
    <mergeCell ref="Y657:Y661"/>
    <mergeCell ref="Z657:Z661"/>
    <mergeCell ref="AA657:AA661"/>
    <mergeCell ref="AB657:AB661"/>
    <mergeCell ref="Y662:Y666"/>
    <mergeCell ref="Z662:Z666"/>
    <mergeCell ref="AA662:AA666"/>
    <mergeCell ref="AB662:AB666"/>
    <mergeCell ref="Y667:Y671"/>
    <mergeCell ref="Z667:Z671"/>
    <mergeCell ref="AA667:AA671"/>
    <mergeCell ref="AB667:AB671"/>
    <mergeCell ref="Y672:Y676"/>
    <mergeCell ref="Z672:Z676"/>
    <mergeCell ref="AA672:AA676"/>
    <mergeCell ref="AB672:AB676"/>
    <mergeCell ref="Y627:Y631"/>
    <mergeCell ref="Z627:Z631"/>
    <mergeCell ref="AA627:AA631"/>
    <mergeCell ref="AB627:AB631"/>
    <mergeCell ref="Y632:Y636"/>
    <mergeCell ref="Z632:Z636"/>
    <mergeCell ref="AA632:AA636"/>
    <mergeCell ref="AB632:AB636"/>
    <mergeCell ref="Y637:Y641"/>
    <mergeCell ref="Z637:Z641"/>
    <mergeCell ref="AA637:AA641"/>
    <mergeCell ref="AB637:AB641"/>
    <mergeCell ref="Y642:Y646"/>
    <mergeCell ref="Z642:Z646"/>
    <mergeCell ref="AA642:AA646"/>
    <mergeCell ref="AB642:AB646"/>
    <mergeCell ref="Y647:Y651"/>
    <mergeCell ref="Z647:Z651"/>
    <mergeCell ref="AA647:AA651"/>
    <mergeCell ref="AB647:AB651"/>
    <mergeCell ref="Y602:Y606"/>
    <mergeCell ref="Z602:Z606"/>
    <mergeCell ref="AA602:AA606"/>
    <mergeCell ref="AB602:AB606"/>
    <mergeCell ref="Y607:Y611"/>
    <mergeCell ref="Z607:Z611"/>
    <mergeCell ref="AA607:AA611"/>
    <mergeCell ref="AB607:AB611"/>
    <mergeCell ref="Y612:Y616"/>
    <mergeCell ref="Z612:Z616"/>
    <mergeCell ref="AA612:AA616"/>
    <mergeCell ref="AB612:AB616"/>
    <mergeCell ref="Y617:Y621"/>
    <mergeCell ref="Z617:Z621"/>
    <mergeCell ref="AA617:AA621"/>
    <mergeCell ref="AB617:AB621"/>
    <mergeCell ref="Y622:Y626"/>
    <mergeCell ref="Z622:Z626"/>
    <mergeCell ref="AA622:AA626"/>
    <mergeCell ref="AB622:AB626"/>
    <mergeCell ref="Y577:Y581"/>
    <mergeCell ref="Z577:Z581"/>
    <mergeCell ref="AA577:AA581"/>
    <mergeCell ref="AB577:AB581"/>
    <mergeCell ref="Y582:Y586"/>
    <mergeCell ref="Z582:Z586"/>
    <mergeCell ref="AA582:AA586"/>
    <mergeCell ref="AB582:AB586"/>
    <mergeCell ref="Y587:Y591"/>
    <mergeCell ref="Z587:Z591"/>
    <mergeCell ref="AA587:AA591"/>
    <mergeCell ref="AB587:AB591"/>
    <mergeCell ref="Y592:Y596"/>
    <mergeCell ref="Z592:Z596"/>
    <mergeCell ref="AA592:AA596"/>
    <mergeCell ref="AB592:AB596"/>
    <mergeCell ref="Y597:Y601"/>
    <mergeCell ref="Z597:Z601"/>
    <mergeCell ref="AA597:AA601"/>
    <mergeCell ref="AB597:AB601"/>
    <mergeCell ref="Y552:Y556"/>
    <mergeCell ref="Z552:Z556"/>
    <mergeCell ref="AA552:AA556"/>
    <mergeCell ref="AB552:AB556"/>
    <mergeCell ref="Y557:Y561"/>
    <mergeCell ref="Z557:Z561"/>
    <mergeCell ref="AA557:AA561"/>
    <mergeCell ref="AB557:AB561"/>
    <mergeCell ref="Y562:Y566"/>
    <mergeCell ref="Z562:Z566"/>
    <mergeCell ref="AA562:AA566"/>
    <mergeCell ref="AB562:AB566"/>
    <mergeCell ref="Y567:Y571"/>
    <mergeCell ref="Z567:Z571"/>
    <mergeCell ref="AA567:AA571"/>
    <mergeCell ref="AB567:AB571"/>
    <mergeCell ref="Y572:Y576"/>
    <mergeCell ref="Z572:Z576"/>
    <mergeCell ref="AA572:AA576"/>
    <mergeCell ref="AB572:AB576"/>
    <mergeCell ref="Y527:Y531"/>
    <mergeCell ref="Z527:Z531"/>
    <mergeCell ref="AA527:AA531"/>
    <mergeCell ref="AB527:AB531"/>
    <mergeCell ref="Y532:Y536"/>
    <mergeCell ref="Z532:Z536"/>
    <mergeCell ref="AA532:AA536"/>
    <mergeCell ref="AB532:AB536"/>
    <mergeCell ref="Y537:Y541"/>
    <mergeCell ref="Z537:Z541"/>
    <mergeCell ref="AA537:AA541"/>
    <mergeCell ref="AB537:AB541"/>
    <mergeCell ref="Y542:Y546"/>
    <mergeCell ref="Z542:Z546"/>
    <mergeCell ref="AA542:AA546"/>
    <mergeCell ref="AB542:AB546"/>
    <mergeCell ref="Y547:Y551"/>
    <mergeCell ref="Z547:Z551"/>
    <mergeCell ref="AA547:AA551"/>
    <mergeCell ref="AB547:AB551"/>
    <mergeCell ref="Y502:Y506"/>
    <mergeCell ref="Z502:Z506"/>
    <mergeCell ref="AA502:AA506"/>
    <mergeCell ref="AB502:AB506"/>
    <mergeCell ref="Y507:Y511"/>
    <mergeCell ref="Z507:Z511"/>
    <mergeCell ref="AA507:AA511"/>
    <mergeCell ref="AB507:AB511"/>
    <mergeCell ref="Y512:Y516"/>
    <mergeCell ref="Z512:Z516"/>
    <mergeCell ref="AA512:AA516"/>
    <mergeCell ref="AB512:AB516"/>
    <mergeCell ref="Y517:Y521"/>
    <mergeCell ref="Z517:Z521"/>
    <mergeCell ref="AA517:AA521"/>
    <mergeCell ref="AB517:AB521"/>
    <mergeCell ref="Y522:Y526"/>
    <mergeCell ref="Z522:Z526"/>
    <mergeCell ref="AA522:AA526"/>
    <mergeCell ref="AB522:AB526"/>
    <mergeCell ref="Y477:Y481"/>
    <mergeCell ref="Z477:Z481"/>
    <mergeCell ref="AA477:AA481"/>
    <mergeCell ref="AB477:AB481"/>
    <mergeCell ref="Y482:Y486"/>
    <mergeCell ref="Z482:Z486"/>
    <mergeCell ref="AA482:AA486"/>
    <mergeCell ref="AB482:AB486"/>
    <mergeCell ref="Y487:Y491"/>
    <mergeCell ref="Z487:Z491"/>
    <mergeCell ref="AA487:AA491"/>
    <mergeCell ref="AB487:AB491"/>
    <mergeCell ref="Y492:Y496"/>
    <mergeCell ref="Z492:Z496"/>
    <mergeCell ref="AA492:AA496"/>
    <mergeCell ref="AB492:AB496"/>
    <mergeCell ref="Y497:Y501"/>
    <mergeCell ref="Z497:Z501"/>
    <mergeCell ref="AA497:AA501"/>
    <mergeCell ref="AB497:AB501"/>
    <mergeCell ref="Y452:Y456"/>
    <mergeCell ref="Z452:Z456"/>
    <mergeCell ref="AA452:AA456"/>
    <mergeCell ref="AB452:AB456"/>
    <mergeCell ref="Y457:Y461"/>
    <mergeCell ref="Z457:Z461"/>
    <mergeCell ref="AA457:AA461"/>
    <mergeCell ref="AB457:AB461"/>
    <mergeCell ref="Y462:Y466"/>
    <mergeCell ref="Z462:Z466"/>
    <mergeCell ref="AA462:AA466"/>
    <mergeCell ref="AB462:AB466"/>
    <mergeCell ref="Y467:Y471"/>
    <mergeCell ref="Z467:Z471"/>
    <mergeCell ref="AA467:AA471"/>
    <mergeCell ref="AB467:AB471"/>
    <mergeCell ref="Y472:Y476"/>
    <mergeCell ref="Z472:Z476"/>
    <mergeCell ref="AA472:AA476"/>
    <mergeCell ref="AB472:AB476"/>
    <mergeCell ref="Y427:Y431"/>
    <mergeCell ref="Z427:Z431"/>
    <mergeCell ref="AA427:AA431"/>
    <mergeCell ref="AB427:AB431"/>
    <mergeCell ref="Y432:Y436"/>
    <mergeCell ref="Z432:Z436"/>
    <mergeCell ref="AA432:AA436"/>
    <mergeCell ref="AB432:AB436"/>
    <mergeCell ref="Y437:Y441"/>
    <mergeCell ref="Z437:Z441"/>
    <mergeCell ref="AA437:AA441"/>
    <mergeCell ref="AB437:AB441"/>
    <mergeCell ref="Y442:Y446"/>
    <mergeCell ref="Z442:Z446"/>
    <mergeCell ref="AA442:AA446"/>
    <mergeCell ref="AB442:AB446"/>
    <mergeCell ref="Y447:Y451"/>
    <mergeCell ref="Z447:Z451"/>
    <mergeCell ref="AA447:AA451"/>
    <mergeCell ref="AB447:AB451"/>
    <mergeCell ref="Y402:Y406"/>
    <mergeCell ref="Z402:Z406"/>
    <mergeCell ref="AA402:AA406"/>
    <mergeCell ref="AB402:AB406"/>
    <mergeCell ref="Y407:Y411"/>
    <mergeCell ref="Z407:Z411"/>
    <mergeCell ref="AA407:AA411"/>
    <mergeCell ref="AB407:AB411"/>
    <mergeCell ref="Y412:Y416"/>
    <mergeCell ref="Z412:Z416"/>
    <mergeCell ref="AA412:AA416"/>
    <mergeCell ref="AB412:AB416"/>
    <mergeCell ref="Y417:Y421"/>
    <mergeCell ref="Z417:Z421"/>
    <mergeCell ref="AA417:AA421"/>
    <mergeCell ref="AB417:AB421"/>
    <mergeCell ref="Y422:Y426"/>
    <mergeCell ref="Z422:Z426"/>
    <mergeCell ref="AA422:AA426"/>
    <mergeCell ref="AB422:AB426"/>
    <mergeCell ref="Y377:Y381"/>
    <mergeCell ref="Z377:Z381"/>
    <mergeCell ref="AA377:AA381"/>
    <mergeCell ref="AB377:AB381"/>
    <mergeCell ref="Y382:Y386"/>
    <mergeCell ref="Z382:Z386"/>
    <mergeCell ref="AA382:AA386"/>
    <mergeCell ref="AB382:AB386"/>
    <mergeCell ref="Y387:Y391"/>
    <mergeCell ref="Z387:Z391"/>
    <mergeCell ref="AA387:AA391"/>
    <mergeCell ref="AB387:AB391"/>
    <mergeCell ref="Y392:Y396"/>
    <mergeCell ref="Z392:Z396"/>
    <mergeCell ref="AA392:AA396"/>
    <mergeCell ref="AB392:AB396"/>
    <mergeCell ref="Y397:Y401"/>
    <mergeCell ref="Z397:Z401"/>
    <mergeCell ref="AA397:AA401"/>
    <mergeCell ref="AB397:AB401"/>
    <mergeCell ref="Y352:Y356"/>
    <mergeCell ref="Z352:Z356"/>
    <mergeCell ref="AA352:AA356"/>
    <mergeCell ref="AB352:AB356"/>
    <mergeCell ref="Y357:Y361"/>
    <mergeCell ref="Z357:Z361"/>
    <mergeCell ref="AA357:AA361"/>
    <mergeCell ref="AB357:AB361"/>
    <mergeCell ref="Y362:Y366"/>
    <mergeCell ref="Z362:Z366"/>
    <mergeCell ref="AA362:AA366"/>
    <mergeCell ref="AB362:AB366"/>
    <mergeCell ref="Y367:Y371"/>
    <mergeCell ref="Z367:Z371"/>
    <mergeCell ref="AA367:AA371"/>
    <mergeCell ref="AB367:AB371"/>
    <mergeCell ref="Y372:Y376"/>
    <mergeCell ref="Z372:Z376"/>
    <mergeCell ref="AA372:AA376"/>
    <mergeCell ref="AB372:AB376"/>
    <mergeCell ref="Y327:Y331"/>
    <mergeCell ref="Z327:Z331"/>
    <mergeCell ref="AA327:AA331"/>
    <mergeCell ref="AB327:AB331"/>
    <mergeCell ref="Y332:Y336"/>
    <mergeCell ref="Z332:Z336"/>
    <mergeCell ref="AA332:AA336"/>
    <mergeCell ref="AB332:AB336"/>
    <mergeCell ref="Y337:Y341"/>
    <mergeCell ref="Z337:Z341"/>
    <mergeCell ref="AA337:AA341"/>
    <mergeCell ref="AB337:AB341"/>
    <mergeCell ref="Y342:Y346"/>
    <mergeCell ref="Z342:Z346"/>
    <mergeCell ref="AA342:AA346"/>
    <mergeCell ref="AB342:AB346"/>
    <mergeCell ref="Y347:Y351"/>
    <mergeCell ref="Z347:Z351"/>
    <mergeCell ref="AA347:AA351"/>
    <mergeCell ref="AB347:AB351"/>
    <mergeCell ref="Y302:Y306"/>
    <mergeCell ref="Z302:Z306"/>
    <mergeCell ref="AA302:AA306"/>
    <mergeCell ref="AB302:AB306"/>
    <mergeCell ref="Y307:Y311"/>
    <mergeCell ref="Z307:Z311"/>
    <mergeCell ref="AA307:AA311"/>
    <mergeCell ref="AB307:AB311"/>
    <mergeCell ref="Y312:Y316"/>
    <mergeCell ref="Z312:Z316"/>
    <mergeCell ref="AA312:AA316"/>
    <mergeCell ref="AB312:AB316"/>
    <mergeCell ref="Y317:Y321"/>
    <mergeCell ref="Z317:Z321"/>
    <mergeCell ref="AA317:AA321"/>
    <mergeCell ref="AB317:AB321"/>
    <mergeCell ref="Y322:Y326"/>
    <mergeCell ref="Z322:Z326"/>
    <mergeCell ref="AA322:AA326"/>
    <mergeCell ref="AB322:AB326"/>
    <mergeCell ref="Y277:Y281"/>
    <mergeCell ref="Z277:Z281"/>
    <mergeCell ref="AA277:AA281"/>
    <mergeCell ref="AB277:AB281"/>
    <mergeCell ref="Y282:Y286"/>
    <mergeCell ref="Z282:Z286"/>
    <mergeCell ref="AA282:AA286"/>
    <mergeCell ref="AB282:AB286"/>
    <mergeCell ref="Y287:Y291"/>
    <mergeCell ref="Z287:Z291"/>
    <mergeCell ref="AA287:AA291"/>
    <mergeCell ref="AB287:AB291"/>
    <mergeCell ref="Y292:Y296"/>
    <mergeCell ref="Z292:Z296"/>
    <mergeCell ref="AA292:AA296"/>
    <mergeCell ref="AB292:AB296"/>
    <mergeCell ref="Y297:Y301"/>
    <mergeCell ref="Z297:Z301"/>
    <mergeCell ref="AA297:AA301"/>
    <mergeCell ref="AB297:AB301"/>
    <mergeCell ref="Y252:Y256"/>
    <mergeCell ref="Z252:Z256"/>
    <mergeCell ref="AA252:AA256"/>
    <mergeCell ref="AB252:AB256"/>
    <mergeCell ref="Y257:Y261"/>
    <mergeCell ref="Z257:Z261"/>
    <mergeCell ref="AA257:AA261"/>
    <mergeCell ref="AB257:AB261"/>
    <mergeCell ref="Y262:Y266"/>
    <mergeCell ref="Z262:Z266"/>
    <mergeCell ref="AA262:AA266"/>
    <mergeCell ref="AB262:AB266"/>
    <mergeCell ref="Y267:Y271"/>
    <mergeCell ref="Z267:Z271"/>
    <mergeCell ref="AA267:AA271"/>
    <mergeCell ref="AB267:AB271"/>
    <mergeCell ref="Y272:Y276"/>
    <mergeCell ref="Z272:Z276"/>
    <mergeCell ref="AA272:AA276"/>
    <mergeCell ref="AB272:AB276"/>
    <mergeCell ref="Y227:Y231"/>
    <mergeCell ref="Z227:Z231"/>
    <mergeCell ref="AA227:AA231"/>
    <mergeCell ref="AB227:AB231"/>
    <mergeCell ref="Y232:Y236"/>
    <mergeCell ref="Z232:Z236"/>
    <mergeCell ref="AA232:AA236"/>
    <mergeCell ref="AB232:AB236"/>
    <mergeCell ref="Y237:Y241"/>
    <mergeCell ref="Z237:Z241"/>
    <mergeCell ref="AA237:AA241"/>
    <mergeCell ref="AB237:AB241"/>
    <mergeCell ref="Y242:Y246"/>
    <mergeCell ref="Z242:Z246"/>
    <mergeCell ref="AA242:AA246"/>
    <mergeCell ref="AB242:AB246"/>
    <mergeCell ref="Y247:Y251"/>
    <mergeCell ref="Z247:Z251"/>
    <mergeCell ref="AA247:AA251"/>
    <mergeCell ref="AB247:AB251"/>
    <mergeCell ref="Y202:Y206"/>
    <mergeCell ref="Z202:Z206"/>
    <mergeCell ref="AA202:AA206"/>
    <mergeCell ref="AB202:AB206"/>
    <mergeCell ref="Y207:Y211"/>
    <mergeCell ref="Z207:Z211"/>
    <mergeCell ref="AA207:AA211"/>
    <mergeCell ref="AB207:AB211"/>
    <mergeCell ref="Y212:Y216"/>
    <mergeCell ref="Z212:Z216"/>
    <mergeCell ref="AA212:AA216"/>
    <mergeCell ref="AB212:AB216"/>
    <mergeCell ref="Y217:Y221"/>
    <mergeCell ref="Z217:Z221"/>
    <mergeCell ref="AA217:AA221"/>
    <mergeCell ref="AB217:AB221"/>
    <mergeCell ref="Y222:Y226"/>
    <mergeCell ref="Z222:Z226"/>
    <mergeCell ref="AA222:AA226"/>
    <mergeCell ref="AB222:AB226"/>
    <mergeCell ref="Y177:Y181"/>
    <mergeCell ref="Z177:Z181"/>
    <mergeCell ref="AA177:AA181"/>
    <mergeCell ref="AB177:AB181"/>
    <mergeCell ref="Y182:Y186"/>
    <mergeCell ref="Z182:Z186"/>
    <mergeCell ref="AA182:AA186"/>
    <mergeCell ref="AB182:AB186"/>
    <mergeCell ref="Y187:Y191"/>
    <mergeCell ref="Z187:Z191"/>
    <mergeCell ref="AA187:AA191"/>
    <mergeCell ref="AB187:AB191"/>
    <mergeCell ref="Y192:Y196"/>
    <mergeCell ref="Z192:Z196"/>
    <mergeCell ref="AA192:AA196"/>
    <mergeCell ref="AB192:AB196"/>
    <mergeCell ref="Y197:Y201"/>
    <mergeCell ref="Z197:Z201"/>
    <mergeCell ref="AA197:AA201"/>
    <mergeCell ref="AB197:AB201"/>
    <mergeCell ref="Y152:Y156"/>
    <mergeCell ref="Z152:Z156"/>
    <mergeCell ref="AA152:AA156"/>
    <mergeCell ref="AB152:AB156"/>
    <mergeCell ref="Y157:Y161"/>
    <mergeCell ref="Z157:Z161"/>
    <mergeCell ref="AA157:AA161"/>
    <mergeCell ref="AB157:AB161"/>
    <mergeCell ref="Y162:Y166"/>
    <mergeCell ref="Z162:Z166"/>
    <mergeCell ref="AA162:AA166"/>
    <mergeCell ref="AB162:AB166"/>
    <mergeCell ref="Y167:Y171"/>
    <mergeCell ref="Z167:Z171"/>
    <mergeCell ref="AA167:AA171"/>
    <mergeCell ref="AB167:AB171"/>
    <mergeCell ref="Y172:Y176"/>
    <mergeCell ref="Z172:Z176"/>
    <mergeCell ref="AA172:AA176"/>
    <mergeCell ref="AB172:AB176"/>
    <mergeCell ref="Y127:Y131"/>
    <mergeCell ref="Z127:Z131"/>
    <mergeCell ref="AA127:AA131"/>
    <mergeCell ref="AB127:AB131"/>
    <mergeCell ref="Y132:Y136"/>
    <mergeCell ref="Z132:Z136"/>
    <mergeCell ref="AA132:AA136"/>
    <mergeCell ref="AB132:AB136"/>
    <mergeCell ref="Y137:Y141"/>
    <mergeCell ref="Z137:Z141"/>
    <mergeCell ref="AA137:AA141"/>
    <mergeCell ref="AB137:AB141"/>
    <mergeCell ref="Y142:Y146"/>
    <mergeCell ref="Z142:Z146"/>
    <mergeCell ref="AA142:AA146"/>
    <mergeCell ref="AB142:AB146"/>
    <mergeCell ref="Y147:Y151"/>
    <mergeCell ref="Z147:Z151"/>
    <mergeCell ref="AA147:AA151"/>
    <mergeCell ref="AB147:AB151"/>
    <mergeCell ref="Y102:Y106"/>
    <mergeCell ref="Z102:Z106"/>
    <mergeCell ref="AA102:AA106"/>
    <mergeCell ref="AB102:AB106"/>
    <mergeCell ref="Y107:Y111"/>
    <mergeCell ref="Z107:Z111"/>
    <mergeCell ref="AA107:AA111"/>
    <mergeCell ref="AB107:AB111"/>
    <mergeCell ref="Y112:Y116"/>
    <mergeCell ref="Z112:Z116"/>
    <mergeCell ref="AA112:AA116"/>
    <mergeCell ref="AB112:AB116"/>
    <mergeCell ref="Y117:Y121"/>
    <mergeCell ref="Z117:Z121"/>
    <mergeCell ref="AA117:AA121"/>
    <mergeCell ref="AB117:AB121"/>
    <mergeCell ref="Y122:Y126"/>
    <mergeCell ref="Z122:Z126"/>
    <mergeCell ref="AA122:AA126"/>
    <mergeCell ref="AB122:AB126"/>
    <mergeCell ref="Y77:Y81"/>
    <mergeCell ref="Z77:Z81"/>
    <mergeCell ref="AA77:AA81"/>
    <mergeCell ref="AB77:AB81"/>
    <mergeCell ref="Y82:Y86"/>
    <mergeCell ref="Z82:Z86"/>
    <mergeCell ref="AA82:AA86"/>
    <mergeCell ref="AB82:AB86"/>
    <mergeCell ref="Y87:Y91"/>
    <mergeCell ref="Z87:Z91"/>
    <mergeCell ref="AA87:AA91"/>
    <mergeCell ref="AB87:AB91"/>
    <mergeCell ref="Y92:Y96"/>
    <mergeCell ref="Z92:Z96"/>
    <mergeCell ref="AA92:AA96"/>
    <mergeCell ref="AB92:AB96"/>
    <mergeCell ref="Y97:Y101"/>
    <mergeCell ref="Z97:Z101"/>
    <mergeCell ref="AA97:AA101"/>
    <mergeCell ref="AB97:AB101"/>
    <mergeCell ref="Y52:Y56"/>
    <mergeCell ref="Z52:Z56"/>
    <mergeCell ref="AA52:AA56"/>
    <mergeCell ref="AB52:AB56"/>
    <mergeCell ref="Y57:Y61"/>
    <mergeCell ref="Z57:Z61"/>
    <mergeCell ref="AA57:AA61"/>
    <mergeCell ref="AB57:AB61"/>
    <mergeCell ref="Y62:Y66"/>
    <mergeCell ref="Z62:Z66"/>
    <mergeCell ref="AA62:AA66"/>
    <mergeCell ref="AB62:AB66"/>
    <mergeCell ref="Y67:Y71"/>
    <mergeCell ref="Z67:Z71"/>
    <mergeCell ref="AA67:AA71"/>
    <mergeCell ref="AB67:AB71"/>
    <mergeCell ref="Y72:Y76"/>
    <mergeCell ref="Z72:Z76"/>
    <mergeCell ref="AA72:AA76"/>
    <mergeCell ref="AB72:AB76"/>
    <mergeCell ref="AA27:AA31"/>
    <mergeCell ref="AB27:AB31"/>
    <mergeCell ref="Y32:Y36"/>
    <mergeCell ref="Z32:Z36"/>
    <mergeCell ref="AA32:AA36"/>
    <mergeCell ref="AB32:AB36"/>
    <mergeCell ref="Y37:Y41"/>
    <mergeCell ref="Z37:Z41"/>
    <mergeCell ref="AA37:AA41"/>
    <mergeCell ref="AB37:AB41"/>
    <mergeCell ref="Y42:Y46"/>
    <mergeCell ref="Z42:Z46"/>
    <mergeCell ref="AA42:AA46"/>
    <mergeCell ref="AB42:AB46"/>
    <mergeCell ref="Y47:Y51"/>
    <mergeCell ref="Z47:Z51"/>
    <mergeCell ref="AA47:AA51"/>
    <mergeCell ref="AB47:AB51"/>
    <mergeCell ref="AA1727:AA1731"/>
    <mergeCell ref="AB1727:AB1731"/>
    <mergeCell ref="Y1732:Y1736"/>
    <mergeCell ref="Z1732:Z1736"/>
    <mergeCell ref="AA1732:AA1736"/>
    <mergeCell ref="AB1732:AB1736"/>
    <mergeCell ref="Y1737:Y1741"/>
    <mergeCell ref="Z1737:Z1741"/>
    <mergeCell ref="AA1737:AA1741"/>
    <mergeCell ref="AB1737:AB1741"/>
    <mergeCell ref="Y1742:Y1746"/>
    <mergeCell ref="Z1742:Z1746"/>
    <mergeCell ref="AA1742:AA1746"/>
    <mergeCell ref="AB1742:AB1746"/>
    <mergeCell ref="Y7:Y11"/>
    <mergeCell ref="Z7:Z11"/>
    <mergeCell ref="AA7:AA11"/>
    <mergeCell ref="AB7:AB11"/>
    <mergeCell ref="Y12:Y16"/>
    <mergeCell ref="Z12:Z16"/>
    <mergeCell ref="AA12:AA16"/>
    <mergeCell ref="AB12:AB16"/>
    <mergeCell ref="Y17:Y21"/>
    <mergeCell ref="Z17:Z21"/>
    <mergeCell ref="AA17:AA21"/>
    <mergeCell ref="AB17:AB21"/>
    <mergeCell ref="Y22:Y26"/>
    <mergeCell ref="Z22:Z26"/>
    <mergeCell ref="AA22:AA26"/>
    <mergeCell ref="AB22:AB26"/>
    <mergeCell ref="Y27:Y31"/>
    <mergeCell ref="Z27:Z31"/>
    <mergeCell ref="AA1702:AA1706"/>
    <mergeCell ref="AB1702:AB1706"/>
    <mergeCell ref="Y1707:Y1711"/>
    <mergeCell ref="Z1707:Z1711"/>
    <mergeCell ref="AA1707:AA1711"/>
    <mergeCell ref="AB1707:AB1711"/>
    <mergeCell ref="Y1712:Y1716"/>
    <mergeCell ref="Z1712:Z1716"/>
    <mergeCell ref="AA1712:AA1716"/>
    <mergeCell ref="AB1712:AB1716"/>
    <mergeCell ref="Y1717:Y1721"/>
    <mergeCell ref="Z1717:Z1721"/>
    <mergeCell ref="AA1717:AA1721"/>
    <mergeCell ref="AB1717:AB1721"/>
    <mergeCell ref="Y1722:Y1726"/>
    <mergeCell ref="Z1722:Z1726"/>
    <mergeCell ref="AA1722:AA1726"/>
    <mergeCell ref="AB1722:AB1726"/>
    <mergeCell ref="AA1677:AA1681"/>
    <mergeCell ref="AB1677:AB1681"/>
    <mergeCell ref="Y1682:Y1686"/>
    <mergeCell ref="Z1682:Z1686"/>
    <mergeCell ref="AA1682:AA1686"/>
    <mergeCell ref="AB1682:AB1686"/>
    <mergeCell ref="Y1687:Y1691"/>
    <mergeCell ref="Z1687:Z1691"/>
    <mergeCell ref="AA1687:AA1691"/>
    <mergeCell ref="AB1687:AB1691"/>
    <mergeCell ref="Y1692:Y1696"/>
    <mergeCell ref="Z1692:Z1696"/>
    <mergeCell ref="AA1692:AA1696"/>
    <mergeCell ref="AB1692:AB1696"/>
    <mergeCell ref="Y1697:Y1701"/>
    <mergeCell ref="Z1697:Z1701"/>
    <mergeCell ref="AA1697:AA1701"/>
    <mergeCell ref="AB1697:AB1701"/>
    <mergeCell ref="AA1652:AA1656"/>
    <mergeCell ref="AB1652:AB1656"/>
    <mergeCell ref="Y1657:Y1661"/>
    <mergeCell ref="Z1657:Z1661"/>
    <mergeCell ref="AA1657:AA1661"/>
    <mergeCell ref="AB1657:AB1661"/>
    <mergeCell ref="Y1662:Y1666"/>
    <mergeCell ref="Z1662:Z1666"/>
    <mergeCell ref="AA1662:AA1666"/>
    <mergeCell ref="AB1662:AB1666"/>
    <mergeCell ref="Y1667:Y1671"/>
    <mergeCell ref="Z1667:Z1671"/>
    <mergeCell ref="AA1667:AA1671"/>
    <mergeCell ref="AB1667:AB1671"/>
    <mergeCell ref="Y1672:Y1676"/>
    <mergeCell ref="Z1672:Z1676"/>
    <mergeCell ref="AA1672:AA1676"/>
    <mergeCell ref="AB1672:AB1676"/>
    <mergeCell ref="AA1627:AA1631"/>
    <mergeCell ref="AB1627:AB1631"/>
    <mergeCell ref="Y1632:Y1636"/>
    <mergeCell ref="Z1632:Z1636"/>
    <mergeCell ref="AA1632:AA1636"/>
    <mergeCell ref="AB1632:AB1636"/>
    <mergeCell ref="Y1637:Y1641"/>
    <mergeCell ref="Z1637:Z1641"/>
    <mergeCell ref="AA1637:AA1641"/>
    <mergeCell ref="AB1637:AB1641"/>
    <mergeCell ref="Y1642:Y1646"/>
    <mergeCell ref="Z1642:Z1646"/>
    <mergeCell ref="AA1642:AA1646"/>
    <mergeCell ref="AB1642:AB1646"/>
    <mergeCell ref="Y1647:Y1651"/>
    <mergeCell ref="Z1647:Z1651"/>
    <mergeCell ref="AA1647:AA1651"/>
    <mergeCell ref="AB1647:AB1651"/>
    <mergeCell ref="AB1602:AB1606"/>
    <mergeCell ref="Y1607:Y1611"/>
    <mergeCell ref="Z1607:Z1611"/>
    <mergeCell ref="AA1607:AA1611"/>
    <mergeCell ref="AB1607:AB1611"/>
    <mergeCell ref="Y1612:Y1616"/>
    <mergeCell ref="Z1612:Z1616"/>
    <mergeCell ref="AA1612:AA1616"/>
    <mergeCell ref="AB1612:AB1616"/>
    <mergeCell ref="Y1617:Y1621"/>
    <mergeCell ref="Z1617:Z1621"/>
    <mergeCell ref="AA1617:AA1621"/>
    <mergeCell ref="AB1617:AB1621"/>
    <mergeCell ref="Y1622:Y1626"/>
    <mergeCell ref="Z1622:Z1626"/>
    <mergeCell ref="AA1622:AA1626"/>
    <mergeCell ref="AB1622:AB1626"/>
    <mergeCell ref="S1742:S1746"/>
    <mergeCell ref="Y1567:Y1571"/>
    <mergeCell ref="Z1567:Z1571"/>
    <mergeCell ref="AA1567:AA1571"/>
    <mergeCell ref="AB1567:AB1571"/>
    <mergeCell ref="Y1572:Y1576"/>
    <mergeCell ref="Z1572:Z1576"/>
    <mergeCell ref="AA1572:AA1576"/>
    <mergeCell ref="AB1572:AB1576"/>
    <mergeCell ref="Y1577:Y1581"/>
    <mergeCell ref="Z1577:Z1581"/>
    <mergeCell ref="AA1577:AA1581"/>
    <mergeCell ref="AB1577:AB1581"/>
    <mergeCell ref="Y1582:Y1586"/>
    <mergeCell ref="Z1582:Z1586"/>
    <mergeCell ref="AA1582:AA1586"/>
    <mergeCell ref="AB1582:AB1586"/>
    <mergeCell ref="Y1587:Y1591"/>
    <mergeCell ref="Z1587:Z1591"/>
    <mergeCell ref="AA1587:AA1591"/>
    <mergeCell ref="AB1587:AB1591"/>
    <mergeCell ref="Y1592:Y1596"/>
    <mergeCell ref="Z1592:Z1596"/>
    <mergeCell ref="AA1592:AA1596"/>
    <mergeCell ref="AB1592:AB1596"/>
    <mergeCell ref="Y1597:Y1601"/>
    <mergeCell ref="Z1597:Z1601"/>
    <mergeCell ref="AA1597:AA1601"/>
    <mergeCell ref="AB1597:AB1601"/>
    <mergeCell ref="Y1602:Y1606"/>
    <mergeCell ref="Z1602:Z1606"/>
    <mergeCell ref="AA1602:AA1606"/>
    <mergeCell ref="S1657:S1661"/>
    <mergeCell ref="S1662:S1666"/>
    <mergeCell ref="S1667:S1671"/>
    <mergeCell ref="S1672:S1676"/>
    <mergeCell ref="S1677:S1681"/>
    <mergeCell ref="S1682:S1686"/>
    <mergeCell ref="S1687:S1691"/>
    <mergeCell ref="S1692:S1696"/>
    <mergeCell ref="S1697:S1701"/>
    <mergeCell ref="S1702:S1706"/>
    <mergeCell ref="S1707:S1711"/>
    <mergeCell ref="S1712:S1716"/>
    <mergeCell ref="S1717:S1721"/>
    <mergeCell ref="S1722:S1726"/>
    <mergeCell ref="S1727:S1731"/>
    <mergeCell ref="S1732:S1736"/>
    <mergeCell ref="S1737:S1741"/>
    <mergeCell ref="S1572:S1576"/>
    <mergeCell ref="S1577:S1581"/>
    <mergeCell ref="S1582:S1586"/>
    <mergeCell ref="S1587:S1591"/>
    <mergeCell ref="S1592:S1596"/>
    <mergeCell ref="S1597:S1601"/>
    <mergeCell ref="S1602:S1606"/>
    <mergeCell ref="S1607:S1611"/>
    <mergeCell ref="S1612:S1616"/>
    <mergeCell ref="S1617:S1621"/>
    <mergeCell ref="S1622:S1626"/>
    <mergeCell ref="S1627:S1631"/>
    <mergeCell ref="S1632:S1636"/>
    <mergeCell ref="S1637:S1641"/>
    <mergeCell ref="S1642:S1646"/>
    <mergeCell ref="S1647:S1651"/>
    <mergeCell ref="S1652:S1656"/>
    <mergeCell ref="S1487:S1491"/>
    <mergeCell ref="S1492:S1496"/>
    <mergeCell ref="S1497:S1501"/>
    <mergeCell ref="S1502:S1506"/>
    <mergeCell ref="S1507:S1511"/>
    <mergeCell ref="S1512:S1516"/>
    <mergeCell ref="S1517:S1521"/>
    <mergeCell ref="S1522:S1526"/>
    <mergeCell ref="S1527:S1531"/>
    <mergeCell ref="S1532:S1536"/>
    <mergeCell ref="S1537:S1541"/>
    <mergeCell ref="S1542:S1546"/>
    <mergeCell ref="S2:S6"/>
    <mergeCell ref="S7:S11"/>
    <mergeCell ref="S1557:S1561"/>
    <mergeCell ref="S1562:S1566"/>
    <mergeCell ref="S1567:S1571"/>
    <mergeCell ref="S1402:S1406"/>
    <mergeCell ref="S1407:S1411"/>
    <mergeCell ref="S1412:S1416"/>
    <mergeCell ref="S1417:S1421"/>
    <mergeCell ref="S1422:S1426"/>
    <mergeCell ref="S1427:S1431"/>
    <mergeCell ref="S1432:S1436"/>
    <mergeCell ref="S1437:S1441"/>
    <mergeCell ref="S1442:S1446"/>
    <mergeCell ref="S1447:S1451"/>
    <mergeCell ref="S1452:S1456"/>
    <mergeCell ref="S1457:S1461"/>
    <mergeCell ref="S1462:S1466"/>
    <mergeCell ref="S1467:S1471"/>
    <mergeCell ref="S1472:S1476"/>
    <mergeCell ref="S1477:S1481"/>
    <mergeCell ref="S1482:S1486"/>
    <mergeCell ref="S1317:S1321"/>
    <mergeCell ref="S1322:S1326"/>
    <mergeCell ref="S1327:S1331"/>
    <mergeCell ref="S1332:S1336"/>
    <mergeCell ref="S1337:S1341"/>
    <mergeCell ref="S1342:S1346"/>
    <mergeCell ref="S1347:S1351"/>
    <mergeCell ref="S1352:S1356"/>
    <mergeCell ref="S1357:S1361"/>
    <mergeCell ref="S1362:S1366"/>
    <mergeCell ref="S1367:S1371"/>
    <mergeCell ref="S1372:S1376"/>
    <mergeCell ref="S1377:S1381"/>
    <mergeCell ref="S1382:S1386"/>
    <mergeCell ref="S1387:S1391"/>
    <mergeCell ref="S1392:S1396"/>
    <mergeCell ref="S1397:S1401"/>
    <mergeCell ref="S1232:S1236"/>
    <mergeCell ref="S1237:S1241"/>
    <mergeCell ref="S1242:S1246"/>
    <mergeCell ref="S1247:S1251"/>
    <mergeCell ref="S1252:S1256"/>
    <mergeCell ref="S1257:S1261"/>
    <mergeCell ref="S1262:S1266"/>
    <mergeCell ref="S1267:S1271"/>
    <mergeCell ref="S1272:S1276"/>
    <mergeCell ref="S1277:S1281"/>
    <mergeCell ref="S1282:S1286"/>
    <mergeCell ref="S1287:S1291"/>
    <mergeCell ref="S1292:S1296"/>
    <mergeCell ref="S1297:S1301"/>
    <mergeCell ref="S1302:S1306"/>
    <mergeCell ref="S1307:S1311"/>
    <mergeCell ref="S1312:S1316"/>
    <mergeCell ref="S1147:S1151"/>
    <mergeCell ref="S1152:S1156"/>
    <mergeCell ref="S1157:S1161"/>
    <mergeCell ref="S1162:S1166"/>
    <mergeCell ref="S1167:S1171"/>
    <mergeCell ref="S1172:S1176"/>
    <mergeCell ref="S1177:S1181"/>
    <mergeCell ref="S1182:S1186"/>
    <mergeCell ref="S1187:S1191"/>
    <mergeCell ref="S1192:S1196"/>
    <mergeCell ref="S1197:S1201"/>
    <mergeCell ref="S1202:S1206"/>
    <mergeCell ref="S1207:S1211"/>
    <mergeCell ref="S1212:S1216"/>
    <mergeCell ref="S1217:S1221"/>
    <mergeCell ref="S1222:S1226"/>
    <mergeCell ref="S1227:S1231"/>
    <mergeCell ref="S1062:S1066"/>
    <mergeCell ref="S1067:S1071"/>
    <mergeCell ref="S1072:S1076"/>
    <mergeCell ref="S1077:S1081"/>
    <mergeCell ref="S1082:S1086"/>
    <mergeCell ref="S1087:S1091"/>
    <mergeCell ref="S1092:S1096"/>
    <mergeCell ref="S1097:S1101"/>
    <mergeCell ref="S1102:S1106"/>
    <mergeCell ref="S1107:S1111"/>
    <mergeCell ref="S1112:S1116"/>
    <mergeCell ref="S1117:S1121"/>
    <mergeCell ref="S1122:S1126"/>
    <mergeCell ref="S1127:S1131"/>
    <mergeCell ref="S1132:S1136"/>
    <mergeCell ref="S1137:S1141"/>
    <mergeCell ref="S1142:S1146"/>
    <mergeCell ref="S977:S981"/>
    <mergeCell ref="S982:S986"/>
    <mergeCell ref="S987:S991"/>
    <mergeCell ref="S992:S996"/>
    <mergeCell ref="S997:S1001"/>
    <mergeCell ref="S1002:S1006"/>
    <mergeCell ref="S1007:S1011"/>
    <mergeCell ref="S1012:S1016"/>
    <mergeCell ref="S1017:S1021"/>
    <mergeCell ref="S1022:S1026"/>
    <mergeCell ref="S1027:S1031"/>
    <mergeCell ref="S1032:S1036"/>
    <mergeCell ref="S1037:S1041"/>
    <mergeCell ref="S1042:S1046"/>
    <mergeCell ref="S1047:S1051"/>
    <mergeCell ref="S1052:S1056"/>
    <mergeCell ref="S1057:S1061"/>
    <mergeCell ref="S892:S896"/>
    <mergeCell ref="S897:S901"/>
    <mergeCell ref="S902:S906"/>
    <mergeCell ref="S907:S911"/>
    <mergeCell ref="S912:S916"/>
    <mergeCell ref="S917:S921"/>
    <mergeCell ref="S922:S926"/>
    <mergeCell ref="S927:S931"/>
    <mergeCell ref="S932:S936"/>
    <mergeCell ref="S937:S941"/>
    <mergeCell ref="S942:S946"/>
    <mergeCell ref="S947:S951"/>
    <mergeCell ref="S952:S956"/>
    <mergeCell ref="S957:S961"/>
    <mergeCell ref="S962:S966"/>
    <mergeCell ref="S967:S971"/>
    <mergeCell ref="S972:S976"/>
    <mergeCell ref="S807:S811"/>
    <mergeCell ref="S812:S816"/>
    <mergeCell ref="S817:S821"/>
    <mergeCell ref="S822:S826"/>
    <mergeCell ref="S827:S831"/>
    <mergeCell ref="S832:S836"/>
    <mergeCell ref="S837:S841"/>
    <mergeCell ref="S842:S846"/>
    <mergeCell ref="S847:S851"/>
    <mergeCell ref="S852:S856"/>
    <mergeCell ref="S857:S861"/>
    <mergeCell ref="S862:S866"/>
    <mergeCell ref="S867:S871"/>
    <mergeCell ref="S872:S876"/>
    <mergeCell ref="S877:S881"/>
    <mergeCell ref="S882:S886"/>
    <mergeCell ref="S887:S891"/>
    <mergeCell ref="S722:S726"/>
    <mergeCell ref="S727:S731"/>
    <mergeCell ref="S732:S736"/>
    <mergeCell ref="S737:S741"/>
    <mergeCell ref="S742:S746"/>
    <mergeCell ref="S747:S751"/>
    <mergeCell ref="S752:S756"/>
    <mergeCell ref="S757:S761"/>
    <mergeCell ref="S762:S766"/>
    <mergeCell ref="S767:S771"/>
    <mergeCell ref="S772:S776"/>
    <mergeCell ref="S777:S781"/>
    <mergeCell ref="S782:S786"/>
    <mergeCell ref="S787:S791"/>
    <mergeCell ref="S792:S796"/>
    <mergeCell ref="S797:S801"/>
    <mergeCell ref="S802:S806"/>
    <mergeCell ref="S637:S641"/>
    <mergeCell ref="S642:S646"/>
    <mergeCell ref="S647:S651"/>
    <mergeCell ref="S652:S656"/>
    <mergeCell ref="S657:S661"/>
    <mergeCell ref="S662:S666"/>
    <mergeCell ref="S667:S671"/>
    <mergeCell ref="S672:S676"/>
    <mergeCell ref="S677:S681"/>
    <mergeCell ref="S682:S686"/>
    <mergeCell ref="S687:S691"/>
    <mergeCell ref="S692:S696"/>
    <mergeCell ref="S697:S701"/>
    <mergeCell ref="S702:S706"/>
    <mergeCell ref="S707:S711"/>
    <mergeCell ref="S712:S716"/>
    <mergeCell ref="S717:S721"/>
    <mergeCell ref="S552:S556"/>
    <mergeCell ref="S557:S561"/>
    <mergeCell ref="S562:S566"/>
    <mergeCell ref="S567:S571"/>
    <mergeCell ref="S572:S576"/>
    <mergeCell ref="S577:S581"/>
    <mergeCell ref="S582:S586"/>
    <mergeCell ref="S587:S591"/>
    <mergeCell ref="S592:S596"/>
    <mergeCell ref="S597:S601"/>
    <mergeCell ref="S602:S606"/>
    <mergeCell ref="S607:S611"/>
    <mergeCell ref="S612:S616"/>
    <mergeCell ref="S617:S621"/>
    <mergeCell ref="S622:S626"/>
    <mergeCell ref="S627:S631"/>
    <mergeCell ref="S632:S636"/>
    <mergeCell ref="S467:S471"/>
    <mergeCell ref="S472:S476"/>
    <mergeCell ref="S477:S481"/>
    <mergeCell ref="S482:S486"/>
    <mergeCell ref="S487:S491"/>
    <mergeCell ref="S492:S496"/>
    <mergeCell ref="S497:S501"/>
    <mergeCell ref="S502:S506"/>
    <mergeCell ref="S507:S511"/>
    <mergeCell ref="S512:S516"/>
    <mergeCell ref="S517:S521"/>
    <mergeCell ref="S522:S526"/>
    <mergeCell ref="S527:S531"/>
    <mergeCell ref="S532:S536"/>
    <mergeCell ref="S537:S541"/>
    <mergeCell ref="S542:S546"/>
    <mergeCell ref="S547:S551"/>
    <mergeCell ref="S382:S386"/>
    <mergeCell ref="S387:S391"/>
    <mergeCell ref="S392:S396"/>
    <mergeCell ref="S397:S401"/>
    <mergeCell ref="S402:S406"/>
    <mergeCell ref="S407:S411"/>
    <mergeCell ref="S412:S416"/>
    <mergeCell ref="S417:S421"/>
    <mergeCell ref="S422:S426"/>
    <mergeCell ref="S427:S431"/>
    <mergeCell ref="S432:S436"/>
    <mergeCell ref="S437:S441"/>
    <mergeCell ref="S442:S446"/>
    <mergeCell ref="S447:S451"/>
    <mergeCell ref="S452:S456"/>
    <mergeCell ref="S457:S461"/>
    <mergeCell ref="S462:S466"/>
    <mergeCell ref="S297:S301"/>
    <mergeCell ref="S302:S306"/>
    <mergeCell ref="S307:S311"/>
    <mergeCell ref="S312:S316"/>
    <mergeCell ref="S317:S321"/>
    <mergeCell ref="S322:S326"/>
    <mergeCell ref="S327:S331"/>
    <mergeCell ref="S332:S336"/>
    <mergeCell ref="S337:S341"/>
    <mergeCell ref="S342:S346"/>
    <mergeCell ref="S347:S351"/>
    <mergeCell ref="S352:S356"/>
    <mergeCell ref="S357:S361"/>
    <mergeCell ref="S362:S366"/>
    <mergeCell ref="S367:S371"/>
    <mergeCell ref="S372:S376"/>
    <mergeCell ref="S377:S381"/>
    <mergeCell ref="S212:S216"/>
    <mergeCell ref="S217:S221"/>
    <mergeCell ref="S222:S226"/>
    <mergeCell ref="S227:S231"/>
    <mergeCell ref="S232:S236"/>
    <mergeCell ref="S237:S241"/>
    <mergeCell ref="S242:S246"/>
    <mergeCell ref="S247:S251"/>
    <mergeCell ref="S252:S256"/>
    <mergeCell ref="S257:S261"/>
    <mergeCell ref="S262:S266"/>
    <mergeCell ref="S267:S271"/>
    <mergeCell ref="S272:S276"/>
    <mergeCell ref="S277:S281"/>
    <mergeCell ref="S282:S286"/>
    <mergeCell ref="S287:S291"/>
    <mergeCell ref="S292:S296"/>
    <mergeCell ref="S127:S131"/>
    <mergeCell ref="S132:S136"/>
    <mergeCell ref="S137:S141"/>
    <mergeCell ref="S142:S146"/>
    <mergeCell ref="S147:S151"/>
    <mergeCell ref="S152:S156"/>
    <mergeCell ref="S157:S161"/>
    <mergeCell ref="S162:S166"/>
    <mergeCell ref="S167:S171"/>
    <mergeCell ref="S172:S176"/>
    <mergeCell ref="S177:S181"/>
    <mergeCell ref="S182:S186"/>
    <mergeCell ref="S187:S191"/>
    <mergeCell ref="S192:S196"/>
    <mergeCell ref="S197:S201"/>
    <mergeCell ref="S202:S206"/>
    <mergeCell ref="S207:S211"/>
    <mergeCell ref="AA1552:AA1556"/>
    <mergeCell ref="AB1552:AB1556"/>
    <mergeCell ref="Z1562:Z1566"/>
    <mergeCell ref="AA1557:AA1561"/>
    <mergeCell ref="AA1562:AA1566"/>
    <mergeCell ref="AB1557:AB1561"/>
    <mergeCell ref="AB1562:AB1566"/>
    <mergeCell ref="S1547:S1551"/>
    <mergeCell ref="S1552:S1556"/>
    <mergeCell ref="S12:S16"/>
    <mergeCell ref="S17:S21"/>
    <mergeCell ref="S22:S26"/>
    <mergeCell ref="S27:S31"/>
    <mergeCell ref="S32:S36"/>
    <mergeCell ref="S37:S41"/>
    <mergeCell ref="S42:S46"/>
    <mergeCell ref="S47:S51"/>
    <mergeCell ref="S52:S56"/>
    <mergeCell ref="S57:S61"/>
    <mergeCell ref="S62:S66"/>
    <mergeCell ref="S67:S71"/>
    <mergeCell ref="S72:S76"/>
    <mergeCell ref="S77:S81"/>
    <mergeCell ref="S82:S86"/>
    <mergeCell ref="S87:S91"/>
    <mergeCell ref="S92:S96"/>
    <mergeCell ref="S97:S101"/>
    <mergeCell ref="S102:S106"/>
    <mergeCell ref="S107:S111"/>
    <mergeCell ref="S112:S116"/>
    <mergeCell ref="S117:S121"/>
    <mergeCell ref="S122:S126"/>
    <mergeCell ref="X1677:X1681"/>
    <mergeCell ref="X1682:X1686"/>
    <mergeCell ref="X1687:X1691"/>
    <mergeCell ref="X1692:X1696"/>
    <mergeCell ref="X1697:X1701"/>
    <mergeCell ref="X1702:X1706"/>
    <mergeCell ref="X1707:X1711"/>
    <mergeCell ref="X1712:X1716"/>
    <mergeCell ref="X1717:X1721"/>
    <mergeCell ref="X1722:X1726"/>
    <mergeCell ref="X1727:X1731"/>
    <mergeCell ref="X1732:X1736"/>
    <mergeCell ref="X1737:X1741"/>
    <mergeCell ref="X1742:X1746"/>
    <mergeCell ref="Y1552:Y1556"/>
    <mergeCell ref="Y1557:Y1561"/>
    <mergeCell ref="Z1552:Z1556"/>
    <mergeCell ref="Z1557:Z1561"/>
    <mergeCell ref="Y1562:Y1566"/>
    <mergeCell ref="Y1627:Y1631"/>
    <mergeCell ref="Z1627:Z1631"/>
    <mergeCell ref="Y1652:Y1656"/>
    <mergeCell ref="Z1652:Z1656"/>
    <mergeCell ref="Y1677:Y1681"/>
    <mergeCell ref="Z1677:Z1681"/>
    <mergeCell ref="Y1702:Y1706"/>
    <mergeCell ref="Z1702:Z1706"/>
    <mergeCell ref="Y1727:Y1731"/>
    <mergeCell ref="Z1727:Z1731"/>
    <mergeCell ref="X1592:X1596"/>
    <mergeCell ref="X1597:X1601"/>
    <mergeCell ref="X1602:X1606"/>
    <mergeCell ref="X1607:X1611"/>
    <mergeCell ref="X1612:X1616"/>
    <mergeCell ref="X1617:X1621"/>
    <mergeCell ref="X1622:X1626"/>
    <mergeCell ref="X1627:X1631"/>
    <mergeCell ref="X1632:X1636"/>
    <mergeCell ref="X1637:X1641"/>
    <mergeCell ref="X1642:X1646"/>
    <mergeCell ref="X1647:X1651"/>
    <mergeCell ref="X1652:X1656"/>
    <mergeCell ref="X1657:X1661"/>
    <mergeCell ref="X1662:X1666"/>
    <mergeCell ref="X1667:X1671"/>
    <mergeCell ref="X1672:X1676"/>
    <mergeCell ref="X1507:X1511"/>
    <mergeCell ref="X1512:X1516"/>
    <mergeCell ref="X1517:X1521"/>
    <mergeCell ref="X1522:X1526"/>
    <mergeCell ref="X1527:X1531"/>
    <mergeCell ref="X1532:X1536"/>
    <mergeCell ref="X1537:X1541"/>
    <mergeCell ref="X1542:X1546"/>
    <mergeCell ref="X1547:X1551"/>
    <mergeCell ref="X1552:X1556"/>
    <mergeCell ref="X1557:X1561"/>
    <mergeCell ref="X1562:X1566"/>
    <mergeCell ref="X1567:X1571"/>
    <mergeCell ref="X1572:X1576"/>
    <mergeCell ref="X1577:X1581"/>
    <mergeCell ref="X1582:X1586"/>
    <mergeCell ref="X1587:X1591"/>
    <mergeCell ref="X1422:X1426"/>
    <mergeCell ref="X1427:X1431"/>
    <mergeCell ref="X1432:X1436"/>
    <mergeCell ref="X1437:X1441"/>
    <mergeCell ref="X1442:X1446"/>
    <mergeCell ref="X1447:X1451"/>
    <mergeCell ref="X1452:X1456"/>
    <mergeCell ref="X1457:X1461"/>
    <mergeCell ref="X1462:X1466"/>
    <mergeCell ref="X1467:X1471"/>
    <mergeCell ref="X1472:X1476"/>
    <mergeCell ref="X1477:X1481"/>
    <mergeCell ref="X1482:X1486"/>
    <mergeCell ref="X1487:X1491"/>
    <mergeCell ref="X1492:X1496"/>
    <mergeCell ref="X1497:X1501"/>
    <mergeCell ref="X1502:X1506"/>
    <mergeCell ref="X1337:X1341"/>
    <mergeCell ref="X1342:X1346"/>
    <mergeCell ref="X1347:X1351"/>
    <mergeCell ref="X1352:X1356"/>
    <mergeCell ref="X1357:X1361"/>
    <mergeCell ref="X1362:X1366"/>
    <mergeCell ref="X1367:X1371"/>
    <mergeCell ref="X1372:X1376"/>
    <mergeCell ref="X1377:X1381"/>
    <mergeCell ref="X1382:X1386"/>
    <mergeCell ref="X1387:X1391"/>
    <mergeCell ref="X1392:X1396"/>
    <mergeCell ref="X1397:X1401"/>
    <mergeCell ref="X1402:X1406"/>
    <mergeCell ref="X1407:X1411"/>
    <mergeCell ref="X1412:X1416"/>
    <mergeCell ref="X1417:X1421"/>
    <mergeCell ref="X1252:X1256"/>
    <mergeCell ref="X1257:X1261"/>
    <mergeCell ref="X1262:X1266"/>
    <mergeCell ref="X1267:X1271"/>
    <mergeCell ref="X1272:X1276"/>
    <mergeCell ref="X1277:X1281"/>
    <mergeCell ref="X1282:X1286"/>
    <mergeCell ref="X1287:X1291"/>
    <mergeCell ref="X1292:X1296"/>
    <mergeCell ref="X1297:X1301"/>
    <mergeCell ref="X1302:X1306"/>
    <mergeCell ref="X1307:X1311"/>
    <mergeCell ref="X1312:X1316"/>
    <mergeCell ref="X1317:X1321"/>
    <mergeCell ref="X1322:X1326"/>
    <mergeCell ref="X1327:X1331"/>
    <mergeCell ref="X1332:X1336"/>
    <mergeCell ref="X1167:X1171"/>
    <mergeCell ref="X1172:X1176"/>
    <mergeCell ref="X1177:X1181"/>
    <mergeCell ref="X1182:X1186"/>
    <mergeCell ref="X1187:X1191"/>
    <mergeCell ref="X1192:X1196"/>
    <mergeCell ref="X1197:X1201"/>
    <mergeCell ref="X1202:X1206"/>
    <mergeCell ref="X1207:X1211"/>
    <mergeCell ref="X1212:X1216"/>
    <mergeCell ref="X1217:X1221"/>
    <mergeCell ref="X1222:X1226"/>
    <mergeCell ref="X1227:X1231"/>
    <mergeCell ref="X1232:X1236"/>
    <mergeCell ref="X1237:X1241"/>
    <mergeCell ref="X1242:X1246"/>
    <mergeCell ref="X1247:X1251"/>
    <mergeCell ref="X1082:X1086"/>
    <mergeCell ref="X1087:X1091"/>
    <mergeCell ref="X1092:X1096"/>
    <mergeCell ref="X1097:X1101"/>
    <mergeCell ref="X1102:X1106"/>
    <mergeCell ref="X1107:X1111"/>
    <mergeCell ref="X1112:X1116"/>
    <mergeCell ref="X1117:X1121"/>
    <mergeCell ref="X1122:X1126"/>
    <mergeCell ref="X1127:X1131"/>
    <mergeCell ref="X1132:X1136"/>
    <mergeCell ref="X1137:X1141"/>
    <mergeCell ref="X1142:X1146"/>
    <mergeCell ref="X1147:X1151"/>
    <mergeCell ref="X1152:X1156"/>
    <mergeCell ref="X1157:X1161"/>
    <mergeCell ref="X1162:X1166"/>
    <mergeCell ref="X997:X1001"/>
    <mergeCell ref="X1002:X1006"/>
    <mergeCell ref="X1007:X1011"/>
    <mergeCell ref="X1012:X1016"/>
    <mergeCell ref="X1017:X1021"/>
    <mergeCell ref="X1022:X1026"/>
    <mergeCell ref="X1027:X1031"/>
    <mergeCell ref="X1032:X1036"/>
    <mergeCell ref="X1037:X1041"/>
    <mergeCell ref="X1042:X1046"/>
    <mergeCell ref="X1047:X1051"/>
    <mergeCell ref="X1052:X1056"/>
    <mergeCell ref="X1057:X1061"/>
    <mergeCell ref="X1062:X1066"/>
    <mergeCell ref="X1067:X1071"/>
    <mergeCell ref="X1072:X1076"/>
    <mergeCell ref="X1077:X1081"/>
    <mergeCell ref="X912:X916"/>
    <mergeCell ref="X917:X921"/>
    <mergeCell ref="X922:X926"/>
    <mergeCell ref="X927:X931"/>
    <mergeCell ref="X932:X936"/>
    <mergeCell ref="X937:X941"/>
    <mergeCell ref="X942:X946"/>
    <mergeCell ref="X947:X951"/>
    <mergeCell ref="X952:X956"/>
    <mergeCell ref="X957:X961"/>
    <mergeCell ref="X962:X966"/>
    <mergeCell ref="X967:X971"/>
    <mergeCell ref="X972:X976"/>
    <mergeCell ref="X977:X981"/>
    <mergeCell ref="X982:X986"/>
    <mergeCell ref="X987:X991"/>
    <mergeCell ref="X992:X996"/>
    <mergeCell ref="X827:X831"/>
    <mergeCell ref="X832:X836"/>
    <mergeCell ref="X837:X841"/>
    <mergeCell ref="X842:X846"/>
    <mergeCell ref="X847:X851"/>
    <mergeCell ref="X852:X856"/>
    <mergeCell ref="X857:X861"/>
    <mergeCell ref="X862:X866"/>
    <mergeCell ref="X867:X871"/>
    <mergeCell ref="X872:X876"/>
    <mergeCell ref="X877:X881"/>
    <mergeCell ref="X882:X886"/>
    <mergeCell ref="X887:X891"/>
    <mergeCell ref="X892:X896"/>
    <mergeCell ref="X897:X901"/>
    <mergeCell ref="X902:X906"/>
    <mergeCell ref="X907:X911"/>
    <mergeCell ref="X742:X746"/>
    <mergeCell ref="X747:X751"/>
    <mergeCell ref="X752:X756"/>
    <mergeCell ref="X757:X761"/>
    <mergeCell ref="X762:X766"/>
    <mergeCell ref="X767:X771"/>
    <mergeCell ref="X772:X776"/>
    <mergeCell ref="X777:X781"/>
    <mergeCell ref="X782:X786"/>
    <mergeCell ref="X787:X791"/>
    <mergeCell ref="X792:X796"/>
    <mergeCell ref="X797:X801"/>
    <mergeCell ref="X802:X806"/>
    <mergeCell ref="X807:X811"/>
    <mergeCell ref="X812:X816"/>
    <mergeCell ref="X817:X821"/>
    <mergeCell ref="X822:X826"/>
    <mergeCell ref="X657:X661"/>
    <mergeCell ref="X662:X666"/>
    <mergeCell ref="X667:X671"/>
    <mergeCell ref="X672:X676"/>
    <mergeCell ref="X677:X681"/>
    <mergeCell ref="X682:X686"/>
    <mergeCell ref="X687:X691"/>
    <mergeCell ref="X692:X696"/>
    <mergeCell ref="X697:X701"/>
    <mergeCell ref="X702:X706"/>
    <mergeCell ref="X707:X711"/>
    <mergeCell ref="X712:X716"/>
    <mergeCell ref="X717:X721"/>
    <mergeCell ref="X722:X726"/>
    <mergeCell ref="X727:X731"/>
    <mergeCell ref="X732:X736"/>
    <mergeCell ref="X737:X741"/>
    <mergeCell ref="X572:X576"/>
    <mergeCell ref="X577:X581"/>
    <mergeCell ref="X582:X586"/>
    <mergeCell ref="X587:X591"/>
    <mergeCell ref="X592:X596"/>
    <mergeCell ref="X597:X601"/>
    <mergeCell ref="X602:X606"/>
    <mergeCell ref="X607:X611"/>
    <mergeCell ref="X612:X616"/>
    <mergeCell ref="X617:X621"/>
    <mergeCell ref="X622:X626"/>
    <mergeCell ref="X627:X631"/>
    <mergeCell ref="X632:X636"/>
    <mergeCell ref="X637:X641"/>
    <mergeCell ref="X642:X646"/>
    <mergeCell ref="X647:X651"/>
    <mergeCell ref="X652:X656"/>
    <mergeCell ref="X487:X491"/>
    <mergeCell ref="X492:X496"/>
    <mergeCell ref="X497:X501"/>
    <mergeCell ref="X502:X506"/>
    <mergeCell ref="X507:X511"/>
    <mergeCell ref="X512:X516"/>
    <mergeCell ref="X517:X521"/>
    <mergeCell ref="X522:X526"/>
    <mergeCell ref="X527:X531"/>
    <mergeCell ref="X532:X536"/>
    <mergeCell ref="X537:X541"/>
    <mergeCell ref="X542:X546"/>
    <mergeCell ref="X547:X551"/>
    <mergeCell ref="X552:X556"/>
    <mergeCell ref="X557:X561"/>
    <mergeCell ref="X562:X566"/>
    <mergeCell ref="X567:X571"/>
    <mergeCell ref="X402:X406"/>
    <mergeCell ref="X407:X411"/>
    <mergeCell ref="X412:X416"/>
    <mergeCell ref="X417:X421"/>
    <mergeCell ref="X422:X426"/>
    <mergeCell ref="X427:X431"/>
    <mergeCell ref="X432:X436"/>
    <mergeCell ref="X437:X441"/>
    <mergeCell ref="X442:X446"/>
    <mergeCell ref="X447:X451"/>
    <mergeCell ref="X452:X456"/>
    <mergeCell ref="X457:X461"/>
    <mergeCell ref="X462:X466"/>
    <mergeCell ref="X467:X471"/>
    <mergeCell ref="X472:X476"/>
    <mergeCell ref="X477:X481"/>
    <mergeCell ref="X482:X486"/>
    <mergeCell ref="X317:X321"/>
    <mergeCell ref="X322:X326"/>
    <mergeCell ref="X327:X331"/>
    <mergeCell ref="X332:X336"/>
    <mergeCell ref="X337:X341"/>
    <mergeCell ref="X342:X346"/>
    <mergeCell ref="X347:X351"/>
    <mergeCell ref="X352:X356"/>
    <mergeCell ref="X357:X361"/>
    <mergeCell ref="X362:X366"/>
    <mergeCell ref="X367:X371"/>
    <mergeCell ref="X372:X376"/>
    <mergeCell ref="X377:X381"/>
    <mergeCell ref="X382:X386"/>
    <mergeCell ref="X387:X391"/>
    <mergeCell ref="X392:X396"/>
    <mergeCell ref="X397:X401"/>
    <mergeCell ref="X232:X236"/>
    <mergeCell ref="X237:X241"/>
    <mergeCell ref="X242:X246"/>
    <mergeCell ref="X247:X251"/>
    <mergeCell ref="X252:X256"/>
    <mergeCell ref="X257:X261"/>
    <mergeCell ref="X262:X266"/>
    <mergeCell ref="X267:X271"/>
    <mergeCell ref="X272:X276"/>
    <mergeCell ref="X277:X281"/>
    <mergeCell ref="X282:X286"/>
    <mergeCell ref="X287:X291"/>
    <mergeCell ref="X292:X296"/>
    <mergeCell ref="X297:X301"/>
    <mergeCell ref="X302:X306"/>
    <mergeCell ref="X307:X311"/>
    <mergeCell ref="X312:X316"/>
    <mergeCell ref="X147:X151"/>
    <mergeCell ref="X152:X156"/>
    <mergeCell ref="X157:X161"/>
    <mergeCell ref="X162:X166"/>
    <mergeCell ref="X167:X171"/>
    <mergeCell ref="X172:X176"/>
    <mergeCell ref="X177:X181"/>
    <mergeCell ref="X182:X186"/>
    <mergeCell ref="X187:X191"/>
    <mergeCell ref="X192:X196"/>
    <mergeCell ref="X197:X201"/>
    <mergeCell ref="X202:X206"/>
    <mergeCell ref="X207:X211"/>
    <mergeCell ref="X212:X216"/>
    <mergeCell ref="X217:X221"/>
    <mergeCell ref="X222:X226"/>
    <mergeCell ref="X227:X231"/>
    <mergeCell ref="R1487:R1491"/>
    <mergeCell ref="R1492:R1496"/>
    <mergeCell ref="R1497:R1501"/>
    <mergeCell ref="R1502:R1506"/>
    <mergeCell ref="R1507:R1511"/>
    <mergeCell ref="R1512:R1516"/>
    <mergeCell ref="R1517:R1521"/>
    <mergeCell ref="R1522:R1526"/>
    <mergeCell ref="R1527:R1531"/>
    <mergeCell ref="R1532:R1536"/>
    <mergeCell ref="R1537:R1541"/>
    <mergeCell ref="R1542:R1546"/>
    <mergeCell ref="R1547:R1551"/>
    <mergeCell ref="R2:R6"/>
    <mergeCell ref="R7:R11"/>
    <mergeCell ref="X62:X66"/>
    <mergeCell ref="X67:X71"/>
    <mergeCell ref="X72:X76"/>
    <mergeCell ref="X77:X81"/>
    <mergeCell ref="X82:X86"/>
    <mergeCell ref="X87:X91"/>
    <mergeCell ref="X92:X96"/>
    <mergeCell ref="X97:X101"/>
    <mergeCell ref="X102:X106"/>
    <mergeCell ref="X107:X111"/>
    <mergeCell ref="X112:X116"/>
    <mergeCell ref="X117:X121"/>
    <mergeCell ref="X122:X126"/>
    <mergeCell ref="X127:X131"/>
    <mergeCell ref="X132:X136"/>
    <mergeCell ref="X137:X141"/>
    <mergeCell ref="X142:X146"/>
    <mergeCell ref="R1402:R1406"/>
    <mergeCell ref="R1407:R1411"/>
    <mergeCell ref="R1412:R1416"/>
    <mergeCell ref="R1417:R1421"/>
    <mergeCell ref="R1422:R1426"/>
    <mergeCell ref="R1427:R1431"/>
    <mergeCell ref="R1432:R1436"/>
    <mergeCell ref="R1437:R1441"/>
    <mergeCell ref="R1442:R1446"/>
    <mergeCell ref="R1447:R1451"/>
    <mergeCell ref="R1452:R1456"/>
    <mergeCell ref="R1457:R1461"/>
    <mergeCell ref="R1462:R1466"/>
    <mergeCell ref="R1467:R1471"/>
    <mergeCell ref="R1472:R1476"/>
    <mergeCell ref="R1477:R1481"/>
    <mergeCell ref="R1482:R1486"/>
    <mergeCell ref="R1317:R1321"/>
    <mergeCell ref="R1322:R1326"/>
    <mergeCell ref="R1327:R1331"/>
    <mergeCell ref="R1332:R1336"/>
    <mergeCell ref="R1337:R1341"/>
    <mergeCell ref="R1342:R1346"/>
    <mergeCell ref="R1347:R1351"/>
    <mergeCell ref="R1352:R1356"/>
    <mergeCell ref="R1357:R1361"/>
    <mergeCell ref="R1362:R1366"/>
    <mergeCell ref="R1367:R1371"/>
    <mergeCell ref="R1372:R1376"/>
    <mergeCell ref="R1377:R1381"/>
    <mergeCell ref="R1382:R1386"/>
    <mergeCell ref="R1387:R1391"/>
    <mergeCell ref="R1392:R1396"/>
    <mergeCell ref="R1397:R1401"/>
    <mergeCell ref="R1232:R1236"/>
    <mergeCell ref="R1237:R1241"/>
    <mergeCell ref="R1242:R1246"/>
    <mergeCell ref="R1247:R1251"/>
    <mergeCell ref="R1252:R1256"/>
    <mergeCell ref="R1257:R1261"/>
    <mergeCell ref="R1262:R1266"/>
    <mergeCell ref="R1267:R1271"/>
    <mergeCell ref="R1272:R1276"/>
    <mergeCell ref="R1277:R1281"/>
    <mergeCell ref="R1282:R1286"/>
    <mergeCell ref="R1287:R1291"/>
    <mergeCell ref="R1292:R1296"/>
    <mergeCell ref="R1297:R1301"/>
    <mergeCell ref="R1302:R1306"/>
    <mergeCell ref="R1307:R1311"/>
    <mergeCell ref="R1312:R1316"/>
    <mergeCell ref="R1147:R1151"/>
    <mergeCell ref="R1152:R1156"/>
    <mergeCell ref="R1157:R1161"/>
    <mergeCell ref="R1162:R1166"/>
    <mergeCell ref="R1167:R1171"/>
    <mergeCell ref="R1172:R1176"/>
    <mergeCell ref="R1177:R1181"/>
    <mergeCell ref="R1182:R1186"/>
    <mergeCell ref="R1187:R1191"/>
    <mergeCell ref="R1192:R1196"/>
    <mergeCell ref="R1197:R1201"/>
    <mergeCell ref="R1202:R1206"/>
    <mergeCell ref="R1207:R1211"/>
    <mergeCell ref="R1212:R1216"/>
    <mergeCell ref="R1217:R1221"/>
    <mergeCell ref="R1222:R1226"/>
    <mergeCell ref="R1227:R1231"/>
    <mergeCell ref="R1062:R1066"/>
    <mergeCell ref="R1067:R1071"/>
    <mergeCell ref="R1072:R1076"/>
    <mergeCell ref="R1077:R1081"/>
    <mergeCell ref="R1082:R1086"/>
    <mergeCell ref="R1087:R1091"/>
    <mergeCell ref="R1092:R1096"/>
    <mergeCell ref="R1097:R1101"/>
    <mergeCell ref="R1102:R1106"/>
    <mergeCell ref="R1107:R1111"/>
    <mergeCell ref="R1112:R1116"/>
    <mergeCell ref="R1117:R1121"/>
    <mergeCell ref="R1122:R1126"/>
    <mergeCell ref="R1127:R1131"/>
    <mergeCell ref="R1132:R1136"/>
    <mergeCell ref="R1137:R1141"/>
    <mergeCell ref="R1142:R1146"/>
    <mergeCell ref="R977:R981"/>
    <mergeCell ref="R982:R986"/>
    <mergeCell ref="R987:R991"/>
    <mergeCell ref="R992:R996"/>
    <mergeCell ref="R997:R1001"/>
    <mergeCell ref="R1002:R1006"/>
    <mergeCell ref="R1007:R1011"/>
    <mergeCell ref="R1012:R1016"/>
    <mergeCell ref="R1017:R1021"/>
    <mergeCell ref="R1022:R1026"/>
    <mergeCell ref="R1027:R1031"/>
    <mergeCell ref="R1032:R1036"/>
    <mergeCell ref="R1037:R1041"/>
    <mergeCell ref="R1042:R1046"/>
    <mergeCell ref="R1047:R1051"/>
    <mergeCell ref="R1052:R1056"/>
    <mergeCell ref="R1057:R1061"/>
    <mergeCell ref="R892:R896"/>
    <mergeCell ref="R897:R901"/>
    <mergeCell ref="R902:R906"/>
    <mergeCell ref="R907:R911"/>
    <mergeCell ref="R912:R916"/>
    <mergeCell ref="R917:R921"/>
    <mergeCell ref="R922:R926"/>
    <mergeCell ref="R927:R931"/>
    <mergeCell ref="R932:R936"/>
    <mergeCell ref="R937:R941"/>
    <mergeCell ref="R942:R946"/>
    <mergeCell ref="R947:R951"/>
    <mergeCell ref="R952:R956"/>
    <mergeCell ref="R957:R961"/>
    <mergeCell ref="R962:R966"/>
    <mergeCell ref="R967:R971"/>
    <mergeCell ref="R972:R976"/>
    <mergeCell ref="R807:R811"/>
    <mergeCell ref="R812:R816"/>
    <mergeCell ref="R817:R821"/>
    <mergeCell ref="R822:R826"/>
    <mergeCell ref="R827:R831"/>
    <mergeCell ref="R832:R836"/>
    <mergeCell ref="R837:R841"/>
    <mergeCell ref="R842:R846"/>
    <mergeCell ref="R847:R851"/>
    <mergeCell ref="R852:R856"/>
    <mergeCell ref="R857:R861"/>
    <mergeCell ref="R862:R866"/>
    <mergeCell ref="R867:R871"/>
    <mergeCell ref="R872:R876"/>
    <mergeCell ref="R877:R881"/>
    <mergeCell ref="R882:R886"/>
    <mergeCell ref="R887:R891"/>
    <mergeCell ref="R722:R726"/>
    <mergeCell ref="R727:R731"/>
    <mergeCell ref="R732:R736"/>
    <mergeCell ref="R737:R741"/>
    <mergeCell ref="R742:R746"/>
    <mergeCell ref="R747:R751"/>
    <mergeCell ref="R752:R756"/>
    <mergeCell ref="R757:R761"/>
    <mergeCell ref="R762:R766"/>
    <mergeCell ref="R767:R771"/>
    <mergeCell ref="R772:R776"/>
    <mergeCell ref="R777:R781"/>
    <mergeCell ref="R782:R786"/>
    <mergeCell ref="R787:R791"/>
    <mergeCell ref="R792:R796"/>
    <mergeCell ref="R797:R801"/>
    <mergeCell ref="R802:R806"/>
    <mergeCell ref="R637:R641"/>
    <mergeCell ref="R642:R646"/>
    <mergeCell ref="R647:R651"/>
    <mergeCell ref="R652:R656"/>
    <mergeCell ref="R657:R661"/>
    <mergeCell ref="R662:R666"/>
    <mergeCell ref="R667:R671"/>
    <mergeCell ref="R672:R676"/>
    <mergeCell ref="R677:R681"/>
    <mergeCell ref="R682:R686"/>
    <mergeCell ref="R687:R691"/>
    <mergeCell ref="R692:R696"/>
    <mergeCell ref="R697:R701"/>
    <mergeCell ref="R702:R706"/>
    <mergeCell ref="R707:R711"/>
    <mergeCell ref="R712:R716"/>
    <mergeCell ref="R717:R721"/>
    <mergeCell ref="R552:R556"/>
    <mergeCell ref="R557:R561"/>
    <mergeCell ref="R562:R566"/>
    <mergeCell ref="R567:R571"/>
    <mergeCell ref="R572:R576"/>
    <mergeCell ref="R577:R581"/>
    <mergeCell ref="R582:R586"/>
    <mergeCell ref="R587:R591"/>
    <mergeCell ref="R592:R596"/>
    <mergeCell ref="R597:R601"/>
    <mergeCell ref="R602:R606"/>
    <mergeCell ref="R607:R611"/>
    <mergeCell ref="R612:R616"/>
    <mergeCell ref="R617:R621"/>
    <mergeCell ref="R622:R626"/>
    <mergeCell ref="R627:R631"/>
    <mergeCell ref="R632:R636"/>
    <mergeCell ref="R467:R471"/>
    <mergeCell ref="R472:R476"/>
    <mergeCell ref="R477:R481"/>
    <mergeCell ref="R482:R486"/>
    <mergeCell ref="R487:R491"/>
    <mergeCell ref="R492:R496"/>
    <mergeCell ref="R497:R501"/>
    <mergeCell ref="R502:R506"/>
    <mergeCell ref="R507:R511"/>
    <mergeCell ref="R512:R516"/>
    <mergeCell ref="R517:R521"/>
    <mergeCell ref="R522:R526"/>
    <mergeCell ref="R527:R531"/>
    <mergeCell ref="R532:R536"/>
    <mergeCell ref="R537:R541"/>
    <mergeCell ref="R542:R546"/>
    <mergeCell ref="R547:R551"/>
    <mergeCell ref="R382:R386"/>
    <mergeCell ref="R387:R391"/>
    <mergeCell ref="R392:R396"/>
    <mergeCell ref="R397:R401"/>
    <mergeCell ref="R402:R406"/>
    <mergeCell ref="R407:R411"/>
    <mergeCell ref="R412:R416"/>
    <mergeCell ref="R417:R421"/>
    <mergeCell ref="R422:R426"/>
    <mergeCell ref="R427:R431"/>
    <mergeCell ref="R432:R436"/>
    <mergeCell ref="R437:R441"/>
    <mergeCell ref="R442:R446"/>
    <mergeCell ref="R447:R451"/>
    <mergeCell ref="R452:R456"/>
    <mergeCell ref="R457:R461"/>
    <mergeCell ref="R462:R466"/>
    <mergeCell ref="R297:R301"/>
    <mergeCell ref="R302:R306"/>
    <mergeCell ref="R307:R311"/>
    <mergeCell ref="R312:R316"/>
    <mergeCell ref="R317:R321"/>
    <mergeCell ref="R322:R326"/>
    <mergeCell ref="R327:R331"/>
    <mergeCell ref="R332:R336"/>
    <mergeCell ref="R337:R341"/>
    <mergeCell ref="R342:R346"/>
    <mergeCell ref="R347:R351"/>
    <mergeCell ref="R352:R356"/>
    <mergeCell ref="R357:R361"/>
    <mergeCell ref="R362:R366"/>
    <mergeCell ref="R367:R371"/>
    <mergeCell ref="R372:R376"/>
    <mergeCell ref="R377:R381"/>
    <mergeCell ref="R212:R216"/>
    <mergeCell ref="R217:R221"/>
    <mergeCell ref="R222:R226"/>
    <mergeCell ref="R227:R231"/>
    <mergeCell ref="R232:R236"/>
    <mergeCell ref="R237:R241"/>
    <mergeCell ref="R242:R246"/>
    <mergeCell ref="R247:R251"/>
    <mergeCell ref="R252:R256"/>
    <mergeCell ref="R257:R261"/>
    <mergeCell ref="R262:R266"/>
    <mergeCell ref="R267:R271"/>
    <mergeCell ref="R272:R276"/>
    <mergeCell ref="R277:R281"/>
    <mergeCell ref="R282:R286"/>
    <mergeCell ref="R287:R291"/>
    <mergeCell ref="R292:R296"/>
    <mergeCell ref="R127:R131"/>
    <mergeCell ref="R132:R136"/>
    <mergeCell ref="R137:R141"/>
    <mergeCell ref="R142:R146"/>
    <mergeCell ref="R147:R151"/>
    <mergeCell ref="R152:R156"/>
    <mergeCell ref="R157:R161"/>
    <mergeCell ref="R162:R166"/>
    <mergeCell ref="R167:R171"/>
    <mergeCell ref="R172:R176"/>
    <mergeCell ref="R177:R181"/>
    <mergeCell ref="R182:R186"/>
    <mergeCell ref="R187:R191"/>
    <mergeCell ref="R192:R196"/>
    <mergeCell ref="R197:R201"/>
    <mergeCell ref="R202:R206"/>
    <mergeCell ref="R207:R211"/>
    <mergeCell ref="R1722:R1726"/>
    <mergeCell ref="R1727:R1731"/>
    <mergeCell ref="R1732:R1736"/>
    <mergeCell ref="R1737:R1741"/>
    <mergeCell ref="R1742:R1746"/>
    <mergeCell ref="R12:R16"/>
    <mergeCell ref="R17:R21"/>
    <mergeCell ref="R22:R26"/>
    <mergeCell ref="R27:R31"/>
    <mergeCell ref="R32:R36"/>
    <mergeCell ref="R37:R41"/>
    <mergeCell ref="R42:R46"/>
    <mergeCell ref="R47:R51"/>
    <mergeCell ref="R52:R56"/>
    <mergeCell ref="R57:R61"/>
    <mergeCell ref="R62:R66"/>
    <mergeCell ref="R67:R71"/>
    <mergeCell ref="R72:R76"/>
    <mergeCell ref="R77:R81"/>
    <mergeCell ref="R82:R86"/>
    <mergeCell ref="R87:R91"/>
    <mergeCell ref="R92:R96"/>
    <mergeCell ref="R97:R101"/>
    <mergeCell ref="R102:R106"/>
    <mergeCell ref="R107:R111"/>
    <mergeCell ref="R112:R116"/>
    <mergeCell ref="R117:R121"/>
    <mergeCell ref="R122:R126"/>
    <mergeCell ref="R1637:R1641"/>
    <mergeCell ref="R1642:R1646"/>
    <mergeCell ref="R1647:R1651"/>
    <mergeCell ref="R1652:R1656"/>
    <mergeCell ref="R1657:R1661"/>
    <mergeCell ref="R1662:R1666"/>
    <mergeCell ref="R1667:R1671"/>
    <mergeCell ref="R1672:R1676"/>
    <mergeCell ref="R1677:R1681"/>
    <mergeCell ref="R1682:R1686"/>
    <mergeCell ref="R1687:R1691"/>
    <mergeCell ref="R1692:R1696"/>
    <mergeCell ref="R1697:R1701"/>
    <mergeCell ref="R1702:R1706"/>
    <mergeCell ref="R1707:R1711"/>
    <mergeCell ref="R1712:R1716"/>
    <mergeCell ref="R1717:R1721"/>
    <mergeCell ref="R1552:R1556"/>
    <mergeCell ref="R1557:R1561"/>
    <mergeCell ref="R1562:R1566"/>
    <mergeCell ref="R1567:R1571"/>
    <mergeCell ref="R1572:R1576"/>
    <mergeCell ref="R1577:R1581"/>
    <mergeCell ref="R1582:R1586"/>
    <mergeCell ref="R1587:R1591"/>
    <mergeCell ref="R1592:R1596"/>
    <mergeCell ref="R1597:R1601"/>
    <mergeCell ref="R1602:R1606"/>
    <mergeCell ref="R1607:R1611"/>
    <mergeCell ref="R1612:R1616"/>
    <mergeCell ref="R1617:R1621"/>
    <mergeCell ref="R1622:R1626"/>
    <mergeCell ref="R1627:R1631"/>
    <mergeCell ref="R1632:R1636"/>
    <mergeCell ref="F1727:F1731"/>
    <mergeCell ref="F1732:F1736"/>
    <mergeCell ref="F1737:F1741"/>
    <mergeCell ref="F1742:F1746"/>
    <mergeCell ref="F1617:F1621"/>
    <mergeCell ref="F1622:F1626"/>
    <mergeCell ref="F1627:F1631"/>
    <mergeCell ref="F1632:F1636"/>
    <mergeCell ref="F1637:F1641"/>
    <mergeCell ref="F1642:F1646"/>
    <mergeCell ref="F1647:F1651"/>
    <mergeCell ref="F1652:F1656"/>
    <mergeCell ref="F1657:F1661"/>
    <mergeCell ref="F1662:F1666"/>
    <mergeCell ref="F1667:F1671"/>
    <mergeCell ref="F1672:F1676"/>
    <mergeCell ref="F1677:F1681"/>
    <mergeCell ref="F1682:F1686"/>
    <mergeCell ref="F1687:F1691"/>
    <mergeCell ref="F1692:F1696"/>
    <mergeCell ref="F1697:F1701"/>
    <mergeCell ref="F1557:F1561"/>
    <mergeCell ref="F1562:F1566"/>
    <mergeCell ref="F1567:F1571"/>
    <mergeCell ref="F1572:F1576"/>
    <mergeCell ref="F1577:F1581"/>
    <mergeCell ref="F1582:F1586"/>
    <mergeCell ref="F1587:F1591"/>
    <mergeCell ref="F1592:F1596"/>
    <mergeCell ref="F1597:F1601"/>
    <mergeCell ref="F1602:F1606"/>
    <mergeCell ref="F1607:F1611"/>
    <mergeCell ref="F1612:F1616"/>
    <mergeCell ref="F1702:F1706"/>
    <mergeCell ref="F1707:F1711"/>
    <mergeCell ref="F1712:F1716"/>
    <mergeCell ref="F1717:F1721"/>
    <mergeCell ref="F1722:F1726"/>
    <mergeCell ref="F1472:F1476"/>
    <mergeCell ref="F1477:F1481"/>
    <mergeCell ref="F1482:F1486"/>
    <mergeCell ref="F1487:F1491"/>
    <mergeCell ref="F1492:F1496"/>
    <mergeCell ref="F1497:F1501"/>
    <mergeCell ref="F1502:F1506"/>
    <mergeCell ref="F1507:F1511"/>
    <mergeCell ref="F1512:F1516"/>
    <mergeCell ref="F1517:F1521"/>
    <mergeCell ref="F1522:F1526"/>
    <mergeCell ref="F1527:F1531"/>
    <mergeCell ref="F1532:F1536"/>
    <mergeCell ref="F1537:F1541"/>
    <mergeCell ref="F1542:F1546"/>
    <mergeCell ref="F1547:F1551"/>
    <mergeCell ref="F1552:F1556"/>
    <mergeCell ref="F1387:F1391"/>
    <mergeCell ref="F1392:F1396"/>
    <mergeCell ref="F1397:F1401"/>
    <mergeCell ref="F1402:F1406"/>
    <mergeCell ref="F1407:F1411"/>
    <mergeCell ref="F1412:F1416"/>
    <mergeCell ref="F1417:F1421"/>
    <mergeCell ref="F1422:F1426"/>
    <mergeCell ref="F1427:F1431"/>
    <mergeCell ref="F1432:F1436"/>
    <mergeCell ref="F1437:F1441"/>
    <mergeCell ref="F1442:F1446"/>
    <mergeCell ref="F1447:F1451"/>
    <mergeCell ref="F1452:F1456"/>
    <mergeCell ref="F1457:F1461"/>
    <mergeCell ref="F1462:F1466"/>
    <mergeCell ref="F1467:F1471"/>
    <mergeCell ref="F1302:F1306"/>
    <mergeCell ref="F1307:F1311"/>
    <mergeCell ref="F1312:F1316"/>
    <mergeCell ref="F1317:F1321"/>
    <mergeCell ref="F1322:F1326"/>
    <mergeCell ref="F1327:F1331"/>
    <mergeCell ref="F1332:F1336"/>
    <mergeCell ref="F1337:F1341"/>
    <mergeCell ref="F1342:F1346"/>
    <mergeCell ref="F1347:F1351"/>
    <mergeCell ref="F1352:F1356"/>
    <mergeCell ref="F1357:F1361"/>
    <mergeCell ref="F1362:F1366"/>
    <mergeCell ref="F1367:F1371"/>
    <mergeCell ref="F1372:F1376"/>
    <mergeCell ref="F1377:F1381"/>
    <mergeCell ref="F1382:F1386"/>
    <mergeCell ref="F1217:F1221"/>
    <mergeCell ref="F1222:F1226"/>
    <mergeCell ref="F1227:F1231"/>
    <mergeCell ref="F1232:F1236"/>
    <mergeCell ref="F1237:F1241"/>
    <mergeCell ref="F1242:F1246"/>
    <mergeCell ref="F1247:F1251"/>
    <mergeCell ref="F1252:F1256"/>
    <mergeCell ref="F1257:F1261"/>
    <mergeCell ref="F1262:F1266"/>
    <mergeCell ref="F1267:F1271"/>
    <mergeCell ref="F1272:F1276"/>
    <mergeCell ref="F1277:F1281"/>
    <mergeCell ref="F1282:F1286"/>
    <mergeCell ref="F1287:F1291"/>
    <mergeCell ref="F1292:F1296"/>
    <mergeCell ref="F1297:F1301"/>
    <mergeCell ref="F1132:F1136"/>
    <mergeCell ref="F1137:F1141"/>
    <mergeCell ref="F1142:F1146"/>
    <mergeCell ref="F1147:F1151"/>
    <mergeCell ref="F1152:F1156"/>
    <mergeCell ref="F1157:F1161"/>
    <mergeCell ref="F1162:F1166"/>
    <mergeCell ref="F1167:F1171"/>
    <mergeCell ref="F1172:F1176"/>
    <mergeCell ref="F1177:F1181"/>
    <mergeCell ref="F1182:F1186"/>
    <mergeCell ref="F1187:F1191"/>
    <mergeCell ref="F1192:F1196"/>
    <mergeCell ref="F1197:F1201"/>
    <mergeCell ref="F1202:F1206"/>
    <mergeCell ref="F1207:F1211"/>
    <mergeCell ref="F1212:F1216"/>
    <mergeCell ref="F1047:F1051"/>
    <mergeCell ref="F1052:F1056"/>
    <mergeCell ref="F1057:F1061"/>
    <mergeCell ref="F1062:F1066"/>
    <mergeCell ref="F1067:F1071"/>
    <mergeCell ref="F1072:F1076"/>
    <mergeCell ref="F1077:F1081"/>
    <mergeCell ref="F1082:F1086"/>
    <mergeCell ref="F1087:F1091"/>
    <mergeCell ref="F1092:F1096"/>
    <mergeCell ref="F1097:F1101"/>
    <mergeCell ref="F1102:F1106"/>
    <mergeCell ref="F1107:F1111"/>
    <mergeCell ref="F1112:F1116"/>
    <mergeCell ref="F1117:F1121"/>
    <mergeCell ref="F1122:F1126"/>
    <mergeCell ref="F1127:F1131"/>
    <mergeCell ref="F962:F966"/>
    <mergeCell ref="F967:F971"/>
    <mergeCell ref="F972:F976"/>
    <mergeCell ref="F977:F981"/>
    <mergeCell ref="F982:F986"/>
    <mergeCell ref="F987:F991"/>
    <mergeCell ref="F992:F996"/>
    <mergeCell ref="F997:F1001"/>
    <mergeCell ref="F1002:F1006"/>
    <mergeCell ref="F1007:F1011"/>
    <mergeCell ref="F1012:F1016"/>
    <mergeCell ref="F1017:F1021"/>
    <mergeCell ref="F1022:F1026"/>
    <mergeCell ref="F1027:F1031"/>
    <mergeCell ref="F1032:F1036"/>
    <mergeCell ref="F1037:F1041"/>
    <mergeCell ref="F1042:F1046"/>
    <mergeCell ref="F877:F881"/>
    <mergeCell ref="F882:F886"/>
    <mergeCell ref="F887:F891"/>
    <mergeCell ref="F892:F896"/>
    <mergeCell ref="F897:F901"/>
    <mergeCell ref="F902:F906"/>
    <mergeCell ref="F907:F911"/>
    <mergeCell ref="F912:F916"/>
    <mergeCell ref="F917:F921"/>
    <mergeCell ref="F922:F926"/>
    <mergeCell ref="F927:F931"/>
    <mergeCell ref="F932:F936"/>
    <mergeCell ref="F937:F941"/>
    <mergeCell ref="F942:F946"/>
    <mergeCell ref="F947:F951"/>
    <mergeCell ref="F952:F956"/>
    <mergeCell ref="F957:F961"/>
    <mergeCell ref="F792:F796"/>
    <mergeCell ref="F797:F801"/>
    <mergeCell ref="F802:F806"/>
    <mergeCell ref="F807:F811"/>
    <mergeCell ref="F812:F816"/>
    <mergeCell ref="F817:F821"/>
    <mergeCell ref="F822:F826"/>
    <mergeCell ref="F827:F831"/>
    <mergeCell ref="F832:F836"/>
    <mergeCell ref="F837:F841"/>
    <mergeCell ref="F842:F846"/>
    <mergeCell ref="F847:F851"/>
    <mergeCell ref="F852:F856"/>
    <mergeCell ref="F857:F861"/>
    <mergeCell ref="F862:F866"/>
    <mergeCell ref="F867:F871"/>
    <mergeCell ref="F872:F876"/>
    <mergeCell ref="F707:F711"/>
    <mergeCell ref="F712:F716"/>
    <mergeCell ref="F717:F721"/>
    <mergeCell ref="F722:F726"/>
    <mergeCell ref="F727:F731"/>
    <mergeCell ref="F732:F736"/>
    <mergeCell ref="F737:F741"/>
    <mergeCell ref="F742:F746"/>
    <mergeCell ref="F747:F751"/>
    <mergeCell ref="F752:F756"/>
    <mergeCell ref="F757:F761"/>
    <mergeCell ref="F762:F766"/>
    <mergeCell ref="F767:F771"/>
    <mergeCell ref="F772:F776"/>
    <mergeCell ref="F777:F781"/>
    <mergeCell ref="F782:F786"/>
    <mergeCell ref="F787:F791"/>
    <mergeCell ref="F622:F626"/>
    <mergeCell ref="F627:F631"/>
    <mergeCell ref="F632:F636"/>
    <mergeCell ref="F637:F641"/>
    <mergeCell ref="F642:F646"/>
    <mergeCell ref="F647:F651"/>
    <mergeCell ref="F652:F656"/>
    <mergeCell ref="F657:F661"/>
    <mergeCell ref="F662:F666"/>
    <mergeCell ref="F667:F671"/>
    <mergeCell ref="F672:F676"/>
    <mergeCell ref="F677:F681"/>
    <mergeCell ref="F682:F686"/>
    <mergeCell ref="F687:F691"/>
    <mergeCell ref="F692:F696"/>
    <mergeCell ref="F697:F701"/>
    <mergeCell ref="F702:F706"/>
    <mergeCell ref="F537:F541"/>
    <mergeCell ref="F542:F546"/>
    <mergeCell ref="F547:F551"/>
    <mergeCell ref="F552:F556"/>
    <mergeCell ref="F557:F561"/>
    <mergeCell ref="F562:F566"/>
    <mergeCell ref="F567:F571"/>
    <mergeCell ref="F572:F576"/>
    <mergeCell ref="F577:F581"/>
    <mergeCell ref="F582:F586"/>
    <mergeCell ref="F587:F591"/>
    <mergeCell ref="F592:F596"/>
    <mergeCell ref="F597:F601"/>
    <mergeCell ref="F602:F606"/>
    <mergeCell ref="F607:F611"/>
    <mergeCell ref="F612:F616"/>
    <mergeCell ref="F617:F621"/>
    <mergeCell ref="F452:F456"/>
    <mergeCell ref="F457:F461"/>
    <mergeCell ref="F462:F466"/>
    <mergeCell ref="F467:F471"/>
    <mergeCell ref="F472:F476"/>
    <mergeCell ref="F477:F481"/>
    <mergeCell ref="F482:F486"/>
    <mergeCell ref="F487:F491"/>
    <mergeCell ref="F492:F496"/>
    <mergeCell ref="F497:F501"/>
    <mergeCell ref="F502:F506"/>
    <mergeCell ref="F507:F511"/>
    <mergeCell ref="F512:F516"/>
    <mergeCell ref="F517:F521"/>
    <mergeCell ref="F522:F526"/>
    <mergeCell ref="F527:F531"/>
    <mergeCell ref="F532:F536"/>
    <mergeCell ref="F367:F371"/>
    <mergeCell ref="F372:F376"/>
    <mergeCell ref="F377:F381"/>
    <mergeCell ref="F382:F386"/>
    <mergeCell ref="F387:F391"/>
    <mergeCell ref="F392:F396"/>
    <mergeCell ref="F397:F401"/>
    <mergeCell ref="F402:F406"/>
    <mergeCell ref="F407:F411"/>
    <mergeCell ref="F412:F416"/>
    <mergeCell ref="F417:F421"/>
    <mergeCell ref="F422:F426"/>
    <mergeCell ref="F427:F431"/>
    <mergeCell ref="F432:F436"/>
    <mergeCell ref="F437:F441"/>
    <mergeCell ref="F442:F446"/>
    <mergeCell ref="F447:F451"/>
    <mergeCell ref="F282:F286"/>
    <mergeCell ref="F287:F291"/>
    <mergeCell ref="F292:F296"/>
    <mergeCell ref="F297:F301"/>
    <mergeCell ref="F302:F306"/>
    <mergeCell ref="F307:F311"/>
    <mergeCell ref="F312:F316"/>
    <mergeCell ref="F317:F321"/>
    <mergeCell ref="F322:F326"/>
    <mergeCell ref="F327:F331"/>
    <mergeCell ref="F332:F336"/>
    <mergeCell ref="F337:F341"/>
    <mergeCell ref="F342:F346"/>
    <mergeCell ref="F347:F351"/>
    <mergeCell ref="F352:F356"/>
    <mergeCell ref="F357:F361"/>
    <mergeCell ref="F362:F366"/>
    <mergeCell ref="F197:F201"/>
    <mergeCell ref="F202:F206"/>
    <mergeCell ref="F207:F211"/>
    <mergeCell ref="F212:F216"/>
    <mergeCell ref="F217:F221"/>
    <mergeCell ref="F222:F226"/>
    <mergeCell ref="F227:F231"/>
    <mergeCell ref="F232:F236"/>
    <mergeCell ref="F237:F241"/>
    <mergeCell ref="F242:F246"/>
    <mergeCell ref="F247:F251"/>
    <mergeCell ref="F252:F256"/>
    <mergeCell ref="F257:F261"/>
    <mergeCell ref="F262:F266"/>
    <mergeCell ref="F267:F271"/>
    <mergeCell ref="F272:F276"/>
    <mergeCell ref="F277:F281"/>
    <mergeCell ref="F112:F116"/>
    <mergeCell ref="F117:F121"/>
    <mergeCell ref="F122:F126"/>
    <mergeCell ref="F127:F131"/>
    <mergeCell ref="F132:F136"/>
    <mergeCell ref="F137:F141"/>
    <mergeCell ref="F142:F146"/>
    <mergeCell ref="F147:F151"/>
    <mergeCell ref="F152:F156"/>
    <mergeCell ref="F157:F161"/>
    <mergeCell ref="F162:F166"/>
    <mergeCell ref="F167:F171"/>
    <mergeCell ref="F172:F176"/>
    <mergeCell ref="F177:F181"/>
    <mergeCell ref="F182:F186"/>
    <mergeCell ref="F187:F191"/>
    <mergeCell ref="F192:F196"/>
    <mergeCell ref="F27:F31"/>
    <mergeCell ref="F32:F36"/>
    <mergeCell ref="F37:F41"/>
    <mergeCell ref="F42:F46"/>
    <mergeCell ref="F47:F51"/>
    <mergeCell ref="F52:F56"/>
    <mergeCell ref="F57:F61"/>
    <mergeCell ref="F62:F66"/>
    <mergeCell ref="F67:F71"/>
    <mergeCell ref="F72:F76"/>
    <mergeCell ref="F77:F81"/>
    <mergeCell ref="F82:F86"/>
    <mergeCell ref="F87:F91"/>
    <mergeCell ref="F92:F96"/>
    <mergeCell ref="F97:F101"/>
    <mergeCell ref="F102:F106"/>
    <mergeCell ref="F107:F111"/>
    <mergeCell ref="T1747:T1751"/>
    <mergeCell ref="U1747:U1751"/>
    <mergeCell ref="V1747:V1751"/>
    <mergeCell ref="W1747:W1751"/>
    <mergeCell ref="T1752:T1756"/>
    <mergeCell ref="U1752:U1756"/>
    <mergeCell ref="V1752:V1756"/>
    <mergeCell ref="W1752:W1756"/>
    <mergeCell ref="T1737:T1741"/>
    <mergeCell ref="U1737:U1741"/>
    <mergeCell ref="V1737:V1741"/>
    <mergeCell ref="W1737:W1741"/>
    <mergeCell ref="T1742:T1746"/>
    <mergeCell ref="U1742:U1746"/>
    <mergeCell ref="V1742:V1746"/>
    <mergeCell ref="W1742:W1746"/>
    <mergeCell ref="T1727:T1731"/>
    <mergeCell ref="U1727:U1731"/>
    <mergeCell ref="V1727:V1731"/>
    <mergeCell ref="W1727:W1731"/>
    <mergeCell ref="T1732:T1736"/>
    <mergeCell ref="U1732:U1736"/>
    <mergeCell ref="V1732:V1736"/>
    <mergeCell ref="W1732:W1736"/>
    <mergeCell ref="T1717:T1721"/>
    <mergeCell ref="U1717:U1721"/>
    <mergeCell ref="V1717:V1721"/>
    <mergeCell ref="W1717:W1721"/>
    <mergeCell ref="T1722:T1726"/>
    <mergeCell ref="U1722:U1726"/>
    <mergeCell ref="V1722:V1726"/>
    <mergeCell ref="W1722:W1726"/>
    <mergeCell ref="T1707:T1711"/>
    <mergeCell ref="U1707:U1711"/>
    <mergeCell ref="V1707:V1711"/>
    <mergeCell ref="W1707:W1711"/>
    <mergeCell ref="T1712:T1716"/>
    <mergeCell ref="U1712:U1716"/>
    <mergeCell ref="V1712:V1716"/>
    <mergeCell ref="W1712:W1716"/>
    <mergeCell ref="T1697:T1701"/>
    <mergeCell ref="U1697:U1701"/>
    <mergeCell ref="V1697:V1701"/>
    <mergeCell ref="W1697:W1701"/>
    <mergeCell ref="T1702:T1706"/>
    <mergeCell ref="U1702:U1706"/>
    <mergeCell ref="V1702:V1706"/>
    <mergeCell ref="W1702:W1706"/>
    <mergeCell ref="T1687:T1691"/>
    <mergeCell ref="U1687:U1691"/>
    <mergeCell ref="V1687:V1691"/>
    <mergeCell ref="W1687:W1691"/>
    <mergeCell ref="T1692:T1696"/>
    <mergeCell ref="U1692:U1696"/>
    <mergeCell ref="V1692:V1696"/>
    <mergeCell ref="W1692:W1696"/>
    <mergeCell ref="T1677:T1681"/>
    <mergeCell ref="U1677:U1681"/>
    <mergeCell ref="V1677:V1681"/>
    <mergeCell ref="W1677:W1681"/>
    <mergeCell ref="T1682:T1686"/>
    <mergeCell ref="U1682:U1686"/>
    <mergeCell ref="V1682:V1686"/>
    <mergeCell ref="W1682:W1686"/>
    <mergeCell ref="T1667:T1671"/>
    <mergeCell ref="U1667:U1671"/>
    <mergeCell ref="V1667:V1671"/>
    <mergeCell ref="W1667:W1671"/>
    <mergeCell ref="T1672:T1676"/>
    <mergeCell ref="U1672:U1676"/>
    <mergeCell ref="V1672:V1676"/>
    <mergeCell ref="W1672:W1676"/>
    <mergeCell ref="T1657:T1661"/>
    <mergeCell ref="U1657:U1661"/>
    <mergeCell ref="V1657:V1661"/>
    <mergeCell ref="W1657:W1661"/>
    <mergeCell ref="T1662:T1666"/>
    <mergeCell ref="U1662:U1666"/>
    <mergeCell ref="V1662:V1666"/>
    <mergeCell ref="W1662:W1666"/>
    <mergeCell ref="T1647:T1651"/>
    <mergeCell ref="U1647:U1651"/>
    <mergeCell ref="V1647:V1651"/>
    <mergeCell ref="W1647:W1651"/>
    <mergeCell ref="T1652:T1656"/>
    <mergeCell ref="U1652:U1656"/>
    <mergeCell ref="V1652:V1656"/>
    <mergeCell ref="W1652:W1656"/>
    <mergeCell ref="T1637:T1641"/>
    <mergeCell ref="U1637:U1641"/>
    <mergeCell ref="V1637:V1641"/>
    <mergeCell ref="W1637:W1641"/>
    <mergeCell ref="T1642:T1646"/>
    <mergeCell ref="U1642:U1646"/>
    <mergeCell ref="V1642:V1646"/>
    <mergeCell ref="W1642:W1646"/>
    <mergeCell ref="T1627:T1631"/>
    <mergeCell ref="U1627:U1631"/>
    <mergeCell ref="V1627:V1631"/>
    <mergeCell ref="W1627:W1631"/>
    <mergeCell ref="T1632:T1636"/>
    <mergeCell ref="U1632:U1636"/>
    <mergeCell ref="V1632:V1636"/>
    <mergeCell ref="W1632:W1636"/>
    <mergeCell ref="T1617:T1621"/>
    <mergeCell ref="U1617:U1621"/>
    <mergeCell ref="V1617:V1621"/>
    <mergeCell ref="W1617:W1621"/>
    <mergeCell ref="T1622:T1626"/>
    <mergeCell ref="U1622:U1626"/>
    <mergeCell ref="V1622:V1626"/>
    <mergeCell ref="W1622:W1626"/>
    <mergeCell ref="T1607:T1611"/>
    <mergeCell ref="U1607:U1611"/>
    <mergeCell ref="V1607:V1611"/>
    <mergeCell ref="W1607:W1611"/>
    <mergeCell ref="T1612:T1616"/>
    <mergeCell ref="U1612:U1616"/>
    <mergeCell ref="V1612:V1616"/>
    <mergeCell ref="W1612:W1616"/>
    <mergeCell ref="T1597:T1601"/>
    <mergeCell ref="U1597:U1601"/>
    <mergeCell ref="V1597:V1601"/>
    <mergeCell ref="W1597:W1601"/>
    <mergeCell ref="T1602:T1606"/>
    <mergeCell ref="U1602:U1606"/>
    <mergeCell ref="V1602:V1606"/>
    <mergeCell ref="W1602:W1606"/>
    <mergeCell ref="T1587:T1591"/>
    <mergeCell ref="U1587:U1591"/>
    <mergeCell ref="V1587:V1591"/>
    <mergeCell ref="W1587:W1591"/>
    <mergeCell ref="T1592:T1596"/>
    <mergeCell ref="U1592:U1596"/>
    <mergeCell ref="V1592:V1596"/>
    <mergeCell ref="W1592:W1596"/>
    <mergeCell ref="T1577:T1581"/>
    <mergeCell ref="U1577:U1581"/>
    <mergeCell ref="V1577:V1581"/>
    <mergeCell ref="W1577:W1581"/>
    <mergeCell ref="T1582:T1586"/>
    <mergeCell ref="U1582:U1586"/>
    <mergeCell ref="V1582:V1586"/>
    <mergeCell ref="W1582:W1586"/>
    <mergeCell ref="T1567:T1571"/>
    <mergeCell ref="U1567:U1571"/>
    <mergeCell ref="V1567:V1571"/>
    <mergeCell ref="W1567:W1571"/>
    <mergeCell ref="T1572:T1576"/>
    <mergeCell ref="U1572:U1576"/>
    <mergeCell ref="V1572:V1576"/>
    <mergeCell ref="W1572:W1576"/>
    <mergeCell ref="T1557:T1561"/>
    <mergeCell ref="U1557:U1561"/>
    <mergeCell ref="V1557:V1561"/>
    <mergeCell ref="W1557:W1561"/>
    <mergeCell ref="T1562:T1566"/>
    <mergeCell ref="U1562:U1566"/>
    <mergeCell ref="V1562:V1566"/>
    <mergeCell ref="W1562:W1566"/>
    <mergeCell ref="T1547:T1551"/>
    <mergeCell ref="U1547:U1551"/>
    <mergeCell ref="V1547:V1551"/>
    <mergeCell ref="W1547:W1551"/>
    <mergeCell ref="T1552:T1556"/>
    <mergeCell ref="U1552:U1556"/>
    <mergeCell ref="V1552:V1556"/>
    <mergeCell ref="W1552:W1556"/>
    <mergeCell ref="T1537:T1541"/>
    <mergeCell ref="U1537:U1541"/>
    <mergeCell ref="V1537:V1541"/>
    <mergeCell ref="W1537:W1541"/>
    <mergeCell ref="T1542:T1546"/>
    <mergeCell ref="U1542:U1546"/>
    <mergeCell ref="V1542:V1546"/>
    <mergeCell ref="W1542:W1546"/>
    <mergeCell ref="T1527:T1531"/>
    <mergeCell ref="U1527:U1531"/>
    <mergeCell ref="V1527:V1531"/>
    <mergeCell ref="W1527:W1531"/>
    <mergeCell ref="T1532:T1536"/>
    <mergeCell ref="U1532:U1536"/>
    <mergeCell ref="V1532:V1536"/>
    <mergeCell ref="W1532:W1536"/>
    <mergeCell ref="T1517:T1521"/>
    <mergeCell ref="U1517:U1521"/>
    <mergeCell ref="V1517:V1521"/>
    <mergeCell ref="W1517:W1521"/>
    <mergeCell ref="T1522:T1526"/>
    <mergeCell ref="U1522:U1526"/>
    <mergeCell ref="V1522:V1526"/>
    <mergeCell ref="W1522:W1526"/>
    <mergeCell ref="T1507:T1511"/>
    <mergeCell ref="U1507:U1511"/>
    <mergeCell ref="V1507:V1511"/>
    <mergeCell ref="W1507:W1511"/>
    <mergeCell ref="T1512:T1516"/>
    <mergeCell ref="U1512:U1516"/>
    <mergeCell ref="V1512:V1516"/>
    <mergeCell ref="W1512:W1516"/>
    <mergeCell ref="T1497:T1501"/>
    <mergeCell ref="U1497:U1501"/>
    <mergeCell ref="V1497:V1501"/>
    <mergeCell ref="W1497:W1501"/>
    <mergeCell ref="T1502:T1506"/>
    <mergeCell ref="U1502:U1506"/>
    <mergeCell ref="V1502:V1506"/>
    <mergeCell ref="W1502:W1506"/>
    <mergeCell ref="T1487:T1491"/>
    <mergeCell ref="U1487:U1491"/>
    <mergeCell ref="V1487:V1491"/>
    <mergeCell ref="W1487:W1491"/>
    <mergeCell ref="T1492:T1496"/>
    <mergeCell ref="U1492:U1496"/>
    <mergeCell ref="V1492:V1496"/>
    <mergeCell ref="W1492:W1496"/>
    <mergeCell ref="T1477:T1481"/>
    <mergeCell ref="U1477:U1481"/>
    <mergeCell ref="V1477:V1481"/>
    <mergeCell ref="W1477:W1481"/>
    <mergeCell ref="T1482:T1486"/>
    <mergeCell ref="U1482:U1486"/>
    <mergeCell ref="V1482:V1486"/>
    <mergeCell ref="W1482:W1486"/>
    <mergeCell ref="T1467:T1471"/>
    <mergeCell ref="U1467:U1471"/>
    <mergeCell ref="V1467:V1471"/>
    <mergeCell ref="W1467:W1471"/>
    <mergeCell ref="T1472:T1476"/>
    <mergeCell ref="U1472:U1476"/>
    <mergeCell ref="V1472:V1476"/>
    <mergeCell ref="W1472:W1476"/>
    <mergeCell ref="T1457:T1461"/>
    <mergeCell ref="U1457:U1461"/>
    <mergeCell ref="V1457:V1461"/>
    <mergeCell ref="W1457:W1461"/>
    <mergeCell ref="T1462:T1466"/>
    <mergeCell ref="U1462:U1466"/>
    <mergeCell ref="V1462:V1466"/>
    <mergeCell ref="W1462:W1466"/>
    <mergeCell ref="T1447:T1451"/>
    <mergeCell ref="U1447:U1451"/>
    <mergeCell ref="V1447:V1451"/>
    <mergeCell ref="W1447:W1451"/>
    <mergeCell ref="T1452:T1456"/>
    <mergeCell ref="U1452:U1456"/>
    <mergeCell ref="V1452:V1456"/>
    <mergeCell ref="W1452:W1456"/>
    <mergeCell ref="T1437:T1441"/>
    <mergeCell ref="U1437:U1441"/>
    <mergeCell ref="V1437:V1441"/>
    <mergeCell ref="W1437:W1441"/>
    <mergeCell ref="T1442:T1446"/>
    <mergeCell ref="U1442:U1446"/>
    <mergeCell ref="V1442:V1446"/>
    <mergeCell ref="W1442:W1446"/>
    <mergeCell ref="T1427:T1431"/>
    <mergeCell ref="U1427:U1431"/>
    <mergeCell ref="V1427:V1431"/>
    <mergeCell ref="W1427:W1431"/>
    <mergeCell ref="T1432:T1436"/>
    <mergeCell ref="U1432:U1436"/>
    <mergeCell ref="V1432:V1436"/>
    <mergeCell ref="W1432:W1436"/>
    <mergeCell ref="T1417:T1421"/>
    <mergeCell ref="U1417:U1421"/>
    <mergeCell ref="V1417:V1421"/>
    <mergeCell ref="W1417:W1421"/>
    <mergeCell ref="T1422:T1426"/>
    <mergeCell ref="U1422:U1426"/>
    <mergeCell ref="V1422:V1426"/>
    <mergeCell ref="W1422:W1426"/>
    <mergeCell ref="T1407:T1411"/>
    <mergeCell ref="U1407:U1411"/>
    <mergeCell ref="V1407:V1411"/>
    <mergeCell ref="W1407:W1411"/>
    <mergeCell ref="T1412:T1416"/>
    <mergeCell ref="U1412:U1416"/>
    <mergeCell ref="V1412:V1416"/>
    <mergeCell ref="W1412:W1416"/>
    <mergeCell ref="T1397:T1401"/>
    <mergeCell ref="U1397:U1401"/>
    <mergeCell ref="V1397:V1401"/>
    <mergeCell ref="W1397:W1401"/>
    <mergeCell ref="T1402:T1406"/>
    <mergeCell ref="U1402:U1406"/>
    <mergeCell ref="V1402:V1406"/>
    <mergeCell ref="W1402:W1406"/>
    <mergeCell ref="T1387:T1391"/>
    <mergeCell ref="U1387:U1391"/>
    <mergeCell ref="V1387:V1391"/>
    <mergeCell ref="W1387:W1391"/>
    <mergeCell ref="T1392:T1396"/>
    <mergeCell ref="U1392:U1396"/>
    <mergeCell ref="V1392:V1396"/>
    <mergeCell ref="W1392:W1396"/>
    <mergeCell ref="T1377:T1381"/>
    <mergeCell ref="U1377:U1381"/>
    <mergeCell ref="V1377:V1381"/>
    <mergeCell ref="W1377:W1381"/>
    <mergeCell ref="T1382:T1386"/>
    <mergeCell ref="U1382:U1386"/>
    <mergeCell ref="V1382:V1386"/>
    <mergeCell ref="W1382:W1386"/>
    <mergeCell ref="T1367:T1371"/>
    <mergeCell ref="U1367:U1371"/>
    <mergeCell ref="V1367:V1371"/>
    <mergeCell ref="W1367:W1371"/>
    <mergeCell ref="T1372:T1376"/>
    <mergeCell ref="U1372:U1376"/>
    <mergeCell ref="V1372:V1376"/>
    <mergeCell ref="W1372:W1376"/>
    <mergeCell ref="T1357:T1361"/>
    <mergeCell ref="U1357:U1361"/>
    <mergeCell ref="V1357:V1361"/>
    <mergeCell ref="W1357:W1361"/>
    <mergeCell ref="T1362:T1366"/>
    <mergeCell ref="U1362:U1366"/>
    <mergeCell ref="V1362:V1366"/>
    <mergeCell ref="W1362:W1366"/>
    <mergeCell ref="T1347:T1351"/>
    <mergeCell ref="U1347:U1351"/>
    <mergeCell ref="V1347:V1351"/>
    <mergeCell ref="W1347:W1351"/>
    <mergeCell ref="T1352:T1356"/>
    <mergeCell ref="U1352:U1356"/>
    <mergeCell ref="V1352:V1356"/>
    <mergeCell ref="W1352:W1356"/>
    <mergeCell ref="T1337:T1341"/>
    <mergeCell ref="U1337:U1341"/>
    <mergeCell ref="V1337:V1341"/>
    <mergeCell ref="W1337:W1341"/>
    <mergeCell ref="T1342:T1346"/>
    <mergeCell ref="U1342:U1346"/>
    <mergeCell ref="V1342:V1346"/>
    <mergeCell ref="W1342:W1346"/>
    <mergeCell ref="T1327:T1331"/>
    <mergeCell ref="U1327:U1331"/>
    <mergeCell ref="V1327:V1331"/>
    <mergeCell ref="W1327:W1331"/>
    <mergeCell ref="T1332:T1336"/>
    <mergeCell ref="U1332:U1336"/>
    <mergeCell ref="V1332:V1336"/>
    <mergeCell ref="W1332:W1336"/>
    <mergeCell ref="T1317:T1321"/>
    <mergeCell ref="U1317:U1321"/>
    <mergeCell ref="V1317:V1321"/>
    <mergeCell ref="W1317:W1321"/>
    <mergeCell ref="T1322:T1326"/>
    <mergeCell ref="U1322:U1326"/>
    <mergeCell ref="V1322:V1326"/>
    <mergeCell ref="W1322:W1326"/>
    <mergeCell ref="T1307:T1311"/>
    <mergeCell ref="U1307:U1311"/>
    <mergeCell ref="V1307:V1311"/>
    <mergeCell ref="W1307:W1311"/>
    <mergeCell ref="T1312:T1316"/>
    <mergeCell ref="U1312:U1316"/>
    <mergeCell ref="V1312:V1316"/>
    <mergeCell ref="W1312:W1316"/>
    <mergeCell ref="T1297:T1301"/>
    <mergeCell ref="U1297:U1301"/>
    <mergeCell ref="V1297:V1301"/>
    <mergeCell ref="W1297:W1301"/>
    <mergeCell ref="T1302:T1306"/>
    <mergeCell ref="U1302:U1306"/>
    <mergeCell ref="V1302:V1306"/>
    <mergeCell ref="W1302:W1306"/>
    <mergeCell ref="T1287:T1291"/>
    <mergeCell ref="U1287:U1291"/>
    <mergeCell ref="V1287:V1291"/>
    <mergeCell ref="W1287:W1291"/>
    <mergeCell ref="T1292:T1296"/>
    <mergeCell ref="U1292:U1296"/>
    <mergeCell ref="V1292:V1296"/>
    <mergeCell ref="W1292:W1296"/>
    <mergeCell ref="T1277:T1281"/>
    <mergeCell ref="U1277:U1281"/>
    <mergeCell ref="V1277:V1281"/>
    <mergeCell ref="W1277:W1281"/>
    <mergeCell ref="T1282:T1286"/>
    <mergeCell ref="U1282:U1286"/>
    <mergeCell ref="V1282:V1286"/>
    <mergeCell ref="W1282:W1286"/>
    <mergeCell ref="T1267:T1271"/>
    <mergeCell ref="U1267:U1271"/>
    <mergeCell ref="V1267:V1271"/>
    <mergeCell ref="W1267:W1271"/>
    <mergeCell ref="T1272:T1276"/>
    <mergeCell ref="U1272:U1276"/>
    <mergeCell ref="V1272:V1276"/>
    <mergeCell ref="W1272:W1276"/>
    <mergeCell ref="T1257:T1261"/>
    <mergeCell ref="U1257:U1261"/>
    <mergeCell ref="V1257:V1261"/>
    <mergeCell ref="W1257:W1261"/>
    <mergeCell ref="T1262:T1266"/>
    <mergeCell ref="U1262:U1266"/>
    <mergeCell ref="V1262:V1266"/>
    <mergeCell ref="W1262:W1266"/>
    <mergeCell ref="T1247:T1251"/>
    <mergeCell ref="U1247:U1251"/>
    <mergeCell ref="V1247:V1251"/>
    <mergeCell ref="W1247:W1251"/>
    <mergeCell ref="T1252:T1256"/>
    <mergeCell ref="U1252:U1256"/>
    <mergeCell ref="V1252:V1256"/>
    <mergeCell ref="W1252:W1256"/>
    <mergeCell ref="T1237:T1241"/>
    <mergeCell ref="U1237:U1241"/>
    <mergeCell ref="V1237:V1241"/>
    <mergeCell ref="W1237:W1241"/>
    <mergeCell ref="T1242:T1246"/>
    <mergeCell ref="U1242:U1246"/>
    <mergeCell ref="V1242:V1246"/>
    <mergeCell ref="W1242:W1246"/>
    <mergeCell ref="T1227:T1231"/>
    <mergeCell ref="U1227:U1231"/>
    <mergeCell ref="V1227:V1231"/>
    <mergeCell ref="W1227:W1231"/>
    <mergeCell ref="T1232:T1236"/>
    <mergeCell ref="U1232:U1236"/>
    <mergeCell ref="V1232:V1236"/>
    <mergeCell ref="W1232:W1236"/>
    <mergeCell ref="T1217:T1221"/>
    <mergeCell ref="U1217:U1221"/>
    <mergeCell ref="V1217:V1221"/>
    <mergeCell ref="W1217:W1221"/>
    <mergeCell ref="T1222:T1226"/>
    <mergeCell ref="U1222:U1226"/>
    <mergeCell ref="V1222:V1226"/>
    <mergeCell ref="W1222:W1226"/>
    <mergeCell ref="T1207:T1211"/>
    <mergeCell ref="U1207:U1211"/>
    <mergeCell ref="V1207:V1211"/>
    <mergeCell ref="W1207:W1211"/>
    <mergeCell ref="T1212:T1216"/>
    <mergeCell ref="U1212:U1216"/>
    <mergeCell ref="V1212:V1216"/>
    <mergeCell ref="W1212:W1216"/>
    <mergeCell ref="T1197:T1201"/>
    <mergeCell ref="U1197:U1201"/>
    <mergeCell ref="V1197:V1201"/>
    <mergeCell ref="W1197:W1201"/>
    <mergeCell ref="T1202:T1206"/>
    <mergeCell ref="U1202:U1206"/>
    <mergeCell ref="V1202:V1206"/>
    <mergeCell ref="W1202:W1206"/>
    <mergeCell ref="T1187:T1191"/>
    <mergeCell ref="U1187:U1191"/>
    <mergeCell ref="V1187:V1191"/>
    <mergeCell ref="W1187:W1191"/>
    <mergeCell ref="T1192:T1196"/>
    <mergeCell ref="U1192:U1196"/>
    <mergeCell ref="V1192:V1196"/>
    <mergeCell ref="W1192:W1196"/>
    <mergeCell ref="T1177:T1181"/>
    <mergeCell ref="U1177:U1181"/>
    <mergeCell ref="V1177:V1181"/>
    <mergeCell ref="W1177:W1181"/>
    <mergeCell ref="T1182:T1186"/>
    <mergeCell ref="U1182:U1186"/>
    <mergeCell ref="V1182:V1186"/>
    <mergeCell ref="W1182:W1186"/>
    <mergeCell ref="T1167:T1171"/>
    <mergeCell ref="U1167:U1171"/>
    <mergeCell ref="V1167:V1171"/>
    <mergeCell ref="W1167:W1171"/>
    <mergeCell ref="T1172:T1176"/>
    <mergeCell ref="U1172:U1176"/>
    <mergeCell ref="V1172:V1176"/>
    <mergeCell ref="W1172:W1176"/>
    <mergeCell ref="T1157:T1161"/>
    <mergeCell ref="U1157:U1161"/>
    <mergeCell ref="V1157:V1161"/>
    <mergeCell ref="W1157:W1161"/>
    <mergeCell ref="T1162:T1166"/>
    <mergeCell ref="U1162:U1166"/>
    <mergeCell ref="V1162:V1166"/>
    <mergeCell ref="W1162:W1166"/>
    <mergeCell ref="T1147:T1151"/>
    <mergeCell ref="U1147:U1151"/>
    <mergeCell ref="V1147:V1151"/>
    <mergeCell ref="W1147:W1151"/>
    <mergeCell ref="T1152:T1156"/>
    <mergeCell ref="U1152:U1156"/>
    <mergeCell ref="V1152:V1156"/>
    <mergeCell ref="W1152:W1156"/>
    <mergeCell ref="T1137:T1141"/>
    <mergeCell ref="U1137:U1141"/>
    <mergeCell ref="V1137:V1141"/>
    <mergeCell ref="W1137:W1141"/>
    <mergeCell ref="T1142:T1146"/>
    <mergeCell ref="U1142:U1146"/>
    <mergeCell ref="V1142:V1146"/>
    <mergeCell ref="W1142:W1146"/>
    <mergeCell ref="T1127:T1131"/>
    <mergeCell ref="U1127:U1131"/>
    <mergeCell ref="V1127:V1131"/>
    <mergeCell ref="W1127:W1131"/>
    <mergeCell ref="T1132:T1136"/>
    <mergeCell ref="U1132:U1136"/>
    <mergeCell ref="V1132:V1136"/>
    <mergeCell ref="W1132:W1136"/>
    <mergeCell ref="T1117:T1121"/>
    <mergeCell ref="U1117:U1121"/>
    <mergeCell ref="V1117:V1121"/>
    <mergeCell ref="W1117:W1121"/>
    <mergeCell ref="T1122:T1126"/>
    <mergeCell ref="U1122:U1126"/>
    <mergeCell ref="V1122:V1126"/>
    <mergeCell ref="W1122:W1126"/>
    <mergeCell ref="T1107:T1111"/>
    <mergeCell ref="U1107:U1111"/>
    <mergeCell ref="V1107:V1111"/>
    <mergeCell ref="W1107:W1111"/>
    <mergeCell ref="T1112:T1116"/>
    <mergeCell ref="U1112:U1116"/>
    <mergeCell ref="V1112:V1116"/>
    <mergeCell ref="W1112:W1116"/>
    <mergeCell ref="T1097:T1101"/>
    <mergeCell ref="U1097:U1101"/>
    <mergeCell ref="V1097:V1101"/>
    <mergeCell ref="W1097:W1101"/>
    <mergeCell ref="T1102:T1106"/>
    <mergeCell ref="U1102:U1106"/>
    <mergeCell ref="V1102:V1106"/>
    <mergeCell ref="W1102:W1106"/>
    <mergeCell ref="T1087:T1091"/>
    <mergeCell ref="U1087:U1091"/>
    <mergeCell ref="V1087:V1091"/>
    <mergeCell ref="W1087:W1091"/>
    <mergeCell ref="T1092:T1096"/>
    <mergeCell ref="U1092:U1096"/>
    <mergeCell ref="V1092:V1096"/>
    <mergeCell ref="W1092:W1096"/>
    <mergeCell ref="T1077:T1081"/>
    <mergeCell ref="U1077:U1081"/>
    <mergeCell ref="V1077:V1081"/>
    <mergeCell ref="W1077:W1081"/>
    <mergeCell ref="T1082:T1086"/>
    <mergeCell ref="U1082:U1086"/>
    <mergeCell ref="V1082:V1086"/>
    <mergeCell ref="W1082:W1086"/>
    <mergeCell ref="T1067:T1071"/>
    <mergeCell ref="U1067:U1071"/>
    <mergeCell ref="V1067:V1071"/>
    <mergeCell ref="W1067:W1071"/>
    <mergeCell ref="T1072:T1076"/>
    <mergeCell ref="U1072:U1076"/>
    <mergeCell ref="V1072:V1076"/>
    <mergeCell ref="W1072:W1076"/>
    <mergeCell ref="T1057:T1061"/>
    <mergeCell ref="U1057:U1061"/>
    <mergeCell ref="V1057:V1061"/>
    <mergeCell ref="W1057:W1061"/>
    <mergeCell ref="T1062:T1066"/>
    <mergeCell ref="U1062:U1066"/>
    <mergeCell ref="V1062:V1066"/>
    <mergeCell ref="W1062:W1066"/>
    <mergeCell ref="T1047:T1051"/>
    <mergeCell ref="U1047:U1051"/>
    <mergeCell ref="V1047:V1051"/>
    <mergeCell ref="W1047:W1051"/>
    <mergeCell ref="T1052:T1056"/>
    <mergeCell ref="U1052:U1056"/>
    <mergeCell ref="V1052:V1056"/>
    <mergeCell ref="W1052:W1056"/>
    <mergeCell ref="T1037:T1041"/>
    <mergeCell ref="U1037:U1041"/>
    <mergeCell ref="V1037:V1041"/>
    <mergeCell ref="W1037:W1041"/>
    <mergeCell ref="T1042:T1046"/>
    <mergeCell ref="U1042:U1046"/>
    <mergeCell ref="V1042:V1046"/>
    <mergeCell ref="W1042:W1046"/>
    <mergeCell ref="T1027:T1031"/>
    <mergeCell ref="U1027:U1031"/>
    <mergeCell ref="V1027:V1031"/>
    <mergeCell ref="W1027:W1031"/>
    <mergeCell ref="T1032:T1036"/>
    <mergeCell ref="U1032:U1036"/>
    <mergeCell ref="V1032:V1036"/>
    <mergeCell ref="W1032:W1036"/>
    <mergeCell ref="T1017:T1021"/>
    <mergeCell ref="U1017:U1021"/>
    <mergeCell ref="V1017:V1021"/>
    <mergeCell ref="W1017:W1021"/>
    <mergeCell ref="T1022:T1026"/>
    <mergeCell ref="U1022:U1026"/>
    <mergeCell ref="V1022:V1026"/>
    <mergeCell ref="W1022:W1026"/>
    <mergeCell ref="T1007:T1011"/>
    <mergeCell ref="U1007:U1011"/>
    <mergeCell ref="V1007:V1011"/>
    <mergeCell ref="W1007:W1011"/>
    <mergeCell ref="T1012:T1016"/>
    <mergeCell ref="U1012:U1016"/>
    <mergeCell ref="V1012:V1016"/>
    <mergeCell ref="W1012:W1016"/>
    <mergeCell ref="T997:T1001"/>
    <mergeCell ref="U997:U1001"/>
    <mergeCell ref="V997:V1001"/>
    <mergeCell ref="W997:W1001"/>
    <mergeCell ref="T1002:T1006"/>
    <mergeCell ref="U1002:U1006"/>
    <mergeCell ref="V1002:V1006"/>
    <mergeCell ref="W1002:W1006"/>
    <mergeCell ref="T987:T991"/>
    <mergeCell ref="U987:U991"/>
    <mergeCell ref="V987:V991"/>
    <mergeCell ref="W987:W991"/>
    <mergeCell ref="T992:T996"/>
    <mergeCell ref="U992:U996"/>
    <mergeCell ref="V992:V996"/>
    <mergeCell ref="W992:W996"/>
    <mergeCell ref="T977:T981"/>
    <mergeCell ref="U977:U981"/>
    <mergeCell ref="V977:V981"/>
    <mergeCell ref="W977:W981"/>
    <mergeCell ref="T982:T986"/>
    <mergeCell ref="U982:U986"/>
    <mergeCell ref="V982:V986"/>
    <mergeCell ref="W982:W986"/>
    <mergeCell ref="T967:T971"/>
    <mergeCell ref="U967:U971"/>
    <mergeCell ref="V967:V971"/>
    <mergeCell ref="W967:W971"/>
    <mergeCell ref="T972:T976"/>
    <mergeCell ref="U972:U976"/>
    <mergeCell ref="V972:V976"/>
    <mergeCell ref="W972:W976"/>
    <mergeCell ref="T957:T961"/>
    <mergeCell ref="U957:U961"/>
    <mergeCell ref="V957:V961"/>
    <mergeCell ref="W957:W961"/>
    <mergeCell ref="T962:T966"/>
    <mergeCell ref="U962:U966"/>
    <mergeCell ref="V962:V966"/>
    <mergeCell ref="W962:W966"/>
    <mergeCell ref="T947:T951"/>
    <mergeCell ref="U947:U951"/>
    <mergeCell ref="V947:V951"/>
    <mergeCell ref="W947:W951"/>
    <mergeCell ref="T952:T956"/>
    <mergeCell ref="U952:U956"/>
    <mergeCell ref="V952:V956"/>
    <mergeCell ref="W952:W956"/>
    <mergeCell ref="T937:T941"/>
    <mergeCell ref="U937:U941"/>
    <mergeCell ref="V937:V941"/>
    <mergeCell ref="W937:W941"/>
    <mergeCell ref="T942:T946"/>
    <mergeCell ref="U942:U946"/>
    <mergeCell ref="V942:V946"/>
    <mergeCell ref="W942:W946"/>
    <mergeCell ref="T927:T931"/>
    <mergeCell ref="U927:U931"/>
    <mergeCell ref="V927:V931"/>
    <mergeCell ref="W927:W931"/>
    <mergeCell ref="T932:T936"/>
    <mergeCell ref="U932:U936"/>
    <mergeCell ref="V932:V936"/>
    <mergeCell ref="W932:W936"/>
    <mergeCell ref="T917:T921"/>
    <mergeCell ref="U917:U921"/>
    <mergeCell ref="V917:V921"/>
    <mergeCell ref="W917:W921"/>
    <mergeCell ref="T922:T926"/>
    <mergeCell ref="U922:U926"/>
    <mergeCell ref="V922:V926"/>
    <mergeCell ref="W922:W926"/>
    <mergeCell ref="T907:T911"/>
    <mergeCell ref="U907:U911"/>
    <mergeCell ref="V907:V911"/>
    <mergeCell ref="W907:W911"/>
    <mergeCell ref="T912:T916"/>
    <mergeCell ref="U912:U916"/>
    <mergeCell ref="V912:V916"/>
    <mergeCell ref="W912:W916"/>
    <mergeCell ref="T897:T901"/>
    <mergeCell ref="U897:U901"/>
    <mergeCell ref="V897:V901"/>
    <mergeCell ref="W897:W901"/>
    <mergeCell ref="T902:T906"/>
    <mergeCell ref="U902:U906"/>
    <mergeCell ref="V902:V906"/>
    <mergeCell ref="W902:W906"/>
    <mergeCell ref="T887:T891"/>
    <mergeCell ref="U887:U891"/>
    <mergeCell ref="V887:V891"/>
    <mergeCell ref="W887:W891"/>
    <mergeCell ref="T892:T896"/>
    <mergeCell ref="U892:U896"/>
    <mergeCell ref="V892:V896"/>
    <mergeCell ref="W892:W896"/>
    <mergeCell ref="T877:T881"/>
    <mergeCell ref="U877:U881"/>
    <mergeCell ref="V877:V881"/>
    <mergeCell ref="W877:W881"/>
    <mergeCell ref="T882:T886"/>
    <mergeCell ref="U882:U886"/>
    <mergeCell ref="V882:V886"/>
    <mergeCell ref="W882:W886"/>
    <mergeCell ref="T867:T871"/>
    <mergeCell ref="U867:U871"/>
    <mergeCell ref="V867:V871"/>
    <mergeCell ref="W867:W871"/>
    <mergeCell ref="T872:T876"/>
    <mergeCell ref="U872:U876"/>
    <mergeCell ref="V872:V876"/>
    <mergeCell ref="W872:W876"/>
    <mergeCell ref="T857:T861"/>
    <mergeCell ref="U857:U861"/>
    <mergeCell ref="V857:V861"/>
    <mergeCell ref="W857:W861"/>
    <mergeCell ref="T862:T866"/>
    <mergeCell ref="U862:U866"/>
    <mergeCell ref="V862:V866"/>
    <mergeCell ref="W862:W866"/>
    <mergeCell ref="T847:T851"/>
    <mergeCell ref="U847:U851"/>
    <mergeCell ref="V847:V851"/>
    <mergeCell ref="W847:W851"/>
    <mergeCell ref="T852:T856"/>
    <mergeCell ref="U852:U856"/>
    <mergeCell ref="V852:V856"/>
    <mergeCell ref="W852:W856"/>
    <mergeCell ref="T837:T841"/>
    <mergeCell ref="U837:U841"/>
    <mergeCell ref="V837:V841"/>
    <mergeCell ref="W837:W841"/>
    <mergeCell ref="T842:T846"/>
    <mergeCell ref="U842:U846"/>
    <mergeCell ref="V842:V846"/>
    <mergeCell ref="W842:W846"/>
    <mergeCell ref="T827:T831"/>
    <mergeCell ref="U827:U831"/>
    <mergeCell ref="V827:V831"/>
    <mergeCell ref="W827:W831"/>
    <mergeCell ref="T832:T836"/>
    <mergeCell ref="U832:U836"/>
    <mergeCell ref="V832:V836"/>
    <mergeCell ref="W832:W836"/>
    <mergeCell ref="T817:T821"/>
    <mergeCell ref="U817:U821"/>
    <mergeCell ref="V817:V821"/>
    <mergeCell ref="W817:W821"/>
    <mergeCell ref="T822:T826"/>
    <mergeCell ref="U822:U826"/>
    <mergeCell ref="V822:V826"/>
    <mergeCell ref="W822:W826"/>
    <mergeCell ref="T807:T811"/>
    <mergeCell ref="U807:U811"/>
    <mergeCell ref="V807:V811"/>
    <mergeCell ref="W807:W811"/>
    <mergeCell ref="T812:T816"/>
    <mergeCell ref="U812:U816"/>
    <mergeCell ref="V812:V816"/>
    <mergeCell ref="W812:W816"/>
    <mergeCell ref="T797:T801"/>
    <mergeCell ref="U797:U801"/>
    <mergeCell ref="V797:V801"/>
    <mergeCell ref="W797:W801"/>
    <mergeCell ref="T802:T806"/>
    <mergeCell ref="U802:U806"/>
    <mergeCell ref="V802:V806"/>
    <mergeCell ref="W802:W806"/>
    <mergeCell ref="T787:T791"/>
    <mergeCell ref="U787:U791"/>
    <mergeCell ref="V787:V791"/>
    <mergeCell ref="W787:W791"/>
    <mergeCell ref="T792:T796"/>
    <mergeCell ref="U792:U796"/>
    <mergeCell ref="V792:V796"/>
    <mergeCell ref="W792:W796"/>
    <mergeCell ref="T777:T781"/>
    <mergeCell ref="U777:U781"/>
    <mergeCell ref="V777:V781"/>
    <mergeCell ref="W777:W781"/>
    <mergeCell ref="T782:T786"/>
    <mergeCell ref="U782:U786"/>
    <mergeCell ref="V782:V786"/>
    <mergeCell ref="W782:W786"/>
    <mergeCell ref="T767:T771"/>
    <mergeCell ref="U767:U771"/>
    <mergeCell ref="V767:V771"/>
    <mergeCell ref="W767:W771"/>
    <mergeCell ref="T772:T776"/>
    <mergeCell ref="U772:U776"/>
    <mergeCell ref="V772:V776"/>
    <mergeCell ref="W772:W776"/>
    <mergeCell ref="T757:T761"/>
    <mergeCell ref="U757:U761"/>
    <mergeCell ref="V757:V761"/>
    <mergeCell ref="W757:W761"/>
    <mergeCell ref="T762:T766"/>
    <mergeCell ref="U762:U766"/>
    <mergeCell ref="V762:V766"/>
    <mergeCell ref="W762:W766"/>
    <mergeCell ref="T747:T751"/>
    <mergeCell ref="U747:U751"/>
    <mergeCell ref="V747:V751"/>
    <mergeCell ref="W747:W751"/>
    <mergeCell ref="T752:T756"/>
    <mergeCell ref="U752:U756"/>
    <mergeCell ref="V752:V756"/>
    <mergeCell ref="W752:W756"/>
    <mergeCell ref="T737:T741"/>
    <mergeCell ref="U737:U741"/>
    <mergeCell ref="V737:V741"/>
    <mergeCell ref="W737:W741"/>
    <mergeCell ref="T742:T746"/>
    <mergeCell ref="U742:U746"/>
    <mergeCell ref="V742:V746"/>
    <mergeCell ref="W742:W746"/>
    <mergeCell ref="T727:T731"/>
    <mergeCell ref="U727:U731"/>
    <mergeCell ref="V727:V731"/>
    <mergeCell ref="W727:W731"/>
    <mergeCell ref="T732:T736"/>
    <mergeCell ref="U732:U736"/>
    <mergeCell ref="V732:V736"/>
    <mergeCell ref="W732:W736"/>
    <mergeCell ref="T717:T721"/>
    <mergeCell ref="U717:U721"/>
    <mergeCell ref="V717:V721"/>
    <mergeCell ref="W717:W721"/>
    <mergeCell ref="T722:T726"/>
    <mergeCell ref="U722:U726"/>
    <mergeCell ref="V722:V726"/>
    <mergeCell ref="W722:W726"/>
    <mergeCell ref="T707:T711"/>
    <mergeCell ref="U707:U711"/>
    <mergeCell ref="V707:V711"/>
    <mergeCell ref="W707:W711"/>
    <mergeCell ref="T712:T716"/>
    <mergeCell ref="U712:U716"/>
    <mergeCell ref="V712:V716"/>
    <mergeCell ref="W712:W716"/>
    <mergeCell ref="T697:T701"/>
    <mergeCell ref="U697:U701"/>
    <mergeCell ref="V697:V701"/>
    <mergeCell ref="W697:W701"/>
    <mergeCell ref="T702:T706"/>
    <mergeCell ref="U702:U706"/>
    <mergeCell ref="V702:V706"/>
    <mergeCell ref="W702:W706"/>
    <mergeCell ref="T687:T691"/>
    <mergeCell ref="U687:U691"/>
    <mergeCell ref="V687:V691"/>
    <mergeCell ref="W687:W691"/>
    <mergeCell ref="T692:T696"/>
    <mergeCell ref="U692:U696"/>
    <mergeCell ref="V692:V696"/>
    <mergeCell ref="W692:W696"/>
    <mergeCell ref="T677:T681"/>
    <mergeCell ref="U677:U681"/>
    <mergeCell ref="V677:V681"/>
    <mergeCell ref="W677:W681"/>
    <mergeCell ref="T682:T686"/>
    <mergeCell ref="U682:U686"/>
    <mergeCell ref="V682:V686"/>
    <mergeCell ref="W682:W686"/>
    <mergeCell ref="T667:T671"/>
    <mergeCell ref="U667:U671"/>
    <mergeCell ref="V667:V671"/>
    <mergeCell ref="W667:W671"/>
    <mergeCell ref="T672:T676"/>
    <mergeCell ref="U672:U676"/>
    <mergeCell ref="V672:V676"/>
    <mergeCell ref="W672:W676"/>
    <mergeCell ref="T657:T661"/>
    <mergeCell ref="U657:U661"/>
    <mergeCell ref="V657:V661"/>
    <mergeCell ref="W657:W661"/>
    <mergeCell ref="T662:T666"/>
    <mergeCell ref="U662:U666"/>
    <mergeCell ref="V662:V666"/>
    <mergeCell ref="W662:W666"/>
    <mergeCell ref="T647:T651"/>
    <mergeCell ref="U647:U651"/>
    <mergeCell ref="V647:V651"/>
    <mergeCell ref="W647:W651"/>
    <mergeCell ref="T652:T656"/>
    <mergeCell ref="U652:U656"/>
    <mergeCell ref="V652:V656"/>
    <mergeCell ref="W652:W656"/>
    <mergeCell ref="T637:T641"/>
    <mergeCell ref="U637:U641"/>
    <mergeCell ref="V637:V641"/>
    <mergeCell ref="W637:W641"/>
    <mergeCell ref="T642:T646"/>
    <mergeCell ref="U642:U646"/>
    <mergeCell ref="V642:V646"/>
    <mergeCell ref="W642:W646"/>
    <mergeCell ref="T627:T631"/>
    <mergeCell ref="U627:U631"/>
    <mergeCell ref="V627:V631"/>
    <mergeCell ref="W627:W631"/>
    <mergeCell ref="T632:T636"/>
    <mergeCell ref="U632:U636"/>
    <mergeCell ref="V632:V636"/>
    <mergeCell ref="W632:W636"/>
    <mergeCell ref="T617:T621"/>
    <mergeCell ref="U617:U621"/>
    <mergeCell ref="V617:V621"/>
    <mergeCell ref="W617:W621"/>
    <mergeCell ref="T622:T626"/>
    <mergeCell ref="U622:U626"/>
    <mergeCell ref="V622:V626"/>
    <mergeCell ref="W622:W626"/>
    <mergeCell ref="T607:T611"/>
    <mergeCell ref="U607:U611"/>
    <mergeCell ref="V607:V611"/>
    <mergeCell ref="W607:W611"/>
    <mergeCell ref="T612:T616"/>
    <mergeCell ref="U612:U616"/>
    <mergeCell ref="V612:V616"/>
    <mergeCell ref="W612:W616"/>
    <mergeCell ref="T597:T601"/>
    <mergeCell ref="U597:U601"/>
    <mergeCell ref="V597:V601"/>
    <mergeCell ref="W597:W601"/>
    <mergeCell ref="T602:T606"/>
    <mergeCell ref="U602:U606"/>
    <mergeCell ref="V602:V606"/>
    <mergeCell ref="W602:W606"/>
    <mergeCell ref="T587:T591"/>
    <mergeCell ref="U587:U591"/>
    <mergeCell ref="V587:V591"/>
    <mergeCell ref="W587:W591"/>
    <mergeCell ref="T592:T596"/>
    <mergeCell ref="U592:U596"/>
    <mergeCell ref="V592:V596"/>
    <mergeCell ref="W592:W596"/>
    <mergeCell ref="T577:T581"/>
    <mergeCell ref="U577:U581"/>
    <mergeCell ref="V577:V581"/>
    <mergeCell ref="W577:W581"/>
    <mergeCell ref="T582:T586"/>
    <mergeCell ref="U582:U586"/>
    <mergeCell ref="V582:V586"/>
    <mergeCell ref="W582:W586"/>
    <mergeCell ref="T567:T571"/>
    <mergeCell ref="U567:U571"/>
    <mergeCell ref="V567:V571"/>
    <mergeCell ref="W567:W571"/>
    <mergeCell ref="T572:T576"/>
    <mergeCell ref="U572:U576"/>
    <mergeCell ref="V572:V576"/>
    <mergeCell ref="W572:W576"/>
    <mergeCell ref="T557:T561"/>
    <mergeCell ref="U557:U561"/>
    <mergeCell ref="V557:V561"/>
    <mergeCell ref="W557:W561"/>
    <mergeCell ref="T562:T566"/>
    <mergeCell ref="U562:U566"/>
    <mergeCell ref="V562:V566"/>
    <mergeCell ref="W562:W566"/>
    <mergeCell ref="T547:T551"/>
    <mergeCell ref="U547:U551"/>
    <mergeCell ref="V547:V551"/>
    <mergeCell ref="W547:W551"/>
    <mergeCell ref="T552:T556"/>
    <mergeCell ref="U552:U556"/>
    <mergeCell ref="V552:V556"/>
    <mergeCell ref="W552:W556"/>
    <mergeCell ref="T537:T541"/>
    <mergeCell ref="U537:U541"/>
    <mergeCell ref="V537:V541"/>
    <mergeCell ref="W537:W541"/>
    <mergeCell ref="T542:T546"/>
    <mergeCell ref="U542:U546"/>
    <mergeCell ref="V542:V546"/>
    <mergeCell ref="W542:W546"/>
    <mergeCell ref="T527:T531"/>
    <mergeCell ref="U527:U531"/>
    <mergeCell ref="V527:V531"/>
    <mergeCell ref="W527:W531"/>
    <mergeCell ref="T532:T536"/>
    <mergeCell ref="U532:U536"/>
    <mergeCell ref="V532:V536"/>
    <mergeCell ref="W532:W536"/>
    <mergeCell ref="T517:T521"/>
    <mergeCell ref="U517:U521"/>
    <mergeCell ref="V517:V521"/>
    <mergeCell ref="W517:W521"/>
    <mergeCell ref="T522:T526"/>
    <mergeCell ref="U522:U526"/>
    <mergeCell ref="V522:V526"/>
    <mergeCell ref="W522:W526"/>
    <mergeCell ref="T507:T511"/>
    <mergeCell ref="U507:U511"/>
    <mergeCell ref="V507:V511"/>
    <mergeCell ref="W507:W511"/>
    <mergeCell ref="T512:T516"/>
    <mergeCell ref="U512:U516"/>
    <mergeCell ref="V512:V516"/>
    <mergeCell ref="W512:W516"/>
    <mergeCell ref="T497:T501"/>
    <mergeCell ref="U497:U501"/>
    <mergeCell ref="V497:V501"/>
    <mergeCell ref="W497:W501"/>
    <mergeCell ref="T502:T506"/>
    <mergeCell ref="U502:U506"/>
    <mergeCell ref="V502:V506"/>
    <mergeCell ref="W502:W506"/>
    <mergeCell ref="T487:T491"/>
    <mergeCell ref="U487:U491"/>
    <mergeCell ref="V487:V491"/>
    <mergeCell ref="W487:W491"/>
    <mergeCell ref="T492:T496"/>
    <mergeCell ref="U492:U496"/>
    <mergeCell ref="V492:V496"/>
    <mergeCell ref="W492:W496"/>
    <mergeCell ref="T477:T481"/>
    <mergeCell ref="U477:U481"/>
    <mergeCell ref="V477:V481"/>
    <mergeCell ref="W477:W481"/>
    <mergeCell ref="T482:T486"/>
    <mergeCell ref="U482:U486"/>
    <mergeCell ref="V482:V486"/>
    <mergeCell ref="W482:W486"/>
    <mergeCell ref="T467:T471"/>
    <mergeCell ref="U467:U471"/>
    <mergeCell ref="V467:V471"/>
    <mergeCell ref="W467:W471"/>
    <mergeCell ref="T472:T476"/>
    <mergeCell ref="U472:U476"/>
    <mergeCell ref="V472:V476"/>
    <mergeCell ref="W472:W476"/>
    <mergeCell ref="T457:T461"/>
    <mergeCell ref="U457:U461"/>
    <mergeCell ref="V457:V461"/>
    <mergeCell ref="W457:W461"/>
    <mergeCell ref="T462:T466"/>
    <mergeCell ref="U462:U466"/>
    <mergeCell ref="V462:V466"/>
    <mergeCell ref="W462:W466"/>
    <mergeCell ref="T447:T451"/>
    <mergeCell ref="U447:U451"/>
    <mergeCell ref="V447:V451"/>
    <mergeCell ref="W447:W451"/>
    <mergeCell ref="T452:T456"/>
    <mergeCell ref="U452:U456"/>
    <mergeCell ref="V452:V456"/>
    <mergeCell ref="W452:W456"/>
    <mergeCell ref="T437:T441"/>
    <mergeCell ref="U437:U441"/>
    <mergeCell ref="V437:V441"/>
    <mergeCell ref="W437:W441"/>
    <mergeCell ref="T442:T446"/>
    <mergeCell ref="U442:U446"/>
    <mergeCell ref="V442:V446"/>
    <mergeCell ref="W442:W446"/>
    <mergeCell ref="T427:T431"/>
    <mergeCell ref="U427:U431"/>
    <mergeCell ref="V427:V431"/>
    <mergeCell ref="W427:W431"/>
    <mergeCell ref="T432:T436"/>
    <mergeCell ref="U432:U436"/>
    <mergeCell ref="V432:V436"/>
    <mergeCell ref="W432:W436"/>
    <mergeCell ref="T417:T421"/>
    <mergeCell ref="U417:U421"/>
    <mergeCell ref="V417:V421"/>
    <mergeCell ref="W417:W421"/>
    <mergeCell ref="T422:T426"/>
    <mergeCell ref="U422:U426"/>
    <mergeCell ref="V422:V426"/>
    <mergeCell ref="W422:W426"/>
    <mergeCell ref="T407:T411"/>
    <mergeCell ref="U407:U411"/>
    <mergeCell ref="V407:V411"/>
    <mergeCell ref="W407:W411"/>
    <mergeCell ref="T412:T416"/>
    <mergeCell ref="U412:U416"/>
    <mergeCell ref="V412:V416"/>
    <mergeCell ref="W412:W416"/>
    <mergeCell ref="T397:T401"/>
    <mergeCell ref="U397:U401"/>
    <mergeCell ref="V397:V401"/>
    <mergeCell ref="W397:W401"/>
    <mergeCell ref="T402:T406"/>
    <mergeCell ref="U402:U406"/>
    <mergeCell ref="V402:V406"/>
    <mergeCell ref="W402:W406"/>
    <mergeCell ref="T387:T391"/>
    <mergeCell ref="U387:U391"/>
    <mergeCell ref="V387:V391"/>
    <mergeCell ref="W387:W391"/>
    <mergeCell ref="T392:T396"/>
    <mergeCell ref="U392:U396"/>
    <mergeCell ref="V392:V396"/>
    <mergeCell ref="W392:W396"/>
    <mergeCell ref="T377:T381"/>
    <mergeCell ref="U377:U381"/>
    <mergeCell ref="V377:V381"/>
    <mergeCell ref="W377:W381"/>
    <mergeCell ref="T382:T386"/>
    <mergeCell ref="U382:U386"/>
    <mergeCell ref="V382:V386"/>
    <mergeCell ref="W382:W386"/>
    <mergeCell ref="T367:T371"/>
    <mergeCell ref="U367:U371"/>
    <mergeCell ref="V367:V371"/>
    <mergeCell ref="W367:W371"/>
    <mergeCell ref="T372:T376"/>
    <mergeCell ref="U372:U376"/>
    <mergeCell ref="V372:V376"/>
    <mergeCell ref="W372:W376"/>
    <mergeCell ref="T357:T361"/>
    <mergeCell ref="U357:U361"/>
    <mergeCell ref="V357:V361"/>
    <mergeCell ref="W357:W361"/>
    <mergeCell ref="T362:T366"/>
    <mergeCell ref="U362:U366"/>
    <mergeCell ref="V362:V366"/>
    <mergeCell ref="W362:W366"/>
    <mergeCell ref="T347:T351"/>
    <mergeCell ref="U347:U351"/>
    <mergeCell ref="V347:V351"/>
    <mergeCell ref="W347:W351"/>
    <mergeCell ref="T352:T356"/>
    <mergeCell ref="U352:U356"/>
    <mergeCell ref="V352:V356"/>
    <mergeCell ref="W352:W356"/>
    <mergeCell ref="T337:T341"/>
    <mergeCell ref="U337:U341"/>
    <mergeCell ref="V337:V341"/>
    <mergeCell ref="W337:W341"/>
    <mergeCell ref="T342:T346"/>
    <mergeCell ref="U342:U346"/>
    <mergeCell ref="V342:V346"/>
    <mergeCell ref="W342:W346"/>
    <mergeCell ref="T327:T331"/>
    <mergeCell ref="U327:U331"/>
    <mergeCell ref="V327:V331"/>
    <mergeCell ref="W327:W331"/>
    <mergeCell ref="T332:T336"/>
    <mergeCell ref="U332:U336"/>
    <mergeCell ref="V332:V336"/>
    <mergeCell ref="W332:W336"/>
    <mergeCell ref="T317:T321"/>
    <mergeCell ref="U317:U321"/>
    <mergeCell ref="V317:V321"/>
    <mergeCell ref="W317:W321"/>
    <mergeCell ref="T322:T326"/>
    <mergeCell ref="U322:U326"/>
    <mergeCell ref="V322:V326"/>
    <mergeCell ref="W322:W326"/>
    <mergeCell ref="T307:T311"/>
    <mergeCell ref="U307:U311"/>
    <mergeCell ref="V307:V311"/>
    <mergeCell ref="W307:W311"/>
    <mergeCell ref="T312:T316"/>
    <mergeCell ref="U312:U316"/>
    <mergeCell ref="V312:V316"/>
    <mergeCell ref="W312:W316"/>
    <mergeCell ref="T297:T301"/>
    <mergeCell ref="U297:U301"/>
    <mergeCell ref="V297:V301"/>
    <mergeCell ref="W297:W301"/>
    <mergeCell ref="T302:T306"/>
    <mergeCell ref="U302:U306"/>
    <mergeCell ref="V302:V306"/>
    <mergeCell ref="W302:W306"/>
    <mergeCell ref="T287:T291"/>
    <mergeCell ref="U287:U291"/>
    <mergeCell ref="V287:V291"/>
    <mergeCell ref="W287:W291"/>
    <mergeCell ref="T292:T296"/>
    <mergeCell ref="U292:U296"/>
    <mergeCell ref="V292:V296"/>
    <mergeCell ref="W292:W296"/>
    <mergeCell ref="T277:T281"/>
    <mergeCell ref="U277:U281"/>
    <mergeCell ref="V277:V281"/>
    <mergeCell ref="W277:W281"/>
    <mergeCell ref="T282:T286"/>
    <mergeCell ref="U282:U286"/>
    <mergeCell ref="V282:V286"/>
    <mergeCell ref="W282:W286"/>
    <mergeCell ref="T267:T271"/>
    <mergeCell ref="U267:U271"/>
    <mergeCell ref="V267:V271"/>
    <mergeCell ref="W267:W271"/>
    <mergeCell ref="T272:T276"/>
    <mergeCell ref="U272:U276"/>
    <mergeCell ref="V272:V276"/>
    <mergeCell ref="W272:W276"/>
    <mergeCell ref="T257:T261"/>
    <mergeCell ref="U257:U261"/>
    <mergeCell ref="V257:V261"/>
    <mergeCell ref="W257:W261"/>
    <mergeCell ref="T262:T266"/>
    <mergeCell ref="U262:U266"/>
    <mergeCell ref="V262:V266"/>
    <mergeCell ref="W262:W266"/>
    <mergeCell ref="T247:T251"/>
    <mergeCell ref="U247:U251"/>
    <mergeCell ref="V247:V251"/>
    <mergeCell ref="W247:W251"/>
    <mergeCell ref="T252:T256"/>
    <mergeCell ref="U252:U256"/>
    <mergeCell ref="V252:V256"/>
    <mergeCell ref="W252:W256"/>
    <mergeCell ref="T237:T241"/>
    <mergeCell ref="U237:U241"/>
    <mergeCell ref="V237:V241"/>
    <mergeCell ref="W237:W241"/>
    <mergeCell ref="T242:T246"/>
    <mergeCell ref="U242:U246"/>
    <mergeCell ref="V242:V246"/>
    <mergeCell ref="W242:W246"/>
    <mergeCell ref="T227:T231"/>
    <mergeCell ref="U227:U231"/>
    <mergeCell ref="V227:V231"/>
    <mergeCell ref="W227:W231"/>
    <mergeCell ref="T232:T236"/>
    <mergeCell ref="U232:U236"/>
    <mergeCell ref="V232:V236"/>
    <mergeCell ref="W232:W236"/>
    <mergeCell ref="T217:T221"/>
    <mergeCell ref="U217:U221"/>
    <mergeCell ref="V217:V221"/>
    <mergeCell ref="W217:W221"/>
    <mergeCell ref="T222:T226"/>
    <mergeCell ref="U222:U226"/>
    <mergeCell ref="V222:V226"/>
    <mergeCell ref="W222:W226"/>
    <mergeCell ref="T207:T211"/>
    <mergeCell ref="U207:U211"/>
    <mergeCell ref="V207:V211"/>
    <mergeCell ref="W207:W211"/>
    <mergeCell ref="T212:T216"/>
    <mergeCell ref="U212:U216"/>
    <mergeCell ref="V212:V216"/>
    <mergeCell ref="W212:W216"/>
    <mergeCell ref="T197:T201"/>
    <mergeCell ref="U197:U201"/>
    <mergeCell ref="V197:V201"/>
    <mergeCell ref="W197:W201"/>
    <mergeCell ref="T202:T206"/>
    <mergeCell ref="U202:U206"/>
    <mergeCell ref="V202:V206"/>
    <mergeCell ref="W202:W206"/>
    <mergeCell ref="T187:T191"/>
    <mergeCell ref="U187:U191"/>
    <mergeCell ref="V187:V191"/>
    <mergeCell ref="W187:W191"/>
    <mergeCell ref="T192:T196"/>
    <mergeCell ref="U192:U196"/>
    <mergeCell ref="V192:V196"/>
    <mergeCell ref="W192:W196"/>
    <mergeCell ref="T177:T181"/>
    <mergeCell ref="U177:U181"/>
    <mergeCell ref="V177:V181"/>
    <mergeCell ref="W177:W181"/>
    <mergeCell ref="T182:T186"/>
    <mergeCell ref="U182:U186"/>
    <mergeCell ref="V182:V186"/>
    <mergeCell ref="W182:W186"/>
    <mergeCell ref="T167:T171"/>
    <mergeCell ref="U167:U171"/>
    <mergeCell ref="V167:V171"/>
    <mergeCell ref="W167:W171"/>
    <mergeCell ref="T172:T176"/>
    <mergeCell ref="U172:U176"/>
    <mergeCell ref="V172:V176"/>
    <mergeCell ref="W172:W176"/>
    <mergeCell ref="T157:T161"/>
    <mergeCell ref="U157:U161"/>
    <mergeCell ref="V157:V161"/>
    <mergeCell ref="W157:W161"/>
    <mergeCell ref="T162:T166"/>
    <mergeCell ref="U162:U166"/>
    <mergeCell ref="V162:V166"/>
    <mergeCell ref="W162:W166"/>
    <mergeCell ref="T147:T151"/>
    <mergeCell ref="U147:U151"/>
    <mergeCell ref="V147:V151"/>
    <mergeCell ref="W147:W151"/>
    <mergeCell ref="T152:T156"/>
    <mergeCell ref="U152:U156"/>
    <mergeCell ref="V152:V156"/>
    <mergeCell ref="W152:W156"/>
    <mergeCell ref="T137:T141"/>
    <mergeCell ref="U137:U141"/>
    <mergeCell ref="V137:V141"/>
    <mergeCell ref="W137:W141"/>
    <mergeCell ref="T142:T146"/>
    <mergeCell ref="U142:U146"/>
    <mergeCell ref="V142:V146"/>
    <mergeCell ref="W142:W146"/>
    <mergeCell ref="T127:T131"/>
    <mergeCell ref="U127:U131"/>
    <mergeCell ref="V127:V131"/>
    <mergeCell ref="W127:W131"/>
    <mergeCell ref="T132:T136"/>
    <mergeCell ref="U132:U136"/>
    <mergeCell ref="V132:V136"/>
    <mergeCell ref="W132:W136"/>
    <mergeCell ref="T117:T121"/>
    <mergeCell ref="U117:U121"/>
    <mergeCell ref="V117:V121"/>
    <mergeCell ref="W117:W121"/>
    <mergeCell ref="T122:T126"/>
    <mergeCell ref="U122:U126"/>
    <mergeCell ref="V122:V126"/>
    <mergeCell ref="W122:W126"/>
    <mergeCell ref="T107:T111"/>
    <mergeCell ref="U107:U111"/>
    <mergeCell ref="V107:V111"/>
    <mergeCell ref="W107:W111"/>
    <mergeCell ref="T112:T116"/>
    <mergeCell ref="U112:U116"/>
    <mergeCell ref="V112:V116"/>
    <mergeCell ref="W112:W116"/>
    <mergeCell ref="T97:T101"/>
    <mergeCell ref="U97:U101"/>
    <mergeCell ref="V97:V101"/>
    <mergeCell ref="W97:W101"/>
    <mergeCell ref="T102:T106"/>
    <mergeCell ref="U102:U106"/>
    <mergeCell ref="V102:V106"/>
    <mergeCell ref="W102:W106"/>
    <mergeCell ref="T87:T91"/>
    <mergeCell ref="U87:U91"/>
    <mergeCell ref="V87:V91"/>
    <mergeCell ref="W87:W91"/>
    <mergeCell ref="T92:T96"/>
    <mergeCell ref="U92:U96"/>
    <mergeCell ref="V92:V96"/>
    <mergeCell ref="W92:W96"/>
    <mergeCell ref="T77:T81"/>
    <mergeCell ref="U77:U81"/>
    <mergeCell ref="V77:V81"/>
    <mergeCell ref="W77:W81"/>
    <mergeCell ref="T82:T86"/>
    <mergeCell ref="U82:U86"/>
    <mergeCell ref="V82:V86"/>
    <mergeCell ref="W82:W86"/>
    <mergeCell ref="T67:T71"/>
    <mergeCell ref="U67:U71"/>
    <mergeCell ref="V67:V71"/>
    <mergeCell ref="W67:W71"/>
    <mergeCell ref="T72:T76"/>
    <mergeCell ref="U72:U76"/>
    <mergeCell ref="V72:V76"/>
    <mergeCell ref="W72:W76"/>
    <mergeCell ref="W57:W61"/>
    <mergeCell ref="T62:T66"/>
    <mergeCell ref="U62:U66"/>
    <mergeCell ref="V62:V66"/>
    <mergeCell ref="W62:W66"/>
    <mergeCell ref="A1742:A1746"/>
    <mergeCell ref="T42:T46"/>
    <mergeCell ref="U42:U46"/>
    <mergeCell ref="V42:V46"/>
    <mergeCell ref="W42:W46"/>
    <mergeCell ref="T47:T51"/>
    <mergeCell ref="U47:U51"/>
    <mergeCell ref="V47:V51"/>
    <mergeCell ref="W47:W51"/>
    <mergeCell ref="T52:T56"/>
    <mergeCell ref="U52:U56"/>
    <mergeCell ref="V52:V56"/>
    <mergeCell ref="W52:W56"/>
    <mergeCell ref="T57:T61"/>
    <mergeCell ref="U57:U61"/>
    <mergeCell ref="V57:V61"/>
    <mergeCell ref="A1717:A1721"/>
    <mergeCell ref="A1722:A1726"/>
    <mergeCell ref="A1727:A1731"/>
    <mergeCell ref="A1732:A1736"/>
    <mergeCell ref="A1737:A1741"/>
    <mergeCell ref="E1692:E1696"/>
    <mergeCell ref="E1697:E1701"/>
    <mergeCell ref="E1702:E1706"/>
    <mergeCell ref="A1707:A1711"/>
    <mergeCell ref="A1712:A1716"/>
    <mergeCell ref="E1667:E1671"/>
    <mergeCell ref="E1672:E1676"/>
    <mergeCell ref="E1677:E1681"/>
    <mergeCell ref="E1682:E1686"/>
    <mergeCell ref="E1687:E1691"/>
    <mergeCell ref="E1642:E1646"/>
    <mergeCell ref="E1647:E1651"/>
    <mergeCell ref="E1652:E1656"/>
    <mergeCell ref="E1657:E1661"/>
    <mergeCell ref="E1662:E1666"/>
    <mergeCell ref="A1682:A1686"/>
    <mergeCell ref="A1687:A1691"/>
    <mergeCell ref="A1692:A1696"/>
    <mergeCell ref="A1697:A1701"/>
    <mergeCell ref="A1702:A1706"/>
    <mergeCell ref="A1657:A1661"/>
    <mergeCell ref="A1662:A1666"/>
    <mergeCell ref="A1667:A1671"/>
    <mergeCell ref="A1672:A1676"/>
    <mergeCell ref="A1677:A1681"/>
    <mergeCell ref="E1617:E1621"/>
    <mergeCell ref="E1622:E1626"/>
    <mergeCell ref="E1627:E1631"/>
    <mergeCell ref="E1632:E1636"/>
    <mergeCell ref="E1637:E1641"/>
    <mergeCell ref="E1592:E1596"/>
    <mergeCell ref="E1597:E1601"/>
    <mergeCell ref="E1602:E1606"/>
    <mergeCell ref="E1607:E1611"/>
    <mergeCell ref="E1612:E1616"/>
    <mergeCell ref="E1567:E1571"/>
    <mergeCell ref="E1572:E1576"/>
    <mergeCell ref="E1577:E1581"/>
    <mergeCell ref="E1582:E1586"/>
    <mergeCell ref="E1587:E1591"/>
    <mergeCell ref="E1542:E1546"/>
    <mergeCell ref="E1547:E1551"/>
    <mergeCell ref="E1552:E1556"/>
    <mergeCell ref="E1557:E1561"/>
    <mergeCell ref="E1562:E1566"/>
    <mergeCell ref="E1517:E1521"/>
    <mergeCell ref="E1522:E1526"/>
    <mergeCell ref="E1527:E1531"/>
    <mergeCell ref="E1532:E1536"/>
    <mergeCell ref="E1537:E1541"/>
    <mergeCell ref="E1492:E1496"/>
    <mergeCell ref="E1497:E1501"/>
    <mergeCell ref="E1502:E1506"/>
    <mergeCell ref="E1507:E1511"/>
    <mergeCell ref="E1512:E1516"/>
    <mergeCell ref="E1467:E1471"/>
    <mergeCell ref="E1472:E1476"/>
    <mergeCell ref="E1477:E1481"/>
    <mergeCell ref="E1482:E1486"/>
    <mergeCell ref="E1487:E1491"/>
    <mergeCell ref="E1442:E1446"/>
    <mergeCell ref="E1447:E1451"/>
    <mergeCell ref="E1452:E1456"/>
    <mergeCell ref="E1457:E1461"/>
    <mergeCell ref="E1462:E1466"/>
    <mergeCell ref="E1417:E1421"/>
    <mergeCell ref="E1422:E1426"/>
    <mergeCell ref="E1427:E1431"/>
    <mergeCell ref="E1432:E1436"/>
    <mergeCell ref="E1437:E1441"/>
    <mergeCell ref="E1392:E1396"/>
    <mergeCell ref="E1397:E1401"/>
    <mergeCell ref="E1402:E1406"/>
    <mergeCell ref="E1407:E1411"/>
    <mergeCell ref="E1412:E1416"/>
    <mergeCell ref="E1367:E1371"/>
    <mergeCell ref="E1372:E1376"/>
    <mergeCell ref="E1377:E1381"/>
    <mergeCell ref="E1382:E1386"/>
    <mergeCell ref="E1387:E1391"/>
    <mergeCell ref="E1342:E1346"/>
    <mergeCell ref="E1347:E1351"/>
    <mergeCell ref="E1352:E1356"/>
    <mergeCell ref="E1357:E1361"/>
    <mergeCell ref="E1362:E1366"/>
    <mergeCell ref="E1317:E1321"/>
    <mergeCell ref="E1322:E1326"/>
    <mergeCell ref="E1327:E1331"/>
    <mergeCell ref="E1332:E1336"/>
    <mergeCell ref="E1337:E1341"/>
    <mergeCell ref="E1292:E1296"/>
    <mergeCell ref="E1297:E1301"/>
    <mergeCell ref="E1302:E1306"/>
    <mergeCell ref="E1307:E1311"/>
    <mergeCell ref="E1312:E1316"/>
    <mergeCell ref="E1267:E1271"/>
    <mergeCell ref="E1272:E1276"/>
    <mergeCell ref="E1277:E1281"/>
    <mergeCell ref="E1282:E1286"/>
    <mergeCell ref="E1287:E1291"/>
    <mergeCell ref="E1242:E1246"/>
    <mergeCell ref="E1247:E1251"/>
    <mergeCell ref="E1252:E1256"/>
    <mergeCell ref="E1257:E1261"/>
    <mergeCell ref="E1262:E1266"/>
    <mergeCell ref="E1217:E1221"/>
    <mergeCell ref="E1222:E1226"/>
    <mergeCell ref="E1227:E1231"/>
    <mergeCell ref="E1232:E1236"/>
    <mergeCell ref="E1237:E1241"/>
    <mergeCell ref="E1192:E1196"/>
    <mergeCell ref="E1197:E1201"/>
    <mergeCell ref="E1202:E1206"/>
    <mergeCell ref="E1207:E1211"/>
    <mergeCell ref="E1212:E1216"/>
    <mergeCell ref="E1167:E1171"/>
    <mergeCell ref="E1172:E1176"/>
    <mergeCell ref="E1177:E1181"/>
    <mergeCell ref="E1182:E1186"/>
    <mergeCell ref="E1187:E1191"/>
    <mergeCell ref="E1142:E1146"/>
    <mergeCell ref="E1147:E1151"/>
    <mergeCell ref="E1152:E1156"/>
    <mergeCell ref="E1157:E1161"/>
    <mergeCell ref="E1162:E1166"/>
    <mergeCell ref="E1117:E1121"/>
    <mergeCell ref="E1122:E1126"/>
    <mergeCell ref="E1127:E1131"/>
    <mergeCell ref="E1132:E1136"/>
    <mergeCell ref="E1137:E1141"/>
    <mergeCell ref="E1092:E1096"/>
    <mergeCell ref="E1097:E1101"/>
    <mergeCell ref="E1102:E1106"/>
    <mergeCell ref="E1107:E1111"/>
    <mergeCell ref="E1112:E1116"/>
    <mergeCell ref="E1067:E1071"/>
    <mergeCell ref="E1072:E1076"/>
    <mergeCell ref="E1077:E1081"/>
    <mergeCell ref="E1082:E1086"/>
    <mergeCell ref="E1087:E1091"/>
    <mergeCell ref="E1042:E1046"/>
    <mergeCell ref="E1047:E1051"/>
    <mergeCell ref="E1052:E1056"/>
    <mergeCell ref="E1057:E1061"/>
    <mergeCell ref="E1062:E1066"/>
    <mergeCell ref="E1017:E1021"/>
    <mergeCell ref="E1022:E1026"/>
    <mergeCell ref="E1027:E1031"/>
    <mergeCell ref="E1032:E1036"/>
    <mergeCell ref="E1037:E1041"/>
    <mergeCell ref="E992:E996"/>
    <mergeCell ref="E997:E1001"/>
    <mergeCell ref="E1002:E1006"/>
    <mergeCell ref="E1007:E1011"/>
    <mergeCell ref="E1012:E1016"/>
    <mergeCell ref="E967:E971"/>
    <mergeCell ref="E972:E976"/>
    <mergeCell ref="E977:E981"/>
    <mergeCell ref="E982:E986"/>
    <mergeCell ref="E987:E991"/>
    <mergeCell ref="E942:E946"/>
    <mergeCell ref="E947:E951"/>
    <mergeCell ref="E952:E956"/>
    <mergeCell ref="E957:E961"/>
    <mergeCell ref="E962:E966"/>
    <mergeCell ref="E917:E921"/>
    <mergeCell ref="E922:E926"/>
    <mergeCell ref="E927:E931"/>
    <mergeCell ref="E932:E936"/>
    <mergeCell ref="E937:E941"/>
    <mergeCell ref="E892:E896"/>
    <mergeCell ref="E897:E901"/>
    <mergeCell ref="E902:E906"/>
    <mergeCell ref="E907:E911"/>
    <mergeCell ref="E912:E916"/>
    <mergeCell ref="E867:E871"/>
    <mergeCell ref="E872:E876"/>
    <mergeCell ref="E877:E881"/>
    <mergeCell ref="E882:E886"/>
    <mergeCell ref="E887:E891"/>
    <mergeCell ref="E842:E846"/>
    <mergeCell ref="E847:E851"/>
    <mergeCell ref="E852:E856"/>
    <mergeCell ref="E857:E861"/>
    <mergeCell ref="E862:E866"/>
    <mergeCell ref="E817:E821"/>
    <mergeCell ref="E822:E826"/>
    <mergeCell ref="E827:E831"/>
    <mergeCell ref="E832:E836"/>
    <mergeCell ref="E837:E841"/>
    <mergeCell ref="E792:E796"/>
    <mergeCell ref="E797:E801"/>
    <mergeCell ref="E802:E806"/>
    <mergeCell ref="E807:E811"/>
    <mergeCell ref="E812:E816"/>
    <mergeCell ref="E767:E771"/>
    <mergeCell ref="E772:E776"/>
    <mergeCell ref="E777:E781"/>
    <mergeCell ref="E782:E786"/>
    <mergeCell ref="E787:E791"/>
    <mergeCell ref="E742:E746"/>
    <mergeCell ref="E747:E751"/>
    <mergeCell ref="E752:E756"/>
    <mergeCell ref="E757:E761"/>
    <mergeCell ref="E762:E766"/>
    <mergeCell ref="E717:E721"/>
    <mergeCell ref="E722:E726"/>
    <mergeCell ref="E727:E731"/>
    <mergeCell ref="E732:E736"/>
    <mergeCell ref="E737:E741"/>
    <mergeCell ref="E692:E696"/>
    <mergeCell ref="E697:E701"/>
    <mergeCell ref="E702:E706"/>
    <mergeCell ref="E707:E711"/>
    <mergeCell ref="E712:E716"/>
    <mergeCell ref="E667:E671"/>
    <mergeCell ref="E672:E676"/>
    <mergeCell ref="E677:E681"/>
    <mergeCell ref="E682:E686"/>
    <mergeCell ref="E687:E691"/>
    <mergeCell ref="E642:E646"/>
    <mergeCell ref="E647:E651"/>
    <mergeCell ref="E652:E656"/>
    <mergeCell ref="E657:E661"/>
    <mergeCell ref="E662:E666"/>
    <mergeCell ref="E617:E621"/>
    <mergeCell ref="E622:E626"/>
    <mergeCell ref="E627:E631"/>
    <mergeCell ref="E632:E636"/>
    <mergeCell ref="E637:E641"/>
    <mergeCell ref="E592:E596"/>
    <mergeCell ref="E597:E601"/>
    <mergeCell ref="E602:E606"/>
    <mergeCell ref="E607:E611"/>
    <mergeCell ref="E612:E616"/>
    <mergeCell ref="E567:E571"/>
    <mergeCell ref="E572:E576"/>
    <mergeCell ref="E577:E581"/>
    <mergeCell ref="E582:E586"/>
    <mergeCell ref="E587:E591"/>
    <mergeCell ref="E542:E546"/>
    <mergeCell ref="E547:E551"/>
    <mergeCell ref="E552:E556"/>
    <mergeCell ref="E557:E561"/>
    <mergeCell ref="E562:E566"/>
    <mergeCell ref="E517:E521"/>
    <mergeCell ref="E522:E526"/>
    <mergeCell ref="E527:E531"/>
    <mergeCell ref="E532:E536"/>
    <mergeCell ref="E537:E541"/>
    <mergeCell ref="E492:E496"/>
    <mergeCell ref="E497:E501"/>
    <mergeCell ref="E502:E506"/>
    <mergeCell ref="E507:E511"/>
    <mergeCell ref="E512:E516"/>
    <mergeCell ref="E467:E471"/>
    <mergeCell ref="E472:E476"/>
    <mergeCell ref="E477:E481"/>
    <mergeCell ref="E482:E486"/>
    <mergeCell ref="E487:E491"/>
    <mergeCell ref="E442:E446"/>
    <mergeCell ref="E447:E451"/>
    <mergeCell ref="E452:E456"/>
    <mergeCell ref="E457:E461"/>
    <mergeCell ref="E462:E466"/>
    <mergeCell ref="E417:E421"/>
    <mergeCell ref="E422:E426"/>
    <mergeCell ref="E427:E431"/>
    <mergeCell ref="E432:E436"/>
    <mergeCell ref="E437:E441"/>
    <mergeCell ref="E392:E396"/>
    <mergeCell ref="E397:E401"/>
    <mergeCell ref="E402:E406"/>
    <mergeCell ref="E407:E411"/>
    <mergeCell ref="E412:E416"/>
    <mergeCell ref="E367:E371"/>
    <mergeCell ref="E372:E376"/>
    <mergeCell ref="E377:E381"/>
    <mergeCell ref="E382:E386"/>
    <mergeCell ref="E387:E391"/>
    <mergeCell ref="E342:E346"/>
    <mergeCell ref="E347:E351"/>
    <mergeCell ref="E352:E356"/>
    <mergeCell ref="E357:E361"/>
    <mergeCell ref="E362:E366"/>
    <mergeCell ref="E317:E321"/>
    <mergeCell ref="E322:E326"/>
    <mergeCell ref="E327:E331"/>
    <mergeCell ref="E332:E336"/>
    <mergeCell ref="E337:E341"/>
    <mergeCell ref="E292:E296"/>
    <mergeCell ref="E297:E301"/>
    <mergeCell ref="E302:E306"/>
    <mergeCell ref="E307:E311"/>
    <mergeCell ref="E312:E316"/>
    <mergeCell ref="E267:E271"/>
    <mergeCell ref="E272:E276"/>
    <mergeCell ref="E277:E281"/>
    <mergeCell ref="E282:E286"/>
    <mergeCell ref="E287:E291"/>
    <mergeCell ref="E242:E246"/>
    <mergeCell ref="E247:E251"/>
    <mergeCell ref="E252:E256"/>
    <mergeCell ref="E257:E261"/>
    <mergeCell ref="E262:E266"/>
    <mergeCell ref="E42:E46"/>
    <mergeCell ref="E47:E51"/>
    <mergeCell ref="E52:E56"/>
    <mergeCell ref="E57:E61"/>
    <mergeCell ref="E62:E66"/>
    <mergeCell ref="E217:E221"/>
    <mergeCell ref="E222:E226"/>
    <mergeCell ref="E227:E231"/>
    <mergeCell ref="E232:E236"/>
    <mergeCell ref="E237:E241"/>
    <mergeCell ref="E192:E196"/>
    <mergeCell ref="E197:E201"/>
    <mergeCell ref="E202:E206"/>
    <mergeCell ref="E207:E211"/>
    <mergeCell ref="E212:E216"/>
    <mergeCell ref="E167:E171"/>
    <mergeCell ref="E172:E176"/>
    <mergeCell ref="E177:E181"/>
    <mergeCell ref="E182:E186"/>
    <mergeCell ref="E187:E191"/>
    <mergeCell ref="E142:E146"/>
    <mergeCell ref="E147:E151"/>
    <mergeCell ref="E152:E156"/>
    <mergeCell ref="E157:E161"/>
    <mergeCell ref="E162:E166"/>
    <mergeCell ref="A1632:A1636"/>
    <mergeCell ref="A1637:A1641"/>
    <mergeCell ref="A1642:A1646"/>
    <mergeCell ref="A1647:A1651"/>
    <mergeCell ref="A1652:A1656"/>
    <mergeCell ref="A1607:A1611"/>
    <mergeCell ref="A1612:A1616"/>
    <mergeCell ref="A1617:A1621"/>
    <mergeCell ref="A1622:A1626"/>
    <mergeCell ref="A1627:A1631"/>
    <mergeCell ref="A1582:A1586"/>
    <mergeCell ref="A1587:A1591"/>
    <mergeCell ref="A1592:A1596"/>
    <mergeCell ref="A1597:A1601"/>
    <mergeCell ref="A1602:A1606"/>
    <mergeCell ref="A1557:A1561"/>
    <mergeCell ref="A1562:A1566"/>
    <mergeCell ref="A1567:A1571"/>
    <mergeCell ref="A1572:A1576"/>
    <mergeCell ref="A1577:A1581"/>
    <mergeCell ref="A1532:A1536"/>
    <mergeCell ref="A1537:A1541"/>
    <mergeCell ref="A1542:A1546"/>
    <mergeCell ref="A1547:A1551"/>
    <mergeCell ref="A1552:A1556"/>
    <mergeCell ref="A1507:A1511"/>
    <mergeCell ref="A1512:A1516"/>
    <mergeCell ref="A1517:A1521"/>
    <mergeCell ref="A1522:A1526"/>
    <mergeCell ref="A1527:A1531"/>
    <mergeCell ref="A1482:A1486"/>
    <mergeCell ref="A1487:A1491"/>
    <mergeCell ref="A1492:A1496"/>
    <mergeCell ref="A1497:A1501"/>
    <mergeCell ref="A1502:A1506"/>
    <mergeCell ref="A1457:A1461"/>
    <mergeCell ref="A1462:A1466"/>
    <mergeCell ref="A1467:A1471"/>
    <mergeCell ref="A1472:A1476"/>
    <mergeCell ref="A1477:A1481"/>
    <mergeCell ref="A1432:A1436"/>
    <mergeCell ref="A1437:A1441"/>
    <mergeCell ref="A1442:A1446"/>
    <mergeCell ref="A1447:A1451"/>
    <mergeCell ref="A1452:A1456"/>
    <mergeCell ref="A1407:A1411"/>
    <mergeCell ref="A1412:A1416"/>
    <mergeCell ref="A1417:A1421"/>
    <mergeCell ref="A1422:A1426"/>
    <mergeCell ref="A1427:A1431"/>
    <mergeCell ref="A1382:A1386"/>
    <mergeCell ref="A1387:A1391"/>
    <mergeCell ref="A1392:A1396"/>
    <mergeCell ref="A1397:A1401"/>
    <mergeCell ref="A1402:A1406"/>
    <mergeCell ref="A1357:A1361"/>
    <mergeCell ref="A1362:A1366"/>
    <mergeCell ref="A1367:A1371"/>
    <mergeCell ref="A1372:A1376"/>
    <mergeCell ref="A1377:A1381"/>
    <mergeCell ref="A1332:A1336"/>
    <mergeCell ref="A1337:A1341"/>
    <mergeCell ref="A1342:A1346"/>
    <mergeCell ref="A1347:A1351"/>
    <mergeCell ref="A1352:A1356"/>
    <mergeCell ref="A1307:A1311"/>
    <mergeCell ref="A1312:A1316"/>
    <mergeCell ref="A1317:A1321"/>
    <mergeCell ref="A1322:A1326"/>
    <mergeCell ref="A1327:A1331"/>
    <mergeCell ref="A1282:A1286"/>
    <mergeCell ref="A1287:A1291"/>
    <mergeCell ref="A1292:A1296"/>
    <mergeCell ref="A1297:A1301"/>
    <mergeCell ref="A1302:A1306"/>
    <mergeCell ref="A1257:A1261"/>
    <mergeCell ref="A1262:A1266"/>
    <mergeCell ref="A1267:A1271"/>
    <mergeCell ref="A1272:A1276"/>
    <mergeCell ref="A1277:A1281"/>
    <mergeCell ref="A1232:A1236"/>
    <mergeCell ref="A1237:A1241"/>
    <mergeCell ref="A1242:A1246"/>
    <mergeCell ref="A1247:A1251"/>
    <mergeCell ref="A1252:A1256"/>
    <mergeCell ref="A1207:A1211"/>
    <mergeCell ref="A1212:A1216"/>
    <mergeCell ref="A1217:A1221"/>
    <mergeCell ref="A1222:A1226"/>
    <mergeCell ref="A1227:A1231"/>
    <mergeCell ref="A1182:A1186"/>
    <mergeCell ref="A1187:A1191"/>
    <mergeCell ref="A1192:A1196"/>
    <mergeCell ref="A1197:A1201"/>
    <mergeCell ref="A1202:A1206"/>
    <mergeCell ref="A1157:A1161"/>
    <mergeCell ref="A1162:A1166"/>
    <mergeCell ref="A1167:A1171"/>
    <mergeCell ref="A1172:A1176"/>
    <mergeCell ref="A1177:A1181"/>
    <mergeCell ref="A1132:A1136"/>
    <mergeCell ref="A1137:A1141"/>
    <mergeCell ref="A1142:A1146"/>
    <mergeCell ref="A1147:A1151"/>
    <mergeCell ref="A1152:A1156"/>
    <mergeCell ref="A1107:A1111"/>
    <mergeCell ref="A1112:A1116"/>
    <mergeCell ref="A1117:A1121"/>
    <mergeCell ref="A1122:A1126"/>
    <mergeCell ref="A1127:A1131"/>
    <mergeCell ref="A1082:A1086"/>
    <mergeCell ref="A1087:A1091"/>
    <mergeCell ref="A1092:A1096"/>
    <mergeCell ref="A1097:A1101"/>
    <mergeCell ref="A1102:A1106"/>
    <mergeCell ref="A1057:A1061"/>
    <mergeCell ref="A1062:A1066"/>
    <mergeCell ref="A1067:A1071"/>
    <mergeCell ref="A1072:A1076"/>
    <mergeCell ref="A1077:A1081"/>
    <mergeCell ref="A1032:A1036"/>
    <mergeCell ref="A1037:A1041"/>
    <mergeCell ref="A1042:A1046"/>
    <mergeCell ref="A1047:A1051"/>
    <mergeCell ref="A1052:A1056"/>
    <mergeCell ref="A1007:A1011"/>
    <mergeCell ref="A1012:A1016"/>
    <mergeCell ref="A1017:A1021"/>
    <mergeCell ref="A1022:A1026"/>
    <mergeCell ref="A1027:A1031"/>
    <mergeCell ref="A982:A986"/>
    <mergeCell ref="A987:A991"/>
    <mergeCell ref="A992:A996"/>
    <mergeCell ref="A997:A1001"/>
    <mergeCell ref="A1002:A1006"/>
    <mergeCell ref="A957:A961"/>
    <mergeCell ref="A962:A966"/>
    <mergeCell ref="A967:A971"/>
    <mergeCell ref="A972:A976"/>
    <mergeCell ref="A977:A981"/>
    <mergeCell ref="A932:A936"/>
    <mergeCell ref="A937:A941"/>
    <mergeCell ref="A942:A946"/>
    <mergeCell ref="A947:A951"/>
    <mergeCell ref="A952:A956"/>
    <mergeCell ref="A907:A911"/>
    <mergeCell ref="A912:A916"/>
    <mergeCell ref="A917:A921"/>
    <mergeCell ref="A922:A926"/>
    <mergeCell ref="A927:A931"/>
    <mergeCell ref="A882:A886"/>
    <mergeCell ref="A887:A891"/>
    <mergeCell ref="A892:A896"/>
    <mergeCell ref="A897:A901"/>
    <mergeCell ref="A902:A906"/>
    <mergeCell ref="A857:A861"/>
    <mergeCell ref="A862:A866"/>
    <mergeCell ref="A867:A871"/>
    <mergeCell ref="A872:A876"/>
    <mergeCell ref="A877:A881"/>
    <mergeCell ref="A832:A836"/>
    <mergeCell ref="A837:A841"/>
    <mergeCell ref="A842:A846"/>
    <mergeCell ref="A847:A851"/>
    <mergeCell ref="A852:A856"/>
    <mergeCell ref="A807:A811"/>
    <mergeCell ref="A812:A816"/>
    <mergeCell ref="A817:A821"/>
    <mergeCell ref="A822:A826"/>
    <mergeCell ref="A827:A831"/>
    <mergeCell ref="A782:A786"/>
    <mergeCell ref="A787:A791"/>
    <mergeCell ref="A792:A796"/>
    <mergeCell ref="A797:A801"/>
    <mergeCell ref="A802:A806"/>
    <mergeCell ref="A757:A761"/>
    <mergeCell ref="A762:A766"/>
    <mergeCell ref="A767:A771"/>
    <mergeCell ref="A772:A776"/>
    <mergeCell ref="A777:A781"/>
    <mergeCell ref="A732:A736"/>
    <mergeCell ref="A737:A741"/>
    <mergeCell ref="A742:A746"/>
    <mergeCell ref="A747:A751"/>
    <mergeCell ref="A752:A756"/>
    <mergeCell ref="A707:A711"/>
    <mergeCell ref="A712:A716"/>
    <mergeCell ref="A717:A721"/>
    <mergeCell ref="A722:A726"/>
    <mergeCell ref="A727:A731"/>
    <mergeCell ref="A682:A686"/>
    <mergeCell ref="A687:A691"/>
    <mergeCell ref="A692:A696"/>
    <mergeCell ref="A697:A701"/>
    <mergeCell ref="A702:A706"/>
    <mergeCell ref="A657:A661"/>
    <mergeCell ref="A662:A666"/>
    <mergeCell ref="A667:A671"/>
    <mergeCell ref="A672:A676"/>
    <mergeCell ref="A677:A681"/>
    <mergeCell ref="A632:A636"/>
    <mergeCell ref="A637:A641"/>
    <mergeCell ref="A642:A646"/>
    <mergeCell ref="A647:A651"/>
    <mergeCell ref="A652:A656"/>
    <mergeCell ref="A607:A611"/>
    <mergeCell ref="A612:A616"/>
    <mergeCell ref="A617:A621"/>
    <mergeCell ref="A622:A626"/>
    <mergeCell ref="A627:A631"/>
    <mergeCell ref="A582:A586"/>
    <mergeCell ref="A587:A591"/>
    <mergeCell ref="A592:A596"/>
    <mergeCell ref="A597:A601"/>
    <mergeCell ref="A602:A606"/>
    <mergeCell ref="A557:A561"/>
    <mergeCell ref="A562:A566"/>
    <mergeCell ref="A567:A571"/>
    <mergeCell ref="A572:A576"/>
    <mergeCell ref="A577:A581"/>
    <mergeCell ref="A532:A536"/>
    <mergeCell ref="A537:A541"/>
    <mergeCell ref="A542:A546"/>
    <mergeCell ref="A547:A551"/>
    <mergeCell ref="A552:A556"/>
    <mergeCell ref="A507:A511"/>
    <mergeCell ref="A512:A516"/>
    <mergeCell ref="A517:A521"/>
    <mergeCell ref="A522:A526"/>
    <mergeCell ref="A527:A531"/>
    <mergeCell ref="A482:A486"/>
    <mergeCell ref="A487:A491"/>
    <mergeCell ref="A492:A496"/>
    <mergeCell ref="A497:A501"/>
    <mergeCell ref="A502:A506"/>
    <mergeCell ref="A457:A461"/>
    <mergeCell ref="A462:A466"/>
    <mergeCell ref="A467:A471"/>
    <mergeCell ref="A472:A476"/>
    <mergeCell ref="A477:A481"/>
    <mergeCell ref="A432:A436"/>
    <mergeCell ref="A437:A441"/>
    <mergeCell ref="A442:A446"/>
    <mergeCell ref="A447:A451"/>
    <mergeCell ref="A452:A456"/>
    <mergeCell ref="A407:A411"/>
    <mergeCell ref="A412:A416"/>
    <mergeCell ref="A417:A421"/>
    <mergeCell ref="A422:A426"/>
    <mergeCell ref="A427:A431"/>
    <mergeCell ref="A382:A386"/>
    <mergeCell ref="A387:A391"/>
    <mergeCell ref="A392:A396"/>
    <mergeCell ref="A397:A401"/>
    <mergeCell ref="A402:A406"/>
    <mergeCell ref="A357:A361"/>
    <mergeCell ref="A362:A366"/>
    <mergeCell ref="A367:A371"/>
    <mergeCell ref="A372:A376"/>
    <mergeCell ref="A377:A381"/>
    <mergeCell ref="A332:A336"/>
    <mergeCell ref="A337:A341"/>
    <mergeCell ref="A342:A346"/>
    <mergeCell ref="A347:A351"/>
    <mergeCell ref="A352:A356"/>
    <mergeCell ref="A307:A311"/>
    <mergeCell ref="A312:A316"/>
    <mergeCell ref="A317:A321"/>
    <mergeCell ref="A322:A326"/>
    <mergeCell ref="A327:A331"/>
    <mergeCell ref="A282:A286"/>
    <mergeCell ref="A287:A291"/>
    <mergeCell ref="A292:A296"/>
    <mergeCell ref="A297:A301"/>
    <mergeCell ref="A302:A306"/>
    <mergeCell ref="A257:A261"/>
    <mergeCell ref="A262:A266"/>
    <mergeCell ref="A267:A271"/>
    <mergeCell ref="A272:A276"/>
    <mergeCell ref="A277:A281"/>
    <mergeCell ref="A232:A236"/>
    <mergeCell ref="A237:A241"/>
    <mergeCell ref="A242:A246"/>
    <mergeCell ref="A247:A251"/>
    <mergeCell ref="A252:A256"/>
    <mergeCell ref="A207:A211"/>
    <mergeCell ref="A212:A216"/>
    <mergeCell ref="A217:A221"/>
    <mergeCell ref="A222:A226"/>
    <mergeCell ref="A227:A231"/>
    <mergeCell ref="A182:A186"/>
    <mergeCell ref="A187:A191"/>
    <mergeCell ref="A192:A196"/>
    <mergeCell ref="A197:A201"/>
    <mergeCell ref="A202:A206"/>
    <mergeCell ref="A157:A161"/>
    <mergeCell ref="A162:A166"/>
    <mergeCell ref="A167:A171"/>
    <mergeCell ref="A172:A176"/>
    <mergeCell ref="A177:A181"/>
    <mergeCell ref="A97:A101"/>
    <mergeCell ref="A102:A106"/>
    <mergeCell ref="A107:A111"/>
    <mergeCell ref="A112:A116"/>
    <mergeCell ref="A117:A121"/>
    <mergeCell ref="A122:A126"/>
    <mergeCell ref="A127:A131"/>
    <mergeCell ref="A132:A136"/>
    <mergeCell ref="A137:A141"/>
    <mergeCell ref="A142:A146"/>
    <mergeCell ref="A147:A151"/>
    <mergeCell ref="A152:A156"/>
    <mergeCell ref="A52:A56"/>
    <mergeCell ref="A27:A31"/>
    <mergeCell ref="A32:A36"/>
    <mergeCell ref="A37:A41"/>
    <mergeCell ref="A42:A46"/>
    <mergeCell ref="A47:A51"/>
    <mergeCell ref="A92:A96"/>
    <mergeCell ref="A62:A66"/>
    <mergeCell ref="A67:A71"/>
    <mergeCell ref="A72:A76"/>
    <mergeCell ref="A77:A81"/>
    <mergeCell ref="A82:A86"/>
    <mergeCell ref="A87:A91"/>
    <mergeCell ref="A57:A61"/>
    <mergeCell ref="A2:A6"/>
    <mergeCell ref="A7:A11"/>
    <mergeCell ref="A12:A16"/>
    <mergeCell ref="A17:A21"/>
    <mergeCell ref="A22:A26"/>
    <mergeCell ref="U2:U6"/>
    <mergeCell ref="V2:V6"/>
    <mergeCell ref="U7:U11"/>
    <mergeCell ref="V7:V11"/>
    <mergeCell ref="U12:U16"/>
    <mergeCell ref="V12:V16"/>
    <mergeCell ref="U17:U21"/>
    <mergeCell ref="V17:V21"/>
    <mergeCell ref="U22:U26"/>
    <mergeCell ref="T7:T11"/>
    <mergeCell ref="T12:T16"/>
    <mergeCell ref="T17:T21"/>
    <mergeCell ref="T22:T26"/>
    <mergeCell ref="E2:E6"/>
    <mergeCell ref="E7:E11"/>
    <mergeCell ref="E12:E16"/>
    <mergeCell ref="E17:E21"/>
    <mergeCell ref="E22:E26"/>
    <mergeCell ref="F2:F6"/>
    <mergeCell ref="F7:F11"/>
    <mergeCell ref="F12:F16"/>
    <mergeCell ref="F17:F21"/>
    <mergeCell ref="F22:F26"/>
    <mergeCell ref="T2:T6"/>
    <mergeCell ref="T27:T31"/>
    <mergeCell ref="T32:T36"/>
    <mergeCell ref="T37:T41"/>
    <mergeCell ref="X52:X56"/>
    <mergeCell ref="X57:X61"/>
    <mergeCell ref="X27:X31"/>
    <mergeCell ref="X32:X36"/>
    <mergeCell ref="X37:X41"/>
    <mergeCell ref="X42:X46"/>
    <mergeCell ref="X47:X51"/>
    <mergeCell ref="X2:X6"/>
    <mergeCell ref="X7:X11"/>
    <mergeCell ref="X12:X16"/>
    <mergeCell ref="X17:X21"/>
    <mergeCell ref="X22:X26"/>
    <mergeCell ref="V22:V26"/>
    <mergeCell ref="U27:U31"/>
    <mergeCell ref="V27:V31"/>
    <mergeCell ref="U32:U36"/>
    <mergeCell ref="V32:V36"/>
    <mergeCell ref="U37:U41"/>
    <mergeCell ref="V37:V41"/>
    <mergeCell ref="W2:W6"/>
    <mergeCell ref="W7:W11"/>
    <mergeCell ref="W12:W16"/>
    <mergeCell ref="W17:W21"/>
    <mergeCell ref="W22:W26"/>
    <mergeCell ref="W27:W31"/>
    <mergeCell ref="W32:W36"/>
    <mergeCell ref="W37:W41"/>
    <mergeCell ref="AC87:AC91"/>
    <mergeCell ref="AC92:AC96"/>
    <mergeCell ref="AC97:AC101"/>
    <mergeCell ref="AC102:AC106"/>
    <mergeCell ref="AC107:AC111"/>
    <mergeCell ref="AC112:AC116"/>
    <mergeCell ref="AC117:AC121"/>
    <mergeCell ref="AC122:AC126"/>
    <mergeCell ref="AC127:AC131"/>
    <mergeCell ref="AC132:AC136"/>
    <mergeCell ref="AC137:AC141"/>
    <mergeCell ref="AC142:AC146"/>
    <mergeCell ref="AC147:AC151"/>
    <mergeCell ref="AC152:AC156"/>
    <mergeCell ref="E27:E31"/>
    <mergeCell ref="E32:E36"/>
    <mergeCell ref="E37:E41"/>
    <mergeCell ref="E117:E121"/>
    <mergeCell ref="E122:E126"/>
    <mergeCell ref="E127:E131"/>
    <mergeCell ref="E132:E136"/>
    <mergeCell ref="E137:E141"/>
    <mergeCell ref="E92:E96"/>
    <mergeCell ref="E97:E101"/>
    <mergeCell ref="E102:E106"/>
    <mergeCell ref="E107:E111"/>
    <mergeCell ref="E112:E116"/>
    <mergeCell ref="E67:E71"/>
    <mergeCell ref="E72:E76"/>
    <mergeCell ref="E77:E81"/>
    <mergeCell ref="E82:E86"/>
    <mergeCell ref="E87:E91"/>
    <mergeCell ref="AC2:AC6"/>
    <mergeCell ref="AC7:AC11"/>
    <mergeCell ref="AC12:AC16"/>
    <mergeCell ref="AC17:AC21"/>
    <mergeCell ref="AC22:AC26"/>
    <mergeCell ref="AC27:AC31"/>
    <mergeCell ref="AC32:AC36"/>
    <mergeCell ref="AC37:AC41"/>
    <mergeCell ref="AC42:AC46"/>
    <mergeCell ref="AC47:AC51"/>
    <mergeCell ref="AC52:AC56"/>
    <mergeCell ref="AC57:AC61"/>
    <mergeCell ref="AC62:AC66"/>
    <mergeCell ref="AC67:AC71"/>
    <mergeCell ref="AC72:AC76"/>
    <mergeCell ref="AC77:AC81"/>
    <mergeCell ref="AC82:AC86"/>
    <mergeCell ref="AC157:AC161"/>
    <mergeCell ref="AC162:AC166"/>
    <mergeCell ref="AC167:AC171"/>
    <mergeCell ref="AC172:AC176"/>
    <mergeCell ref="AC177:AC181"/>
    <mergeCell ref="AC182:AC186"/>
    <mergeCell ref="AC187:AC191"/>
    <mergeCell ref="AC192:AC196"/>
    <mergeCell ref="AC197:AC201"/>
    <mergeCell ref="AC202:AC206"/>
    <mergeCell ref="AC207:AC211"/>
    <mergeCell ref="AC212:AC216"/>
    <mergeCell ref="AC217:AC221"/>
    <mergeCell ref="AC222:AC226"/>
    <mergeCell ref="AC227:AC231"/>
    <mergeCell ref="AC232:AC236"/>
    <mergeCell ref="AC237:AC241"/>
    <mergeCell ref="AC242:AC246"/>
    <mergeCell ref="AC247:AC251"/>
    <mergeCell ref="AC252:AC256"/>
    <mergeCell ref="AC257:AC261"/>
    <mergeCell ref="AC262:AC266"/>
    <mergeCell ref="AC267:AC271"/>
    <mergeCell ref="AC272:AC276"/>
    <mergeCell ref="AC277:AC281"/>
    <mergeCell ref="AC282:AC286"/>
    <mergeCell ref="AC287:AC291"/>
    <mergeCell ref="AC292:AC296"/>
    <mergeCell ref="AC297:AC301"/>
    <mergeCell ref="AC302:AC306"/>
    <mergeCell ref="AC307:AC311"/>
    <mergeCell ref="AC312:AC316"/>
    <mergeCell ref="AC317:AC321"/>
    <mergeCell ref="AC322:AC326"/>
    <mergeCell ref="AC327:AC331"/>
    <mergeCell ref="AC332:AC336"/>
    <mergeCell ref="AC337:AC341"/>
    <mergeCell ref="AC342:AC346"/>
    <mergeCell ref="AC347:AC351"/>
    <mergeCell ref="AC352:AC356"/>
    <mergeCell ref="AC357:AC361"/>
    <mergeCell ref="AC362:AC366"/>
    <mergeCell ref="AC367:AC371"/>
    <mergeCell ref="AC372:AC376"/>
    <mergeCell ref="AC377:AC381"/>
    <mergeCell ref="AC382:AC386"/>
    <mergeCell ref="AC387:AC391"/>
    <mergeCell ref="AC392:AC396"/>
    <mergeCell ref="AC397:AC401"/>
    <mergeCell ref="AC402:AC406"/>
    <mergeCell ref="AC407:AC411"/>
    <mergeCell ref="AC412:AC416"/>
    <mergeCell ref="AC417:AC421"/>
    <mergeCell ref="AC422:AC426"/>
    <mergeCell ref="AC427:AC431"/>
    <mergeCell ref="AC432:AC436"/>
    <mergeCell ref="AC437:AC441"/>
    <mergeCell ref="AC442:AC446"/>
    <mergeCell ref="AC447:AC451"/>
    <mergeCell ref="AC452:AC456"/>
    <mergeCell ref="AC457:AC461"/>
    <mergeCell ref="AC462:AC466"/>
    <mergeCell ref="AC467:AC471"/>
    <mergeCell ref="AC472:AC476"/>
    <mergeCell ref="AC477:AC481"/>
    <mergeCell ref="AC482:AC486"/>
    <mergeCell ref="AC487:AC491"/>
    <mergeCell ref="AC492:AC496"/>
    <mergeCell ref="AC497:AC501"/>
    <mergeCell ref="AC502:AC506"/>
    <mergeCell ref="AC507:AC511"/>
    <mergeCell ref="AC512:AC516"/>
    <mergeCell ref="AC517:AC521"/>
    <mergeCell ref="AC522:AC526"/>
    <mergeCell ref="AC527:AC531"/>
    <mergeCell ref="AC532:AC536"/>
    <mergeCell ref="AC537:AC541"/>
    <mergeCell ref="AC542:AC546"/>
    <mergeCell ref="AC547:AC551"/>
    <mergeCell ref="AC552:AC556"/>
    <mergeCell ref="AC557:AC561"/>
    <mergeCell ref="AC562:AC566"/>
    <mergeCell ref="AC567:AC571"/>
    <mergeCell ref="AC572:AC576"/>
    <mergeCell ref="AC577:AC581"/>
    <mergeCell ref="AC582:AC586"/>
    <mergeCell ref="AC587:AC591"/>
    <mergeCell ref="AC592:AC596"/>
    <mergeCell ref="AC597:AC601"/>
    <mergeCell ref="AC602:AC606"/>
    <mergeCell ref="AC607:AC611"/>
    <mergeCell ref="AC612:AC616"/>
    <mergeCell ref="AC617:AC621"/>
    <mergeCell ref="AC622:AC626"/>
    <mergeCell ref="AC627:AC631"/>
    <mergeCell ref="AC632:AC636"/>
    <mergeCell ref="AC637:AC641"/>
    <mergeCell ref="AC642:AC646"/>
    <mergeCell ref="AC647:AC651"/>
    <mergeCell ref="AC652:AC656"/>
    <mergeCell ref="AC657:AC661"/>
    <mergeCell ref="AC662:AC666"/>
    <mergeCell ref="AC667:AC671"/>
    <mergeCell ref="AC672:AC676"/>
    <mergeCell ref="AC677:AC681"/>
    <mergeCell ref="AC682:AC686"/>
    <mergeCell ref="AC687:AC691"/>
    <mergeCell ref="AC692:AC696"/>
    <mergeCell ref="AC697:AC701"/>
    <mergeCell ref="AC702:AC706"/>
    <mergeCell ref="AC707:AC711"/>
    <mergeCell ref="AC712:AC716"/>
    <mergeCell ref="AC717:AC721"/>
    <mergeCell ref="AC722:AC726"/>
    <mergeCell ref="AC727:AC731"/>
    <mergeCell ref="AC732:AC736"/>
    <mergeCell ref="AC737:AC741"/>
    <mergeCell ref="AC742:AC746"/>
    <mergeCell ref="AC747:AC751"/>
    <mergeCell ref="AC752:AC756"/>
    <mergeCell ref="AC757:AC761"/>
    <mergeCell ref="AC762:AC766"/>
    <mergeCell ref="AC767:AC771"/>
    <mergeCell ref="AC772:AC776"/>
    <mergeCell ref="AC777:AC781"/>
    <mergeCell ref="AC782:AC786"/>
    <mergeCell ref="AC787:AC791"/>
    <mergeCell ref="AC792:AC796"/>
    <mergeCell ref="AC797:AC801"/>
    <mergeCell ref="AC802:AC806"/>
    <mergeCell ref="AC807:AC811"/>
    <mergeCell ref="AC812:AC816"/>
    <mergeCell ref="AC817:AC821"/>
    <mergeCell ref="AC822:AC826"/>
    <mergeCell ref="AC827:AC831"/>
    <mergeCell ref="AC832:AC836"/>
    <mergeCell ref="AC837:AC841"/>
    <mergeCell ref="AC842:AC846"/>
    <mergeCell ref="AC847:AC851"/>
    <mergeCell ref="AC852:AC856"/>
    <mergeCell ref="AC857:AC861"/>
    <mergeCell ref="AC862:AC866"/>
    <mergeCell ref="AC867:AC871"/>
    <mergeCell ref="AC872:AC876"/>
    <mergeCell ref="AC877:AC881"/>
    <mergeCell ref="AC882:AC886"/>
    <mergeCell ref="AC887:AC891"/>
    <mergeCell ref="AC892:AC896"/>
    <mergeCell ref="AC897:AC901"/>
    <mergeCell ref="AC902:AC906"/>
    <mergeCell ref="AC907:AC911"/>
    <mergeCell ref="AC912:AC916"/>
    <mergeCell ref="AC917:AC921"/>
    <mergeCell ref="AC922:AC926"/>
    <mergeCell ref="AC927:AC931"/>
    <mergeCell ref="AC932:AC936"/>
    <mergeCell ref="AC937:AC941"/>
    <mergeCell ref="AC942:AC946"/>
    <mergeCell ref="AC947:AC951"/>
    <mergeCell ref="AC952:AC956"/>
    <mergeCell ref="AC957:AC961"/>
    <mergeCell ref="AC962:AC966"/>
    <mergeCell ref="AC967:AC971"/>
    <mergeCell ref="AC972:AC976"/>
    <mergeCell ref="AC977:AC981"/>
    <mergeCell ref="AC982:AC986"/>
    <mergeCell ref="AC987:AC991"/>
    <mergeCell ref="AC992:AC996"/>
    <mergeCell ref="AC997:AC1001"/>
    <mergeCell ref="AC1002:AC1006"/>
    <mergeCell ref="AC1007:AC1011"/>
    <mergeCell ref="AC1012:AC1016"/>
    <mergeCell ref="AC1017:AC1021"/>
    <mergeCell ref="AC1022:AC1026"/>
    <mergeCell ref="AC1027:AC1031"/>
    <mergeCell ref="AC1032:AC1036"/>
    <mergeCell ref="AC1037:AC1041"/>
    <mergeCell ref="AC1042:AC1046"/>
    <mergeCell ref="AC1047:AC1051"/>
    <mergeCell ref="AC1052:AC1056"/>
    <mergeCell ref="AC1057:AC1061"/>
    <mergeCell ref="AC1062:AC1066"/>
    <mergeCell ref="AC1067:AC1071"/>
    <mergeCell ref="AC1072:AC1076"/>
    <mergeCell ref="AC1077:AC1081"/>
    <mergeCell ref="AC1082:AC1086"/>
    <mergeCell ref="AC1087:AC1091"/>
    <mergeCell ref="AC1092:AC1096"/>
    <mergeCell ref="AC1097:AC1101"/>
    <mergeCell ref="AC1102:AC1106"/>
    <mergeCell ref="AC1107:AC1111"/>
    <mergeCell ref="AC1112:AC1116"/>
    <mergeCell ref="AC1117:AC1121"/>
    <mergeCell ref="AC1122:AC1126"/>
    <mergeCell ref="AC1127:AC1131"/>
    <mergeCell ref="AC1132:AC1136"/>
    <mergeCell ref="AC1137:AC1141"/>
    <mergeCell ref="AC1142:AC1146"/>
    <mergeCell ref="AC1147:AC1151"/>
    <mergeCell ref="AC1152:AC1156"/>
    <mergeCell ref="AC1157:AC1161"/>
    <mergeCell ref="AC1162:AC1166"/>
    <mergeCell ref="AC1167:AC1171"/>
    <mergeCell ref="AC1172:AC1176"/>
    <mergeCell ref="AC1177:AC1181"/>
    <mergeCell ref="AC1182:AC1186"/>
    <mergeCell ref="AC1187:AC1191"/>
    <mergeCell ref="AC1192:AC1196"/>
    <mergeCell ref="AC1197:AC1201"/>
    <mergeCell ref="AC1202:AC1206"/>
    <mergeCell ref="AC1207:AC1211"/>
    <mergeCell ref="AC1212:AC1216"/>
    <mergeCell ref="AC1217:AC1221"/>
    <mergeCell ref="AC1222:AC1226"/>
    <mergeCell ref="AC1227:AC1231"/>
    <mergeCell ref="AC1232:AC1236"/>
    <mergeCell ref="AC1237:AC1241"/>
    <mergeCell ref="AC1242:AC1246"/>
    <mergeCell ref="AC1247:AC1251"/>
    <mergeCell ref="AC1252:AC1256"/>
    <mergeCell ref="AC1257:AC1261"/>
    <mergeCell ref="AC1262:AC1266"/>
    <mergeCell ref="AC1267:AC1271"/>
    <mergeCell ref="AC1272:AC1276"/>
    <mergeCell ref="AC1277:AC1281"/>
    <mergeCell ref="AC1282:AC1286"/>
    <mergeCell ref="AC1287:AC1291"/>
    <mergeCell ref="AC1292:AC1296"/>
    <mergeCell ref="AC1297:AC1301"/>
    <mergeCell ref="AC1302:AC1306"/>
    <mergeCell ref="AC1307:AC1311"/>
    <mergeCell ref="AC1312:AC1316"/>
    <mergeCell ref="AC1317:AC1321"/>
    <mergeCell ref="AC1322:AC1326"/>
    <mergeCell ref="AC1327:AC1331"/>
    <mergeCell ref="AC1332:AC1336"/>
    <mergeCell ref="AC1337:AC1341"/>
    <mergeCell ref="AC1342:AC1346"/>
    <mergeCell ref="AC1347:AC1351"/>
    <mergeCell ref="AC1352:AC1356"/>
    <mergeCell ref="AC1357:AC1361"/>
    <mergeCell ref="AC1362:AC1366"/>
    <mergeCell ref="AC1367:AC1371"/>
    <mergeCell ref="AC1372:AC1376"/>
    <mergeCell ref="AC1377:AC1381"/>
    <mergeCell ref="AC1382:AC1386"/>
    <mergeCell ref="AC1387:AC1391"/>
    <mergeCell ref="AC1392:AC1396"/>
    <mergeCell ref="AC1397:AC1401"/>
    <mergeCell ref="AC1402:AC1406"/>
    <mergeCell ref="AC1407:AC1411"/>
    <mergeCell ref="AC1412:AC1416"/>
    <mergeCell ref="AC1417:AC1421"/>
    <mergeCell ref="AC1422:AC1426"/>
    <mergeCell ref="AC1427:AC1431"/>
    <mergeCell ref="AC1432:AC1436"/>
    <mergeCell ref="AC1437:AC1441"/>
    <mergeCell ref="AC1442:AC1446"/>
    <mergeCell ref="AC1447:AC1451"/>
    <mergeCell ref="AC1452:AC1456"/>
    <mergeCell ref="AC1457:AC1461"/>
    <mergeCell ref="AC1462:AC1466"/>
    <mergeCell ref="AC1467:AC1471"/>
    <mergeCell ref="AC1472:AC1476"/>
    <mergeCell ref="AC1477:AC1481"/>
    <mergeCell ref="AC1482:AC1486"/>
    <mergeCell ref="AC1487:AC1491"/>
    <mergeCell ref="AC1492:AC1496"/>
    <mergeCell ref="AC1497:AC1501"/>
    <mergeCell ref="AC1502:AC1506"/>
    <mergeCell ref="AC1507:AC1511"/>
    <mergeCell ref="AC1512:AC1516"/>
    <mergeCell ref="AC1517:AC1521"/>
    <mergeCell ref="AC1522:AC1526"/>
    <mergeCell ref="AC1527:AC1531"/>
    <mergeCell ref="AC1532:AC1536"/>
    <mergeCell ref="AC1537:AC1541"/>
    <mergeCell ref="AC1542:AC1546"/>
    <mergeCell ref="AC1547:AC1551"/>
    <mergeCell ref="AC1552:AC1556"/>
    <mergeCell ref="AC1557:AC1561"/>
    <mergeCell ref="AC1562:AC1566"/>
    <mergeCell ref="AC1567:AC1571"/>
    <mergeCell ref="AC1572:AC1576"/>
    <mergeCell ref="AC1577:AC1581"/>
    <mergeCell ref="AC1582:AC1586"/>
    <mergeCell ref="AC1587:AC1591"/>
    <mergeCell ref="AC1592:AC1596"/>
    <mergeCell ref="AC1597:AC1601"/>
    <mergeCell ref="AC1602:AC1606"/>
    <mergeCell ref="AC1607:AC1611"/>
    <mergeCell ref="AC1612:AC1616"/>
    <mergeCell ref="AC1617:AC1621"/>
    <mergeCell ref="AC1622:AC1626"/>
    <mergeCell ref="AC1627:AC1631"/>
    <mergeCell ref="AC1632:AC1636"/>
    <mergeCell ref="AC1637:AC1641"/>
    <mergeCell ref="AC1642:AC1646"/>
    <mergeCell ref="AC1647:AC1651"/>
    <mergeCell ref="AC1657:AC1661"/>
    <mergeCell ref="AC1662:AC1666"/>
    <mergeCell ref="AC1667:AC1671"/>
    <mergeCell ref="AC1672:AC1676"/>
    <mergeCell ref="AC1677:AC1681"/>
    <mergeCell ref="AC1682:AC1686"/>
    <mergeCell ref="AC1687:AC1691"/>
    <mergeCell ref="AC1652:AC1656"/>
    <mergeCell ref="AC1692:AC1696"/>
    <mergeCell ref="AC1697:AC1701"/>
    <mergeCell ref="AC1702:AC1706"/>
    <mergeCell ref="AC1707:AC1711"/>
    <mergeCell ref="AC1712:AC1716"/>
    <mergeCell ref="AC1717:AC1721"/>
    <mergeCell ref="AC1722:AC1726"/>
    <mergeCell ref="AC1727:AC1731"/>
    <mergeCell ref="AC1732:AC1736"/>
    <mergeCell ref="AC1737:AC1741"/>
    <mergeCell ref="AC1742:AC1746"/>
    <mergeCell ref="AD2:AD6"/>
    <mergeCell ref="AD7:AD11"/>
    <mergeCell ref="AD12:AD16"/>
    <mergeCell ref="AD17:AD21"/>
    <mergeCell ref="AD22:AD26"/>
    <mergeCell ref="AD27:AD31"/>
    <mergeCell ref="AD32:AD36"/>
    <mergeCell ref="AD37:AD41"/>
    <mergeCell ref="AD42:AD46"/>
    <mergeCell ref="AD47:AD51"/>
    <mergeCell ref="AD52:AD56"/>
    <mergeCell ref="AD57:AD61"/>
    <mergeCell ref="AD62:AD66"/>
    <mergeCell ref="AD67:AD71"/>
    <mergeCell ref="AD72:AD76"/>
    <mergeCell ref="AD77:AD81"/>
    <mergeCell ref="AD82:AD86"/>
    <mergeCell ref="AD87:AD91"/>
    <mergeCell ref="AD92:AD96"/>
    <mergeCell ref="AD97:AD101"/>
    <mergeCell ref="AD102:AD106"/>
    <mergeCell ref="AD107:AD111"/>
    <mergeCell ref="AD112:AD116"/>
    <mergeCell ref="AD117:AD121"/>
    <mergeCell ref="AD122:AD126"/>
    <mergeCell ref="AD127:AD131"/>
    <mergeCell ref="AD132:AD136"/>
    <mergeCell ref="AD137:AD141"/>
    <mergeCell ref="AD142:AD146"/>
    <mergeCell ref="AD147:AD151"/>
    <mergeCell ref="AD152:AD156"/>
    <mergeCell ref="AD157:AD161"/>
    <mergeCell ref="AD162:AD166"/>
    <mergeCell ref="AD167:AD171"/>
    <mergeCell ref="AD172:AD176"/>
    <mergeCell ref="AD177:AD181"/>
    <mergeCell ref="AD182:AD186"/>
    <mergeCell ref="AD187:AD191"/>
    <mergeCell ref="AD192:AD196"/>
    <mergeCell ref="AD197:AD201"/>
    <mergeCell ref="AD202:AD206"/>
    <mergeCell ref="AD207:AD211"/>
    <mergeCell ref="AD212:AD216"/>
    <mergeCell ref="AD217:AD221"/>
    <mergeCell ref="AD222:AD226"/>
    <mergeCell ref="AD227:AD231"/>
    <mergeCell ref="AD232:AD236"/>
    <mergeCell ref="AD237:AD241"/>
    <mergeCell ref="AD242:AD246"/>
    <mergeCell ref="AD247:AD251"/>
    <mergeCell ref="AD252:AD256"/>
    <mergeCell ref="AD257:AD261"/>
    <mergeCell ref="AD262:AD266"/>
    <mergeCell ref="AD267:AD271"/>
    <mergeCell ref="AD272:AD276"/>
    <mergeCell ref="AD277:AD281"/>
    <mergeCell ref="AD282:AD286"/>
    <mergeCell ref="AD287:AD291"/>
    <mergeCell ref="AD292:AD296"/>
    <mergeCell ref="AD297:AD301"/>
    <mergeCell ref="AD302:AD306"/>
    <mergeCell ref="AD307:AD311"/>
    <mergeCell ref="AD312:AD316"/>
    <mergeCell ref="AD317:AD321"/>
    <mergeCell ref="AD322:AD326"/>
    <mergeCell ref="AD327:AD331"/>
    <mergeCell ref="AD332:AD336"/>
    <mergeCell ref="AD337:AD341"/>
    <mergeCell ref="AD342:AD346"/>
    <mergeCell ref="AD347:AD351"/>
    <mergeCell ref="AD352:AD356"/>
    <mergeCell ref="AD357:AD361"/>
    <mergeCell ref="AD362:AD366"/>
    <mergeCell ref="AD367:AD371"/>
    <mergeCell ref="AD372:AD376"/>
    <mergeCell ref="AD377:AD381"/>
    <mergeCell ref="AD382:AD386"/>
    <mergeCell ref="AD387:AD391"/>
    <mergeCell ref="AD392:AD396"/>
    <mergeCell ref="AD397:AD401"/>
    <mergeCell ref="AD402:AD406"/>
    <mergeCell ref="AD407:AD411"/>
    <mergeCell ref="AD412:AD416"/>
    <mergeCell ref="AD417:AD421"/>
    <mergeCell ref="AD422:AD426"/>
    <mergeCell ref="AD427:AD431"/>
    <mergeCell ref="AD432:AD436"/>
    <mergeCell ref="AD437:AD441"/>
    <mergeCell ref="AD442:AD446"/>
    <mergeCell ref="AD447:AD451"/>
    <mergeCell ref="AD452:AD456"/>
    <mergeCell ref="AD457:AD461"/>
    <mergeCell ref="AD462:AD466"/>
    <mergeCell ref="AD467:AD471"/>
    <mergeCell ref="AD472:AD476"/>
    <mergeCell ref="AD477:AD481"/>
    <mergeCell ref="AD482:AD486"/>
    <mergeCell ref="AD487:AD491"/>
    <mergeCell ref="AD492:AD496"/>
    <mergeCell ref="AD497:AD501"/>
    <mergeCell ref="AD502:AD506"/>
    <mergeCell ref="AD507:AD511"/>
    <mergeCell ref="AD512:AD516"/>
    <mergeCell ref="AD517:AD521"/>
    <mergeCell ref="AD522:AD526"/>
    <mergeCell ref="AD527:AD531"/>
    <mergeCell ref="AD532:AD536"/>
    <mergeCell ref="AD537:AD541"/>
    <mergeCell ref="AD542:AD546"/>
    <mergeCell ref="AD547:AD551"/>
    <mergeCell ref="AD552:AD556"/>
    <mergeCell ref="AD557:AD561"/>
    <mergeCell ref="AD562:AD566"/>
    <mergeCell ref="AD567:AD571"/>
    <mergeCell ref="AD572:AD576"/>
    <mergeCell ref="AD577:AD581"/>
    <mergeCell ref="AD582:AD586"/>
    <mergeCell ref="AD587:AD591"/>
    <mergeCell ref="AD592:AD596"/>
    <mergeCell ref="AD597:AD601"/>
    <mergeCell ref="AD602:AD606"/>
    <mergeCell ref="AD607:AD611"/>
    <mergeCell ref="AD612:AD616"/>
    <mergeCell ref="AD617:AD621"/>
    <mergeCell ref="AD622:AD626"/>
    <mergeCell ref="AD627:AD631"/>
    <mergeCell ref="AD632:AD636"/>
    <mergeCell ref="AD637:AD641"/>
    <mergeCell ref="AD642:AD646"/>
    <mergeCell ref="AD647:AD651"/>
    <mergeCell ref="AD652:AD656"/>
    <mergeCell ref="AD657:AD661"/>
    <mergeCell ref="AD662:AD666"/>
    <mergeCell ref="AD667:AD671"/>
    <mergeCell ref="AD672:AD676"/>
    <mergeCell ref="AD677:AD681"/>
    <mergeCell ref="AD682:AD686"/>
    <mergeCell ref="AD687:AD691"/>
    <mergeCell ref="AD692:AD696"/>
    <mergeCell ref="AD697:AD701"/>
    <mergeCell ref="AD702:AD706"/>
    <mergeCell ref="AD707:AD711"/>
    <mergeCell ref="AD712:AD716"/>
    <mergeCell ref="AD717:AD721"/>
    <mergeCell ref="AD722:AD726"/>
    <mergeCell ref="AD727:AD731"/>
    <mergeCell ref="AD732:AD736"/>
    <mergeCell ref="AD737:AD741"/>
    <mergeCell ref="AD742:AD746"/>
    <mergeCell ref="AD747:AD751"/>
    <mergeCell ref="AD752:AD756"/>
    <mergeCell ref="AD757:AD761"/>
    <mergeCell ref="AD762:AD766"/>
    <mergeCell ref="AD767:AD771"/>
    <mergeCell ref="AD772:AD776"/>
    <mergeCell ref="AD777:AD781"/>
    <mergeCell ref="AD782:AD786"/>
    <mergeCell ref="AD787:AD791"/>
    <mergeCell ref="AD792:AD796"/>
    <mergeCell ref="AD797:AD801"/>
    <mergeCell ref="AD802:AD806"/>
    <mergeCell ref="AD807:AD811"/>
    <mergeCell ref="AD812:AD816"/>
    <mergeCell ref="AD817:AD821"/>
    <mergeCell ref="AD822:AD826"/>
    <mergeCell ref="AD827:AD831"/>
    <mergeCell ref="AD832:AD836"/>
    <mergeCell ref="AD837:AD841"/>
    <mergeCell ref="AD842:AD846"/>
    <mergeCell ref="AD847:AD851"/>
    <mergeCell ref="AD852:AD856"/>
    <mergeCell ref="AD857:AD861"/>
    <mergeCell ref="AD862:AD866"/>
    <mergeCell ref="AD867:AD871"/>
    <mergeCell ref="AD872:AD876"/>
    <mergeCell ref="AD877:AD881"/>
    <mergeCell ref="AD882:AD886"/>
    <mergeCell ref="AD887:AD891"/>
    <mergeCell ref="AD892:AD896"/>
    <mergeCell ref="AD897:AD901"/>
    <mergeCell ref="AD902:AD906"/>
    <mergeCell ref="AD907:AD911"/>
    <mergeCell ref="AD912:AD916"/>
    <mergeCell ref="AD917:AD921"/>
    <mergeCell ref="AD922:AD926"/>
    <mergeCell ref="AD927:AD931"/>
    <mergeCell ref="AD932:AD936"/>
    <mergeCell ref="AD937:AD941"/>
    <mergeCell ref="AD942:AD946"/>
    <mergeCell ref="AD947:AD951"/>
    <mergeCell ref="AD952:AD956"/>
    <mergeCell ref="AD957:AD961"/>
    <mergeCell ref="AD962:AD966"/>
    <mergeCell ref="AD967:AD971"/>
    <mergeCell ref="AD972:AD976"/>
    <mergeCell ref="AD977:AD981"/>
    <mergeCell ref="AD982:AD986"/>
    <mergeCell ref="AD987:AD991"/>
    <mergeCell ref="AD992:AD996"/>
    <mergeCell ref="AD997:AD1001"/>
    <mergeCell ref="AD1002:AD1006"/>
    <mergeCell ref="AD1007:AD1011"/>
    <mergeCell ref="AD1012:AD1016"/>
    <mergeCell ref="AD1017:AD1021"/>
    <mergeCell ref="AD1022:AD1026"/>
    <mergeCell ref="AD1027:AD1031"/>
    <mergeCell ref="AD1032:AD1036"/>
    <mergeCell ref="AD1037:AD1041"/>
    <mergeCell ref="AD1042:AD1046"/>
    <mergeCell ref="AD1047:AD1051"/>
    <mergeCell ref="AD1052:AD1056"/>
    <mergeCell ref="AD1057:AD1061"/>
    <mergeCell ref="AD1062:AD1066"/>
    <mergeCell ref="AD1067:AD1071"/>
    <mergeCell ref="AD1072:AD1076"/>
    <mergeCell ref="AD1077:AD1081"/>
    <mergeCell ref="AD1082:AD1086"/>
    <mergeCell ref="AD1087:AD1091"/>
    <mergeCell ref="AD1092:AD1096"/>
    <mergeCell ref="AD1097:AD1101"/>
    <mergeCell ref="AD1102:AD1106"/>
    <mergeCell ref="AD1107:AD1111"/>
    <mergeCell ref="AD1112:AD1116"/>
    <mergeCell ref="AD1117:AD1121"/>
    <mergeCell ref="AD1122:AD1126"/>
    <mergeCell ref="AD1127:AD1131"/>
    <mergeCell ref="AD1132:AD1136"/>
    <mergeCell ref="AD1137:AD1141"/>
    <mergeCell ref="AD1142:AD1146"/>
    <mergeCell ref="AD1147:AD1151"/>
    <mergeCell ref="AD1152:AD1156"/>
    <mergeCell ref="AD1157:AD1161"/>
    <mergeCell ref="AD1162:AD1166"/>
    <mergeCell ref="AD1167:AD1171"/>
    <mergeCell ref="AD1172:AD1176"/>
    <mergeCell ref="AD1177:AD1181"/>
    <mergeCell ref="AD1182:AD1186"/>
    <mergeCell ref="AD1187:AD1191"/>
    <mergeCell ref="AD1192:AD1196"/>
    <mergeCell ref="AD1197:AD1201"/>
    <mergeCell ref="AD1202:AD1206"/>
    <mergeCell ref="AD1207:AD1211"/>
    <mergeCell ref="AD1212:AD1216"/>
    <mergeCell ref="AD1217:AD1221"/>
    <mergeCell ref="AD1222:AD1226"/>
    <mergeCell ref="AD1227:AD1231"/>
    <mergeCell ref="AD1232:AD1236"/>
    <mergeCell ref="AD1237:AD1241"/>
    <mergeCell ref="AD1242:AD1246"/>
    <mergeCell ref="AD1247:AD1251"/>
    <mergeCell ref="AD1252:AD1256"/>
    <mergeCell ref="AD1257:AD1261"/>
    <mergeCell ref="AD1262:AD1266"/>
    <mergeCell ref="AD1267:AD1271"/>
    <mergeCell ref="AD1272:AD1276"/>
    <mergeCell ref="AD1277:AD1281"/>
    <mergeCell ref="AD1282:AD1286"/>
    <mergeCell ref="AD1287:AD1291"/>
    <mergeCell ref="AD1292:AD1296"/>
    <mergeCell ref="AD1297:AD1301"/>
    <mergeCell ref="AD1302:AD1306"/>
    <mergeCell ref="AD1307:AD1311"/>
    <mergeCell ref="AD1312:AD1316"/>
    <mergeCell ref="AD1317:AD1321"/>
    <mergeCell ref="AD1322:AD1326"/>
    <mergeCell ref="AD1327:AD1331"/>
    <mergeCell ref="AD1332:AD1336"/>
    <mergeCell ref="AD1337:AD1341"/>
    <mergeCell ref="AD1342:AD1346"/>
    <mergeCell ref="AD1347:AD1351"/>
    <mergeCell ref="AD1352:AD1356"/>
    <mergeCell ref="AD1357:AD1361"/>
    <mergeCell ref="AD1362:AD1366"/>
    <mergeCell ref="AD1367:AD1371"/>
    <mergeCell ref="AD1372:AD1376"/>
    <mergeCell ref="AD1377:AD1381"/>
    <mergeCell ref="AD1382:AD1386"/>
    <mergeCell ref="AD1387:AD1391"/>
    <mergeCell ref="AD1392:AD1396"/>
    <mergeCell ref="AD1397:AD1401"/>
    <mergeCell ref="AD1402:AD1406"/>
    <mergeCell ref="AD1407:AD1411"/>
    <mergeCell ref="AD1412:AD1416"/>
    <mergeCell ref="AD1417:AD1421"/>
    <mergeCell ref="AD1422:AD1426"/>
    <mergeCell ref="AD1427:AD1431"/>
    <mergeCell ref="AD1432:AD1436"/>
    <mergeCell ref="AD1437:AD1441"/>
    <mergeCell ref="AD1442:AD1446"/>
    <mergeCell ref="AD1447:AD1451"/>
    <mergeCell ref="AD1452:AD1456"/>
    <mergeCell ref="AD1457:AD1461"/>
    <mergeCell ref="AD1462:AD1466"/>
    <mergeCell ref="AD1467:AD1471"/>
    <mergeCell ref="AD1472:AD1476"/>
    <mergeCell ref="AD1477:AD1481"/>
    <mergeCell ref="AD1482:AD1486"/>
    <mergeCell ref="AD1487:AD1491"/>
    <mergeCell ref="AD1492:AD1496"/>
    <mergeCell ref="AD1497:AD1501"/>
    <mergeCell ref="AD1502:AD1506"/>
    <mergeCell ref="AD1507:AD1511"/>
    <mergeCell ref="AD1512:AD1516"/>
    <mergeCell ref="AD1517:AD1521"/>
    <mergeCell ref="AD1522:AD1526"/>
    <mergeCell ref="AD1527:AD1531"/>
    <mergeCell ref="AD1532:AD1536"/>
    <mergeCell ref="AD1537:AD1541"/>
    <mergeCell ref="AD1542:AD1546"/>
    <mergeCell ref="AD1547:AD1551"/>
    <mergeCell ref="AD1552:AD1556"/>
    <mergeCell ref="AD1557:AD1561"/>
    <mergeCell ref="AD1562:AD1566"/>
    <mergeCell ref="AD1567:AD1571"/>
    <mergeCell ref="AD1572:AD1576"/>
    <mergeCell ref="AD1577:AD1581"/>
    <mergeCell ref="AD1582:AD1586"/>
    <mergeCell ref="AD1587:AD1591"/>
    <mergeCell ref="AD1592:AD1596"/>
    <mergeCell ref="AD1597:AD1601"/>
    <mergeCell ref="AD1602:AD1606"/>
    <mergeCell ref="AD1607:AD1611"/>
    <mergeCell ref="AD1612:AD1616"/>
    <mergeCell ref="AD1617:AD1621"/>
    <mergeCell ref="AD1622:AD1626"/>
    <mergeCell ref="AD1627:AD1631"/>
    <mergeCell ref="AD1632:AD1636"/>
    <mergeCell ref="AD1722:AD1726"/>
    <mergeCell ref="AD1727:AD1731"/>
    <mergeCell ref="AD1732:AD1736"/>
    <mergeCell ref="AD1737:AD1741"/>
    <mergeCell ref="AD1742:AD1746"/>
    <mergeCell ref="AD1637:AD1641"/>
    <mergeCell ref="AD1642:AD1646"/>
    <mergeCell ref="AD1647:AD1651"/>
    <mergeCell ref="AD1652:AD1656"/>
    <mergeCell ref="AD1657:AD1661"/>
    <mergeCell ref="AD1662:AD1666"/>
    <mergeCell ref="AD1667:AD1671"/>
    <mergeCell ref="AD1672:AD1676"/>
    <mergeCell ref="AD1677:AD1681"/>
    <mergeCell ref="AD1682:AD1686"/>
    <mergeCell ref="AD1687:AD1691"/>
    <mergeCell ref="AD1692:AD1696"/>
    <mergeCell ref="AD1697:AD1701"/>
    <mergeCell ref="AD1702:AD1706"/>
    <mergeCell ref="AD1707:AD1711"/>
    <mergeCell ref="AD1712:AD1716"/>
    <mergeCell ref="AD1717:AD1721"/>
  </mergeCells>
  <conditionalFormatting sqref="C1:K1">
    <cfRule type="expression" dxfId="13" priority="16">
      <formula>MOD(ROW()-1, 5)=0</formula>
    </cfRule>
  </conditionalFormatting>
  <conditionalFormatting sqref="A12 A22 A32 A42 A52 A62 A72 A82 A92 A17 A27 A37 A47 A57 A67 A77 A87 D3:D26 E1:P1 A97 A102 A107 A112 A117 A122 A127 A132 A137 A142 A147 A152 A157 A162 A167 A172 A177 A182 A187 A192 A197 A202 A207 A212 A217 A222 A227 A232 A237 A242 A247 A252 A257 A262 A267 A272 A277 A282 A287 A292 A297 A302 A307 A312 A317 A322 A327 A332 A337 A342 A347 A352 A357 A362 A367 A372 A377 A382 A387 A392 A397 A402 A407 A412 A417 A422 A427 A432 A437 A442 A447 A452 A457 A462 A467 A472 A477 A482 A487 A492 A497 A502 A507 A512 A517 A522 A527 A532 A537 A542 A547 A552 A557 A562 A567 A572 A577 A582 A587 A592 A597 A602 A607 A612 A617 A622 A627 A632 A637 A642 A647 A652 A657 A662 A667 A672 A677 A682 A687 A692 A697 A702 A707 A712 A717 A722 A727 A732 A737 A742 A747 A752 A757 A762 A767 A772 A777 A782 A787 A792 A797 A802 A807 A812 A817 A822 A827 A832 A837 A842 A847 A852 A857 A862 A867 A872 A877 A882 A887 A892 A897 A902 A907 A912 A917 A922 A927 A932 A937 A942 A947 A952 A957 A962 A967 A972 A977 A982 A987 A992 A997 A1002 A1007 A1012 A1017 A1022 A1027 A1032 A1037 A1042 A1047 A1052 A1057 A1062 A1067 A1072 A1077 A1082 A1087 A1092 A1097 A1102 A1107 A1112 A1117 A1122 A1127 A1132 A1137 A1142 A1147 A1152 A1157 A1162 A1167 A1172 A1177 A1182 A1187 A1192 A1197 A1202 A1207 A1212 A1217 A1222 A1227 A1232 A1237 A1242 A1247 A1252 A1257 A1262 A1267 A1272 A1277 A1282 A1287 A1292 A1297 A1302 A1307 A1312 A1317 A1322 A1327 A1332 A1337 A1342 A1347 A1352 A1357 A1362 A1367 A1372 A1377 A1382 A1387 A1392 A1397 A1402 A1407 A1412 A1417 A1422 A1427 A1432 A1437 A1442 A1447 A1452 A1457 A1462 A1467 A1472 A1477 A1482 A1487 A1492 A1497 A1502 A1507 A1512 A1517 A1522 A1527 A1532 A1537 A1542 A1547 A1552 A1557 A1562 A1567 A1572 A1577 A1582 A1587 A1592 A1597 A1602 A1607 A1612 A1617 A1622 A1627 A1632 A1637 A1642 A1647 A1652 A1657 A1662 A1667 A1672 A1677 A1682 A1687 A1692 A1697 A1702 A1707 A1712 A1717 A1722 A1727 A1732 A1737 A1742 B3:D6 A1:D2 E1707:E1746 A1747:D1048576 E1747:O1756 B8:D1746 I1:I1746 E2:M2 A7:F7 E12:F12 E17:F17 E22:F22 E27:F27 E32:F32 E37:F37 E42:F42 E47:F47 E52:F52 E57:F57 E62:F62 E67:F67 E72:F72 E77:F77 E82:F82 E87:F87 E92:F92 E97:F97 E102:F102 E107:F107 E112:F112 E117:F117 E122:F122 E127:F127 E132:F132 E137:F137 E142:F142 E147:F147 E152:F152 E157:F157 E162:F162 E167:F167 E172:F172 E177:F177 E182:F182 E187:F187 E192:F192 E197:F197 E202:F202 E207:F207 E212:F212 E217:F217 E222:F222 E227:F227 E232:F232 E237:F237 E242:F242 E247:F247 E252:F252 E257:F257 E262:F262 E267:F267 E272:F272 E277:F277 E282:F282 E287:F287 E292:F292 E297:F297 E302:F302 E307:F307 E312:F312 E317:F317 E322:F322 E327:F327 E332:F332 E337:F337 E342:F342 E347:F347 E352:F352 E357:F357 E362:F362 E367:F367 E372:F372 E377:F377 E382:F382 E387:F387 E392:F392 E397:F397 E402:F402 E407:F407 E412:F412 E417:F417 E422:F422 E427:F427 E432:F432 E437:F437 E442:F442 E447:F447 E452:F452 E457:F457 E462:F462 E467:F467 E472:F472 E477:F477 E482:F482 E487:F487 E492:F492 E497:F497 E502:F502 E507:F507 E512:F512 E517:F517 E522:F522 E527:F527 E532:F532 E537:F537 E542:F542 E547:F547 E552:F552 E557:F557 E562:F562 E567:F567 E572:F572 E577:F577 E582:F582 E587:F587 E592:F592 E597:F597 E602:F602 E607:F607 E612:F612 E617:F617 E622:F622 E627:F627 E632:F632 E637:F637 E642:F642 E647:F647 E652:F652 E657:F657 E662:F662 E667:F667 E672:F672 E677:F677 E682:F682 E687:F687 E692:F692 E697:F697 E702:F702 E707:F707 E712:F712 E717:F717 E722:F722 E727:F727 E732:F732 E737:F737 E742:F742 E747:F747 E752:F752 E757:F757 E762:F762 E767:F767 E772:F772 E777:F777 E782:F782 E787:F787 E792:F792 E797:F797 E802:F802 E807:F807 E812:F812 E817:F817 E822:F822 E827:F827 E832:F832 E837:F837 E842:F842 E847:F847 E852:F852 E857:F857 E862:F862 E867:F867 E872:F872 E877:F877 E882:F882 E887:F887 E892:F892 E897:F897 E902:F902 E907:F907 E912:F912 E917:F917 E922:F922 E927:F927 E932:F932 E937:F937 E942:F942 E947:F947 E952:F952 E957:F957 E962:F962 E967:F967 E972:F972 E977:F977 E982:F982 E987:F987 E992:F992 E997:F997 E1002:F1002 E1007:F1007 E1012:F1012 E1017:F1017 E1022:F1022 E1027:F1027 E1032:F1032 E1037:F1037 E1042:F1042 E1047:F1047 E1052:F1052 E1057:F1057 E1062:F1062 E1067:F1067 E1072:F1072 E1077:F1077 E1082:F1082 E1087:F1087 E1092:F1092 E1097:F1097 E1102:F1102 E1107:F1107 E1112:F1112 E1117:F1117 E1122:F1122 E1127:F1127 E1132:F1132 E1137:F1137 E1142:F1142 E1147:F1147 E1152:F1152 E1157:F1157 E1162:F1162 E1167:F1167 E1172:F1172 E1177:F1177 E1182:F1182 E1187:F1187 E1192:F1192 E1197:F1197 E1202:F1202 E1207:F1207 E1212:F1212 E1217:F1217 E1222:F1222 E1227:F1227 E1232:F1232 E1237:F1237 E1242:F1242 E1247:F1247 E1252:F1252 E1257:F1257 E1262:F1262 E1267:F1267 E1272:F1272 E1277:F1277 E1282:F1282 E1287:F1287 E1292:F1292 E1297:F1297 E1302:F1302 E1307:F1307 E1312:F1312 E1317:F1317 E1322:F1322 E1327:F1327 E1332:F1332 E1337:F1337 E1342:F1342 E1347:F1347 E1352:F1352 E1357:F1357 E1362:F1362 E1367:F1367 E1372:F1372 E1377:F1377 E1382:F1382 E1387:F1387 E1392:F1392 E1397:F1397 E1402:F1402 E1407:F1407 E1412:F1412 E1417:F1417 E1422:F1422 E1427:F1427 E1432:F1432 E1437:F1437 E1442:F1442 E1447:F1447 E1452:F1452 E1457:F1457 E1462:F1462 E1467:F1467 E1472:F1472 E1477:F1477 E1482:F1482 E1487:F1487 E1492:F1492 E1497:F1497 E1502:F1502 E1507:F1507 E1512:F1512 E1517:F1517 E1522:F1522 E1527:F1527 E1532:F1532 E1537:F1537 E1542:F1542 E1547:F1547 E1552:F1552 E1557:F1557 E1562:F1562 E1567:F1567 E1572:F1572 E1577:F1577 E1582:F1582 E1587:F1587 E1592:F1592 E1597:F1597 E1602:F1602 E1607:F1607 E1612:F1612 E1617:F1617 E1622:F1622 E1627:F1627 E1632:F1632 E1637:F1637 E1642:F1642 E1647:F1647 E1652:F1652 E1657:F1657 E1662:F1662 E1667:F1667 E1672:F1672 E1677:F1677 E1682:F1682 E1687:F1687 E1692:F1692 E1697:F1697 E1702:F1702 F1707 F1712 F1717 F1722 F1727 F1732 F1737 F1742 P1553:Q1756 E1757:Q1766 T1747:W1747 T1752:W1752 P2:Q1551 X1747:Y1756 E1767:Y1048576 T1757:Y1766 R2:AB2 AC1:XFD2 T1:AB1 G3:H1746 Y1747:XFD1048576 AE3:XFD1746 R7:AD7 R12:AD12 R17:AD17 R22:AD22 R27:AD27 R32:AD32 R37:AD37 R42:AD42 R47:AD47 R52:AD52 R57:AD57 R62:AD62 R67:AD67 R72:AD72 R77:AD77 R82:AD82 R87:AD87 R92:AD92 R97:AD97 R102:AD102 R107:AD107 R112:AD112 R117:AD117 R122:AD122 R127:AD127 R132:AD132 R137:AD137 R142:AD142 R147:AD147 R152:AD152 R157:AD157 R162:AD162 R167:AD167 R172:AD172 R177:AD177 R182:AD182 R187:AD187 R192:AD192 R197:AD197 R202:AD202 R207:AD207 R212:AD212 R217:AD217 R222:AD222 R227:AD227 R232:AD232 R237:AD237 R242:AD242 R247:AD247 R252:AD252 R257:AD257 R262:AD262 R267:AD267 R272:AD272 R277:AD277 R282:AD282 R287:AD287 R292:AD292 R297:AD297 R302:AD302 R307:AD307 R312:AD312 R317:AD317 R322:AD322 R327:AD327 R332:AD332 R337:AD337 R342:AD342 R347:AD347 R352:AD352 R357:AD357 R362:AD362 R367:AD367 R372:AD372 R377:AD377 R382:AD382 R387:AD387 R392:AD392 R397:AD397 R402:AD402 R407:AD407 R412:AD412 R417:AD417 R422:AD422 R427:AD427 R432:AD432 R437:AD437 R442:AD442 R447:AD447 R452:AD452 R457:AD457 R462:AD462 R467:AD467 R472:AD472 R477:AD477 R482:AD482 R487:AD487 R492:AD492 R497:AD497 R502:AD502 R507:AD507 R512:AD512 R517:AD517 R522:AD522 R527:AD527 R532:AD532 R537:AD537 R542:AD542 R547:AD547 R552:AD552 R557:AD557 R562:AD562 R567:AD567 R572:AD572 R577:AD577 R582:AD582 R587:AD587 R592:AD592 R597:AD597 R602:AD602 R607:AD607 R612:AD612 R617:AD617 R622:AD622 R627:AD627 R632:AD632 R637:AD637 R642:AD642 R647:AD647 R652:AD652 R657:AD657 R662:AD662 R667:AD667 R672:AD672 R677:AD677 R682:AD682 R687:AD687 R692:AD692 R697:AD697 R702:AD702 R707:AD707 R712:AD712 R717:AD717 R722:AD722 R727:AD727 R732:AD732 R737:AD737 R742:AD742 R747:AD747 R752:AD752 R757:AD757 R762:AD762 R767:AD767 R772:AD772 R777:AD777 R782:AD782 R787:AD787 R792:AD792 R797:AD797 R802:AD802 R807:AD807 R812:AD812 R817:AD817 R822:AD822 R827:AD827 R832:AD832 R837:AD837 R842:AD842 R847:AD847 R852:AD852 R857:AD857 R862:AD862 R867:AD867 R872:AD872 R877:AD877 R882:AD882 R887:AD887 R892:AD892 R897:AD897 R902:AD902 R907:AD907 R912:AD912 R917:AD917 R922:AD922 R927:AD927 R932:AD932 R937:AD937 R942:AD942 R947:AD947 R952:AD952 R957:AD957 R962:AD962 R967:AD967 R972:AD972 R977:AD977 R982:AD982 R987:AD987 R992:AD992 R997:AD997 R1002:AD1002 R1007:AD1007 R1012:AD1012 R1017:AD1017 R1022:AD1022 R1027:AD1027 R1032:AD1032 R1037:AD1037 R1042:AD1042 R1047:AD1047 R1052:AD1052 R1057:AD1057 R1062:AD1062 R1067:AD1067 R1072:AD1072 R1077:AD1077 R1082:AD1082 R1087:AD1087 R1092:AD1092 R1097:AD1097 R1102:AD1102 R1107:AD1107 R1112:AD1112 R1117:AD1117 R1122:AD1122 R1127:AD1127 R1132:AD1132 R1137:AD1137 R1142:AD1142 R1147:AD1147 R1152:AD1152 R1157:AD1157 R1162:AD1162 R1167:AD1167 R1172:AD1172 R1177:AD1177 R1182:AD1182 R1187:AD1187 R1192:AD1192 R1197:AD1197 R1202:AD1202 R1207:AD1207 R1212:AD1212 R1217:AD1217 R1222:AD1222 R1227:AD1227 R1232:AD1232 R1237:AD1237 R1242:AD1242 R1247:AD1247 R1252:AD1252 R1257:AD1257 R1262:AD1262 R1267:AD1267 R1272:AD1272 R1277:AD1277 R1282:AD1282 R1287:AD1287 R1292:AD1292 R1297:AD1297 R1302:AD1302 R1307:AD1307 R1312:AD1312 R1317:AD1317 R1322:AD1322 R1327:AD1327 R1332:AD1332 R1337:AD1337 R1342:AD1342 R1347:AD1347 R1352:AD1352 R1357:AD1357 R1362:AD1362 R1367:AD1367 R1372:AD1372 R1377:AD1377 R1382:AD1382 R1387:AD1387 R1392:AD1392 R1397:AD1397 R1402:AD1402 R1407:AD1407 R1412:AD1412 R1417:AD1417 R1422:AD1422 R1427:AD1427 R1432:AD1432 R1437:AD1437 R1442:AD1442 R1447:AD1447 R1452:AD1452 R1457:AD1457 R1462:AD1462 R1467:AD1467 R1472:AD1472 R1477:AD1477 R1482:AD1482 R1487:AD1487 R1492:AD1492 R1497:AD1497 R1502:AD1502 R1507:AD1507 R1512:AD1512 R1517:AD1517 R1522:AD1522 R1527:AD1527 R1532:AD1532 R1537:AD1537 R1542:AD1542 R1547:AD1547 P1552:AD1552 R1557:AD1557 R1562:AD1562 R1567:AD1567 R1572:AD1572 R1577:AD1577 R1582:AD1582 R1587:AD1587 R1592:AD1592 R1597:AD1597 R1602:AD1602 R1607:AD1607 R1612:AD1612 R1617:AD1617 R1622:AD1622 R1627:AD1627 R1632:AD1632 R1637:AD1637 R1642:AD1642 R1647:AD1647 R1652:AD1652 R1657:AD1657 R1662:AD1662 R1667:AD1667 R1672:AD1672 R1677:AD1677 R1682:AD1682 R1687:AD1687 R1692:AD1692 R1697:AD1697 R1702:AD1702 R1707:AD1707 R1712:AD1712 R1717:AD1717 R1722:AD1722 R1727:AD1727 R1732:AD1732 R1737:AD1737 R1742:AD1742 J3:M1746">
    <cfRule type="expression" dxfId="12" priority="13">
      <formula>AND(ROW()&gt;1, MOD(ROW()-2,5)=0)</formula>
    </cfRule>
  </conditionalFormatting>
  <conditionalFormatting sqref="L1">
    <cfRule type="expression" dxfId="11" priority="12">
      <formula>MOD(ROW()-1, 5)=0</formula>
    </cfRule>
  </conditionalFormatting>
  <conditionalFormatting sqref="M1">
    <cfRule type="expression" dxfId="10" priority="11">
      <formula>MOD(ROW()-1, 5)=0</formula>
    </cfRule>
  </conditionalFormatting>
  <conditionalFormatting sqref="N2:O41">
    <cfRule type="expression" dxfId="9" priority="10">
      <formula>AND(ROW()&gt;1, MOD(ROW()-1,5)=0)</formula>
    </cfRule>
  </conditionalFormatting>
  <conditionalFormatting sqref="Q1:S1">
    <cfRule type="expression" dxfId="8" priority="9">
      <formula>AND(ROW()&gt;1, MOD(ROW()-2,5)=0)</formula>
    </cfRule>
  </conditionalFormatting>
  <conditionalFormatting sqref="N42:O56">
    <cfRule type="expression" dxfId="7" priority="4">
      <formula>AND(ROW()&gt;1, MOD(ROW()-1,5)=0)</formula>
    </cfRule>
  </conditionalFormatting>
  <conditionalFormatting sqref="N57:O1746">
    <cfRule type="expression" dxfId="6" priority="3">
      <formula>AND(ROW()&gt;1, MOD(ROW()-1,5)=0)</formula>
    </cfRule>
  </conditionalFormatting>
  <conditionalFormatting sqref="Y1552 Y1557 Y1562 Y1567 Y1572 Y1577 Y1582 Y1587 Y1592 Y1597 Y1602 Y1607 Y1612 Y1617 Y1622 Y1627 Y1632 Y1637 Y1642 Y1647 Y1652 Y1657 Y1662 Y1667 Y1672 Y1677 Y1682 Y1687 Y1692 Y1697 Y1702 Y1707 Y1712 Y1717 Y1722 Y1727 Y1732 Y1737 Y1742 Y7 Y12 Y17 Y22 Y27 Y32 Y37 Y42 Y47 Y52 Y57 Y62 Y67 Y72 Y77 Y82 Y87 Y92 Y97 Y102 Y107 Y112 Y117 Y122 Y127 Y132 Y137 Y142 Y147 Y152 Y157 Y162 Y167 Y172 Y177 Y182 Y187 Y192 Y197 Y202 Y207 Y212 Y217 Y222 Y227 Y232 Y237 Y242 Y247 Y252 Y257 Y262 Y267 Y272 Y277 Y282 Y287 Y292 Y297 Y302 Y307 Y312 Y317 Y322 Y327 Y332 Y337 Y342 Y347 Y352 Y357 Y362 Y367 Y372 Y377 Y382 Y387 Y392 Y397 Y402 Y407 Y412 Y417 Y422 Y427 Y432 Y437 Y442 Y447 Y452 Y457 Y462 Y467 Y472 Y477 Y482 Y487 Y492 Y497 Y502 Y507 Y512 Y517 Y522 Y527 Y532 Y537 Y542 Y547 Y552 Y557 Y562 Y567 Y572 Y577 Y582 Y587 Y592 Y597 Y602 Y607 Y612 Y617 Y622 Y627 Y632 Y637 Y642 Y647 Y652 Y657 Y662 Y667 Y672 Y677 Y682 Y687 Y692 Y697 Y702 Y707 Y712 Y717 Y722 Y727 Y732 Y737 Y742 Y747 Y752 Y757 Y762 Y767 Y772 Y777 Y782 Y787 Y792 Y797 Y802 Y807 Y812 Y817 Y822 Y827 Y832 Y837 Y842 Y847 Y852 Y857 Y862 Y867 Y872 Y877 Y882 Y887 Y892 Y897 Y902 Y907 Y912 Y917 Y922 Y927 Y932 Y937 Y942 Y947 Y952 Y957 Y962 Y967 Y972 Y977 Y982 Y987 Y992 Y997 Y1002 Y1007 Y1012 Y1017 Y1022 Y1027 Y1032 Y1037 Y1042 Y1047 Y1052 Y1057 Y1062 Y1067 Y1072 Y1077 Y1082 Y1087 Y1092 Y1097 Y1102 Y1107 Y1112 Y1117 Y1122 Y1127 Y1132 Y1137 Y1142 Y1147 Y1152 Y1157 Y1162 Y1167 Y1172 Y1177 Y1182 Y1187 Y1192 Y1197 Y1202 Y1207 Y1212 Y1217 Y1222 Y1227 Y1232 Y1237 Y1242 Y1247 Y1252 Y1257 Y1262 Y1267 Y1272 Y1277 Y1282 Y1287 Y1292 Y1297 Y1302 Y1307 Y1312 Y1317 Y1322 Y1327 Y1332 Y1337 Y1342 Y1347 Y1352 Y1357 Y1362 Y1367 Y1372 Y1377 Y1382 Y1387 Y1392 Y1397 Y1402 Y1407 Y1412 Y1417 Y1422 Y1427 Y1432 Y1437 Y1442 Y1447 Y1452 Y1457 Y1462 Y1467 Y1472 Y1477 Y1482 Y1487 Y1492 Y1497 Y1502 Y1507 Y1512 Y1517 Y1522 Y1527 Y1532 Y1537 Y1542 Y1547 Y2">
    <cfRule type="expression" dxfId="5" priority="2">
      <formula>AND(ROW()&gt;1, MOD(ROW()-2,5)=0)</formula>
    </cfRule>
  </conditionalFormatting>
  <conditionalFormatting sqref="F1:F1048576">
    <cfRule type="expression" dxfId="4" priority="1">
      <formula>G1="Sale"</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E279A-7769-4FB8-9710-74F8BC87C2CE}">
  <sheetPr filterMode="1">
    <tabColor rgb="FFFFC000"/>
  </sheetPr>
  <dimension ref="A1:Q502"/>
  <sheetViews>
    <sheetView tabSelected="1" topLeftCell="P1" zoomScale="85" zoomScaleNormal="85" workbookViewId="0">
      <pane ySplit="1" topLeftCell="A294" activePane="bottomLeft" state="frozen"/>
      <selection pane="bottomLeft" activeCell="S322" sqref="S322"/>
    </sheetView>
  </sheetViews>
  <sheetFormatPr defaultRowHeight="14.6" x14ac:dyDescent="0.4"/>
  <cols>
    <col min="1" max="1" width="16" style="47" hidden="1" customWidth="1"/>
    <col min="2" max="2" width="5" style="47" hidden="1" customWidth="1"/>
    <col min="3" max="3" width="4.07421875" style="47" hidden="1" customWidth="1"/>
    <col min="4" max="4" width="5" style="47" hidden="1" customWidth="1"/>
    <col min="5" max="5" width="12.07421875" style="47" hidden="1" customWidth="1"/>
    <col min="6" max="10" width="8.84375" style="47" hidden="1" customWidth="1"/>
    <col min="11" max="11" width="11" style="47" hidden="1" customWidth="1"/>
    <col min="12" max="12" width="16.07421875" style="47" hidden="1" customWidth="1"/>
    <col min="13" max="13" width="10.69140625" style="47" hidden="1" customWidth="1"/>
    <col min="14" max="14" width="9" style="47" hidden="1" customWidth="1"/>
    <col min="15" max="15" width="8.84375" style="47" hidden="1" customWidth="1"/>
    <col min="16" max="16" width="29.53515625" style="144" bestFit="1" customWidth="1"/>
    <col min="17" max="17" width="94.69140625" style="210" customWidth="1"/>
  </cols>
  <sheetData>
    <row r="1" spans="1:17" ht="20.6" x14ac:dyDescent="0.4">
      <c r="A1" s="164" t="s">
        <v>882</v>
      </c>
      <c r="P1" s="163" t="s">
        <v>928</v>
      </c>
      <c r="Q1" s="176" t="s">
        <v>942</v>
      </c>
    </row>
    <row r="2" spans="1:17" x14ac:dyDescent="0.4">
      <c r="A2" s="166" t="s">
        <v>896</v>
      </c>
      <c r="B2" s="166">
        <f>Закуп!R2</f>
        <v>230</v>
      </c>
      <c r="C2" s="166">
        <f>Закуп!S2</f>
        <v>85</v>
      </c>
      <c r="D2" s="166">
        <f>Закуп!T2</f>
        <v>150</v>
      </c>
      <c r="E2" s="166" t="s">
        <v>897</v>
      </c>
      <c r="F2" s="167" t="str">
        <f>SUBSTITUTE(INDEX(Calc!$K:$K,(ROW(A1)-1)*5+COLUMN(A1)+1),",",".")</f>
        <v>1.1</v>
      </c>
      <c r="G2" s="167" t="str">
        <f>SUBSTITUTE(INDEX(Calc!$K:$K,(ROW(B1)-1)*5+COLUMN(B1)+1),",",".")</f>
        <v>0.87</v>
      </c>
      <c r="H2" s="167" t="str">
        <f>SUBSTITUTE(INDEX(Calc!$K:$K,(ROW(C1)-1)*5+COLUMN(C1)+1),",",".")</f>
        <v>0.68</v>
      </c>
      <c r="I2" s="167" t="str">
        <f>SUBSTITUTE(INDEX(Calc!$K:$K,(ROW(D1)-1)*5+COLUMN(D1)+1),",",".")</f>
        <v>0.63</v>
      </c>
      <c r="J2" s="167" t="str">
        <f>SUBSTITUTE(INDEX(Calc!$K:$K,(ROW(E1)-1)*5+COLUMN(E1)+1),",",".")</f>
        <v>0.59</v>
      </c>
      <c r="K2" s="166" t="s">
        <v>898</v>
      </c>
      <c r="L2" s="167" t="str">
        <f>Закуп!AA2</f>
        <v>Четырехклапанные</v>
      </c>
      <c r="M2" s="166" t="s">
        <v>899</v>
      </c>
      <c r="N2" s="166">
        <f>IF(Закуп!L2="",0,Закуп!L2)</f>
        <v>0</v>
      </c>
      <c r="O2" s="166" t="s">
        <v>900</v>
      </c>
      <c r="P2" s="144">
        <f>Закуп!N2</f>
        <v>1</v>
      </c>
      <c r="Q2" s="210" t="str">
        <f t="shared" ref="Q2:Q65" si="0">CONCATENATE(A2,B2,",",C2,",",D2,E2,F2,",",G2,",",H2,",",I2,",",J2,K2,L2,M2,N2,O2,)</f>
        <v xml:space="preserve">        [ 'dims' =&gt; [230,85,150], 'prices' =&gt; [1.1,0.87,0.68,0.63,0.59], 'type' =&gt; "Четырехклапанные", 'sale' =&gt; "0" ],</v>
      </c>
    </row>
    <row r="3" spans="1:17" x14ac:dyDescent="0.4">
      <c r="A3" s="166" t="s">
        <v>896</v>
      </c>
      <c r="B3" s="166">
        <f>Закуп!R3</f>
        <v>245</v>
      </c>
      <c r="C3" s="166">
        <f>Закуп!S3</f>
        <v>245</v>
      </c>
      <c r="D3" s="166">
        <f>Закуп!T3</f>
        <v>165</v>
      </c>
      <c r="E3" s="166" t="s">
        <v>897</v>
      </c>
      <c r="F3" s="167" t="str">
        <f>SUBSTITUTE(INDEX(Calc!$K:$K,(ROW(A2)-1)*5+COLUMN(A2)+1),",",".")</f>
        <v>1.77</v>
      </c>
      <c r="G3" s="167" t="str">
        <f>SUBSTITUTE(INDEX(Calc!$K:$K,(ROW(B2)-1)*5+COLUMN(B2)+1),",",".")</f>
        <v>1.61</v>
      </c>
      <c r="H3" s="167" t="str">
        <f>SUBSTITUTE(INDEX(Calc!$K:$K,(ROW(C2)-1)*5+COLUMN(C2)+1),",",".")</f>
        <v>1.47</v>
      </c>
      <c r="I3" s="167" t="str">
        <f>SUBSTITUTE(INDEX(Calc!$K:$K,(ROW(D2)-1)*5+COLUMN(D2)+1),",",".")</f>
        <v>1.35</v>
      </c>
      <c r="J3" s="167" t="str">
        <f>SUBSTITUTE(INDEX(Calc!$K:$K,(ROW(E2)-1)*5+COLUMN(E2)+1),",",".")</f>
        <v>1.2</v>
      </c>
      <c r="K3" s="166" t="s">
        <v>898</v>
      </c>
      <c r="L3" s="167" t="str">
        <f>Закуп!AA3</f>
        <v>Четырехклапанные</v>
      </c>
      <c r="M3" s="166" t="s">
        <v>899</v>
      </c>
      <c r="N3" s="166">
        <f>IF(Закуп!L3="",0,Закуп!L3)</f>
        <v>0</v>
      </c>
      <c r="O3" s="166" t="s">
        <v>900</v>
      </c>
      <c r="P3" s="144">
        <f>Закуп!N3</f>
        <v>1</v>
      </c>
      <c r="Q3" s="210" t="str">
        <f t="shared" si="0"/>
        <v xml:space="preserve">        [ 'dims' =&gt; [245,245,165], 'prices' =&gt; [1.77,1.61,1.47,1.35,1.2], 'type' =&gt; "Четырехклапанные", 'sale' =&gt; "0" ],</v>
      </c>
    </row>
    <row r="4" spans="1:17" x14ac:dyDescent="0.4">
      <c r="A4" s="166" t="s">
        <v>896</v>
      </c>
      <c r="B4" s="166">
        <f>Закуп!R4</f>
        <v>380</v>
      </c>
      <c r="C4" s="166">
        <f>Закуп!S4</f>
        <v>160</v>
      </c>
      <c r="D4" s="166">
        <f>Закуп!T4</f>
        <v>100</v>
      </c>
      <c r="E4" s="166" t="s">
        <v>897</v>
      </c>
      <c r="F4" s="167" t="str">
        <f>SUBSTITUTE(INDEX(Calc!$K:$K,(ROW(A3)-1)*5+COLUMN(A3)+1),",",".")</f>
        <v>1.44</v>
      </c>
      <c r="G4" s="167" t="str">
        <f>SUBSTITUTE(INDEX(Calc!$K:$K,(ROW(B3)-1)*5+COLUMN(B3)+1),",",".")</f>
        <v>1.31</v>
      </c>
      <c r="H4" s="167" t="str">
        <f>SUBSTITUTE(INDEX(Calc!$K:$K,(ROW(C3)-1)*5+COLUMN(C3)+1),",",".")</f>
        <v>1.04</v>
      </c>
      <c r="I4" s="167" t="str">
        <f>SUBSTITUTE(INDEX(Calc!$K:$K,(ROW(D3)-1)*5+COLUMN(D3)+1),",",".")</f>
        <v>0.97</v>
      </c>
      <c r="J4" s="167" t="str">
        <f>SUBSTITUTE(INDEX(Calc!$K:$K,(ROW(E3)-1)*5+COLUMN(E3)+1),",",".")</f>
        <v>0.92</v>
      </c>
      <c r="K4" s="166" t="s">
        <v>898</v>
      </c>
      <c r="L4" s="167" t="str">
        <f>Закуп!AA4</f>
        <v>Четырехклапанные</v>
      </c>
      <c r="M4" s="166" t="s">
        <v>899</v>
      </c>
      <c r="N4" s="166">
        <f>IF(Закуп!L4="",0,Закуп!L4)</f>
        <v>0</v>
      </c>
      <c r="O4" s="166" t="s">
        <v>900</v>
      </c>
      <c r="P4" s="144">
        <f>Закуп!N4</f>
        <v>1</v>
      </c>
      <c r="Q4" s="210" t="str">
        <f t="shared" si="0"/>
        <v xml:space="preserve">        [ 'dims' =&gt; [380,160,100], 'prices' =&gt; [1.44,1.31,1.04,0.97,0.92], 'type' =&gt; "Четырехклапанные", 'sale' =&gt; "0" ],</v>
      </c>
    </row>
    <row r="5" spans="1:17" x14ac:dyDescent="0.4">
      <c r="A5" s="166" t="s">
        <v>896</v>
      </c>
      <c r="B5" s="166">
        <f>Закуп!R5</f>
        <v>460</v>
      </c>
      <c r="C5" s="166">
        <f>Закуп!S5</f>
        <v>410</v>
      </c>
      <c r="D5" s="166">
        <f>Закуп!T5</f>
        <v>390</v>
      </c>
      <c r="E5" s="166" t="s">
        <v>897</v>
      </c>
      <c r="F5" s="167" t="str">
        <f>SUBSTITUTE(INDEX(Calc!$K:$K,(ROW(A4)-1)*5+COLUMN(A4)+1),",",".")</f>
        <v>5.09</v>
      </c>
      <c r="G5" s="167" t="str">
        <f>SUBSTITUTE(INDEX(Calc!$K:$K,(ROW(B4)-1)*5+COLUMN(B4)+1),",",".")</f>
        <v>4.71</v>
      </c>
      <c r="H5" s="167" t="str">
        <f>SUBSTITUTE(INDEX(Calc!$K:$K,(ROW(C4)-1)*5+COLUMN(C4)+1),",",".")</f>
        <v>4.01</v>
      </c>
      <c r="I5" s="167" t="str">
        <f>SUBSTITUTE(INDEX(Calc!$K:$K,(ROW(D4)-1)*5+COLUMN(D4)+1),",",".")</f>
        <v>3.88</v>
      </c>
      <c r="J5" s="167" t="str">
        <f>SUBSTITUTE(INDEX(Calc!$K:$K,(ROW(E4)-1)*5+COLUMN(E4)+1),",",".")</f>
        <v>3.82</v>
      </c>
      <c r="K5" s="166" t="s">
        <v>898</v>
      </c>
      <c r="L5" s="167" t="str">
        <f>Закуп!AA5</f>
        <v>Четырехклапанные</v>
      </c>
      <c r="M5" s="166" t="s">
        <v>899</v>
      </c>
      <c r="N5" s="166">
        <f>IF(Закуп!L5="",0,Закуп!L5)</f>
        <v>0</v>
      </c>
      <c r="O5" s="166" t="s">
        <v>900</v>
      </c>
      <c r="P5" s="144">
        <f>Закуп!N5</f>
        <v>1</v>
      </c>
      <c r="Q5" s="210" t="str">
        <f t="shared" si="0"/>
        <v xml:space="preserve">        [ 'dims' =&gt; [460,410,390], 'prices' =&gt; [5.09,4.71,4.01,3.88,3.82], 'type' =&gt; "Четырехклапанные", 'sale' =&gt; "0" ],</v>
      </c>
    </row>
    <row r="6" spans="1:17" x14ac:dyDescent="0.4">
      <c r="A6" s="166" t="s">
        <v>896</v>
      </c>
      <c r="B6" s="166">
        <f>Закуп!R6</f>
        <v>460</v>
      </c>
      <c r="C6" s="166">
        <f>Закуп!S6</f>
        <v>310</v>
      </c>
      <c r="D6" s="166">
        <f>Закуп!T6</f>
        <v>490</v>
      </c>
      <c r="E6" s="166" t="s">
        <v>897</v>
      </c>
      <c r="F6" s="167" t="str">
        <f>SUBSTITUTE(INDEX(Calc!$K:$K,(ROW(A5)-1)*5+COLUMN(A5)+1),",",".")</f>
        <v>4.52</v>
      </c>
      <c r="G6" s="167" t="str">
        <f>SUBSTITUTE(INDEX(Calc!$K:$K,(ROW(B5)-1)*5+COLUMN(B5)+1),",",".")</f>
        <v>4.41</v>
      </c>
      <c r="H6" s="167" t="str">
        <f>SUBSTITUTE(INDEX(Calc!$K:$K,(ROW(C5)-1)*5+COLUMN(C5)+1),",",".")</f>
        <v>3.62</v>
      </c>
      <c r="I6" s="167" t="str">
        <f>SUBSTITUTE(INDEX(Calc!$K:$K,(ROW(D5)-1)*5+COLUMN(D5)+1),",",".")</f>
        <v>3.56</v>
      </c>
      <c r="J6" s="167" t="str">
        <f>SUBSTITUTE(INDEX(Calc!$K:$K,(ROW(E5)-1)*5+COLUMN(E5)+1),",",".")</f>
        <v>3.45</v>
      </c>
      <c r="K6" s="166" t="s">
        <v>898</v>
      </c>
      <c r="L6" s="167" t="str">
        <f>Закуп!AA6</f>
        <v>Четырехклапанные</v>
      </c>
      <c r="M6" s="166" t="s">
        <v>899</v>
      </c>
      <c r="N6" s="166">
        <f>IF(Закуп!L6="",0,Закуп!L6)</f>
        <v>0</v>
      </c>
      <c r="O6" s="166" t="s">
        <v>900</v>
      </c>
      <c r="P6" s="144">
        <f>Закуп!N6</f>
        <v>1</v>
      </c>
      <c r="Q6" s="210" t="str">
        <f t="shared" si="0"/>
        <v xml:space="preserve">        [ 'dims' =&gt; [460,310,490], 'prices' =&gt; [4.52,4.41,3.62,3.56,3.45], 'type' =&gt; "Четырехклапанные", 'sale' =&gt; "0" ],</v>
      </c>
    </row>
    <row r="7" spans="1:17" x14ac:dyDescent="0.4">
      <c r="A7" s="166" t="s">
        <v>896</v>
      </c>
      <c r="B7" s="166">
        <f>Закуп!R7</f>
        <v>585</v>
      </c>
      <c r="C7" s="166">
        <f>Закуп!S7</f>
        <v>385</v>
      </c>
      <c r="D7" s="166">
        <f>Закуп!T7</f>
        <v>500</v>
      </c>
      <c r="E7" s="166" t="s">
        <v>897</v>
      </c>
      <c r="F7" s="167" t="str">
        <f>SUBSTITUTE(INDEX(Calc!$K:$K,(ROW(A6)-1)*5+COLUMN(A6)+1),",",".")</f>
        <v>6.18</v>
      </c>
      <c r="G7" s="167" t="str">
        <f>SUBSTITUTE(INDEX(Calc!$K:$K,(ROW(B6)-1)*5+COLUMN(B6)+1),",",".")</f>
        <v>5.71</v>
      </c>
      <c r="H7" s="167" t="str">
        <f>SUBSTITUTE(INDEX(Calc!$K:$K,(ROW(C6)-1)*5+COLUMN(C6)+1),",",".")</f>
        <v>4.93</v>
      </c>
      <c r="I7" s="167" t="str">
        <f>SUBSTITUTE(INDEX(Calc!$K:$K,(ROW(D6)-1)*5+COLUMN(D6)+1),",",".")</f>
        <v>4.78</v>
      </c>
      <c r="J7" s="167" t="str">
        <f>SUBSTITUTE(INDEX(Calc!$K:$K,(ROW(E6)-1)*5+COLUMN(E6)+1),",",".")</f>
        <v>4.7</v>
      </c>
      <c r="K7" s="166" t="s">
        <v>898</v>
      </c>
      <c r="L7" s="167" t="str">
        <f>Закуп!AA7</f>
        <v>Четырехклапанные</v>
      </c>
      <c r="M7" s="166" t="s">
        <v>899</v>
      </c>
      <c r="N7" s="166">
        <f>IF(Закуп!L7="",0,Закуп!L7)</f>
        <v>0</v>
      </c>
      <c r="O7" s="166" t="s">
        <v>900</v>
      </c>
      <c r="P7" s="144">
        <f>Закуп!N7</f>
        <v>1</v>
      </c>
      <c r="Q7" s="210" t="str">
        <f t="shared" si="0"/>
        <v xml:space="preserve">        [ 'dims' =&gt; [585,385,500], 'prices' =&gt; [6.18,5.71,4.93,4.78,4.7], 'type' =&gt; "Четырехклапанные", 'sale' =&gt; "0" ],</v>
      </c>
    </row>
    <row r="8" spans="1:17" x14ac:dyDescent="0.4">
      <c r="A8" s="166" t="s">
        <v>896</v>
      </c>
      <c r="B8" s="166">
        <f>Закуп!R8</f>
        <v>280</v>
      </c>
      <c r="C8" s="166">
        <f>Закуп!S8</f>
        <v>220</v>
      </c>
      <c r="D8" s="166">
        <f>Закуп!T8</f>
        <v>500</v>
      </c>
      <c r="E8" s="166" t="s">
        <v>897</v>
      </c>
      <c r="F8" s="167" t="str">
        <f>SUBSTITUTE(INDEX(Calc!$K:$K,(ROW(A7)-1)*5+COLUMN(A7)+1),",",".")</f>
        <v>3.34</v>
      </c>
      <c r="G8" s="167" t="str">
        <f>SUBSTITUTE(INDEX(Calc!$K:$K,(ROW(B7)-1)*5+COLUMN(B7)+1),",",".")</f>
        <v>2.68</v>
      </c>
      <c r="H8" s="167" t="str">
        <f>SUBSTITUTE(INDEX(Calc!$K:$K,(ROW(C7)-1)*5+COLUMN(C7)+1),",",".")</f>
        <v>2.41</v>
      </c>
      <c r="I8" s="167" t="str">
        <f>SUBSTITUTE(INDEX(Calc!$K:$K,(ROW(D7)-1)*5+COLUMN(D7)+1),",",".")</f>
        <v>2.17</v>
      </c>
      <c r="J8" s="167" t="str">
        <f>SUBSTITUTE(INDEX(Calc!$K:$K,(ROW(E7)-1)*5+COLUMN(E7)+1),",",".")</f>
        <v>2.07</v>
      </c>
      <c r="K8" s="166" t="s">
        <v>898</v>
      </c>
      <c r="L8" s="167" t="str">
        <f>Закуп!AA8</f>
        <v>Четырехклапанные</v>
      </c>
      <c r="M8" s="166" t="s">
        <v>899</v>
      </c>
      <c r="N8" s="166">
        <f>IF(Закуп!L8="",0,Закуп!L8)</f>
        <v>0</v>
      </c>
      <c r="O8" s="166" t="s">
        <v>900</v>
      </c>
      <c r="P8" s="144">
        <f>Закуп!N8</f>
        <v>1</v>
      </c>
      <c r="Q8" s="210" t="str">
        <f t="shared" si="0"/>
        <v xml:space="preserve">        [ 'dims' =&gt; [280,220,500], 'prices' =&gt; [3.34,2.68,2.41,2.17,2.07], 'type' =&gt; "Четырехклапанные", 'sale' =&gt; "0" ],</v>
      </c>
    </row>
    <row r="9" spans="1:17" x14ac:dyDescent="0.4">
      <c r="A9" s="166" t="s">
        <v>896</v>
      </c>
      <c r="B9" s="166">
        <f>Закуп!R9</f>
        <v>405</v>
      </c>
      <c r="C9" s="166">
        <f>Закуп!S9</f>
        <v>55</v>
      </c>
      <c r="D9" s="166">
        <f>Закуп!T9</f>
        <v>605</v>
      </c>
      <c r="E9" s="166" t="s">
        <v>897</v>
      </c>
      <c r="F9" s="167" t="str">
        <f>SUBSTITUTE(INDEX(Calc!$K:$K,(ROW(A8)-1)*5+COLUMN(A8)+1),",",".")</f>
        <v>3.57</v>
      </c>
      <c r="G9" s="167" t="str">
        <f>SUBSTITUTE(INDEX(Calc!$K:$K,(ROW(B8)-1)*5+COLUMN(B8)+1),",",".")</f>
        <v>3.25</v>
      </c>
      <c r="H9" s="167" t="str">
        <f>SUBSTITUTE(INDEX(Calc!$K:$K,(ROW(C8)-1)*5+COLUMN(C8)+1),",",".")</f>
        <v>2.91</v>
      </c>
      <c r="I9" s="167" t="str">
        <f>SUBSTITUTE(INDEX(Calc!$K:$K,(ROW(D8)-1)*5+COLUMN(D8)+1),",",".")</f>
        <v>2.73</v>
      </c>
      <c r="J9" s="167" t="str">
        <f>SUBSTITUTE(INDEX(Calc!$K:$K,(ROW(E8)-1)*5+COLUMN(E8)+1),",",".")</f>
        <v>2.57</v>
      </c>
      <c r="K9" s="166" t="s">
        <v>898</v>
      </c>
      <c r="L9" s="167" t="str">
        <f>Закуп!AA9</f>
        <v>Четырехклапанные</v>
      </c>
      <c r="M9" s="166" t="s">
        <v>899</v>
      </c>
      <c r="N9" s="166">
        <f>IF(Закуп!L9="",0,Закуп!L9)</f>
        <v>0</v>
      </c>
      <c r="O9" s="166" t="s">
        <v>900</v>
      </c>
      <c r="P9" s="144">
        <f>Закуп!N9</f>
        <v>1</v>
      </c>
      <c r="Q9" s="210" t="str">
        <f t="shared" si="0"/>
        <v xml:space="preserve">        [ 'dims' =&gt; [405,55,605], 'prices' =&gt; [3.57,3.25,2.91,2.73,2.57], 'type' =&gt; "Четырехклапанные", 'sale' =&gt; "0" ],</v>
      </c>
    </row>
    <row r="10" spans="1:17" x14ac:dyDescent="0.4">
      <c r="A10" s="166" t="s">
        <v>896</v>
      </c>
      <c r="B10" s="166">
        <f>Закуп!R10</f>
        <v>160</v>
      </c>
      <c r="C10" s="166">
        <f>Закуп!S10</f>
        <v>150</v>
      </c>
      <c r="D10" s="166">
        <f>Закуп!T10</f>
        <v>800</v>
      </c>
      <c r="E10" s="166" t="s">
        <v>897</v>
      </c>
      <c r="F10" s="167" t="str">
        <f>SUBSTITUTE(INDEX(Calc!$K:$K,(ROW(A9)-1)*5+COLUMN(A9)+1),",",".")</f>
        <v>2.8</v>
      </c>
      <c r="G10" s="167" t="str">
        <f>SUBSTITUTE(INDEX(Calc!$K:$K,(ROW(B9)-1)*5+COLUMN(B9)+1),",",".")</f>
        <v>2.24</v>
      </c>
      <c r="H10" s="167" t="str">
        <f>SUBSTITUTE(INDEX(Calc!$K:$K,(ROW(C9)-1)*5+COLUMN(C9)+1),",",".")</f>
        <v>2.04</v>
      </c>
      <c r="I10" s="167" t="str">
        <f>SUBSTITUTE(INDEX(Calc!$K:$K,(ROW(D9)-1)*5+COLUMN(D9)+1),",",".")</f>
        <v>1.82</v>
      </c>
      <c r="J10" s="167" t="str">
        <f>SUBSTITUTE(INDEX(Calc!$K:$K,(ROW(E9)-1)*5+COLUMN(E9)+1),",",".")</f>
        <v>1.77</v>
      </c>
      <c r="K10" s="166" t="s">
        <v>898</v>
      </c>
      <c r="L10" s="167" t="str">
        <f>Закуп!AA10</f>
        <v>Четырехклапанные</v>
      </c>
      <c r="M10" s="166" t="s">
        <v>899</v>
      </c>
      <c r="N10" s="166">
        <f>IF(Закуп!L10="",0,Закуп!L10)</f>
        <v>0</v>
      </c>
      <c r="O10" s="166" t="s">
        <v>900</v>
      </c>
      <c r="P10" s="144">
        <f>Закуп!N10</f>
        <v>1</v>
      </c>
      <c r="Q10" s="210" t="str">
        <f t="shared" si="0"/>
        <v xml:space="preserve">        [ 'dims' =&gt; [160,150,800], 'prices' =&gt; [2.8,2.24,2.04,1.82,1.77], 'type' =&gt; "Четырехклапанные", 'sale' =&gt; "0" ],</v>
      </c>
    </row>
    <row r="11" spans="1:17" x14ac:dyDescent="0.4">
      <c r="A11" s="166" t="s">
        <v>896</v>
      </c>
      <c r="B11" s="166">
        <f>Закуп!R11</f>
        <v>870</v>
      </c>
      <c r="C11" s="166">
        <f>Закуп!S11</f>
        <v>510</v>
      </c>
      <c r="D11" s="166">
        <f>Закуп!T11</f>
        <v>35</v>
      </c>
      <c r="E11" s="166" t="s">
        <v>897</v>
      </c>
      <c r="F11" s="167" t="str">
        <f>SUBSTITUTE(INDEX(Calc!$K:$K,(ROW(A10)-1)*5+COLUMN(A10)+1),",",".")</f>
        <v>3.91</v>
      </c>
      <c r="G11" s="167" t="str">
        <f>SUBSTITUTE(INDEX(Calc!$K:$K,(ROW(B10)-1)*5+COLUMN(B10)+1),",",".")</f>
        <v>3.81</v>
      </c>
      <c r="H11" s="167" t="str">
        <f>SUBSTITUTE(INDEX(Calc!$K:$K,(ROW(C10)-1)*5+COLUMN(C10)+1),",",".")</f>
        <v>3.17</v>
      </c>
      <c r="I11" s="167" t="str">
        <f>SUBSTITUTE(INDEX(Calc!$K:$K,(ROW(D10)-1)*5+COLUMN(D10)+1),",",".")</f>
        <v>3.07</v>
      </c>
      <c r="J11" s="167" t="str">
        <f>SUBSTITUTE(INDEX(Calc!$K:$K,(ROW(E10)-1)*5+COLUMN(E10)+1),",",".")</f>
        <v>2.97</v>
      </c>
      <c r="K11" s="166" t="s">
        <v>898</v>
      </c>
      <c r="L11" s="167" t="str">
        <f>Закуп!AA11</f>
        <v>Четырехклапанные</v>
      </c>
      <c r="M11" s="166" t="s">
        <v>899</v>
      </c>
      <c r="N11" s="166">
        <f>IF(Закуп!L11="",0,Закуп!L11)</f>
        <v>0</v>
      </c>
      <c r="O11" s="166" t="s">
        <v>900</v>
      </c>
      <c r="P11" s="144">
        <f>Закуп!N11</f>
        <v>1</v>
      </c>
      <c r="Q11" s="210" t="str">
        <f t="shared" si="0"/>
        <v xml:space="preserve">        [ 'dims' =&gt; [870,510,35], 'prices' =&gt; [3.91,3.81,3.17,3.07,2.97], 'type' =&gt; "Четырехклапанные", 'sale' =&gt; "0" ],</v>
      </c>
    </row>
    <row r="12" spans="1:17" x14ac:dyDescent="0.4">
      <c r="A12" s="166" t="s">
        <v>896</v>
      </c>
      <c r="B12" s="166">
        <f>Закуп!R12</f>
        <v>400</v>
      </c>
      <c r="C12" s="166">
        <f>Закуп!S12</f>
        <v>400</v>
      </c>
      <c r="D12" s="166">
        <f>Закуп!T12</f>
        <v>200</v>
      </c>
      <c r="E12" s="166" t="s">
        <v>897</v>
      </c>
      <c r="F12" s="167" t="str">
        <f>SUBSTITUTE(INDEX(Calc!$K:$K,(ROW(A11)-1)*5+COLUMN(A11)+1),",",".")</f>
        <v>3.55</v>
      </c>
      <c r="G12" s="167" t="str">
        <f>SUBSTITUTE(INDEX(Calc!$K:$K,(ROW(B11)-1)*5+COLUMN(B11)+1),",",".")</f>
        <v>3.22</v>
      </c>
      <c r="H12" s="167" t="str">
        <f>SUBSTITUTE(INDEX(Calc!$K:$K,(ROW(C11)-1)*5+COLUMN(C11)+1),",",".")</f>
        <v>2.89</v>
      </c>
      <c r="I12" s="167" t="str">
        <f>SUBSTITUTE(INDEX(Calc!$K:$K,(ROW(D11)-1)*5+COLUMN(D11)+1),",",".")</f>
        <v>2.71</v>
      </c>
      <c r="J12" s="167" t="str">
        <f>SUBSTITUTE(INDEX(Calc!$K:$K,(ROW(E11)-1)*5+COLUMN(E11)+1),",",".")</f>
        <v>2.55</v>
      </c>
      <c r="K12" s="166" t="s">
        <v>898</v>
      </c>
      <c r="L12" s="167" t="str">
        <f>Закуп!AA12</f>
        <v>Четырехклапанные</v>
      </c>
      <c r="M12" s="166" t="s">
        <v>899</v>
      </c>
      <c r="N12" s="166">
        <f>IF(Закуп!L12="",0,Закуп!L12)</f>
        <v>0</v>
      </c>
      <c r="O12" s="166" t="s">
        <v>900</v>
      </c>
      <c r="P12" s="144">
        <f>Закуп!N12</f>
        <v>1</v>
      </c>
      <c r="Q12" s="210" t="str">
        <f t="shared" si="0"/>
        <v xml:space="preserve">        [ 'dims' =&gt; [400,400,200], 'prices' =&gt; [3.55,3.22,2.89,2.71,2.55], 'type' =&gt; "Четырехклапанные", 'sale' =&gt; "0" ],</v>
      </c>
    </row>
    <row r="13" spans="1:17" x14ac:dyDescent="0.4">
      <c r="A13" s="166" t="s">
        <v>896</v>
      </c>
      <c r="B13" s="166">
        <f>Закуп!R13</f>
        <v>400</v>
      </c>
      <c r="C13" s="166">
        <f>Закуп!S13</f>
        <v>400</v>
      </c>
      <c r="D13" s="166">
        <f>Закуп!T13</f>
        <v>400</v>
      </c>
      <c r="E13" s="166" t="s">
        <v>897</v>
      </c>
      <c r="F13" s="167" t="str">
        <f>SUBSTITUTE(INDEX(Calc!$K:$K,(ROW(A12)-1)*5+COLUMN(A12)+1),",",".")</f>
        <v>4.48</v>
      </c>
      <c r="G13" s="167" t="str">
        <f>SUBSTITUTE(INDEX(Calc!$K:$K,(ROW(B12)-1)*5+COLUMN(B12)+1),",",".")</f>
        <v>4.37</v>
      </c>
      <c r="H13" s="167" t="str">
        <f>SUBSTITUTE(INDEX(Calc!$K:$K,(ROW(C12)-1)*5+COLUMN(C12)+1),",",".")</f>
        <v>3.58</v>
      </c>
      <c r="I13" s="167" t="str">
        <f>SUBSTITUTE(INDEX(Calc!$K:$K,(ROW(D12)-1)*5+COLUMN(D12)+1),",",".")</f>
        <v>3.53</v>
      </c>
      <c r="J13" s="167" t="str">
        <f>SUBSTITUTE(INDEX(Calc!$K:$K,(ROW(E12)-1)*5+COLUMN(E12)+1),",",".")</f>
        <v>3.41</v>
      </c>
      <c r="K13" s="166" t="s">
        <v>898</v>
      </c>
      <c r="L13" s="167" t="str">
        <f>Закуп!AA13</f>
        <v>Четырехклапанные</v>
      </c>
      <c r="M13" s="166" t="s">
        <v>899</v>
      </c>
      <c r="N13" s="166">
        <f>IF(Закуп!L13="",0,Закуп!L13)</f>
        <v>0</v>
      </c>
      <c r="O13" s="166" t="s">
        <v>900</v>
      </c>
      <c r="P13" s="144">
        <f>Закуп!N13</f>
        <v>1</v>
      </c>
      <c r="Q13" s="210" t="str">
        <f t="shared" si="0"/>
        <v xml:space="preserve">        [ 'dims' =&gt; [400,400,400], 'prices' =&gt; [4.48,4.37,3.58,3.53,3.41], 'type' =&gt; "Четырехклапанные", 'sale' =&gt; "0" ],</v>
      </c>
    </row>
    <row r="14" spans="1:17" x14ac:dyDescent="0.4">
      <c r="A14" s="166" t="s">
        <v>896</v>
      </c>
      <c r="B14" s="166">
        <f>Закуп!R14</f>
        <v>50</v>
      </c>
      <c r="C14" s="166">
        <f>Закуп!S14</f>
        <v>50</v>
      </c>
      <c r="D14" s="166">
        <f>Закуп!T14</f>
        <v>145</v>
      </c>
      <c r="E14" s="166" t="s">
        <v>897</v>
      </c>
      <c r="F14" s="167" t="str">
        <f>SUBSTITUTE(INDEX(Calc!$K:$K,(ROW(A13)-1)*5+COLUMN(A13)+1),",",".")</f>
        <v>1.02</v>
      </c>
      <c r="G14" s="167" t="str">
        <f>SUBSTITUTE(INDEX(Calc!$K:$K,(ROW(B13)-1)*5+COLUMN(B13)+1),",",".")</f>
        <v>0.86</v>
      </c>
      <c r="H14" s="167" t="str">
        <f>SUBSTITUTE(INDEX(Calc!$K:$K,(ROW(C13)-1)*5+COLUMN(C13)+1),",",".")</f>
        <v>0.75</v>
      </c>
      <c r="I14" s="167" t="str">
        <f>SUBSTITUTE(INDEX(Calc!$K:$K,(ROW(D13)-1)*5+COLUMN(D13)+1),",",".")</f>
        <v>0.59</v>
      </c>
      <c r="J14" s="167" t="str">
        <f>SUBSTITUTE(INDEX(Calc!$K:$K,(ROW(E13)-1)*5+COLUMN(E13)+1),",",".")</f>
        <v>0.54</v>
      </c>
      <c r="K14" s="166" t="s">
        <v>898</v>
      </c>
      <c r="L14" s="167" t="str">
        <f>Закуп!AA14</f>
        <v>Самосборные</v>
      </c>
      <c r="M14" s="166" t="s">
        <v>899</v>
      </c>
      <c r="N14" s="166">
        <f>IF(Закуп!L14="",0,Закуп!L14)</f>
        <v>0</v>
      </c>
      <c r="O14" s="166" t="s">
        <v>900</v>
      </c>
      <c r="P14" s="144">
        <f>Закуп!N14</f>
        <v>1</v>
      </c>
      <c r="Q14" s="210" t="str">
        <f t="shared" si="0"/>
        <v xml:space="preserve">        [ 'dims' =&gt; [50,50,145], 'prices' =&gt; [1.02,0.86,0.75,0.59,0.54], 'type' =&gt; "Самосборные", 'sale' =&gt; "0" ],</v>
      </c>
    </row>
    <row r="15" spans="1:17" x14ac:dyDescent="0.4">
      <c r="A15" s="166" t="s">
        <v>896</v>
      </c>
      <c r="B15" s="166">
        <f>Закуп!R15</f>
        <v>200</v>
      </c>
      <c r="C15" s="166">
        <f>Закуп!S15</f>
        <v>90</v>
      </c>
      <c r="D15" s="166">
        <f>Закуп!T15</f>
        <v>25</v>
      </c>
      <c r="E15" s="166" t="s">
        <v>897</v>
      </c>
      <c r="F15" s="167" t="str">
        <f>SUBSTITUTE(INDEX(Calc!$K:$K,(ROW(A14)-1)*5+COLUMN(A14)+1),",",".")</f>
        <v>1.18</v>
      </c>
      <c r="G15" s="167" t="str">
        <f>SUBSTITUTE(INDEX(Calc!$K:$K,(ROW(B14)-1)*5+COLUMN(B14)+1),",",".")</f>
        <v>1.07</v>
      </c>
      <c r="H15" s="167" t="str">
        <f>SUBSTITUTE(INDEX(Calc!$K:$K,(ROW(C14)-1)*5+COLUMN(C14)+1),",",".")</f>
        <v>0.86</v>
      </c>
      <c r="I15" s="167" t="str">
        <f>SUBSTITUTE(INDEX(Calc!$K:$K,(ROW(D14)-1)*5+COLUMN(D14)+1),",",".")</f>
        <v>0.76</v>
      </c>
      <c r="J15" s="167" t="str">
        <f>SUBSTITUTE(INDEX(Calc!$K:$K,(ROW(E14)-1)*5+COLUMN(E14)+1),",",".")</f>
        <v>0.59</v>
      </c>
      <c r="K15" s="166" t="s">
        <v>898</v>
      </c>
      <c r="L15" s="167" t="str">
        <f>Закуп!AA15</f>
        <v>Самосборные</v>
      </c>
      <c r="M15" s="166" t="s">
        <v>899</v>
      </c>
      <c r="N15" s="166">
        <f>IF(Закуп!L15="",0,Закуп!L15)</f>
        <v>0</v>
      </c>
      <c r="O15" s="166" t="s">
        <v>900</v>
      </c>
      <c r="P15" s="144">
        <f>Закуп!N15</f>
        <v>1</v>
      </c>
      <c r="Q15" s="210" t="str">
        <f t="shared" si="0"/>
        <v xml:space="preserve">        [ 'dims' =&gt; [200,90,25], 'prices' =&gt; [1.18,1.07,0.86,0.76,0.59], 'type' =&gt; "Самосборные", 'sale' =&gt; "0" ],</v>
      </c>
    </row>
    <row r="16" spans="1:17" x14ac:dyDescent="0.4">
      <c r="A16" s="166" t="s">
        <v>896</v>
      </c>
      <c r="B16" s="166">
        <f>Закуп!R16</f>
        <v>250</v>
      </c>
      <c r="C16" s="166">
        <f>Закуп!S16</f>
        <v>100</v>
      </c>
      <c r="D16" s="166">
        <f>Закуп!T16</f>
        <v>320</v>
      </c>
      <c r="E16" s="166" t="s">
        <v>897</v>
      </c>
      <c r="F16" s="167" t="str">
        <f>SUBSTITUTE(INDEX(Calc!$K:$K,(ROW(A15)-1)*5+COLUMN(A15)+1),",",".")</f>
        <v>1.53</v>
      </c>
      <c r="G16" s="167" t="str">
        <f>SUBSTITUTE(INDEX(Calc!$K:$K,(ROW(B15)-1)*5+COLUMN(B15)+1),",",".")</f>
        <v>1.39</v>
      </c>
      <c r="H16" s="167" t="str">
        <f>SUBSTITUTE(INDEX(Calc!$K:$K,(ROW(C15)-1)*5+COLUMN(C15)+1),",",".")</f>
        <v>1.09</v>
      </c>
      <c r="I16" s="167" t="str">
        <f>SUBSTITUTE(INDEX(Calc!$K:$K,(ROW(D15)-1)*5+COLUMN(D15)+1),",",".")</f>
        <v>1.03</v>
      </c>
      <c r="J16" s="167" t="str">
        <f>SUBSTITUTE(INDEX(Calc!$K:$K,(ROW(E15)-1)*5+COLUMN(E15)+1),",",".")</f>
        <v>0.97</v>
      </c>
      <c r="K16" s="166" t="s">
        <v>898</v>
      </c>
      <c r="L16" s="167" t="str">
        <f>Закуп!AA16</f>
        <v>Четырехклапанные</v>
      </c>
      <c r="M16" s="166" t="s">
        <v>899</v>
      </c>
      <c r="N16" s="166">
        <f>IF(Закуп!L16="",0,Закуп!L16)</f>
        <v>0</v>
      </c>
      <c r="O16" s="166" t="s">
        <v>900</v>
      </c>
      <c r="P16" s="144">
        <f>Закуп!N16</f>
        <v>1</v>
      </c>
      <c r="Q16" s="210" t="str">
        <f t="shared" si="0"/>
        <v xml:space="preserve">        [ 'dims' =&gt; [250,100,320], 'prices' =&gt; [1.53,1.39,1.09,1.03,0.97], 'type' =&gt; "Четырехклапанные", 'sale' =&gt; "0" ],</v>
      </c>
    </row>
    <row r="17" spans="1:17" x14ac:dyDescent="0.4">
      <c r="A17" s="166" t="s">
        <v>896</v>
      </c>
      <c r="B17" s="166">
        <f>Закуп!R17</f>
        <v>90</v>
      </c>
      <c r="C17" s="166">
        <f>Закуп!S17</f>
        <v>80</v>
      </c>
      <c r="D17" s="166">
        <f>Закуп!T17</f>
        <v>30</v>
      </c>
      <c r="E17" s="166" t="s">
        <v>897</v>
      </c>
      <c r="F17" s="167" t="str">
        <f>SUBSTITUTE(INDEX(Calc!$K:$K,(ROW(A16)-1)*5+COLUMN(A16)+1),",",".")</f>
        <v>0.96</v>
      </c>
      <c r="G17" s="167" t="str">
        <f>SUBSTITUTE(INDEX(Calc!$K:$K,(ROW(B16)-1)*5+COLUMN(B16)+1),",",".")</f>
        <v>0.75</v>
      </c>
      <c r="H17" s="167" t="str">
        <f>SUBSTITUTE(INDEX(Calc!$K:$K,(ROW(C16)-1)*5+COLUMN(C16)+1),",",".")</f>
        <v>0.64</v>
      </c>
      <c r="I17" s="167" t="str">
        <f>SUBSTITUTE(INDEX(Calc!$K:$K,(ROW(D16)-1)*5+COLUMN(D16)+1),",",".")</f>
        <v>0.59</v>
      </c>
      <c r="J17" s="167" t="str">
        <f>SUBSTITUTE(INDEX(Calc!$K:$K,(ROW(E16)-1)*5+COLUMN(E16)+1),",",".")</f>
        <v>0.54</v>
      </c>
      <c r="K17" s="166" t="s">
        <v>898</v>
      </c>
      <c r="L17" s="167" t="str">
        <f>Закуп!AA17</f>
        <v>Самосборные</v>
      </c>
      <c r="M17" s="166" t="s">
        <v>899</v>
      </c>
      <c r="N17" s="166">
        <f>IF(Закуп!L17="",0,Закуп!L17)</f>
        <v>0</v>
      </c>
      <c r="O17" s="166" t="s">
        <v>900</v>
      </c>
      <c r="P17" s="144">
        <f>Закуп!N17</f>
        <v>1</v>
      </c>
      <c r="Q17" s="210" t="str">
        <f t="shared" si="0"/>
        <v xml:space="preserve">        [ 'dims' =&gt; [90,80,30], 'prices' =&gt; [0.96,0.75,0.64,0.59,0.54], 'type' =&gt; "Самосборные", 'sale' =&gt; "0" ],</v>
      </c>
    </row>
    <row r="18" spans="1:17" x14ac:dyDescent="0.4">
      <c r="A18" s="166" t="s">
        <v>896</v>
      </c>
      <c r="B18" s="166">
        <f>Закуп!R18</f>
        <v>65</v>
      </c>
      <c r="C18" s="166">
        <f>Закуп!S18</f>
        <v>65</v>
      </c>
      <c r="D18" s="166">
        <f>Закуп!T18</f>
        <v>40</v>
      </c>
      <c r="E18" s="166" t="s">
        <v>897</v>
      </c>
      <c r="F18" s="167" t="str">
        <f>SUBSTITUTE(INDEX(Calc!$K:$K,(ROW(A17)-1)*5+COLUMN(A17)+1),",",".")</f>
        <v>0.96</v>
      </c>
      <c r="G18" s="167" t="str">
        <f>SUBSTITUTE(INDEX(Calc!$K:$K,(ROW(B17)-1)*5+COLUMN(B17)+1),",",".")</f>
        <v>0.75</v>
      </c>
      <c r="H18" s="167" t="str">
        <f>SUBSTITUTE(INDEX(Calc!$K:$K,(ROW(C17)-1)*5+COLUMN(C17)+1),",",".")</f>
        <v>0.64</v>
      </c>
      <c r="I18" s="167" t="str">
        <f>SUBSTITUTE(INDEX(Calc!$K:$K,(ROW(D17)-1)*5+COLUMN(D17)+1),",",".")</f>
        <v>0.59</v>
      </c>
      <c r="J18" s="167" t="str">
        <f>SUBSTITUTE(INDEX(Calc!$K:$K,(ROW(E17)-1)*5+COLUMN(E17)+1),",",".")</f>
        <v>0.54</v>
      </c>
      <c r="K18" s="166" t="s">
        <v>898</v>
      </c>
      <c r="L18" s="167" t="str">
        <f>Закуп!AA18</f>
        <v>Самосборные</v>
      </c>
      <c r="M18" s="166" t="s">
        <v>899</v>
      </c>
      <c r="N18" s="166">
        <f>IF(Закуп!L18="",0,Закуп!L18)</f>
        <v>0</v>
      </c>
      <c r="O18" s="166" t="s">
        <v>900</v>
      </c>
      <c r="P18" s="144">
        <f>Закуп!N18</f>
        <v>1</v>
      </c>
      <c r="Q18" s="210" t="str">
        <f t="shared" si="0"/>
        <v xml:space="preserve">        [ 'dims' =&gt; [65,65,40], 'prices' =&gt; [0.96,0.75,0.64,0.59,0.54], 'type' =&gt; "Самосборные", 'sale' =&gt; "0" ],</v>
      </c>
    </row>
    <row r="19" spans="1:17" x14ac:dyDescent="0.4">
      <c r="A19" s="166" t="s">
        <v>896</v>
      </c>
      <c r="B19" s="166">
        <f>Закуп!R19</f>
        <v>178</v>
      </c>
      <c r="C19" s="166">
        <f>Закуп!S19</f>
        <v>120</v>
      </c>
      <c r="D19" s="166">
        <f>Закуп!T19</f>
        <v>46</v>
      </c>
      <c r="E19" s="166" t="s">
        <v>897</v>
      </c>
      <c r="F19" s="167" t="str">
        <f>SUBSTITUTE(INDEX(Calc!$K:$K,(ROW(A18)-1)*5+COLUMN(A18)+1),",",".")</f>
        <v>1</v>
      </c>
      <c r="G19" s="167" t="str">
        <f>SUBSTITUTE(INDEX(Calc!$K:$K,(ROW(B18)-1)*5+COLUMN(B18)+1),",",".")</f>
        <v>0.86</v>
      </c>
      <c r="H19" s="167" t="str">
        <f>SUBSTITUTE(INDEX(Calc!$K:$K,(ROW(C18)-1)*5+COLUMN(C18)+1),",",".")</f>
        <v>0.68</v>
      </c>
      <c r="I19" s="167" t="str">
        <f>SUBSTITUTE(INDEX(Calc!$K:$K,(ROW(D18)-1)*5+COLUMN(D18)+1),",",".")</f>
        <v>0.63</v>
      </c>
      <c r="J19" s="167" t="str">
        <f>SUBSTITUTE(INDEX(Calc!$K:$K,(ROW(E18)-1)*5+COLUMN(E18)+1),",",".")</f>
        <v>0.54</v>
      </c>
      <c r="K19" s="166" t="s">
        <v>898</v>
      </c>
      <c r="L19" s="167" t="str">
        <f>Закуп!AA19</f>
        <v>Самосборные</v>
      </c>
      <c r="M19" s="166" t="s">
        <v>899</v>
      </c>
      <c r="N19" s="166">
        <f>IF(Закуп!L19="",0,Закуп!L19)</f>
        <v>0</v>
      </c>
      <c r="O19" s="166" t="s">
        <v>900</v>
      </c>
      <c r="P19" s="144">
        <f>Закуп!N19</f>
        <v>1</v>
      </c>
      <c r="Q19" s="210" t="str">
        <f t="shared" si="0"/>
        <v xml:space="preserve">        [ 'dims' =&gt; [178,120,46], 'prices' =&gt; [1,0.86,0.68,0.63,0.54], 'type' =&gt; "Самосборные", 'sale' =&gt; "0" ],</v>
      </c>
    </row>
    <row r="20" spans="1:17" x14ac:dyDescent="0.4">
      <c r="A20" s="166" t="s">
        <v>896</v>
      </c>
      <c r="B20" s="166">
        <f>Закуп!R20</f>
        <v>110</v>
      </c>
      <c r="C20" s="166">
        <f>Закуп!S20</f>
        <v>110</v>
      </c>
      <c r="D20" s="166">
        <f>Закуп!T20</f>
        <v>87</v>
      </c>
      <c r="E20" s="166" t="s">
        <v>897</v>
      </c>
      <c r="F20" s="167" t="str">
        <f>SUBSTITUTE(INDEX(Calc!$K:$K,(ROW(A19)-1)*5+COLUMN(A19)+1),",",".")</f>
        <v>1.07</v>
      </c>
      <c r="G20" s="167" t="str">
        <f>SUBSTITUTE(INDEX(Calc!$K:$K,(ROW(B19)-1)*5+COLUMN(B19)+1),",",".")</f>
        <v>0.91</v>
      </c>
      <c r="H20" s="167" t="str">
        <f>SUBSTITUTE(INDEX(Calc!$K:$K,(ROW(C19)-1)*5+COLUMN(C19)+1),",",".")</f>
        <v>0.68</v>
      </c>
      <c r="I20" s="167" t="str">
        <f>SUBSTITUTE(INDEX(Calc!$K:$K,(ROW(D19)-1)*5+COLUMN(D19)+1),",",".")</f>
        <v>0.63</v>
      </c>
      <c r="J20" s="167" t="str">
        <f>SUBSTITUTE(INDEX(Calc!$K:$K,(ROW(E19)-1)*5+COLUMN(E19)+1),",",".")</f>
        <v>0.59</v>
      </c>
      <c r="K20" s="166" t="s">
        <v>898</v>
      </c>
      <c r="L20" s="167" t="str">
        <f>Закуп!AA20</f>
        <v>Самосборные</v>
      </c>
      <c r="M20" s="166" t="s">
        <v>899</v>
      </c>
      <c r="N20" s="166">
        <f>IF(Закуп!L20="",0,Закуп!L20)</f>
        <v>0</v>
      </c>
      <c r="O20" s="166" t="s">
        <v>900</v>
      </c>
      <c r="P20" s="144">
        <f>Закуп!N20</f>
        <v>1</v>
      </c>
      <c r="Q20" s="210" t="str">
        <f t="shared" si="0"/>
        <v xml:space="preserve">        [ 'dims' =&gt; [110,110,87], 'prices' =&gt; [1.07,0.91,0.68,0.63,0.59], 'type' =&gt; "Самосборные", 'sale' =&gt; "0" ],</v>
      </c>
    </row>
    <row r="21" spans="1:17" x14ac:dyDescent="0.4">
      <c r="A21" s="166" t="s">
        <v>896</v>
      </c>
      <c r="B21" s="166">
        <f>Закуп!R21</f>
        <v>50</v>
      </c>
      <c r="C21" s="166">
        <f>Закуп!S21</f>
        <v>50</v>
      </c>
      <c r="D21" s="166">
        <f>Закуп!T21</f>
        <v>170</v>
      </c>
      <c r="E21" s="166" t="s">
        <v>897</v>
      </c>
      <c r="F21" s="167" t="str">
        <f>SUBSTITUTE(INDEX(Calc!$K:$K,(ROW(A20)-1)*5+COLUMN(A20)+1),",",".")</f>
        <v>1.12</v>
      </c>
      <c r="G21" s="167" t="str">
        <f>SUBSTITUTE(INDEX(Calc!$K:$K,(ROW(B20)-1)*5+COLUMN(B20)+1),",",".")</f>
        <v>0.96</v>
      </c>
      <c r="H21" s="167" t="str">
        <f>SUBSTITUTE(INDEX(Calc!$K:$K,(ROW(C20)-1)*5+COLUMN(C20)+1),",",".")</f>
        <v>0.85</v>
      </c>
      <c r="I21" s="167" t="str">
        <f>SUBSTITUTE(INDEX(Calc!$K:$K,(ROW(D20)-1)*5+COLUMN(D20)+1),",",".")</f>
        <v>0.7</v>
      </c>
      <c r="J21" s="167" t="str">
        <f>SUBSTITUTE(INDEX(Calc!$K:$K,(ROW(E20)-1)*5+COLUMN(E20)+1),",",".")</f>
        <v>0.55</v>
      </c>
      <c r="K21" s="166" t="s">
        <v>898</v>
      </c>
      <c r="L21" s="167" t="str">
        <f>Закуп!AA21</f>
        <v>Самосборные</v>
      </c>
      <c r="M21" s="166" t="s">
        <v>899</v>
      </c>
      <c r="N21" s="166">
        <f>IF(Закуп!L21="",0,Закуп!L21)</f>
        <v>0</v>
      </c>
      <c r="O21" s="166" t="s">
        <v>900</v>
      </c>
      <c r="P21" s="144">
        <f>Закуп!N21</f>
        <v>1</v>
      </c>
      <c r="Q21" s="210" t="str">
        <f t="shared" si="0"/>
        <v xml:space="preserve">        [ 'dims' =&gt; [50,50,170], 'prices' =&gt; [1.12,0.96,0.85,0.7,0.55], 'type' =&gt; "Самосборные", 'sale' =&gt; "0" ],</v>
      </c>
    </row>
    <row r="22" spans="1:17" x14ac:dyDescent="0.4">
      <c r="A22" s="166" t="s">
        <v>896</v>
      </c>
      <c r="B22" s="166">
        <f>Закуп!R22</f>
        <v>80</v>
      </c>
      <c r="C22" s="166">
        <f>Закуп!S22</f>
        <v>80</v>
      </c>
      <c r="D22" s="166">
        <f>Закуп!T22</f>
        <v>330</v>
      </c>
      <c r="E22" s="166" t="s">
        <v>897</v>
      </c>
      <c r="F22" s="167" t="str">
        <f>SUBSTITUTE(INDEX(Calc!$K:$K,(ROW(A21)-1)*5+COLUMN(A21)+1),",",".")</f>
        <v>1.07</v>
      </c>
      <c r="G22" s="167" t="str">
        <f>SUBSTITUTE(INDEX(Calc!$K:$K,(ROW(B21)-1)*5+COLUMN(B21)+1),",",".")</f>
        <v>0.9</v>
      </c>
      <c r="H22" s="167" t="str">
        <f>SUBSTITUTE(INDEX(Calc!$K:$K,(ROW(C21)-1)*5+COLUMN(C21)+1),",",".")</f>
        <v>0.82</v>
      </c>
      <c r="I22" s="167" t="str">
        <f>SUBSTITUTE(INDEX(Calc!$K:$K,(ROW(D21)-1)*5+COLUMN(D21)+1),",",".")</f>
        <v>0.75</v>
      </c>
      <c r="J22" s="167" t="str">
        <f>SUBSTITUTE(INDEX(Calc!$K:$K,(ROW(E21)-1)*5+COLUMN(E21)+1),",",".")</f>
        <v>0.7</v>
      </c>
      <c r="K22" s="166" t="s">
        <v>898</v>
      </c>
      <c r="L22" s="167" t="str">
        <f>Закуп!AA22</f>
        <v>Самосборные</v>
      </c>
      <c r="M22" s="166" t="s">
        <v>899</v>
      </c>
      <c r="N22" s="166">
        <f>IF(Закуп!L22="",0,Закуп!L22)</f>
        <v>0</v>
      </c>
      <c r="O22" s="166" t="s">
        <v>900</v>
      </c>
      <c r="P22" s="144">
        <f>Закуп!N22</f>
        <v>1</v>
      </c>
      <c r="Q22" s="210" t="str">
        <f t="shared" si="0"/>
        <v xml:space="preserve">        [ 'dims' =&gt; [80,80,330], 'prices' =&gt; [1.07,0.9,0.82,0.75,0.7], 'type' =&gt; "Самосборные", 'sale' =&gt; "0" ],</v>
      </c>
    </row>
    <row r="23" spans="1:17" x14ac:dyDescent="0.4">
      <c r="A23" s="166" t="s">
        <v>896</v>
      </c>
      <c r="B23" s="166">
        <f>Закуп!R23</f>
        <v>92</v>
      </c>
      <c r="C23" s="166">
        <f>Закуп!S23</f>
        <v>92</v>
      </c>
      <c r="D23" s="166">
        <f>Закуп!T23</f>
        <v>54</v>
      </c>
      <c r="E23" s="166" t="s">
        <v>897</v>
      </c>
      <c r="F23" s="167" t="str">
        <f>SUBSTITUTE(INDEX(Calc!$K:$K,(ROW(A22)-1)*5+COLUMN(A22)+1),",",".")</f>
        <v>1.07</v>
      </c>
      <c r="G23" s="167" t="str">
        <f>SUBSTITUTE(INDEX(Calc!$K:$K,(ROW(B22)-1)*5+COLUMN(B22)+1),",",".")</f>
        <v>0.96</v>
      </c>
      <c r="H23" s="167" t="str">
        <f>SUBSTITUTE(INDEX(Calc!$K:$K,(ROW(C22)-1)*5+COLUMN(C22)+1),",",".")</f>
        <v>0.86</v>
      </c>
      <c r="I23" s="167" t="str">
        <f>SUBSTITUTE(INDEX(Calc!$K:$K,(ROW(D22)-1)*5+COLUMN(D22)+1),",",".")</f>
        <v>0.7</v>
      </c>
      <c r="J23" s="167" t="str">
        <f>SUBSTITUTE(INDEX(Calc!$K:$K,(ROW(E22)-1)*5+COLUMN(E22)+1),",",".")</f>
        <v>0.54</v>
      </c>
      <c r="K23" s="166" t="s">
        <v>898</v>
      </c>
      <c r="L23" s="167" t="str">
        <f>Закуп!AA23</f>
        <v>Самосборные</v>
      </c>
      <c r="M23" s="166" t="s">
        <v>899</v>
      </c>
      <c r="N23" s="166">
        <f>IF(Закуп!L23="",0,Закуп!L23)</f>
        <v>0</v>
      </c>
      <c r="O23" s="166" t="s">
        <v>900</v>
      </c>
      <c r="P23" s="144">
        <f>Закуп!N23</f>
        <v>1</v>
      </c>
      <c r="Q23" s="210" t="str">
        <f t="shared" si="0"/>
        <v xml:space="preserve">        [ 'dims' =&gt; [92,92,54], 'prices' =&gt; [1.07,0.96,0.86,0.7,0.54], 'type' =&gt; "Самосборные", 'sale' =&gt; "0" ],</v>
      </c>
    </row>
    <row r="24" spans="1:17" x14ac:dyDescent="0.4">
      <c r="A24" s="166" t="s">
        <v>896</v>
      </c>
      <c r="B24" s="166">
        <f>Закуп!R24</f>
        <v>309</v>
      </c>
      <c r="C24" s="166">
        <f>Закуп!S24</f>
        <v>307</v>
      </c>
      <c r="D24" s="166">
        <f>Закуп!T24</f>
        <v>37</v>
      </c>
      <c r="E24" s="166" t="s">
        <v>897</v>
      </c>
      <c r="F24" s="167" t="str">
        <f>SUBSTITUTE(INDEX(Calc!$K:$K,(ROW(A23)-1)*5+COLUMN(A23)+1),",",".")</f>
        <v>1.41</v>
      </c>
      <c r="G24" s="167" t="str">
        <f>SUBSTITUTE(INDEX(Calc!$K:$K,(ROW(B23)-1)*5+COLUMN(B23)+1),",",".")</f>
        <v>1.28</v>
      </c>
      <c r="H24" s="167" t="str">
        <f>SUBSTITUTE(INDEX(Calc!$K:$K,(ROW(C23)-1)*5+COLUMN(C23)+1),",",".")</f>
        <v>1.02</v>
      </c>
      <c r="I24" s="167" t="str">
        <f>SUBSTITUTE(INDEX(Calc!$K:$K,(ROW(D23)-1)*5+COLUMN(D23)+1),",",".")</f>
        <v>0.95</v>
      </c>
      <c r="J24" s="167" t="str">
        <f>SUBSTITUTE(INDEX(Calc!$K:$K,(ROW(E23)-1)*5+COLUMN(E23)+1),",",".")</f>
        <v>0.9</v>
      </c>
      <c r="K24" s="166" t="s">
        <v>898</v>
      </c>
      <c r="L24" s="167" t="str">
        <f>Закуп!AA24</f>
        <v>Самосборные</v>
      </c>
      <c r="M24" s="166" t="s">
        <v>899</v>
      </c>
      <c r="N24" s="166">
        <f>IF(Закуп!L24="",0,Закуп!L24)</f>
        <v>0</v>
      </c>
      <c r="O24" s="166" t="s">
        <v>900</v>
      </c>
      <c r="P24" s="144">
        <f>Закуп!N24</f>
        <v>1</v>
      </c>
      <c r="Q24" s="210" t="str">
        <f t="shared" si="0"/>
        <v xml:space="preserve">        [ 'dims' =&gt; [309,307,37], 'prices' =&gt; [1.41,1.28,1.02,0.95,0.9], 'type' =&gt; "Самосборные", 'sale' =&gt; "0" ],</v>
      </c>
    </row>
    <row r="25" spans="1:17" x14ac:dyDescent="0.4">
      <c r="A25" s="166" t="s">
        <v>896</v>
      </c>
      <c r="B25" s="166">
        <f>Закуп!R25</f>
        <v>130</v>
      </c>
      <c r="C25" s="166">
        <f>Закуп!S25</f>
        <v>90</v>
      </c>
      <c r="D25" s="166">
        <f>Закуп!T25</f>
        <v>620</v>
      </c>
      <c r="E25" s="166" t="s">
        <v>897</v>
      </c>
      <c r="F25" s="167" t="str">
        <f>SUBSTITUTE(INDEX(Calc!$K:$K,(ROW(A24)-1)*5+COLUMN(A24)+1),",",".")</f>
        <v>1.69</v>
      </c>
      <c r="G25" s="167" t="str">
        <f>SUBSTITUTE(INDEX(Calc!$K:$K,(ROW(B24)-1)*5+COLUMN(B24)+1),",",".")</f>
        <v>1.54</v>
      </c>
      <c r="H25" s="167" t="str">
        <f>SUBSTITUTE(INDEX(Calc!$K:$K,(ROW(C24)-1)*5+COLUMN(C24)+1),",",".")</f>
        <v>1.22</v>
      </c>
      <c r="I25" s="167" t="str">
        <f>SUBSTITUTE(INDEX(Calc!$K:$K,(ROW(D24)-1)*5+COLUMN(D24)+1),",",".")</f>
        <v>1.14</v>
      </c>
      <c r="J25" s="167" t="str">
        <f>SUBSTITUTE(INDEX(Calc!$K:$K,(ROW(E24)-1)*5+COLUMN(E24)+1),",",".")</f>
        <v>1.01</v>
      </c>
      <c r="K25" s="166" t="s">
        <v>898</v>
      </c>
      <c r="L25" s="167" t="str">
        <f>Закуп!AA25</f>
        <v>Четырехклапанные</v>
      </c>
      <c r="M25" s="166" t="s">
        <v>899</v>
      </c>
      <c r="N25" s="166">
        <f>IF(Закуп!L25="",0,Закуп!L25)</f>
        <v>0</v>
      </c>
      <c r="O25" s="166" t="s">
        <v>900</v>
      </c>
      <c r="P25" s="144">
        <f>Закуп!N25</f>
        <v>1</v>
      </c>
      <c r="Q25" s="210" t="str">
        <f t="shared" si="0"/>
        <v xml:space="preserve">        [ 'dims' =&gt; [130,90,620], 'prices' =&gt; [1.69,1.54,1.22,1.14,1.01], 'type' =&gt; "Четырехклапанные", 'sale' =&gt; "0" ],</v>
      </c>
    </row>
    <row r="26" spans="1:17" x14ac:dyDescent="0.4">
      <c r="A26" s="166" t="s">
        <v>896</v>
      </c>
      <c r="B26" s="166">
        <f>Закуп!R26</f>
        <v>215</v>
      </c>
      <c r="C26" s="166">
        <f>Закуп!S26</f>
        <v>125</v>
      </c>
      <c r="D26" s="166">
        <f>Закуп!T26</f>
        <v>45</v>
      </c>
      <c r="E26" s="166" t="s">
        <v>897</v>
      </c>
      <c r="F26" s="167" t="str">
        <f>SUBSTITUTE(INDEX(Calc!$K:$K,(ROW(A25)-1)*5+COLUMN(A25)+1),",",".")</f>
        <v>1.12</v>
      </c>
      <c r="G26" s="167" t="str">
        <f>SUBSTITUTE(INDEX(Calc!$K:$K,(ROW(B25)-1)*5+COLUMN(B25)+1),",",".")</f>
        <v>0.93</v>
      </c>
      <c r="H26" s="167" t="str">
        <f>SUBSTITUTE(INDEX(Calc!$K:$K,(ROW(C25)-1)*5+COLUMN(C25)+1),",",".")</f>
        <v>0.81</v>
      </c>
      <c r="I26" s="167" t="str">
        <f>SUBSTITUTE(INDEX(Calc!$K:$K,(ROW(D25)-1)*5+COLUMN(D25)+1),",",".")</f>
        <v>0.73</v>
      </c>
      <c r="J26" s="167" t="str">
        <f>SUBSTITUTE(INDEX(Calc!$K:$K,(ROW(E25)-1)*5+COLUMN(E25)+1),",",".")</f>
        <v>0.65</v>
      </c>
      <c r="K26" s="166" t="s">
        <v>898</v>
      </c>
      <c r="L26" s="167" t="str">
        <f>Закуп!AA26</f>
        <v>Самосборные</v>
      </c>
      <c r="M26" s="166" t="s">
        <v>899</v>
      </c>
      <c r="N26" s="166">
        <f>IF(Закуп!L26="",0,Закуп!L26)</f>
        <v>0</v>
      </c>
      <c r="O26" s="166" t="s">
        <v>900</v>
      </c>
      <c r="P26" s="144">
        <f>Закуп!N26</f>
        <v>1</v>
      </c>
      <c r="Q26" s="210" t="str">
        <f t="shared" si="0"/>
        <v xml:space="preserve">        [ 'dims' =&gt; [215,125,45], 'prices' =&gt; [1.12,0.93,0.81,0.73,0.65], 'type' =&gt; "Самосборные", 'sale' =&gt; "0" ],</v>
      </c>
    </row>
    <row r="27" spans="1:17" x14ac:dyDescent="0.4">
      <c r="A27" s="166" t="s">
        <v>896</v>
      </c>
      <c r="B27" s="166">
        <f>Закуп!R27</f>
        <v>425</v>
      </c>
      <c r="C27" s="166">
        <f>Закуп!S27</f>
        <v>55</v>
      </c>
      <c r="D27" s="166">
        <f>Закуп!T27</f>
        <v>50</v>
      </c>
      <c r="E27" s="166" t="s">
        <v>897</v>
      </c>
      <c r="F27" s="167" t="str">
        <f>SUBSTITUTE(INDEX(Calc!$K:$K,(ROW(A26)-1)*5+COLUMN(A26)+1),",",".")</f>
        <v>1.72</v>
      </c>
      <c r="G27" s="167" t="str">
        <f>SUBSTITUTE(INDEX(Calc!$K:$K,(ROW(B26)-1)*5+COLUMN(B26)+1),",",".")</f>
        <v>1.56</v>
      </c>
      <c r="H27" s="167" t="str">
        <f>SUBSTITUTE(INDEX(Calc!$K:$K,(ROW(C26)-1)*5+COLUMN(C26)+1),",",".")</f>
        <v>1.24</v>
      </c>
      <c r="I27" s="167" t="str">
        <f>SUBSTITUTE(INDEX(Calc!$K:$K,(ROW(D26)-1)*5+COLUMN(D26)+1),",",".")</f>
        <v>1.16</v>
      </c>
      <c r="J27" s="167" t="str">
        <f>SUBSTITUTE(INDEX(Calc!$K:$K,(ROW(E26)-1)*5+COLUMN(E26)+1),",",".")</f>
        <v>1.02</v>
      </c>
      <c r="K27" s="166" t="s">
        <v>898</v>
      </c>
      <c r="L27" s="167" t="str">
        <f>Закуп!AA27</f>
        <v>Самосборные</v>
      </c>
      <c r="M27" s="166" t="s">
        <v>899</v>
      </c>
      <c r="N27" s="166">
        <f>IF(Закуп!L27="",0,Закуп!L27)</f>
        <v>0</v>
      </c>
      <c r="O27" s="166" t="s">
        <v>900</v>
      </c>
      <c r="P27" s="144">
        <f>Закуп!N27</f>
        <v>1</v>
      </c>
      <c r="Q27" s="210" t="str">
        <f t="shared" si="0"/>
        <v xml:space="preserve">        [ 'dims' =&gt; [425,55,50], 'prices' =&gt; [1.72,1.56,1.24,1.16,1.02], 'type' =&gt; "Самосборные", 'sale' =&gt; "0" ],</v>
      </c>
    </row>
    <row r="28" spans="1:17" x14ac:dyDescent="0.4">
      <c r="A28" s="166" t="s">
        <v>896</v>
      </c>
      <c r="B28" s="166">
        <f>Закуп!R28</f>
        <v>160</v>
      </c>
      <c r="C28" s="166">
        <f>Закуп!S28</f>
        <v>120</v>
      </c>
      <c r="D28" s="166">
        <f>Закуп!T28</f>
        <v>100</v>
      </c>
      <c r="E28" s="166" t="s">
        <v>897</v>
      </c>
      <c r="F28" s="167" t="str">
        <f>SUBSTITUTE(INDEX(Calc!$K:$K,(ROW(A27)-1)*5+COLUMN(A27)+1),",",".")</f>
        <v>1.72</v>
      </c>
      <c r="G28" s="167" t="str">
        <f>SUBSTITUTE(INDEX(Calc!$K:$K,(ROW(B27)-1)*5+COLUMN(B27)+1),",",".")</f>
        <v>1.56</v>
      </c>
      <c r="H28" s="167" t="str">
        <f>SUBSTITUTE(INDEX(Calc!$K:$K,(ROW(C27)-1)*5+COLUMN(C27)+1),",",".")</f>
        <v>1.24</v>
      </c>
      <c r="I28" s="167" t="str">
        <f>SUBSTITUTE(INDEX(Calc!$K:$K,(ROW(D27)-1)*5+COLUMN(D27)+1),",",".")</f>
        <v>1.16</v>
      </c>
      <c r="J28" s="167" t="str">
        <f>SUBSTITUTE(INDEX(Calc!$K:$K,(ROW(E27)-1)*5+COLUMN(E27)+1),",",".")</f>
        <v>1.02</v>
      </c>
      <c r="K28" s="166" t="s">
        <v>898</v>
      </c>
      <c r="L28" s="167" t="str">
        <f>Закуп!AA28</f>
        <v>Самосборные</v>
      </c>
      <c r="M28" s="166" t="s">
        <v>899</v>
      </c>
      <c r="N28" s="166">
        <f>IF(Закуп!L28="",0,Закуп!L28)</f>
        <v>0</v>
      </c>
      <c r="O28" s="166" t="s">
        <v>900</v>
      </c>
      <c r="P28" s="144">
        <f>Закуп!N28</f>
        <v>1</v>
      </c>
      <c r="Q28" s="210" t="str">
        <f t="shared" si="0"/>
        <v xml:space="preserve">        [ 'dims' =&gt; [160,120,100], 'prices' =&gt; [1.72,1.56,1.24,1.16,1.02], 'type' =&gt; "Самосборные", 'sale' =&gt; "0" ],</v>
      </c>
    </row>
    <row r="29" spans="1:17" x14ac:dyDescent="0.4">
      <c r="A29" s="166" t="s">
        <v>896</v>
      </c>
      <c r="B29" s="166">
        <f>Закуп!R29</f>
        <v>277</v>
      </c>
      <c r="C29" s="166">
        <f>Закуп!S29</f>
        <v>280</v>
      </c>
      <c r="D29" s="166">
        <f>Закуп!T29</f>
        <v>45</v>
      </c>
      <c r="E29" s="166" t="s">
        <v>897</v>
      </c>
      <c r="F29" s="167" t="str">
        <f>SUBSTITUTE(INDEX(Calc!$K:$K,(ROW(A28)-1)*5+COLUMN(A28)+1),",",".")</f>
        <v>1.72</v>
      </c>
      <c r="G29" s="167" t="str">
        <f>SUBSTITUTE(INDEX(Calc!$K:$K,(ROW(B28)-1)*5+COLUMN(B28)+1),",",".")</f>
        <v>1.56</v>
      </c>
      <c r="H29" s="167" t="str">
        <f>SUBSTITUTE(INDEX(Calc!$K:$K,(ROW(C28)-1)*5+COLUMN(C28)+1),",",".")</f>
        <v>1.24</v>
      </c>
      <c r="I29" s="167" t="str">
        <f>SUBSTITUTE(INDEX(Calc!$K:$K,(ROW(D28)-1)*5+COLUMN(D28)+1),",",".")</f>
        <v>1.16</v>
      </c>
      <c r="J29" s="167" t="str">
        <f>SUBSTITUTE(INDEX(Calc!$K:$K,(ROW(E28)-1)*5+COLUMN(E28)+1),",",".")</f>
        <v>1.02</v>
      </c>
      <c r="K29" s="166" t="s">
        <v>898</v>
      </c>
      <c r="L29" s="167" t="str">
        <f>Закуп!AA29</f>
        <v>Самосборные</v>
      </c>
      <c r="M29" s="166" t="s">
        <v>899</v>
      </c>
      <c r="N29" s="166">
        <f>IF(Закуп!L29="",0,Закуп!L29)</f>
        <v>0</v>
      </c>
      <c r="O29" s="166" t="s">
        <v>900</v>
      </c>
      <c r="P29" s="144">
        <f>Закуп!N29</f>
        <v>1</v>
      </c>
      <c r="Q29" s="210" t="str">
        <f t="shared" si="0"/>
        <v xml:space="preserve">        [ 'dims' =&gt; [277,280,45], 'prices' =&gt; [1.72,1.56,1.24,1.16,1.02], 'type' =&gt; "Самосборные", 'sale' =&gt; "0" ],</v>
      </c>
    </row>
    <row r="30" spans="1:17" x14ac:dyDescent="0.4">
      <c r="A30" s="166" t="s">
        <v>896</v>
      </c>
      <c r="B30" s="166">
        <f>Закуп!R30</f>
        <v>71</v>
      </c>
      <c r="C30" s="166">
        <f>Закуп!S30</f>
        <v>71</v>
      </c>
      <c r="D30" s="166">
        <f>Закуп!T30</f>
        <v>152</v>
      </c>
      <c r="E30" s="166" t="s">
        <v>897</v>
      </c>
      <c r="F30" s="167" t="str">
        <f>SUBSTITUTE(INDEX(Calc!$K:$K,(ROW(A29)-1)*5+COLUMN(A29)+1),",",".")</f>
        <v>1.32</v>
      </c>
      <c r="G30" s="167" t="str">
        <f>SUBSTITUTE(INDEX(Calc!$K:$K,(ROW(B29)-1)*5+COLUMN(B29)+1),",",".")</f>
        <v>1.2</v>
      </c>
      <c r="H30" s="167" t="str">
        <f>SUBSTITUTE(INDEX(Calc!$K:$K,(ROW(C29)-1)*5+COLUMN(C29)+1),",",".")</f>
        <v>0.95</v>
      </c>
      <c r="I30" s="167" t="str">
        <f>SUBSTITUTE(INDEX(Calc!$K:$K,(ROW(D29)-1)*5+COLUMN(D29)+1),",",".")</f>
        <v>0.86</v>
      </c>
      <c r="J30" s="167" t="str">
        <f>SUBSTITUTE(INDEX(Calc!$K:$K,(ROW(E29)-1)*5+COLUMN(E29)+1),",",".")</f>
        <v>0.66</v>
      </c>
      <c r="K30" s="166" t="s">
        <v>898</v>
      </c>
      <c r="L30" s="167" t="str">
        <f>Закуп!AA30</f>
        <v>Самосборные</v>
      </c>
      <c r="M30" s="166" t="s">
        <v>899</v>
      </c>
      <c r="N30" s="166">
        <f>IF(Закуп!L30="",0,Закуп!L30)</f>
        <v>0</v>
      </c>
      <c r="O30" s="166" t="s">
        <v>900</v>
      </c>
      <c r="P30" s="144">
        <f>Закуп!N30</f>
        <v>1</v>
      </c>
      <c r="Q30" s="210" t="str">
        <f t="shared" si="0"/>
        <v xml:space="preserve">        [ 'dims' =&gt; [71,71,152], 'prices' =&gt; [1.32,1.2,0.95,0.86,0.66], 'type' =&gt; "Самосборные", 'sale' =&gt; "0" ],</v>
      </c>
    </row>
    <row r="31" spans="1:17" x14ac:dyDescent="0.4">
      <c r="A31" s="166" t="s">
        <v>896</v>
      </c>
      <c r="B31" s="166">
        <f>Закуп!R31</f>
        <v>110</v>
      </c>
      <c r="C31" s="166">
        <f>Закуп!S31</f>
        <v>110</v>
      </c>
      <c r="D31" s="166">
        <f>Закуп!T31</f>
        <v>110</v>
      </c>
      <c r="E31" s="166" t="s">
        <v>897</v>
      </c>
      <c r="F31" s="167" t="str">
        <f>SUBSTITUTE(INDEX(Calc!$K:$K,(ROW(A30)-1)*5+COLUMN(A30)+1),",",".")</f>
        <v>0.95</v>
      </c>
      <c r="G31" s="167" t="str">
        <f>SUBSTITUTE(INDEX(Calc!$K:$K,(ROW(B30)-1)*5+COLUMN(B30)+1),",",".")</f>
        <v>0.85</v>
      </c>
      <c r="H31" s="167" t="str">
        <f>SUBSTITUTE(INDEX(Calc!$K:$K,(ROW(C30)-1)*5+COLUMN(C30)+1),",",".")</f>
        <v>0.75</v>
      </c>
      <c r="I31" s="167" t="str">
        <f>SUBSTITUTE(INDEX(Calc!$K:$K,(ROW(D30)-1)*5+COLUMN(D30)+1),",",".")</f>
        <v>0.65</v>
      </c>
      <c r="J31" s="167" t="str">
        <f>SUBSTITUTE(INDEX(Calc!$K:$K,(ROW(E30)-1)*5+COLUMN(E30)+1),",",".")</f>
        <v>0.55</v>
      </c>
      <c r="K31" s="166" t="s">
        <v>898</v>
      </c>
      <c r="L31" s="167" t="str">
        <f>Закуп!AA31</f>
        <v>Четырехклапанные</v>
      </c>
      <c r="M31" s="166" t="s">
        <v>899</v>
      </c>
      <c r="N31" s="166">
        <f>IF(Закуп!L31="",0,Закуп!L31)</f>
        <v>0</v>
      </c>
      <c r="O31" s="166" t="s">
        <v>900</v>
      </c>
      <c r="P31" s="144">
        <f>Закуп!N31</f>
        <v>1</v>
      </c>
      <c r="Q31" s="210" t="str">
        <f t="shared" si="0"/>
        <v xml:space="preserve">        [ 'dims' =&gt; [110,110,110], 'prices' =&gt; [0.95,0.85,0.75,0.65,0.55], 'type' =&gt; "Четырехклапанные", 'sale' =&gt; "0" ],</v>
      </c>
    </row>
    <row r="32" spans="1:17" x14ac:dyDescent="0.4">
      <c r="A32" s="166" t="s">
        <v>896</v>
      </c>
      <c r="B32" s="166">
        <f>Закуп!R32</f>
        <v>130</v>
      </c>
      <c r="C32" s="166">
        <f>Закуп!S32</f>
        <v>80</v>
      </c>
      <c r="D32" s="166">
        <f>Закуп!T32</f>
        <v>100</v>
      </c>
      <c r="E32" s="166" t="s">
        <v>897</v>
      </c>
      <c r="F32" s="167" t="str">
        <f>SUBSTITUTE(INDEX(Calc!$K:$K,(ROW(A31)-1)*5+COLUMN(A31)+1),",",".")</f>
        <v>1.21</v>
      </c>
      <c r="G32" s="167" t="str">
        <f>SUBSTITUTE(INDEX(Calc!$K:$K,(ROW(B31)-1)*5+COLUMN(B31)+1),",",".")</f>
        <v>1.05</v>
      </c>
      <c r="H32" s="167" t="str">
        <f>SUBSTITUTE(INDEX(Calc!$K:$K,(ROW(C31)-1)*5+COLUMN(C31)+1),",",".")</f>
        <v>0.9</v>
      </c>
      <c r="I32" s="167" t="str">
        <f>SUBSTITUTE(INDEX(Calc!$K:$K,(ROW(D31)-1)*5+COLUMN(D31)+1),",",".")</f>
        <v>0.85</v>
      </c>
      <c r="J32" s="167" t="str">
        <f>SUBSTITUTE(INDEX(Calc!$K:$K,(ROW(E31)-1)*5+COLUMN(E31)+1),",",".")</f>
        <v>0.78</v>
      </c>
      <c r="K32" s="166" t="s">
        <v>898</v>
      </c>
      <c r="L32" s="167" t="str">
        <f>Закуп!AA32</f>
        <v>Самосборные</v>
      </c>
      <c r="M32" s="166" t="s">
        <v>899</v>
      </c>
      <c r="N32" s="166">
        <f>IF(Закуп!L32="",0,Закуп!L32)</f>
        <v>0</v>
      </c>
      <c r="O32" s="166" t="s">
        <v>900</v>
      </c>
      <c r="P32" s="144">
        <f>Закуп!N32</f>
        <v>1</v>
      </c>
      <c r="Q32" s="210" t="str">
        <f t="shared" si="0"/>
        <v xml:space="preserve">        [ 'dims' =&gt; [130,80,100], 'prices' =&gt; [1.21,1.05,0.9,0.85,0.78], 'type' =&gt; "Самосборные", 'sale' =&gt; "0" ],</v>
      </c>
    </row>
    <row r="33" spans="1:17" x14ac:dyDescent="0.4">
      <c r="A33" s="166" t="s">
        <v>896</v>
      </c>
      <c r="B33" s="166">
        <f>Закуп!R33</f>
        <v>250</v>
      </c>
      <c r="C33" s="166">
        <f>Закуп!S33</f>
        <v>170</v>
      </c>
      <c r="D33" s="166">
        <f>Закуп!T33</f>
        <v>90</v>
      </c>
      <c r="E33" s="166" t="s">
        <v>897</v>
      </c>
      <c r="F33" s="167" t="str">
        <f>SUBSTITUTE(INDEX(Calc!$K:$K,(ROW(A32)-1)*5+COLUMN(A32)+1),",",".")</f>
        <v>1.1</v>
      </c>
      <c r="G33" s="167" t="str">
        <f>SUBSTITUTE(INDEX(Calc!$K:$K,(ROW(B32)-1)*5+COLUMN(B32)+1),",",".")</f>
        <v>1.1</v>
      </c>
      <c r="H33" s="167" t="str">
        <f>SUBSTITUTE(INDEX(Calc!$K:$K,(ROW(C32)-1)*5+COLUMN(C32)+1),",",".")</f>
        <v>1.1</v>
      </c>
      <c r="I33" s="167" t="str">
        <f>SUBSTITUTE(INDEX(Calc!$K:$K,(ROW(D32)-1)*5+COLUMN(D32)+1),",",".")</f>
        <v>1.1</v>
      </c>
      <c r="J33" s="167" t="str">
        <f>SUBSTITUTE(INDEX(Calc!$K:$K,(ROW(E32)-1)*5+COLUMN(E32)+1),",",".")</f>
        <v>1.1</v>
      </c>
      <c r="K33" s="166" t="s">
        <v>898</v>
      </c>
      <c r="L33" s="167" t="str">
        <f>Закуп!AA33</f>
        <v>Самосборные</v>
      </c>
      <c r="M33" s="166" t="s">
        <v>899</v>
      </c>
      <c r="N33" s="166" t="str">
        <f>IF(Закуп!L33="",0,Закуп!L33)</f>
        <v>Sale</v>
      </c>
      <c r="O33" s="166" t="s">
        <v>900</v>
      </c>
      <c r="P33" s="144">
        <f>Закуп!N33</f>
        <v>1</v>
      </c>
      <c r="Q33" s="210" t="str">
        <f t="shared" si="0"/>
        <v xml:space="preserve">        [ 'dims' =&gt; [250,170,90], 'prices' =&gt; [1.1,1.1,1.1,1.1,1.1], 'type' =&gt; "Самосборные", 'sale' =&gt; "Sale" ],</v>
      </c>
    </row>
    <row r="34" spans="1:17" x14ac:dyDescent="0.4">
      <c r="A34" s="166" t="s">
        <v>896</v>
      </c>
      <c r="B34" s="166">
        <f>Закуп!R34</f>
        <v>200</v>
      </c>
      <c r="C34" s="166">
        <f>Закуп!S34</f>
        <v>80</v>
      </c>
      <c r="D34" s="166">
        <f>Закуп!T34</f>
        <v>80</v>
      </c>
      <c r="E34" s="166" t="s">
        <v>897</v>
      </c>
      <c r="F34" s="167" t="str">
        <f>SUBSTITUTE(INDEX(Calc!$K:$K,(ROW(A33)-1)*5+COLUMN(A33)+1),",",".")</f>
        <v>1.07</v>
      </c>
      <c r="G34" s="167" t="str">
        <f>SUBSTITUTE(INDEX(Calc!$K:$K,(ROW(B33)-1)*5+COLUMN(B33)+1),",",".")</f>
        <v>0.96</v>
      </c>
      <c r="H34" s="167" t="str">
        <f>SUBSTITUTE(INDEX(Calc!$K:$K,(ROW(C33)-1)*5+COLUMN(C33)+1),",",".")</f>
        <v>0.86</v>
      </c>
      <c r="I34" s="167" t="str">
        <f>SUBSTITUTE(INDEX(Calc!$K:$K,(ROW(D33)-1)*5+COLUMN(D33)+1),",",".")</f>
        <v>0.75</v>
      </c>
      <c r="J34" s="167" t="str">
        <f>SUBSTITUTE(INDEX(Calc!$K:$K,(ROW(E33)-1)*5+COLUMN(E33)+1),",",".")</f>
        <v>0.64</v>
      </c>
      <c r="K34" s="166" t="s">
        <v>898</v>
      </c>
      <c r="L34" s="167" t="str">
        <f>Закуп!AA34</f>
        <v>Самосборные</v>
      </c>
      <c r="M34" s="166" t="s">
        <v>899</v>
      </c>
      <c r="N34" s="166">
        <f>IF(Закуп!L34="",0,Закуп!L34)</f>
        <v>0</v>
      </c>
      <c r="O34" s="166" t="s">
        <v>900</v>
      </c>
      <c r="P34" s="144">
        <f>Закуп!N34</f>
        <v>1</v>
      </c>
      <c r="Q34" s="210" t="str">
        <f t="shared" si="0"/>
        <v xml:space="preserve">        [ 'dims' =&gt; [200,80,80], 'prices' =&gt; [1.07,0.96,0.86,0.75,0.64], 'type' =&gt; "Самосборные", 'sale' =&gt; "0" ],</v>
      </c>
    </row>
    <row r="35" spans="1:17" x14ac:dyDescent="0.4">
      <c r="A35" s="166" t="s">
        <v>896</v>
      </c>
      <c r="B35" s="166">
        <f>Закуп!R35</f>
        <v>690</v>
      </c>
      <c r="C35" s="166">
        <f>Закуп!S35</f>
        <v>170</v>
      </c>
      <c r="D35" s="166">
        <f>Закуп!T35</f>
        <v>55</v>
      </c>
      <c r="E35" s="166" t="s">
        <v>897</v>
      </c>
      <c r="F35" s="167" t="str">
        <f>SUBSTITUTE(INDEX(Calc!$K:$K,(ROW(A34)-1)*5+COLUMN(A34)+1),",",".")</f>
        <v>2.34</v>
      </c>
      <c r="G35" s="167" t="str">
        <f>SUBSTITUTE(INDEX(Calc!$K:$K,(ROW(B34)-1)*5+COLUMN(B34)+1),",",".")</f>
        <v>2.13</v>
      </c>
      <c r="H35" s="167" t="str">
        <f>SUBSTITUTE(INDEX(Calc!$K:$K,(ROW(C34)-1)*5+COLUMN(C34)+1),",",".")</f>
        <v>1.66</v>
      </c>
      <c r="I35" s="167" t="str">
        <f>SUBSTITUTE(INDEX(Calc!$K:$K,(ROW(D34)-1)*5+COLUMN(D34)+1),",",".")</f>
        <v>1.43</v>
      </c>
      <c r="J35" s="167" t="str">
        <f>SUBSTITUTE(INDEX(Calc!$K:$K,(ROW(E34)-1)*5+COLUMN(E34)+1),",",".")</f>
        <v>1.34</v>
      </c>
      <c r="K35" s="166" t="s">
        <v>898</v>
      </c>
      <c r="L35" s="167" t="str">
        <f>Закуп!AA35</f>
        <v>Самосборные</v>
      </c>
      <c r="M35" s="166" t="s">
        <v>899</v>
      </c>
      <c r="N35" s="166">
        <f>IF(Закуп!L35="",0,Закуп!L35)</f>
        <v>0</v>
      </c>
      <c r="O35" s="166" t="s">
        <v>900</v>
      </c>
      <c r="P35" s="144">
        <f>Закуп!N35</f>
        <v>1</v>
      </c>
      <c r="Q35" s="210" t="str">
        <f t="shared" si="0"/>
        <v xml:space="preserve">        [ 'dims' =&gt; [690,170,55], 'prices' =&gt; [2.34,2.13,1.66,1.43,1.34], 'type' =&gt; "Самосборные", 'sale' =&gt; "0" ],</v>
      </c>
    </row>
    <row r="36" spans="1:17" x14ac:dyDescent="0.4">
      <c r="A36" s="166" t="s">
        <v>896</v>
      </c>
      <c r="B36" s="166">
        <f>Закуп!R36</f>
        <v>1110</v>
      </c>
      <c r="C36" s="166">
        <f>Закуп!S36</f>
        <v>115</v>
      </c>
      <c r="D36" s="166">
        <f>Закуп!T36</f>
        <v>105</v>
      </c>
      <c r="E36" s="166" t="s">
        <v>897</v>
      </c>
      <c r="F36" s="167" t="str">
        <f>SUBSTITUTE(INDEX(Calc!$K:$K,(ROW(A35)-1)*5+COLUMN(A35)+1),",",".")</f>
        <v>3.55</v>
      </c>
      <c r="G36" s="167" t="str">
        <f>SUBSTITUTE(INDEX(Calc!$K:$K,(ROW(B35)-1)*5+COLUMN(B35)+1),",",".")</f>
        <v>3.22</v>
      </c>
      <c r="H36" s="167" t="str">
        <f>SUBSTITUTE(INDEX(Calc!$K:$K,(ROW(C35)-1)*5+COLUMN(C35)+1),",",".")</f>
        <v>2.89</v>
      </c>
      <c r="I36" s="167" t="str">
        <f>SUBSTITUTE(INDEX(Calc!$K:$K,(ROW(D35)-1)*5+COLUMN(D35)+1),",",".")</f>
        <v>2.71</v>
      </c>
      <c r="J36" s="167" t="str">
        <f>SUBSTITUTE(INDEX(Calc!$K:$K,(ROW(E35)-1)*5+COLUMN(E35)+1),",",".")</f>
        <v>2.55</v>
      </c>
      <c r="K36" s="166" t="s">
        <v>898</v>
      </c>
      <c r="L36" s="167" t="str">
        <f>Закуп!AA36</f>
        <v>Самосборные</v>
      </c>
      <c r="M36" s="166" t="s">
        <v>899</v>
      </c>
      <c r="N36" s="166">
        <f>IF(Закуп!L36="",0,Закуп!L36)</f>
        <v>0</v>
      </c>
      <c r="O36" s="166" t="s">
        <v>900</v>
      </c>
      <c r="P36" s="144">
        <f>Закуп!N36</f>
        <v>1</v>
      </c>
      <c r="Q36" s="210" t="str">
        <f t="shared" si="0"/>
        <v xml:space="preserve">        [ 'dims' =&gt; [1110,115,105], 'prices' =&gt; [3.55,3.22,2.89,2.71,2.55], 'type' =&gt; "Самосборные", 'sale' =&gt; "0" ],</v>
      </c>
    </row>
    <row r="37" spans="1:17" x14ac:dyDescent="0.4">
      <c r="A37" s="166" t="s">
        <v>896</v>
      </c>
      <c r="B37" s="166">
        <f>Закуп!R37</f>
        <v>500</v>
      </c>
      <c r="C37" s="166">
        <f>Закуп!S37</f>
        <v>500</v>
      </c>
      <c r="D37" s="166">
        <f>Закуп!T37</f>
        <v>65</v>
      </c>
      <c r="E37" s="166" t="s">
        <v>897</v>
      </c>
      <c r="F37" s="167" t="str">
        <f>SUBSTITUTE(INDEX(Calc!$K:$K,(ROW(A36)-1)*5+COLUMN(A36)+1),",",".")</f>
        <v>3.39</v>
      </c>
      <c r="G37" s="167" t="str">
        <f>SUBSTITUTE(INDEX(Calc!$K:$K,(ROW(B36)-1)*5+COLUMN(B36)+1),",",".")</f>
        <v>3.05</v>
      </c>
      <c r="H37" s="167" t="str">
        <f>SUBSTITUTE(INDEX(Calc!$K:$K,(ROW(C36)-1)*5+COLUMN(C36)+1),",",".")</f>
        <v>2.89</v>
      </c>
      <c r="I37" s="167" t="str">
        <f>SUBSTITUTE(INDEX(Calc!$K:$K,(ROW(D36)-1)*5+COLUMN(D36)+1),",",".")</f>
        <v>2.71</v>
      </c>
      <c r="J37" s="167" t="str">
        <f>SUBSTITUTE(INDEX(Calc!$K:$K,(ROW(E36)-1)*5+COLUMN(E36)+1),",",".")</f>
        <v>2.55</v>
      </c>
      <c r="K37" s="166" t="s">
        <v>898</v>
      </c>
      <c r="L37" s="167" t="str">
        <f>Закуп!AA37</f>
        <v>Самосборные</v>
      </c>
      <c r="M37" s="166" t="s">
        <v>899</v>
      </c>
      <c r="N37" s="166">
        <f>IF(Закуп!L37="",0,Закуп!L37)</f>
        <v>0</v>
      </c>
      <c r="O37" s="166" t="s">
        <v>900</v>
      </c>
      <c r="P37" s="144">
        <f>Закуп!N37</f>
        <v>1</v>
      </c>
      <c r="Q37" s="210" t="str">
        <f t="shared" si="0"/>
        <v xml:space="preserve">        [ 'dims' =&gt; [500,500,65], 'prices' =&gt; [3.39,3.05,2.89,2.71,2.55], 'type' =&gt; "Самосборные", 'sale' =&gt; "0" ],</v>
      </c>
    </row>
    <row r="38" spans="1:17" x14ac:dyDescent="0.4">
      <c r="A38" s="166" t="s">
        <v>896</v>
      </c>
      <c r="B38" s="166">
        <f>Закуп!R38</f>
        <v>300</v>
      </c>
      <c r="C38" s="166">
        <f>Закуп!S38</f>
        <v>215</v>
      </c>
      <c r="D38" s="166">
        <f>Закуп!T38</f>
        <v>65</v>
      </c>
      <c r="E38" s="166" t="s">
        <v>897</v>
      </c>
      <c r="F38" s="167" t="str">
        <f>SUBSTITUTE(INDEX(Calc!$K:$K,(ROW(A37)-1)*5+COLUMN(A37)+1),",",".")</f>
        <v>2.09</v>
      </c>
      <c r="G38" s="167" t="str">
        <f>SUBSTITUTE(INDEX(Calc!$K:$K,(ROW(B37)-1)*5+COLUMN(B37)+1),",",".")</f>
        <v>1.88</v>
      </c>
      <c r="H38" s="167" t="str">
        <f>SUBSTITUTE(INDEX(Calc!$K:$K,(ROW(C37)-1)*5+COLUMN(C37)+1),",",".")</f>
        <v>1.68</v>
      </c>
      <c r="I38" s="167" t="str">
        <f>SUBSTITUTE(INDEX(Calc!$K:$K,(ROW(D37)-1)*5+COLUMN(D37)+1),",",".")</f>
        <v>1.59</v>
      </c>
      <c r="J38" s="167" t="str">
        <f>SUBSTITUTE(INDEX(Calc!$K:$K,(ROW(E37)-1)*5+COLUMN(E37)+1),",",".")</f>
        <v>1.49</v>
      </c>
      <c r="K38" s="166" t="s">
        <v>898</v>
      </c>
      <c r="L38" s="167" t="str">
        <f>Закуп!AA38</f>
        <v>Самосборные</v>
      </c>
      <c r="M38" s="166" t="s">
        <v>899</v>
      </c>
      <c r="N38" s="166">
        <f>IF(Закуп!L38="",0,Закуп!L38)</f>
        <v>0</v>
      </c>
      <c r="O38" s="166" t="s">
        <v>900</v>
      </c>
      <c r="P38" s="144">
        <f>Закуп!N38</f>
        <v>1</v>
      </c>
      <c r="Q38" s="210" t="str">
        <f t="shared" si="0"/>
        <v xml:space="preserve">        [ 'dims' =&gt; [300,215,65], 'prices' =&gt; [2.09,1.88,1.68,1.59,1.49], 'type' =&gt; "Самосборные", 'sale' =&gt; "0" ],</v>
      </c>
    </row>
    <row r="39" spans="1:17" x14ac:dyDescent="0.4">
      <c r="A39" s="166" t="s">
        <v>896</v>
      </c>
      <c r="B39" s="166">
        <f>Закуп!R39</f>
        <v>120</v>
      </c>
      <c r="C39" s="166">
        <f>Закуп!S39</f>
        <v>100</v>
      </c>
      <c r="D39" s="166">
        <f>Закуп!T39</f>
        <v>890</v>
      </c>
      <c r="E39" s="166" t="s">
        <v>897</v>
      </c>
      <c r="F39" s="167" t="str">
        <f>SUBSTITUTE(INDEX(Calc!$K:$K,(ROW(A38)-1)*5+COLUMN(A38)+1),",",".")</f>
        <v>2.42</v>
      </c>
      <c r="G39" s="167" t="str">
        <f>SUBSTITUTE(INDEX(Calc!$K:$K,(ROW(B38)-1)*5+COLUMN(B38)+1),",",".")</f>
        <v>2.05</v>
      </c>
      <c r="H39" s="167" t="str">
        <f>SUBSTITUTE(INDEX(Calc!$K:$K,(ROW(C38)-1)*5+COLUMN(C38)+1),",",".")</f>
        <v>1.79</v>
      </c>
      <c r="I39" s="167" t="str">
        <f>SUBSTITUTE(INDEX(Calc!$K:$K,(ROW(D38)-1)*5+COLUMN(D38)+1),",",".")</f>
        <v>1.61</v>
      </c>
      <c r="J39" s="167" t="str">
        <f>SUBSTITUTE(INDEX(Calc!$K:$K,(ROW(E38)-1)*5+COLUMN(E38)+1),",",".")</f>
        <v>1.52</v>
      </c>
      <c r="K39" s="166" t="s">
        <v>898</v>
      </c>
      <c r="L39" s="167" t="str">
        <f>Закуп!AA39</f>
        <v>Самосборные</v>
      </c>
      <c r="M39" s="166" t="s">
        <v>899</v>
      </c>
      <c r="N39" s="166">
        <f>IF(Закуп!L39="",0,Закуп!L39)</f>
        <v>0</v>
      </c>
      <c r="O39" s="166" t="s">
        <v>900</v>
      </c>
      <c r="P39" s="144">
        <f>Закуп!N39</f>
        <v>1</v>
      </c>
      <c r="Q39" s="210" t="str">
        <f t="shared" si="0"/>
        <v xml:space="preserve">        [ 'dims' =&gt; [120,100,890], 'prices' =&gt; [2.42,2.05,1.79,1.61,1.52], 'type' =&gt; "Самосборные", 'sale' =&gt; "0" ],</v>
      </c>
    </row>
    <row r="40" spans="1:17" x14ac:dyDescent="0.4">
      <c r="A40" s="166" t="s">
        <v>896</v>
      </c>
      <c r="B40" s="166">
        <f>Закуп!R40</f>
        <v>55</v>
      </c>
      <c r="C40" s="166">
        <f>Закуп!S40</f>
        <v>55</v>
      </c>
      <c r="D40" s="166">
        <f>Закуп!T40</f>
        <v>425</v>
      </c>
      <c r="E40" s="166" t="s">
        <v>897</v>
      </c>
      <c r="F40" s="167" t="str">
        <f>SUBSTITUTE(INDEX(Calc!$K:$K,(ROW(A39)-1)*5+COLUMN(A39)+1),",",".")</f>
        <v>1.78</v>
      </c>
      <c r="G40" s="167" t="str">
        <f>SUBSTITUTE(INDEX(Calc!$K:$K,(ROW(B39)-1)*5+COLUMN(B39)+1),",",".")</f>
        <v>1.62</v>
      </c>
      <c r="H40" s="167" t="str">
        <f>SUBSTITUTE(INDEX(Calc!$K:$K,(ROW(C39)-1)*5+COLUMN(C39)+1),",",".")</f>
        <v>1.27</v>
      </c>
      <c r="I40" s="167" t="str">
        <f>SUBSTITUTE(INDEX(Calc!$K:$K,(ROW(D39)-1)*5+COLUMN(D39)+1),",",".")</f>
        <v>1.2</v>
      </c>
      <c r="J40" s="167" t="str">
        <f>SUBSTITUTE(INDEX(Calc!$K:$K,(ROW(E39)-1)*5+COLUMN(E39)+1),",",".")</f>
        <v>1.05</v>
      </c>
      <c r="K40" s="166" t="s">
        <v>898</v>
      </c>
      <c r="L40" s="167" t="str">
        <f>Закуп!AA40</f>
        <v>Самосборные</v>
      </c>
      <c r="M40" s="166" t="s">
        <v>899</v>
      </c>
      <c r="N40" s="166">
        <f>IF(Закуп!L40="",0,Закуп!L40)</f>
        <v>0</v>
      </c>
      <c r="O40" s="166" t="s">
        <v>900</v>
      </c>
      <c r="P40" s="144">
        <f>Закуп!N40</f>
        <v>1</v>
      </c>
      <c r="Q40" s="210" t="str">
        <f t="shared" si="0"/>
        <v xml:space="preserve">        [ 'dims' =&gt; [55,55,425], 'prices' =&gt; [1.78,1.62,1.27,1.2,1.05], 'type' =&gt; "Самосборные", 'sale' =&gt; "0" ],</v>
      </c>
    </row>
    <row r="41" spans="1:17" x14ac:dyDescent="0.4">
      <c r="A41" s="166" t="s">
        <v>896</v>
      </c>
      <c r="B41" s="166">
        <f>Закуп!R41</f>
        <v>245</v>
      </c>
      <c r="C41" s="166">
        <f>Закуп!S41</f>
        <v>140</v>
      </c>
      <c r="D41" s="166">
        <f>Закуп!T41</f>
        <v>110</v>
      </c>
      <c r="E41" s="166" t="s">
        <v>897</v>
      </c>
      <c r="F41" s="167" t="str">
        <f>SUBSTITUTE(INDEX(Calc!$K:$K,(ROW(A40)-1)*5+COLUMN(A40)+1),",",".")</f>
        <v>1.69</v>
      </c>
      <c r="G41" s="167" t="str">
        <f>SUBSTITUTE(INDEX(Calc!$K:$K,(ROW(B40)-1)*5+COLUMN(B40)+1),",",".")</f>
        <v>1.54</v>
      </c>
      <c r="H41" s="167" t="str">
        <f>SUBSTITUTE(INDEX(Calc!$K:$K,(ROW(C40)-1)*5+COLUMN(C40)+1),",",".")</f>
        <v>1.22</v>
      </c>
      <c r="I41" s="167" t="str">
        <f>SUBSTITUTE(INDEX(Calc!$K:$K,(ROW(D40)-1)*5+COLUMN(D40)+1),",",".")</f>
        <v>1.14</v>
      </c>
      <c r="J41" s="167" t="str">
        <f>SUBSTITUTE(INDEX(Calc!$K:$K,(ROW(E40)-1)*5+COLUMN(E40)+1),",",".")</f>
        <v>1.01</v>
      </c>
      <c r="K41" s="166" t="s">
        <v>898</v>
      </c>
      <c r="L41" s="167" t="str">
        <f>Закуп!AA41</f>
        <v>Самосборные</v>
      </c>
      <c r="M41" s="166" t="s">
        <v>899</v>
      </c>
      <c r="N41" s="166">
        <f>IF(Закуп!L41="",0,Закуп!L41)</f>
        <v>0</v>
      </c>
      <c r="O41" s="166" t="s">
        <v>900</v>
      </c>
      <c r="P41" s="144">
        <f>Закуп!N41</f>
        <v>1</v>
      </c>
      <c r="Q41" s="210" t="str">
        <f t="shared" si="0"/>
        <v xml:space="preserve">        [ 'dims' =&gt; [245,140,110], 'prices' =&gt; [1.69,1.54,1.22,1.14,1.01], 'type' =&gt; "Самосборные", 'sale' =&gt; "0" ],</v>
      </c>
    </row>
    <row r="42" spans="1:17" x14ac:dyDescent="0.4">
      <c r="A42" s="166" t="s">
        <v>896</v>
      </c>
      <c r="B42" s="166">
        <f>Закуп!R42</f>
        <v>450</v>
      </c>
      <c r="C42" s="166">
        <f>Закуп!S42</f>
        <v>220</v>
      </c>
      <c r="D42" s="166">
        <f>Закуп!T42</f>
        <v>192</v>
      </c>
      <c r="E42" s="166" t="s">
        <v>897</v>
      </c>
      <c r="F42" s="167" t="str">
        <f>SUBSTITUTE(INDEX(Calc!$K:$K,(ROW(A41)-1)*5+COLUMN(A41)+1),",",".")</f>
        <v>2.57</v>
      </c>
      <c r="G42" s="167" t="str">
        <f>SUBSTITUTE(INDEX(Calc!$K:$K,(ROW(B41)-1)*5+COLUMN(B41)+1),",",".")</f>
        <v>2.05</v>
      </c>
      <c r="H42" s="167" t="str">
        <f>SUBSTITUTE(INDEX(Calc!$K:$K,(ROW(C41)-1)*5+COLUMN(C41)+1),",",".")</f>
        <v>1.87</v>
      </c>
      <c r="I42" s="167" t="str">
        <f>SUBSTITUTE(INDEX(Calc!$K:$K,(ROW(D41)-1)*5+COLUMN(D41)+1),",",".")</f>
        <v>1.67</v>
      </c>
      <c r="J42" s="167" t="str">
        <f>SUBSTITUTE(INDEX(Calc!$K:$K,(ROW(E41)-1)*5+COLUMN(E41)+1),",",".")</f>
        <v>1.62</v>
      </c>
      <c r="K42" s="166" t="s">
        <v>898</v>
      </c>
      <c r="L42" s="167" t="str">
        <f>Закуп!AA42</f>
        <v>Самосборные</v>
      </c>
      <c r="M42" s="166" t="s">
        <v>899</v>
      </c>
      <c r="N42" s="166">
        <f>IF(Закуп!L42="",0,Закуп!L42)</f>
        <v>0</v>
      </c>
      <c r="O42" s="166" t="s">
        <v>900</v>
      </c>
      <c r="P42" s="144">
        <f>Закуп!N42</f>
        <v>1</v>
      </c>
      <c r="Q42" s="210" t="str">
        <f t="shared" si="0"/>
        <v xml:space="preserve">        [ 'dims' =&gt; [450,220,192], 'prices' =&gt; [2.57,2.05,1.87,1.67,1.62], 'type' =&gt; "Самосборные", 'sale' =&gt; "0" ],</v>
      </c>
    </row>
    <row r="43" spans="1:17" x14ac:dyDescent="0.4">
      <c r="A43" s="166" t="s">
        <v>896</v>
      </c>
      <c r="B43" s="166">
        <f>Закуп!R43</f>
        <v>200</v>
      </c>
      <c r="C43" s="166">
        <f>Закуп!S43</f>
        <v>80</v>
      </c>
      <c r="D43" s="166">
        <f>Закуп!T43</f>
        <v>100</v>
      </c>
      <c r="E43" s="166" t="s">
        <v>897</v>
      </c>
      <c r="F43" s="167" t="str">
        <f>SUBSTITUTE(INDEX(Calc!$K:$K,(ROW(A42)-1)*5+COLUMN(A42)+1),",",".")</f>
        <v>1.5</v>
      </c>
      <c r="G43" s="167" t="str">
        <f>SUBSTITUTE(INDEX(Calc!$K:$K,(ROW(B42)-1)*5+COLUMN(B42)+1),",",".")</f>
        <v>1.36</v>
      </c>
      <c r="H43" s="167" t="str">
        <f>SUBSTITUTE(INDEX(Calc!$K:$K,(ROW(C42)-1)*5+COLUMN(C42)+1),",",".")</f>
        <v>1.07</v>
      </c>
      <c r="I43" s="167" t="str">
        <f>SUBSTITUTE(INDEX(Calc!$K:$K,(ROW(D42)-1)*5+COLUMN(D42)+1),",",".")</f>
        <v>1.01</v>
      </c>
      <c r="J43" s="167" t="str">
        <f>SUBSTITUTE(INDEX(Calc!$K:$K,(ROW(E42)-1)*5+COLUMN(E42)+1),",",".")</f>
        <v>0.95</v>
      </c>
      <c r="K43" s="166" t="s">
        <v>898</v>
      </c>
      <c r="L43" s="167" t="str">
        <f>Закуп!AA43</f>
        <v>Самосборные</v>
      </c>
      <c r="M43" s="166" t="s">
        <v>899</v>
      </c>
      <c r="N43" s="166">
        <f>IF(Закуп!L43="",0,Закуп!L43)</f>
        <v>0</v>
      </c>
      <c r="O43" s="166" t="s">
        <v>900</v>
      </c>
      <c r="P43" s="144">
        <f>Закуп!N43</f>
        <v>1</v>
      </c>
      <c r="Q43" s="210" t="str">
        <f t="shared" si="0"/>
        <v xml:space="preserve">        [ 'dims' =&gt; [200,80,100], 'prices' =&gt; [1.5,1.36,1.07,1.01,0.95], 'type' =&gt; "Самосборные", 'sale' =&gt; "0" ],</v>
      </c>
    </row>
    <row r="44" spans="1:17" x14ac:dyDescent="0.4">
      <c r="A44" s="166" t="s">
        <v>896</v>
      </c>
      <c r="B44" s="166">
        <f>Закуп!R44</f>
        <v>573</v>
      </c>
      <c r="C44" s="166">
        <f>Закуп!S44</f>
        <v>333</v>
      </c>
      <c r="D44" s="166">
        <f>Закуп!T44</f>
        <v>85</v>
      </c>
      <c r="E44" s="166" t="s">
        <v>897</v>
      </c>
      <c r="F44" s="167" t="str">
        <f>SUBSTITUTE(INDEX(Calc!$K:$K,(ROW(A43)-1)*5+COLUMN(A43)+1),",",".")</f>
        <v>3.96</v>
      </c>
      <c r="G44" s="167" t="str">
        <f>SUBSTITUTE(INDEX(Calc!$K:$K,(ROW(B43)-1)*5+COLUMN(B43)+1),",",".")</f>
        <v>3.55</v>
      </c>
      <c r="H44" s="167" t="str">
        <f>SUBSTITUTE(INDEX(Calc!$K:$K,(ROW(C43)-1)*5+COLUMN(C43)+1),",",".")</f>
        <v>3.37</v>
      </c>
      <c r="I44" s="167" t="str">
        <f>SUBSTITUTE(INDEX(Calc!$K:$K,(ROW(D43)-1)*5+COLUMN(D43)+1),",",".")</f>
        <v>3.17</v>
      </c>
      <c r="J44" s="167" t="str">
        <f>SUBSTITUTE(INDEX(Calc!$K:$K,(ROW(E43)-1)*5+COLUMN(E43)+1),",",".")</f>
        <v>2.96</v>
      </c>
      <c r="K44" s="166" t="s">
        <v>898</v>
      </c>
      <c r="L44" s="167" t="str">
        <f>Закуп!AA44</f>
        <v>Самосборные</v>
      </c>
      <c r="M44" s="166" t="s">
        <v>899</v>
      </c>
      <c r="N44" s="166">
        <f>IF(Закуп!L44="",0,Закуп!L44)</f>
        <v>0</v>
      </c>
      <c r="O44" s="166" t="s">
        <v>900</v>
      </c>
      <c r="P44" s="144">
        <f>Закуп!N44</f>
        <v>1</v>
      </c>
      <c r="Q44" s="210" t="str">
        <f t="shared" si="0"/>
        <v xml:space="preserve">        [ 'dims' =&gt; [573,333,85], 'prices' =&gt; [3.96,3.55,3.37,3.17,2.96], 'type' =&gt; "Самосборные", 'sale' =&gt; "0" ],</v>
      </c>
    </row>
    <row r="45" spans="1:17" x14ac:dyDescent="0.4">
      <c r="A45" s="166" t="s">
        <v>896</v>
      </c>
      <c r="B45" s="166">
        <f>Закуп!R45</f>
        <v>380</v>
      </c>
      <c r="C45" s="166">
        <f>Закуп!S45</f>
        <v>155</v>
      </c>
      <c r="D45" s="166">
        <f>Закуп!T45</f>
        <v>125</v>
      </c>
      <c r="E45" s="166" t="s">
        <v>897</v>
      </c>
      <c r="F45" s="167" t="str">
        <f>SUBSTITUTE(INDEX(Calc!$K:$K,(ROW(A44)-1)*5+COLUMN(A44)+1),",",".")</f>
        <v>2.4</v>
      </c>
      <c r="G45" s="167" t="str">
        <f>SUBSTITUTE(INDEX(Calc!$K:$K,(ROW(B44)-1)*5+COLUMN(B44)+1),",",".")</f>
        <v>2.18</v>
      </c>
      <c r="H45" s="167" t="str">
        <f>SUBSTITUTE(INDEX(Calc!$K:$K,(ROW(C44)-1)*5+COLUMN(C44)+1),",",".")</f>
        <v>1.7</v>
      </c>
      <c r="I45" s="167" t="str">
        <f>SUBSTITUTE(INDEX(Calc!$K:$K,(ROW(D44)-1)*5+COLUMN(D44)+1),",",".")</f>
        <v>1.48</v>
      </c>
      <c r="J45" s="167" t="str">
        <f>SUBSTITUTE(INDEX(Calc!$K:$K,(ROW(E44)-1)*5+COLUMN(E44)+1),",",".")</f>
        <v>1.38</v>
      </c>
      <c r="K45" s="166" t="s">
        <v>898</v>
      </c>
      <c r="L45" s="167" t="str">
        <f>Закуп!AA45</f>
        <v>Самосборные</v>
      </c>
      <c r="M45" s="166" t="s">
        <v>899</v>
      </c>
      <c r="N45" s="166">
        <f>IF(Закуп!L45="",0,Закуп!L45)</f>
        <v>0</v>
      </c>
      <c r="O45" s="166" t="s">
        <v>900</v>
      </c>
      <c r="P45" s="144">
        <f>Закуп!N45</f>
        <v>1</v>
      </c>
      <c r="Q45" s="210" t="str">
        <f t="shared" si="0"/>
        <v xml:space="preserve">        [ 'dims' =&gt; [380,155,125], 'prices' =&gt; [2.4,2.18,1.7,1.48,1.38], 'type' =&gt; "Самосборные", 'sale' =&gt; "0" ],</v>
      </c>
    </row>
    <row r="46" spans="1:17" x14ac:dyDescent="0.4">
      <c r="A46" s="166" t="s">
        <v>896</v>
      </c>
      <c r="B46" s="166">
        <f>Закуп!R46</f>
        <v>120</v>
      </c>
      <c r="C46" s="166">
        <f>Закуп!S46</f>
        <v>100</v>
      </c>
      <c r="D46" s="166">
        <f>Закуп!T46</f>
        <v>770</v>
      </c>
      <c r="E46" s="166" t="s">
        <v>897</v>
      </c>
      <c r="F46" s="167" t="str">
        <f>SUBSTITUTE(INDEX(Calc!$K:$K,(ROW(A45)-1)*5+COLUMN(A45)+1),",",".")</f>
        <v>2.4</v>
      </c>
      <c r="G46" s="167" t="str">
        <f>SUBSTITUTE(INDEX(Calc!$K:$K,(ROW(B45)-1)*5+COLUMN(B45)+1),",",".")</f>
        <v>2.18</v>
      </c>
      <c r="H46" s="167" t="str">
        <f>SUBSTITUTE(INDEX(Calc!$K:$K,(ROW(C45)-1)*5+COLUMN(C45)+1),",",".")</f>
        <v>1.7</v>
      </c>
      <c r="I46" s="167" t="str">
        <f>SUBSTITUTE(INDEX(Calc!$K:$K,(ROW(D45)-1)*5+COLUMN(D45)+1),",",".")</f>
        <v>1.48</v>
      </c>
      <c r="J46" s="167" t="str">
        <f>SUBSTITUTE(INDEX(Calc!$K:$K,(ROW(E45)-1)*5+COLUMN(E45)+1),",",".")</f>
        <v>1.38</v>
      </c>
      <c r="K46" s="166" t="s">
        <v>898</v>
      </c>
      <c r="L46" s="167" t="str">
        <f>Закуп!AA46</f>
        <v>Самосборные</v>
      </c>
      <c r="M46" s="166" t="s">
        <v>899</v>
      </c>
      <c r="N46" s="166">
        <f>IF(Закуп!L46="",0,Закуп!L46)</f>
        <v>0</v>
      </c>
      <c r="O46" s="166" t="s">
        <v>900</v>
      </c>
      <c r="P46" s="144">
        <f>Закуп!N46</f>
        <v>1</v>
      </c>
      <c r="Q46" s="210" t="str">
        <f t="shared" si="0"/>
        <v xml:space="preserve">        [ 'dims' =&gt; [120,100,770], 'prices' =&gt; [2.4,2.18,1.7,1.48,1.38], 'type' =&gt; "Самосборные", 'sale' =&gt; "0" ],</v>
      </c>
    </row>
    <row r="47" spans="1:17" x14ac:dyDescent="0.4">
      <c r="A47" s="166" t="s">
        <v>896</v>
      </c>
      <c r="B47" s="166">
        <f>Закуп!R47</f>
        <v>500</v>
      </c>
      <c r="C47" s="166">
        <f>Закуп!S47</f>
        <v>500</v>
      </c>
      <c r="D47" s="166">
        <f>Закуп!T47</f>
        <v>45</v>
      </c>
      <c r="E47" s="166" t="s">
        <v>897</v>
      </c>
      <c r="F47" s="167" t="str">
        <f>SUBSTITUTE(INDEX(Calc!$K:$K,(ROW(A46)-1)*5+COLUMN(A46)+1),",",".")</f>
        <v>3.96</v>
      </c>
      <c r="G47" s="167" t="str">
        <f>SUBSTITUTE(INDEX(Calc!$K:$K,(ROW(B46)-1)*5+COLUMN(B46)+1),",",".")</f>
        <v>3.75</v>
      </c>
      <c r="H47" s="167" t="str">
        <f>SUBSTITUTE(INDEX(Calc!$K:$K,(ROW(C46)-1)*5+COLUMN(C46)+1),",",".")</f>
        <v>3.31</v>
      </c>
      <c r="I47" s="167" t="str">
        <f>SUBSTITUTE(INDEX(Calc!$K:$K,(ROW(D46)-1)*5+COLUMN(D46)+1),",",".")</f>
        <v>2.82</v>
      </c>
      <c r="J47" s="167" t="str">
        <f>SUBSTITUTE(INDEX(Calc!$K:$K,(ROW(E46)-1)*5+COLUMN(E46)+1),",",".")</f>
        <v>2.4</v>
      </c>
      <c r="K47" s="166" t="s">
        <v>898</v>
      </c>
      <c r="L47" s="167" t="str">
        <f>Закуп!AA47</f>
        <v>Самосборные</v>
      </c>
      <c r="M47" s="166" t="s">
        <v>899</v>
      </c>
      <c r="N47" s="166">
        <f>IF(Закуп!L47="",0,Закуп!L47)</f>
        <v>0</v>
      </c>
      <c r="O47" s="166" t="s">
        <v>900</v>
      </c>
      <c r="P47" s="144">
        <f>Закуп!N47</f>
        <v>1</v>
      </c>
      <c r="Q47" s="210" t="str">
        <f t="shared" si="0"/>
        <v xml:space="preserve">        [ 'dims' =&gt; [500,500,45], 'prices' =&gt; [3.96,3.75,3.31,2.82,2.4], 'type' =&gt; "Самосборные", 'sale' =&gt; "0" ],</v>
      </c>
    </row>
    <row r="48" spans="1:17" x14ac:dyDescent="0.4">
      <c r="A48" s="166" t="s">
        <v>896</v>
      </c>
      <c r="B48" s="166">
        <f>Закуп!R48</f>
        <v>250</v>
      </c>
      <c r="C48" s="166">
        <f>Закуп!S48</f>
        <v>120</v>
      </c>
      <c r="D48" s="166">
        <f>Закуп!T48</f>
        <v>900</v>
      </c>
      <c r="E48" s="166" t="s">
        <v>897</v>
      </c>
      <c r="F48" s="167" t="str">
        <f>SUBSTITUTE(INDEX(Calc!$K:$K,(ROW(A47)-1)*5+COLUMN(A47)+1),",",".")</f>
        <v>4.13</v>
      </c>
      <c r="G48" s="167" t="str">
        <f>SUBSTITUTE(INDEX(Calc!$K:$K,(ROW(B47)-1)*5+COLUMN(B47)+1),",",".")</f>
        <v>3.26</v>
      </c>
      <c r="H48" s="167" t="str">
        <f>SUBSTITUTE(INDEX(Calc!$K:$K,(ROW(C47)-1)*5+COLUMN(C47)+1),",",".")</f>
        <v>2.75</v>
      </c>
      <c r="I48" s="167" t="str">
        <f>SUBSTITUTE(INDEX(Calc!$K:$K,(ROW(D47)-1)*5+COLUMN(D47)+1),",",".")</f>
        <v>2.6</v>
      </c>
      <c r="J48" s="167" t="str">
        <f>SUBSTITUTE(INDEX(Calc!$K:$K,(ROW(E47)-1)*5+COLUMN(E47)+1),",",".")</f>
        <v>2.53</v>
      </c>
      <c r="K48" s="166" t="s">
        <v>898</v>
      </c>
      <c r="L48" s="167" t="str">
        <f>Закуп!AA48</f>
        <v>Самосборные</v>
      </c>
      <c r="M48" s="166" t="s">
        <v>899</v>
      </c>
      <c r="N48" s="166">
        <f>IF(Закуп!L48="",0,Закуп!L48)</f>
        <v>0</v>
      </c>
      <c r="O48" s="166" t="s">
        <v>900</v>
      </c>
      <c r="P48" s="144">
        <f>Закуп!N48</f>
        <v>1</v>
      </c>
      <c r="Q48" s="210" t="str">
        <f t="shared" si="0"/>
        <v xml:space="preserve">        [ 'dims' =&gt; [250,120,900], 'prices' =&gt; [4.13,3.26,2.75,2.6,2.53], 'type' =&gt; "Самосборные", 'sale' =&gt; "0" ],</v>
      </c>
    </row>
    <row r="49" spans="1:17" x14ac:dyDescent="0.4">
      <c r="A49" s="166" t="s">
        <v>896</v>
      </c>
      <c r="B49" s="166">
        <f>Закуп!R49</f>
        <v>350</v>
      </c>
      <c r="C49" s="166">
        <f>Закуп!S49</f>
        <v>350</v>
      </c>
      <c r="D49" s="166">
        <f>Закуп!T49</f>
        <v>40</v>
      </c>
      <c r="E49" s="166" t="s">
        <v>897</v>
      </c>
      <c r="F49" s="167" t="str">
        <f>SUBSTITUTE(INDEX(Calc!$K:$K,(ROW(A48)-1)*5+COLUMN(A48)+1),",",".")</f>
        <v>2.43</v>
      </c>
      <c r="G49" s="167" t="str">
        <f>SUBSTITUTE(INDEX(Calc!$K:$K,(ROW(B48)-1)*5+COLUMN(B48)+1),",",".")</f>
        <v>2.2</v>
      </c>
      <c r="H49" s="167" t="str">
        <f>SUBSTITUTE(INDEX(Calc!$K:$K,(ROW(C48)-1)*5+COLUMN(C48)+1),",",".")</f>
        <v>1.72</v>
      </c>
      <c r="I49" s="167" t="str">
        <f>SUBSTITUTE(INDEX(Calc!$K:$K,(ROW(D48)-1)*5+COLUMN(D48)+1),",",".")</f>
        <v>1.49</v>
      </c>
      <c r="J49" s="167" t="str">
        <f>SUBSTITUTE(INDEX(Calc!$K:$K,(ROW(E48)-1)*5+COLUMN(E48)+1),",",".")</f>
        <v>1.39</v>
      </c>
      <c r="K49" s="166" t="s">
        <v>898</v>
      </c>
      <c r="L49" s="167" t="str">
        <f>Закуп!AA49</f>
        <v>Самосборные</v>
      </c>
      <c r="M49" s="166" t="s">
        <v>899</v>
      </c>
      <c r="N49" s="166">
        <f>IF(Закуп!L49="",0,Закуп!L49)</f>
        <v>0</v>
      </c>
      <c r="O49" s="166" t="s">
        <v>900</v>
      </c>
      <c r="P49" s="144">
        <f>Закуп!N49</f>
        <v>1</v>
      </c>
      <c r="Q49" s="210" t="str">
        <f t="shared" si="0"/>
        <v xml:space="preserve">        [ 'dims' =&gt; [350,350,40], 'prices' =&gt; [2.43,2.2,1.72,1.49,1.39], 'type' =&gt; "Самосборные", 'sale' =&gt; "0" ],</v>
      </c>
    </row>
    <row r="50" spans="1:17" x14ac:dyDescent="0.4">
      <c r="A50" s="166" t="s">
        <v>896</v>
      </c>
      <c r="B50" s="166">
        <f>Закуп!R50</f>
        <v>935</v>
      </c>
      <c r="C50" s="166">
        <f>Закуп!S50</f>
        <v>135</v>
      </c>
      <c r="D50" s="166">
        <f>Закуп!T50</f>
        <v>55</v>
      </c>
      <c r="E50" s="166" t="s">
        <v>897</v>
      </c>
      <c r="F50" s="167" t="str">
        <f>SUBSTITUTE(INDEX(Calc!$K:$K,(ROW(A49)-1)*5+COLUMN(A49)+1),",",".")</f>
        <v>2.43</v>
      </c>
      <c r="G50" s="167" t="str">
        <f>SUBSTITUTE(INDEX(Calc!$K:$K,(ROW(B49)-1)*5+COLUMN(B49)+1),",",".")</f>
        <v>2.2</v>
      </c>
      <c r="H50" s="167" t="str">
        <f>SUBSTITUTE(INDEX(Calc!$K:$K,(ROW(C49)-1)*5+COLUMN(C49)+1),",",".")</f>
        <v>1.72</v>
      </c>
      <c r="I50" s="167" t="str">
        <f>SUBSTITUTE(INDEX(Calc!$K:$K,(ROW(D49)-1)*5+COLUMN(D49)+1),",",".")</f>
        <v>1.49</v>
      </c>
      <c r="J50" s="167" t="str">
        <f>SUBSTITUTE(INDEX(Calc!$K:$K,(ROW(E49)-1)*5+COLUMN(E49)+1),",",".")</f>
        <v>1.39</v>
      </c>
      <c r="K50" s="166" t="s">
        <v>898</v>
      </c>
      <c r="L50" s="167" t="str">
        <f>Закуп!AA50</f>
        <v>Самосборные</v>
      </c>
      <c r="M50" s="166" t="s">
        <v>899</v>
      </c>
      <c r="N50" s="166">
        <f>IF(Закуп!L50="",0,Закуп!L50)</f>
        <v>0</v>
      </c>
      <c r="O50" s="166" t="s">
        <v>900</v>
      </c>
      <c r="P50" s="144">
        <f>Закуп!N50</f>
        <v>1</v>
      </c>
      <c r="Q50" s="210" t="str">
        <f t="shared" si="0"/>
        <v xml:space="preserve">        [ 'dims' =&gt; [935,135,55], 'prices' =&gt; [2.43,2.2,1.72,1.49,1.39], 'type' =&gt; "Самосборные", 'sale' =&gt; "0" ],</v>
      </c>
    </row>
    <row r="51" spans="1:17" x14ac:dyDescent="0.4">
      <c r="A51" s="166" t="s">
        <v>896</v>
      </c>
      <c r="B51" s="166">
        <f>Закуп!R51</f>
        <v>80</v>
      </c>
      <c r="C51" s="166">
        <f>Закуп!S51</f>
        <v>80</v>
      </c>
      <c r="D51" s="166">
        <f>Закуп!T51</f>
        <v>80</v>
      </c>
      <c r="E51" s="166" t="s">
        <v>897</v>
      </c>
      <c r="F51" s="167" t="str">
        <f>SUBSTITUTE(INDEX(Calc!$K:$K,(ROW(A50)-1)*5+COLUMN(A50)+1),",",".")</f>
        <v>1.07</v>
      </c>
      <c r="G51" s="167" t="str">
        <f>SUBSTITUTE(INDEX(Calc!$K:$K,(ROW(B50)-1)*5+COLUMN(B50)+1),",",".")</f>
        <v>0.91</v>
      </c>
      <c r="H51" s="167" t="str">
        <f>SUBSTITUTE(INDEX(Calc!$K:$K,(ROW(C50)-1)*5+COLUMN(C50)+1),",",".")</f>
        <v>0.75</v>
      </c>
      <c r="I51" s="167" t="str">
        <f>SUBSTITUTE(INDEX(Calc!$K:$K,(ROW(D50)-1)*5+COLUMN(D50)+1),",",".")</f>
        <v>0.64</v>
      </c>
      <c r="J51" s="167" t="str">
        <f>SUBSTITUTE(INDEX(Calc!$K:$K,(ROW(E50)-1)*5+COLUMN(E50)+1),",",".")</f>
        <v>0.54</v>
      </c>
      <c r="K51" s="166" t="s">
        <v>898</v>
      </c>
      <c r="L51" s="167" t="str">
        <f>Закуп!AA51</f>
        <v>Самосборные</v>
      </c>
      <c r="M51" s="166" t="s">
        <v>899</v>
      </c>
      <c r="N51" s="166">
        <f>IF(Закуп!L51="",0,Закуп!L51)</f>
        <v>0</v>
      </c>
      <c r="O51" s="166" t="s">
        <v>900</v>
      </c>
      <c r="P51" s="144">
        <f>Закуп!N51</f>
        <v>1</v>
      </c>
      <c r="Q51" s="210" t="str">
        <f t="shared" si="0"/>
        <v xml:space="preserve">        [ 'dims' =&gt; [80,80,80], 'prices' =&gt; [1.07,0.91,0.75,0.64,0.54], 'type' =&gt; "Самосборные", 'sale' =&gt; "0" ],</v>
      </c>
    </row>
    <row r="52" spans="1:17" x14ac:dyDescent="0.4">
      <c r="A52" s="166" t="s">
        <v>896</v>
      </c>
      <c r="B52" s="166">
        <f>Закуп!R52</f>
        <v>205</v>
      </c>
      <c r="C52" s="166">
        <f>Закуп!S52</f>
        <v>60</v>
      </c>
      <c r="D52" s="166">
        <f>Закуп!T52</f>
        <v>60</v>
      </c>
      <c r="E52" s="166" t="s">
        <v>897</v>
      </c>
      <c r="F52" s="167" t="str">
        <f>SUBSTITUTE(INDEX(Calc!$K:$K,(ROW(A51)-1)*5+COLUMN(A51)+1),",",".")</f>
        <v>1.07</v>
      </c>
      <c r="G52" s="167" t="str">
        <f>SUBSTITUTE(INDEX(Calc!$K:$K,(ROW(B51)-1)*5+COLUMN(B51)+1),",",".")</f>
        <v>0.96</v>
      </c>
      <c r="H52" s="167" t="str">
        <f>SUBSTITUTE(INDEX(Calc!$K:$K,(ROW(C51)-1)*5+COLUMN(C51)+1),",",".")</f>
        <v>0.86</v>
      </c>
      <c r="I52" s="167" t="str">
        <f>SUBSTITUTE(INDEX(Calc!$K:$K,(ROW(D51)-1)*5+COLUMN(D51)+1),",",".")</f>
        <v>0.75</v>
      </c>
      <c r="J52" s="167" t="str">
        <f>SUBSTITUTE(INDEX(Calc!$K:$K,(ROW(E51)-1)*5+COLUMN(E51)+1),",",".")</f>
        <v>0.64</v>
      </c>
      <c r="K52" s="166" t="s">
        <v>898</v>
      </c>
      <c r="L52" s="167" t="str">
        <f>Закуп!AA52</f>
        <v>Самосборные</v>
      </c>
      <c r="M52" s="166" t="s">
        <v>899</v>
      </c>
      <c r="N52" s="166">
        <f>IF(Закуп!L52="",0,Закуп!L52)</f>
        <v>0</v>
      </c>
      <c r="O52" s="166" t="s">
        <v>900</v>
      </c>
      <c r="P52" s="144">
        <f>Закуп!N52</f>
        <v>1</v>
      </c>
      <c r="Q52" s="210" t="str">
        <f t="shared" si="0"/>
        <v xml:space="preserve">        [ 'dims' =&gt; [205,60,60], 'prices' =&gt; [1.07,0.96,0.86,0.75,0.64], 'type' =&gt; "Самосборные", 'sale' =&gt; "0" ],</v>
      </c>
    </row>
    <row r="53" spans="1:17" x14ac:dyDescent="0.4">
      <c r="A53" s="166" t="s">
        <v>896</v>
      </c>
      <c r="B53" s="166">
        <f>Закуп!R53</f>
        <v>245</v>
      </c>
      <c r="C53" s="166">
        <f>Закуп!S53</f>
        <v>75</v>
      </c>
      <c r="D53" s="166">
        <f>Закуп!T53</f>
        <v>75</v>
      </c>
      <c r="E53" s="166" t="s">
        <v>897</v>
      </c>
      <c r="F53" s="167" t="str">
        <f>SUBSTITUTE(INDEX(Calc!$K:$K,(ROW(A52)-1)*5+COLUMN(A52)+1),",",".")</f>
        <v>1.03</v>
      </c>
      <c r="G53" s="167" t="str">
        <f>SUBSTITUTE(INDEX(Calc!$K:$K,(ROW(B52)-1)*5+COLUMN(B52)+1),",",".")</f>
        <v>0.89</v>
      </c>
      <c r="H53" s="167" t="str">
        <f>SUBSTITUTE(INDEX(Calc!$K:$K,(ROW(C52)-1)*5+COLUMN(C52)+1),",",".")</f>
        <v>0.71</v>
      </c>
      <c r="I53" s="167" t="str">
        <f>SUBSTITUTE(INDEX(Calc!$K:$K,(ROW(D52)-1)*5+COLUMN(D52)+1),",",".")</f>
        <v>0.65</v>
      </c>
      <c r="J53" s="167" t="str">
        <f>SUBSTITUTE(INDEX(Calc!$K:$K,(ROW(E52)-1)*5+COLUMN(E52)+1),",",".")</f>
        <v>0.56</v>
      </c>
      <c r="K53" s="166" t="s">
        <v>898</v>
      </c>
      <c r="L53" s="167" t="str">
        <f>Закуп!AA53</f>
        <v>Самосборные</v>
      </c>
      <c r="M53" s="166" t="s">
        <v>899</v>
      </c>
      <c r="N53" s="166">
        <f>IF(Закуп!L53="",0,Закуп!L53)</f>
        <v>0</v>
      </c>
      <c r="O53" s="166" t="s">
        <v>900</v>
      </c>
      <c r="P53" s="144">
        <f>Закуп!N53</f>
        <v>1</v>
      </c>
      <c r="Q53" s="210" t="str">
        <f t="shared" si="0"/>
        <v xml:space="preserve">        [ 'dims' =&gt; [245,75,75], 'prices' =&gt; [1.03,0.89,0.71,0.65,0.56], 'type' =&gt; "Самосборные", 'sale' =&gt; "0" ],</v>
      </c>
    </row>
    <row r="54" spans="1:17" x14ac:dyDescent="0.4">
      <c r="A54" s="166" t="s">
        <v>896</v>
      </c>
      <c r="B54" s="166">
        <f>Закуп!R54</f>
        <v>145</v>
      </c>
      <c r="C54" s="166">
        <f>Закуп!S54</f>
        <v>115</v>
      </c>
      <c r="D54" s="166">
        <f>Закуп!T54</f>
        <v>115</v>
      </c>
      <c r="E54" s="166" t="s">
        <v>897</v>
      </c>
      <c r="F54" s="167" t="str">
        <f>SUBSTITUTE(INDEX(Calc!$K:$K,(ROW(A53)-1)*5+COLUMN(A53)+1),",",".")</f>
        <v>1.24</v>
      </c>
      <c r="G54" s="167" t="str">
        <f>SUBSTITUTE(INDEX(Calc!$K:$K,(ROW(B53)-1)*5+COLUMN(B53)+1),",",".")</f>
        <v>1.08</v>
      </c>
      <c r="H54" s="167" t="str">
        <f>SUBSTITUTE(INDEX(Calc!$K:$K,(ROW(C53)-1)*5+COLUMN(C53)+1),",",".")</f>
        <v>0.92</v>
      </c>
      <c r="I54" s="167" t="str">
        <f>SUBSTITUTE(INDEX(Calc!$K:$K,(ROW(D53)-1)*5+COLUMN(D53)+1),",",".")</f>
        <v>0.87</v>
      </c>
      <c r="J54" s="167" t="str">
        <f>SUBSTITUTE(INDEX(Calc!$K:$K,(ROW(E53)-1)*5+COLUMN(E53)+1),",",".")</f>
        <v>0.8</v>
      </c>
      <c r="K54" s="166" t="s">
        <v>898</v>
      </c>
      <c r="L54" s="167" t="str">
        <f>Закуп!AA54</f>
        <v>Самосборные</v>
      </c>
      <c r="M54" s="166" t="s">
        <v>899</v>
      </c>
      <c r="N54" s="166">
        <f>IF(Закуп!L54="",0,Закуп!L54)</f>
        <v>0</v>
      </c>
      <c r="O54" s="166" t="s">
        <v>900</v>
      </c>
      <c r="P54" s="144">
        <f>Закуп!N54</f>
        <v>1</v>
      </c>
      <c r="Q54" s="210" t="str">
        <f t="shared" si="0"/>
        <v xml:space="preserve">        [ 'dims' =&gt; [145,115,115], 'prices' =&gt; [1.24,1.08,0.92,0.87,0.8], 'type' =&gt; "Самосборные", 'sale' =&gt; "0" ],</v>
      </c>
    </row>
    <row r="55" spans="1:17" x14ac:dyDescent="0.4">
      <c r="A55" s="166" t="s">
        <v>896</v>
      </c>
      <c r="B55" s="166">
        <f>Закуп!R55</f>
        <v>320</v>
      </c>
      <c r="C55" s="166">
        <f>Закуп!S55</f>
        <v>170</v>
      </c>
      <c r="D55" s="166">
        <f>Закуп!T55</f>
        <v>75</v>
      </c>
      <c r="E55" s="166" t="s">
        <v>897</v>
      </c>
      <c r="F55" s="167" t="str">
        <f>SUBSTITUTE(INDEX(Calc!$K:$K,(ROW(A54)-1)*5+COLUMN(A54)+1),",",".")</f>
        <v>1.39</v>
      </c>
      <c r="G55" s="167" t="str">
        <f>SUBSTITUTE(INDEX(Calc!$K:$K,(ROW(B54)-1)*5+COLUMN(B54)+1),",",".")</f>
        <v>1.21</v>
      </c>
      <c r="H55" s="167" t="str">
        <f>SUBSTITUTE(INDEX(Calc!$K:$K,(ROW(C54)-1)*5+COLUMN(C54)+1),",",".")</f>
        <v>1.03</v>
      </c>
      <c r="I55" s="167" t="str">
        <f>SUBSTITUTE(INDEX(Calc!$K:$K,(ROW(D54)-1)*5+COLUMN(D54)+1),",",".")</f>
        <v>0.96</v>
      </c>
      <c r="J55" s="167" t="str">
        <f>SUBSTITUTE(INDEX(Calc!$K:$K,(ROW(E54)-1)*5+COLUMN(E54)+1),",",".")</f>
        <v>0.9</v>
      </c>
      <c r="K55" s="166" t="s">
        <v>898</v>
      </c>
      <c r="L55" s="167" t="str">
        <f>Закуп!AA55</f>
        <v>Самосборные</v>
      </c>
      <c r="M55" s="166" t="s">
        <v>899</v>
      </c>
      <c r="N55" s="166">
        <f>IF(Закуп!L55="",0,Закуп!L55)</f>
        <v>0</v>
      </c>
      <c r="O55" s="166" t="s">
        <v>900</v>
      </c>
      <c r="P55" s="144">
        <f>Закуп!N55</f>
        <v>1</v>
      </c>
      <c r="Q55" s="210" t="str">
        <f t="shared" si="0"/>
        <v xml:space="preserve">        [ 'dims' =&gt; [320,170,75], 'prices' =&gt; [1.39,1.21,1.03,0.96,0.9], 'type' =&gt; "Самосборные", 'sale' =&gt; "0" ],</v>
      </c>
    </row>
    <row r="56" spans="1:17" x14ac:dyDescent="0.4">
      <c r="A56" s="166" t="s">
        <v>896</v>
      </c>
      <c r="B56" s="166">
        <f>Закуп!R56</f>
        <v>820</v>
      </c>
      <c r="C56" s="166">
        <f>Закуп!S56</f>
        <v>110</v>
      </c>
      <c r="D56" s="166">
        <f>Закуп!T56</f>
        <v>110</v>
      </c>
      <c r="E56" s="166" t="s">
        <v>897</v>
      </c>
      <c r="F56" s="167" t="str">
        <f>SUBSTITUTE(INDEX(Calc!$K:$K,(ROW(A55)-1)*5+COLUMN(A55)+1),",",".")</f>
        <v>2.62</v>
      </c>
      <c r="G56" s="167" t="str">
        <f>SUBSTITUTE(INDEX(Calc!$K:$K,(ROW(B55)-1)*5+COLUMN(B55)+1),",",".")</f>
        <v>2.1</v>
      </c>
      <c r="H56" s="167" t="str">
        <f>SUBSTITUTE(INDEX(Calc!$K:$K,(ROW(C55)-1)*5+COLUMN(C55)+1),",",".")</f>
        <v>1.92</v>
      </c>
      <c r="I56" s="167" t="str">
        <f>SUBSTITUTE(INDEX(Calc!$K:$K,(ROW(D55)-1)*5+COLUMN(D55)+1),",",".")</f>
        <v>1.7</v>
      </c>
      <c r="J56" s="167" t="str">
        <f>SUBSTITUTE(INDEX(Calc!$K:$K,(ROW(E55)-1)*5+COLUMN(E55)+1),",",".")</f>
        <v>1.65</v>
      </c>
      <c r="K56" s="166" t="s">
        <v>898</v>
      </c>
      <c r="L56" s="167" t="str">
        <f>Закуп!AA56</f>
        <v>Самосборные</v>
      </c>
      <c r="M56" s="166" t="s">
        <v>899</v>
      </c>
      <c r="N56" s="166">
        <f>IF(Закуп!L56="",0,Закуп!L56)</f>
        <v>0</v>
      </c>
      <c r="O56" s="166" t="s">
        <v>900</v>
      </c>
      <c r="P56" s="144">
        <f>Закуп!N56</f>
        <v>1</v>
      </c>
      <c r="Q56" s="210" t="str">
        <f t="shared" si="0"/>
        <v xml:space="preserve">        [ 'dims' =&gt; [820,110,110], 'prices' =&gt; [2.62,2.1,1.92,1.7,1.65], 'type' =&gt; "Самосборные", 'sale' =&gt; "0" ],</v>
      </c>
    </row>
    <row r="57" spans="1:17" x14ac:dyDescent="0.4">
      <c r="A57" s="166" t="s">
        <v>896</v>
      </c>
      <c r="B57" s="166">
        <f>Закуп!R57</f>
        <v>440</v>
      </c>
      <c r="C57" s="166">
        <f>Закуп!S57</f>
        <v>330</v>
      </c>
      <c r="D57" s="166">
        <f>Закуп!T57</f>
        <v>386</v>
      </c>
      <c r="E57" s="166" t="s">
        <v>897</v>
      </c>
      <c r="F57" s="167" t="str">
        <f>SUBSTITUTE(INDEX(Calc!$K:$K,(ROW(A56)-1)*5+COLUMN(A56)+1),",",".")</f>
        <v>4.13</v>
      </c>
      <c r="G57" s="167" t="str">
        <f>SUBSTITUTE(INDEX(Calc!$K:$K,(ROW(B56)-1)*5+COLUMN(B56)+1),",",".")</f>
        <v>4.02</v>
      </c>
      <c r="H57" s="167" t="str">
        <f>SUBSTITUTE(INDEX(Calc!$K:$K,(ROW(C56)-1)*5+COLUMN(C56)+1),",",".")</f>
        <v>3.36</v>
      </c>
      <c r="I57" s="167" t="str">
        <f>SUBSTITUTE(INDEX(Calc!$K:$K,(ROW(D56)-1)*5+COLUMN(D56)+1),",",".")</f>
        <v>3.25</v>
      </c>
      <c r="J57" s="167" t="str">
        <f>SUBSTITUTE(INDEX(Calc!$K:$K,(ROW(E56)-1)*5+COLUMN(E56)+1),",",".")</f>
        <v>3.15</v>
      </c>
      <c r="K57" s="166" t="s">
        <v>898</v>
      </c>
      <c r="L57" s="167" t="str">
        <f>Закуп!AA57</f>
        <v>Четырехклапанные</v>
      </c>
      <c r="M57" s="166" t="s">
        <v>899</v>
      </c>
      <c r="N57" s="166">
        <f>IF(Закуп!L57="",0,Закуп!L57)</f>
        <v>0</v>
      </c>
      <c r="O57" s="166" t="s">
        <v>900</v>
      </c>
      <c r="P57" s="144">
        <f>Закуп!N57</f>
        <v>1</v>
      </c>
      <c r="Q57" s="210" t="str">
        <f t="shared" si="0"/>
        <v xml:space="preserve">        [ 'dims' =&gt; [440,330,386], 'prices' =&gt; [4.13,4.02,3.36,3.25,3.15], 'type' =&gt; "Четырехклапанные", 'sale' =&gt; "0" ],</v>
      </c>
    </row>
    <row r="58" spans="1:17" x14ac:dyDescent="0.4">
      <c r="A58" s="166" t="s">
        <v>896</v>
      </c>
      <c r="B58" s="166">
        <f>Закуп!R58</f>
        <v>795</v>
      </c>
      <c r="C58" s="166">
        <f>Закуп!S58</f>
        <v>510</v>
      </c>
      <c r="D58" s="166">
        <f>Закуп!T58</f>
        <v>870</v>
      </c>
      <c r="E58" s="166" t="s">
        <v>897</v>
      </c>
      <c r="F58" s="167" t="str">
        <f>SUBSTITUTE(INDEX(Calc!$K:$K,(ROW(A57)-1)*5+COLUMN(A57)+1),",",".")</f>
        <v>11.1</v>
      </c>
      <c r="G58" s="167" t="str">
        <f>SUBSTITUTE(INDEX(Calc!$K:$K,(ROW(B57)-1)*5+COLUMN(B57)+1),",",".")</f>
        <v>10.71</v>
      </c>
      <c r="H58" s="167" t="str">
        <f>SUBSTITUTE(INDEX(Calc!$K:$K,(ROW(C57)-1)*5+COLUMN(C57)+1),",",".")</f>
        <v>10.34</v>
      </c>
      <c r="I58" s="167" t="str">
        <f>SUBSTITUTE(INDEX(Calc!$K:$K,(ROW(D57)-1)*5+COLUMN(D57)+1),",",".")</f>
        <v>9.95</v>
      </c>
      <c r="J58" s="167" t="str">
        <f>SUBSTITUTE(INDEX(Calc!$K:$K,(ROW(E57)-1)*5+COLUMN(E57)+1),",",".")</f>
        <v>9.57</v>
      </c>
      <c r="K58" s="166" t="s">
        <v>898</v>
      </c>
      <c r="L58" s="167" t="str">
        <f>Закуп!AA58</f>
        <v>Четырехклапанные</v>
      </c>
      <c r="M58" s="166" t="s">
        <v>899</v>
      </c>
      <c r="N58" s="166">
        <f>IF(Закуп!L58="",0,Закуп!L58)</f>
        <v>0</v>
      </c>
      <c r="O58" s="166" t="s">
        <v>900</v>
      </c>
      <c r="P58" s="144">
        <f>Закуп!N58</f>
        <v>1</v>
      </c>
      <c r="Q58" s="210" t="str">
        <f t="shared" si="0"/>
        <v xml:space="preserve">        [ 'dims' =&gt; [795,510,870], 'prices' =&gt; [11.1,10.71,10.34,9.95,9.57], 'type' =&gt; "Четырехклапанные", 'sale' =&gt; "0" ],</v>
      </c>
    </row>
    <row r="59" spans="1:17" x14ac:dyDescent="0.4">
      <c r="A59" s="166" t="s">
        <v>896</v>
      </c>
      <c r="B59" s="166">
        <f>Закуп!R59</f>
        <v>795</v>
      </c>
      <c r="C59" s="166">
        <f>Закуп!S59</f>
        <v>510</v>
      </c>
      <c r="D59" s="166">
        <f>Закуп!T59</f>
        <v>870</v>
      </c>
      <c r="E59" s="166" t="s">
        <v>897</v>
      </c>
      <c r="F59" s="167" t="str">
        <f>SUBSTITUTE(INDEX(Calc!$K:$K,(ROW(A58)-1)*5+COLUMN(A58)+1),",",".")</f>
        <v>13.04</v>
      </c>
      <c r="G59" s="167" t="str">
        <f>SUBSTITUTE(INDEX(Calc!$K:$K,(ROW(B58)-1)*5+COLUMN(B58)+1),",",".")</f>
        <v>12.59</v>
      </c>
      <c r="H59" s="167" t="str">
        <f>SUBSTITUTE(INDEX(Calc!$K:$K,(ROW(C58)-1)*5+COLUMN(C58)+1),",",".")</f>
        <v>12.13</v>
      </c>
      <c r="I59" s="167" t="str">
        <f>SUBSTITUTE(INDEX(Calc!$K:$K,(ROW(D58)-1)*5+COLUMN(D58)+1),",",".")</f>
        <v>11.68</v>
      </c>
      <c r="J59" s="167" t="str">
        <f>SUBSTITUTE(INDEX(Calc!$K:$K,(ROW(E58)-1)*5+COLUMN(E58)+1),",",".")</f>
        <v>11.25</v>
      </c>
      <c r="K59" s="166" t="s">
        <v>898</v>
      </c>
      <c r="L59" s="167" t="str">
        <f>Закуп!AA59</f>
        <v>Четырехклапанные</v>
      </c>
      <c r="M59" s="166" t="s">
        <v>899</v>
      </c>
      <c r="N59" s="166">
        <f>IF(Закуп!L59="",0,Закуп!L59)</f>
        <v>0</v>
      </c>
      <c r="O59" s="166" t="s">
        <v>900</v>
      </c>
      <c r="P59" s="144">
        <f>Закуп!N59</f>
        <v>1</v>
      </c>
      <c r="Q59" s="210" t="str">
        <f t="shared" si="0"/>
        <v xml:space="preserve">        [ 'dims' =&gt; [795,510,870], 'prices' =&gt; [13.04,12.59,12.13,11.68,11.25], 'type' =&gt; "Четырехклапанные", 'sale' =&gt; "0" ],</v>
      </c>
    </row>
    <row r="60" spans="1:17" x14ac:dyDescent="0.4">
      <c r="A60" s="166" t="s">
        <v>896</v>
      </c>
      <c r="B60" s="166">
        <f>Закуп!R60</f>
        <v>795</v>
      </c>
      <c r="C60" s="166">
        <f>Закуп!S60</f>
        <v>510</v>
      </c>
      <c r="D60" s="166">
        <f>Закуп!T60</f>
        <v>870</v>
      </c>
      <c r="E60" s="166" t="s">
        <v>897</v>
      </c>
      <c r="F60" s="167" t="str">
        <f>SUBSTITUTE(INDEX(Calc!$K:$K,(ROW(A59)-1)*5+COLUMN(A59)+1),",",".")</f>
        <v>9.21</v>
      </c>
      <c r="G60" s="167" t="str">
        <f>SUBSTITUTE(INDEX(Calc!$K:$K,(ROW(B59)-1)*5+COLUMN(B59)+1),",",".")</f>
        <v>8.9</v>
      </c>
      <c r="H60" s="167" t="str">
        <f>SUBSTITUTE(INDEX(Calc!$K:$K,(ROW(C59)-1)*5+COLUMN(C59)+1),",",".")</f>
        <v>8.58</v>
      </c>
      <c r="I60" s="167" t="str">
        <f>SUBSTITUTE(INDEX(Calc!$K:$K,(ROW(D59)-1)*5+COLUMN(D59)+1),",",".")</f>
        <v>8.26</v>
      </c>
      <c r="J60" s="167" t="str">
        <f>SUBSTITUTE(INDEX(Calc!$K:$K,(ROW(E59)-1)*5+COLUMN(E59)+1),",",".")</f>
        <v>7.95</v>
      </c>
      <c r="K60" s="166" t="s">
        <v>898</v>
      </c>
      <c r="L60" s="167" t="str">
        <f>Закуп!AA60</f>
        <v>Четырехклапанные</v>
      </c>
      <c r="M60" s="166" t="s">
        <v>899</v>
      </c>
      <c r="N60" s="166">
        <f>IF(Закуп!L60="",0,Закуп!L60)</f>
        <v>0</v>
      </c>
      <c r="O60" s="166" t="s">
        <v>900</v>
      </c>
      <c r="P60" s="144">
        <f>Закуп!N60</f>
        <v>1</v>
      </c>
      <c r="Q60" s="210" t="str">
        <f t="shared" si="0"/>
        <v xml:space="preserve">        [ 'dims' =&gt; [795,510,870], 'prices' =&gt; [9.21,8.9,8.58,8.26,7.95], 'type' =&gt; "Четырехклапанные", 'sale' =&gt; "0" ],</v>
      </c>
    </row>
    <row r="61" spans="1:17" x14ac:dyDescent="0.4">
      <c r="A61" s="166" t="s">
        <v>896</v>
      </c>
      <c r="B61" s="166">
        <f>Закуп!R61</f>
        <v>795</v>
      </c>
      <c r="C61" s="166">
        <f>Закуп!S61</f>
        <v>510</v>
      </c>
      <c r="D61" s="166">
        <f>Закуп!T61</f>
        <v>870</v>
      </c>
      <c r="E61" s="166" t="s">
        <v>897</v>
      </c>
      <c r="F61" s="167" t="str">
        <f>SUBSTITUTE(INDEX(Calc!$K:$K,(ROW(A60)-1)*5+COLUMN(A60)+1),",",".")</f>
        <v>10.85</v>
      </c>
      <c r="G61" s="167" t="str">
        <f>SUBSTITUTE(INDEX(Calc!$K:$K,(ROW(B60)-1)*5+COLUMN(B60)+1),",",".")</f>
        <v>10.48</v>
      </c>
      <c r="H61" s="167" t="str">
        <f>SUBSTITUTE(INDEX(Calc!$K:$K,(ROW(C60)-1)*5+COLUMN(C60)+1),",",".")</f>
        <v>10.11</v>
      </c>
      <c r="I61" s="167" t="str">
        <f>SUBSTITUTE(INDEX(Calc!$K:$K,(ROW(D60)-1)*5+COLUMN(D60)+1),",",".")</f>
        <v>9.74</v>
      </c>
      <c r="J61" s="167" t="str">
        <f>SUBSTITUTE(INDEX(Calc!$K:$K,(ROW(E60)-1)*5+COLUMN(E60)+1),",",".")</f>
        <v>9.36</v>
      </c>
      <c r="K61" s="166" t="s">
        <v>898</v>
      </c>
      <c r="L61" s="167" t="str">
        <f>Закуп!AA61</f>
        <v>Четырехклапанные</v>
      </c>
      <c r="M61" s="166" t="s">
        <v>899</v>
      </c>
      <c r="N61" s="166">
        <f>IF(Закуп!L61="",0,Закуп!L61)</f>
        <v>0</v>
      </c>
      <c r="O61" s="166" t="s">
        <v>900</v>
      </c>
      <c r="P61" s="144">
        <f>Закуп!N61</f>
        <v>1</v>
      </c>
      <c r="Q61" s="210" t="str">
        <f t="shared" si="0"/>
        <v xml:space="preserve">        [ 'dims' =&gt; [795,510,870], 'prices' =&gt; [10.85,10.48,10.11,9.74,9.36], 'type' =&gt; "Четырехклапанные", 'sale' =&gt; "0" ],</v>
      </c>
    </row>
    <row r="62" spans="1:17" x14ac:dyDescent="0.4">
      <c r="A62" s="166" t="s">
        <v>896</v>
      </c>
      <c r="B62" s="166">
        <f>Закуп!R62</f>
        <v>1100</v>
      </c>
      <c r="C62" s="166">
        <f>Закуп!S62</f>
        <v>700</v>
      </c>
      <c r="D62" s="166">
        <f>Закуп!T62</f>
        <v>1000</v>
      </c>
      <c r="E62" s="166" t="s">
        <v>897</v>
      </c>
      <c r="F62" s="167" t="str">
        <f>SUBSTITUTE(INDEX(Calc!$K:$K,(ROW(A61)-1)*5+COLUMN(A61)+1),",",".")</f>
        <v>14.45</v>
      </c>
      <c r="G62" s="167" t="str">
        <f>SUBSTITUTE(INDEX(Calc!$K:$K,(ROW(B61)-1)*5+COLUMN(B61)+1),",",".")</f>
        <v>13.91</v>
      </c>
      <c r="H62" s="167" t="str">
        <f>SUBSTITUTE(INDEX(Calc!$K:$K,(ROW(C61)-1)*5+COLUMN(C61)+1),",",".")</f>
        <v>13.59</v>
      </c>
      <c r="I62" s="167" t="str">
        <f>SUBSTITUTE(INDEX(Calc!$K:$K,(ROW(D61)-1)*5+COLUMN(D61)+1),",",".")</f>
        <v>13.27</v>
      </c>
      <c r="J62" s="167" t="str">
        <f>SUBSTITUTE(INDEX(Calc!$K:$K,(ROW(E61)-1)*5+COLUMN(E61)+1),",",".")</f>
        <v>12.84</v>
      </c>
      <c r="K62" s="166" t="s">
        <v>898</v>
      </c>
      <c r="L62" s="167" t="str">
        <f>Закуп!AA62</f>
        <v>Четырехклапанные</v>
      </c>
      <c r="M62" s="166" t="s">
        <v>899</v>
      </c>
      <c r="N62" s="166">
        <f>IF(Закуп!L62="",0,Закуп!L62)</f>
        <v>0</v>
      </c>
      <c r="O62" s="166" t="s">
        <v>900</v>
      </c>
      <c r="P62" s="144">
        <f>Закуп!N62</f>
        <v>1</v>
      </c>
      <c r="Q62" s="210" t="str">
        <f t="shared" si="0"/>
        <v xml:space="preserve">        [ 'dims' =&gt; [1100,700,1000], 'prices' =&gt; [14.45,13.91,13.59,13.27,12.84], 'type' =&gt; "Четырехклапанные", 'sale' =&gt; "0" ],</v>
      </c>
    </row>
    <row r="63" spans="1:17" x14ac:dyDescent="0.4">
      <c r="A63" s="166" t="s">
        <v>896</v>
      </c>
      <c r="B63" s="166">
        <f>Закуп!R63</f>
        <v>1100</v>
      </c>
      <c r="C63" s="166">
        <f>Закуп!S63</f>
        <v>700</v>
      </c>
      <c r="D63" s="166">
        <f>Закуп!T63</f>
        <v>1000</v>
      </c>
      <c r="E63" s="166" t="s">
        <v>897</v>
      </c>
      <c r="F63" s="167" t="str">
        <f>SUBSTITUTE(INDEX(Calc!$K:$K,(ROW(A62)-1)*5+COLUMN(A62)+1),",",".")</f>
        <v>22.47</v>
      </c>
      <c r="G63" s="167" t="str">
        <f>SUBSTITUTE(INDEX(Calc!$K:$K,(ROW(B62)-1)*5+COLUMN(B62)+1),",",".")</f>
        <v>21.94</v>
      </c>
      <c r="H63" s="167" t="str">
        <f>SUBSTITUTE(INDEX(Calc!$K:$K,(ROW(C62)-1)*5+COLUMN(C62)+1),",",".")</f>
        <v>21.4</v>
      </c>
      <c r="I63" s="167" t="str">
        <f>SUBSTITUTE(INDEX(Calc!$K:$K,(ROW(D62)-1)*5+COLUMN(D62)+1),",",".")</f>
        <v>21.19</v>
      </c>
      <c r="J63" s="167" t="str">
        <f>SUBSTITUTE(INDEX(Calc!$K:$K,(ROW(E62)-1)*5+COLUMN(E62)+1),",",".")</f>
        <v>20.97</v>
      </c>
      <c r="K63" s="166" t="s">
        <v>898</v>
      </c>
      <c r="L63" s="167" t="str">
        <f>Закуп!AA63</f>
        <v>Четырехклапанные</v>
      </c>
      <c r="M63" s="166" t="s">
        <v>899</v>
      </c>
      <c r="N63" s="166">
        <f>IF(Закуп!L63="",0,Закуп!L63)</f>
        <v>0</v>
      </c>
      <c r="O63" s="166" t="s">
        <v>900</v>
      </c>
      <c r="P63" s="144">
        <f>Закуп!N63</f>
        <v>1</v>
      </c>
      <c r="Q63" s="210" t="str">
        <f t="shared" si="0"/>
        <v xml:space="preserve">        [ 'dims' =&gt; [1100,700,1000], 'prices' =&gt; [22.47,21.94,21.4,21.19,20.97], 'type' =&gt; "Четырехклапанные", 'sale' =&gt; "0" ],</v>
      </c>
    </row>
    <row r="64" spans="1:17" x14ac:dyDescent="0.4">
      <c r="A64" s="166" t="s">
        <v>896</v>
      </c>
      <c r="B64" s="166">
        <f>Закуп!R64</f>
        <v>1100</v>
      </c>
      <c r="C64" s="166">
        <f>Закуп!S64</f>
        <v>700</v>
      </c>
      <c r="D64" s="166">
        <f>Закуп!T64</f>
        <v>1000</v>
      </c>
      <c r="E64" s="166" t="s">
        <v>897</v>
      </c>
      <c r="F64" s="167" t="str">
        <f>SUBSTITUTE(INDEX(Calc!$K:$K,(ROW(A63)-1)*5+COLUMN(A63)+1),",",".")</f>
        <v>16.05</v>
      </c>
      <c r="G64" s="167" t="str">
        <f>SUBSTITUTE(INDEX(Calc!$K:$K,(ROW(B63)-1)*5+COLUMN(B63)+1),",",".")</f>
        <v>15.84</v>
      </c>
      <c r="H64" s="167" t="str">
        <f>SUBSTITUTE(INDEX(Calc!$K:$K,(ROW(C63)-1)*5+COLUMN(C63)+1),",",".")</f>
        <v>15.41</v>
      </c>
      <c r="I64" s="167" t="str">
        <f>SUBSTITUTE(INDEX(Calc!$K:$K,(ROW(D63)-1)*5+COLUMN(D63)+1),",",".")</f>
        <v>14.98</v>
      </c>
      <c r="J64" s="167" t="str">
        <f>SUBSTITUTE(INDEX(Calc!$K:$K,(ROW(E63)-1)*5+COLUMN(E63)+1),",",".")</f>
        <v>14.77</v>
      </c>
      <c r="K64" s="166" t="s">
        <v>898</v>
      </c>
      <c r="L64" s="167" t="str">
        <f>Закуп!AA64</f>
        <v>Четырехклапанные</v>
      </c>
      <c r="M64" s="166" t="s">
        <v>899</v>
      </c>
      <c r="N64" s="166">
        <f>IF(Закуп!L64="",0,Закуп!L64)</f>
        <v>0</v>
      </c>
      <c r="O64" s="166" t="s">
        <v>900</v>
      </c>
      <c r="P64" s="144">
        <f>Закуп!N64</f>
        <v>1</v>
      </c>
      <c r="Q64" s="210" t="str">
        <f t="shared" si="0"/>
        <v xml:space="preserve">        [ 'dims' =&gt; [1100,700,1000], 'prices' =&gt; [16.05,15.84,15.41,14.98,14.77], 'type' =&gt; "Четырехклапанные", 'sale' =&gt; "0" ],</v>
      </c>
    </row>
    <row r="65" spans="1:17" x14ac:dyDescent="0.4">
      <c r="A65" s="166" t="s">
        <v>896</v>
      </c>
      <c r="B65" s="166">
        <f>Закуп!R65</f>
        <v>1100</v>
      </c>
      <c r="C65" s="166">
        <f>Закуп!S65</f>
        <v>700</v>
      </c>
      <c r="D65" s="166">
        <f>Закуп!T65</f>
        <v>1000</v>
      </c>
      <c r="E65" s="166" t="s">
        <v>897</v>
      </c>
      <c r="F65" s="167" t="str">
        <f>SUBSTITUTE(INDEX(Calc!$K:$K,(ROW(A64)-1)*5+COLUMN(A64)+1),",",".")</f>
        <v>25.04</v>
      </c>
      <c r="G65" s="167" t="str">
        <f>SUBSTITUTE(INDEX(Calc!$K:$K,(ROW(B64)-1)*5+COLUMN(B64)+1),",",".")</f>
        <v>24.61</v>
      </c>
      <c r="H65" s="167" t="str">
        <f>SUBSTITUTE(INDEX(Calc!$K:$K,(ROW(C64)-1)*5+COLUMN(C64)+1),",",".")</f>
        <v>24.18</v>
      </c>
      <c r="I65" s="167" t="str">
        <f>SUBSTITUTE(INDEX(Calc!$K:$K,(ROW(D64)-1)*5+COLUMN(D64)+1),",",".")</f>
        <v>23.86</v>
      </c>
      <c r="J65" s="167" t="str">
        <f>SUBSTITUTE(INDEX(Calc!$K:$K,(ROW(E64)-1)*5+COLUMN(E64)+1),",",".")</f>
        <v>23.54</v>
      </c>
      <c r="K65" s="166" t="s">
        <v>898</v>
      </c>
      <c r="L65" s="167" t="str">
        <f>Закуп!AA65</f>
        <v>Четырехклапанные</v>
      </c>
      <c r="M65" s="166" t="s">
        <v>899</v>
      </c>
      <c r="N65" s="166">
        <f>IF(Закуп!L65="",0,Закуп!L65)</f>
        <v>0</v>
      </c>
      <c r="O65" s="166" t="s">
        <v>900</v>
      </c>
      <c r="P65" s="144">
        <f>Закуп!N65</f>
        <v>1</v>
      </c>
      <c r="Q65" s="210" t="str">
        <f t="shared" si="0"/>
        <v xml:space="preserve">        [ 'dims' =&gt; [1100,700,1000], 'prices' =&gt; [25.04,24.61,24.18,23.86,23.54], 'type' =&gt; "Четырехклапанные", 'sale' =&gt; "0" ],</v>
      </c>
    </row>
    <row r="66" spans="1:17" x14ac:dyDescent="0.4">
      <c r="A66" s="166" t="s">
        <v>896</v>
      </c>
      <c r="B66" s="166">
        <f>Закуп!R66</f>
        <v>340</v>
      </c>
      <c r="C66" s="166">
        <f>Закуп!S66</f>
        <v>420</v>
      </c>
      <c r="D66" s="166">
        <f>Закуп!T66</f>
        <v>25</v>
      </c>
      <c r="E66" s="166" t="s">
        <v>897</v>
      </c>
      <c r="F66" s="167" t="str">
        <f>SUBSTITUTE(INDEX(Calc!$K:$K,(ROW(A65)-1)*5+COLUMN(A65)+1),",",".")</f>
        <v>2.4</v>
      </c>
      <c r="G66" s="167" t="str">
        <f>SUBSTITUTE(INDEX(Calc!$K:$K,(ROW(B65)-1)*5+COLUMN(B65)+1),",",".")</f>
        <v>2.18</v>
      </c>
      <c r="H66" s="167" t="str">
        <f>SUBSTITUTE(INDEX(Calc!$K:$K,(ROW(C65)-1)*5+COLUMN(C65)+1),",",".")</f>
        <v>1.7</v>
      </c>
      <c r="I66" s="167" t="str">
        <f>SUBSTITUTE(INDEX(Calc!$K:$K,(ROW(D65)-1)*5+COLUMN(D65)+1),",",".")</f>
        <v>1.48</v>
      </c>
      <c r="J66" s="167" t="str">
        <f>SUBSTITUTE(INDEX(Calc!$K:$K,(ROW(E65)-1)*5+COLUMN(E65)+1),",",".")</f>
        <v>1.38</v>
      </c>
      <c r="K66" s="166" t="s">
        <v>898</v>
      </c>
      <c r="L66" s="167" t="str">
        <f>Закуп!AA66</f>
        <v>Самосборные</v>
      </c>
      <c r="M66" s="166" t="s">
        <v>899</v>
      </c>
      <c r="N66" s="166">
        <f>IF(Закуп!L66="",0,Закуп!L66)</f>
        <v>0</v>
      </c>
      <c r="O66" s="166" t="s">
        <v>900</v>
      </c>
      <c r="P66" s="144">
        <f>Закуп!N66</f>
        <v>1</v>
      </c>
      <c r="Q66" s="210" t="str">
        <f t="shared" ref="Q66:Q129" si="1">CONCATENATE(A66,B66,",",C66,",",D66,E66,F66,",",G66,",",H66,",",I66,",",J66,K66,L66,M66,N66,O66,)</f>
        <v xml:space="preserve">        [ 'dims' =&gt; [340,420,25], 'prices' =&gt; [2.4,2.18,1.7,1.48,1.38], 'type' =&gt; "Самосборные", 'sale' =&gt; "0" ],</v>
      </c>
    </row>
    <row r="67" spans="1:17" x14ac:dyDescent="0.4">
      <c r="A67" s="166" t="s">
        <v>896</v>
      </c>
      <c r="B67" s="166">
        <f>Закуп!R67</f>
        <v>440</v>
      </c>
      <c r="C67" s="166">
        <f>Закуп!S67</f>
        <v>440</v>
      </c>
      <c r="D67" s="166">
        <f>Закуп!T67</f>
        <v>85</v>
      </c>
      <c r="E67" s="166" t="s">
        <v>897</v>
      </c>
      <c r="F67" s="167" t="str">
        <f>SUBSTITUTE(INDEX(Calc!$K:$K,(ROW(A66)-1)*5+COLUMN(A66)+1),",",".")</f>
        <v>3.28</v>
      </c>
      <c r="G67" s="167" t="str">
        <f>SUBSTITUTE(INDEX(Calc!$K:$K,(ROW(B66)-1)*5+COLUMN(B66)+1),",",".")</f>
        <v>2.63</v>
      </c>
      <c r="H67" s="167" t="str">
        <f>SUBSTITUTE(INDEX(Calc!$K:$K,(ROW(C66)-1)*5+COLUMN(C66)+1),",",".")</f>
        <v>2.36</v>
      </c>
      <c r="I67" s="167" t="str">
        <f>SUBSTITUTE(INDEX(Calc!$K:$K,(ROW(D66)-1)*5+COLUMN(D66)+1),",",".")</f>
        <v>2.14</v>
      </c>
      <c r="J67" s="167" t="str">
        <f>SUBSTITUTE(INDEX(Calc!$K:$K,(ROW(E66)-1)*5+COLUMN(E66)+1),",",".")</f>
        <v>2.03</v>
      </c>
      <c r="K67" s="166" t="s">
        <v>898</v>
      </c>
      <c r="L67" s="167" t="str">
        <f>Закуп!AA67</f>
        <v>Самосборные</v>
      </c>
      <c r="M67" s="166" t="s">
        <v>899</v>
      </c>
      <c r="N67" s="166">
        <f>IF(Закуп!L67="",0,Закуп!L67)</f>
        <v>0</v>
      </c>
      <c r="O67" s="166" t="s">
        <v>900</v>
      </c>
      <c r="P67" s="144">
        <f>Закуп!N67</f>
        <v>1</v>
      </c>
      <c r="Q67" s="210" t="str">
        <f t="shared" si="1"/>
        <v xml:space="preserve">        [ 'dims' =&gt; [440,440,85], 'prices' =&gt; [3.28,2.63,2.36,2.14,2.03], 'type' =&gt; "Самосборные", 'sale' =&gt; "0" ],</v>
      </c>
    </row>
    <row r="68" spans="1:17" x14ac:dyDescent="0.4">
      <c r="A68" s="166" t="s">
        <v>896</v>
      </c>
      <c r="B68" s="166">
        <f>Закуп!R68</f>
        <v>450</v>
      </c>
      <c r="C68" s="166">
        <f>Закуп!S68</f>
        <v>350</v>
      </c>
      <c r="D68" s="166">
        <f>Закуп!T68</f>
        <v>40</v>
      </c>
      <c r="E68" s="166" t="s">
        <v>897</v>
      </c>
      <c r="F68" s="167" t="str">
        <f>SUBSTITUTE(INDEX(Calc!$K:$K,(ROW(A67)-1)*5+COLUMN(A67)+1),",",".")</f>
        <v>2.46</v>
      </c>
      <c r="G68" s="167" t="str">
        <f>SUBSTITUTE(INDEX(Calc!$K:$K,(ROW(B67)-1)*5+COLUMN(B67)+1),",",".")</f>
        <v>2.24</v>
      </c>
      <c r="H68" s="167" t="str">
        <f>SUBSTITUTE(INDEX(Calc!$K:$K,(ROW(C67)-1)*5+COLUMN(C67)+1),",",".")</f>
        <v>1.74</v>
      </c>
      <c r="I68" s="167" t="str">
        <f>SUBSTITUTE(INDEX(Calc!$K:$K,(ROW(D67)-1)*5+COLUMN(D67)+1),",",".")</f>
        <v>1.51</v>
      </c>
      <c r="J68" s="167" t="str">
        <f>SUBSTITUTE(INDEX(Calc!$K:$K,(ROW(E67)-1)*5+COLUMN(E67)+1),",",".")</f>
        <v>1.41</v>
      </c>
      <c r="K68" s="166" t="s">
        <v>898</v>
      </c>
      <c r="L68" s="167" t="str">
        <f>Закуп!AA68</f>
        <v>Самосборные</v>
      </c>
      <c r="M68" s="166" t="s">
        <v>899</v>
      </c>
      <c r="N68" s="166">
        <f>IF(Закуп!L68="",0,Закуп!L68)</f>
        <v>0</v>
      </c>
      <c r="O68" s="166" t="s">
        <v>900</v>
      </c>
      <c r="P68" s="144">
        <f>Закуп!N68</f>
        <v>1</v>
      </c>
      <c r="Q68" s="210" t="str">
        <f t="shared" si="1"/>
        <v xml:space="preserve">        [ 'dims' =&gt; [450,350,40], 'prices' =&gt; [2.46,2.24,1.74,1.51,1.41], 'type' =&gt; "Самосборные", 'sale' =&gt; "0" ],</v>
      </c>
    </row>
    <row r="69" spans="1:17" x14ac:dyDescent="0.4">
      <c r="A69" s="166" t="s">
        <v>896</v>
      </c>
      <c r="B69" s="166">
        <f>Закуп!R69</f>
        <v>1050</v>
      </c>
      <c r="C69" s="166">
        <f>Закуп!S69</f>
        <v>180</v>
      </c>
      <c r="D69" s="166">
        <f>Закуп!T69</f>
        <v>70</v>
      </c>
      <c r="E69" s="166" t="s">
        <v>897</v>
      </c>
      <c r="F69" s="167" t="str">
        <f>SUBSTITUTE(INDEX(Calc!$K:$K,(ROW(A68)-1)*5+COLUMN(A68)+1),",",".")</f>
        <v>3.65</v>
      </c>
      <c r="G69" s="167" t="str">
        <f>SUBSTITUTE(INDEX(Calc!$K:$K,(ROW(B68)-1)*5+COLUMN(B68)+1),",",".")</f>
        <v>2.92</v>
      </c>
      <c r="H69" s="167" t="str">
        <f>SUBSTITUTE(INDEX(Calc!$K:$K,(ROW(C68)-1)*5+COLUMN(C68)+1),",",".")</f>
        <v>2.46</v>
      </c>
      <c r="I69" s="167" t="str">
        <f>SUBSTITUTE(INDEX(Calc!$K:$K,(ROW(D68)-1)*5+COLUMN(D68)+1),",",".")</f>
        <v>2.33</v>
      </c>
      <c r="J69" s="167" t="str">
        <f>SUBSTITUTE(INDEX(Calc!$K:$K,(ROW(E68)-1)*5+COLUMN(E68)+1),",",".")</f>
        <v>2.23</v>
      </c>
      <c r="K69" s="166" t="s">
        <v>898</v>
      </c>
      <c r="L69" s="167" t="str">
        <f>Закуп!AA69</f>
        <v>Самосборные</v>
      </c>
      <c r="M69" s="166" t="s">
        <v>899</v>
      </c>
      <c r="N69" s="166">
        <f>IF(Закуп!L69="",0,Закуп!L69)</f>
        <v>0</v>
      </c>
      <c r="O69" s="166" t="s">
        <v>900</v>
      </c>
      <c r="P69" s="144">
        <f>Закуп!N69</f>
        <v>1</v>
      </c>
      <c r="Q69" s="210" t="str">
        <f t="shared" si="1"/>
        <v xml:space="preserve">        [ 'dims' =&gt; [1050,180,70], 'prices' =&gt; [3.65,2.92,2.46,2.33,2.23], 'type' =&gt; "Самосборные", 'sale' =&gt; "0" ],</v>
      </c>
    </row>
    <row r="70" spans="1:17" x14ac:dyDescent="0.4">
      <c r="A70" s="166" t="s">
        <v>896</v>
      </c>
      <c r="B70" s="166">
        <f>Закуп!R70</f>
        <v>305</v>
      </c>
      <c r="C70" s="166">
        <f>Закуп!S70</f>
        <v>55</v>
      </c>
      <c r="D70" s="166">
        <f>Закуп!T70</f>
        <v>55</v>
      </c>
      <c r="E70" s="166" t="s">
        <v>897</v>
      </c>
      <c r="F70" s="167" t="str">
        <f>SUBSTITUTE(INDEX(Calc!$K:$K,(ROW(A69)-1)*5+COLUMN(A69)+1),",",".")</f>
        <v>1.02</v>
      </c>
      <c r="G70" s="167" t="str">
        <f>SUBSTITUTE(INDEX(Calc!$K:$K,(ROW(B69)-1)*5+COLUMN(B69)+1),",",".")</f>
        <v>0.91</v>
      </c>
      <c r="H70" s="167" t="str">
        <f>SUBSTITUTE(INDEX(Calc!$K:$K,(ROW(C69)-1)*5+COLUMN(C69)+1),",",".")</f>
        <v>0.8</v>
      </c>
      <c r="I70" s="167" t="str">
        <f>SUBSTITUTE(INDEX(Calc!$K:$K,(ROW(D69)-1)*5+COLUMN(D69)+1),",",".")</f>
        <v>0.7</v>
      </c>
      <c r="J70" s="167" t="str">
        <f>SUBSTITUTE(INDEX(Calc!$K:$K,(ROW(E69)-1)*5+COLUMN(E69)+1),",",".")</f>
        <v>0.59</v>
      </c>
      <c r="K70" s="166" t="s">
        <v>898</v>
      </c>
      <c r="L70" s="167" t="str">
        <f>Закуп!AA70</f>
        <v>Самосборные</v>
      </c>
      <c r="M70" s="166" t="s">
        <v>899</v>
      </c>
      <c r="N70" s="166">
        <f>IF(Закуп!L70="",0,Закуп!L70)</f>
        <v>0</v>
      </c>
      <c r="O70" s="166" t="s">
        <v>900</v>
      </c>
      <c r="P70" s="144">
        <f>Закуп!N70</f>
        <v>1</v>
      </c>
      <c r="Q70" s="210" t="str">
        <f t="shared" si="1"/>
        <v xml:space="preserve">        [ 'dims' =&gt; [305,55,55], 'prices' =&gt; [1.02,0.91,0.8,0.7,0.59], 'type' =&gt; "Самосборные", 'sale' =&gt; "0" ],</v>
      </c>
    </row>
    <row r="71" spans="1:17" x14ac:dyDescent="0.4">
      <c r="A71" s="166" t="s">
        <v>896</v>
      </c>
      <c r="B71" s="166">
        <f>Закуп!R71</f>
        <v>370</v>
      </c>
      <c r="C71" s="166">
        <f>Закуп!S71</f>
        <v>140</v>
      </c>
      <c r="D71" s="166">
        <f>Закуп!T71</f>
        <v>130</v>
      </c>
      <c r="E71" s="166" t="s">
        <v>897</v>
      </c>
      <c r="F71" s="167" t="str">
        <f>SUBSTITUTE(INDEX(Calc!$K:$K,(ROW(A70)-1)*5+COLUMN(A70)+1),",",".")</f>
        <v>1.86</v>
      </c>
      <c r="G71" s="167" t="str">
        <f>SUBSTITUTE(INDEX(Calc!$K:$K,(ROW(B70)-1)*5+COLUMN(B70)+1),",",".")</f>
        <v>1.69</v>
      </c>
      <c r="H71" s="167" t="str">
        <f>SUBSTITUTE(INDEX(Calc!$K:$K,(ROW(C70)-1)*5+COLUMN(C70)+1),",",".")</f>
        <v>1.54</v>
      </c>
      <c r="I71" s="167" t="str">
        <f>SUBSTITUTE(INDEX(Calc!$K:$K,(ROW(D70)-1)*5+COLUMN(D70)+1),",",".")</f>
        <v>1.42</v>
      </c>
      <c r="J71" s="167" t="str">
        <f>SUBSTITUTE(INDEX(Calc!$K:$K,(ROW(E70)-1)*5+COLUMN(E70)+1),",",".")</f>
        <v>1.26</v>
      </c>
      <c r="K71" s="166" t="s">
        <v>898</v>
      </c>
      <c r="L71" s="167" t="str">
        <f>Закуп!AA71</f>
        <v>Самосборные</v>
      </c>
      <c r="M71" s="166" t="s">
        <v>899</v>
      </c>
      <c r="N71" s="166">
        <f>IF(Закуп!L71="",0,Закуп!L71)</f>
        <v>0</v>
      </c>
      <c r="O71" s="166" t="s">
        <v>900</v>
      </c>
      <c r="P71" s="144">
        <f>Закуп!N71</f>
        <v>1</v>
      </c>
      <c r="Q71" s="210" t="str">
        <f t="shared" si="1"/>
        <v xml:space="preserve">        [ 'dims' =&gt; [370,140,130], 'prices' =&gt; [1.86,1.69,1.54,1.42,1.26], 'type' =&gt; "Самосборные", 'sale' =&gt; "0" ],</v>
      </c>
    </row>
    <row r="72" spans="1:17" x14ac:dyDescent="0.4">
      <c r="A72" s="166" t="s">
        <v>896</v>
      </c>
      <c r="B72" s="166">
        <f>Закуп!R72</f>
        <v>178</v>
      </c>
      <c r="C72" s="166">
        <f>Закуп!S72</f>
        <v>118</v>
      </c>
      <c r="D72" s="166">
        <f>Закуп!T72</f>
        <v>152</v>
      </c>
      <c r="E72" s="166" t="s">
        <v>897</v>
      </c>
      <c r="F72" s="167" t="str">
        <f>SUBSTITUTE(INDEX(Calc!$K:$K,(ROW(A71)-1)*5+COLUMN(A71)+1),",",".")</f>
        <v>1.29</v>
      </c>
      <c r="G72" s="167" t="str">
        <f>SUBSTITUTE(INDEX(Calc!$K:$K,(ROW(B71)-1)*5+COLUMN(B71)+1),",",".")</f>
        <v>1.13</v>
      </c>
      <c r="H72" s="167" t="str">
        <f>SUBSTITUTE(INDEX(Calc!$K:$K,(ROW(C71)-1)*5+COLUMN(C71)+1),",",".")</f>
        <v>0.96</v>
      </c>
      <c r="I72" s="167" t="str">
        <f>SUBSTITUTE(INDEX(Calc!$K:$K,(ROW(D71)-1)*5+COLUMN(D71)+1),",",".")</f>
        <v>0.9</v>
      </c>
      <c r="J72" s="167" t="str">
        <f>SUBSTITUTE(INDEX(Calc!$K:$K,(ROW(E71)-1)*5+COLUMN(E71)+1),",",".")</f>
        <v>0.85</v>
      </c>
      <c r="K72" s="166" t="s">
        <v>898</v>
      </c>
      <c r="L72" s="167" t="str">
        <f>Закуп!AA72</f>
        <v>Самосборные</v>
      </c>
      <c r="M72" s="166" t="s">
        <v>899</v>
      </c>
      <c r="N72" s="166">
        <f>IF(Закуп!L72="",0,Закуп!L72)</f>
        <v>0</v>
      </c>
      <c r="O72" s="166" t="s">
        <v>900</v>
      </c>
      <c r="P72" s="144">
        <f>Закуп!N72</f>
        <v>1</v>
      </c>
      <c r="Q72" s="210" t="str">
        <f t="shared" si="1"/>
        <v xml:space="preserve">        [ 'dims' =&gt; [178,118,152], 'prices' =&gt; [1.29,1.13,0.96,0.9,0.85], 'type' =&gt; "Самосборные", 'sale' =&gt; "0" ],</v>
      </c>
    </row>
    <row r="73" spans="1:17" x14ac:dyDescent="0.4">
      <c r="A73" s="166" t="s">
        <v>896</v>
      </c>
      <c r="B73" s="166">
        <f>Закуп!R73</f>
        <v>1100</v>
      </c>
      <c r="C73" s="166">
        <f>Закуп!S73</f>
        <v>250</v>
      </c>
      <c r="D73" s="166">
        <f>Закуп!T73</f>
        <v>100</v>
      </c>
      <c r="E73" s="166" t="s">
        <v>897</v>
      </c>
      <c r="F73" s="167" t="str">
        <f>SUBSTITUTE(INDEX(Calc!$K:$K,(ROW(A72)-1)*5+COLUMN(A72)+1),",",".")</f>
        <v>4.24</v>
      </c>
      <c r="G73" s="167" t="str">
        <f>SUBSTITUTE(INDEX(Calc!$K:$K,(ROW(B72)-1)*5+COLUMN(B72)+1),",",".")</f>
        <v>3.35</v>
      </c>
      <c r="H73" s="167" t="str">
        <f>SUBSTITUTE(INDEX(Calc!$K:$K,(ROW(C72)-1)*5+COLUMN(C72)+1),",",".")</f>
        <v>2.81</v>
      </c>
      <c r="I73" s="167" t="str">
        <f>SUBSTITUTE(INDEX(Calc!$K:$K,(ROW(D72)-1)*5+COLUMN(D72)+1),",",".")</f>
        <v>2.66</v>
      </c>
      <c r="J73" s="167" t="str">
        <f>SUBSTITUTE(INDEX(Calc!$K:$K,(ROW(E72)-1)*5+COLUMN(E72)+1),",",".")</f>
        <v>2.59</v>
      </c>
      <c r="K73" s="166" t="s">
        <v>898</v>
      </c>
      <c r="L73" s="167" t="str">
        <f>Закуп!AA73</f>
        <v>Самосборные</v>
      </c>
      <c r="M73" s="166" t="s">
        <v>899</v>
      </c>
      <c r="N73" s="166">
        <f>IF(Закуп!L73="",0,Закуп!L73)</f>
        <v>0</v>
      </c>
      <c r="O73" s="166" t="s">
        <v>900</v>
      </c>
      <c r="P73" s="144">
        <f>Закуп!N73</f>
        <v>1</v>
      </c>
      <c r="Q73" s="210" t="str">
        <f t="shared" si="1"/>
        <v xml:space="preserve">        [ 'dims' =&gt; [1100,250,100], 'prices' =&gt; [4.24,3.35,2.81,2.66,2.59], 'type' =&gt; "Самосборные", 'sale' =&gt; "0" ],</v>
      </c>
    </row>
    <row r="74" spans="1:17" x14ac:dyDescent="0.4">
      <c r="A74" s="166" t="s">
        <v>896</v>
      </c>
      <c r="B74" s="166">
        <f>Закуп!R74</f>
        <v>460</v>
      </c>
      <c r="C74" s="166">
        <f>Закуп!S74</f>
        <v>280</v>
      </c>
      <c r="D74" s="166">
        <f>Закуп!T74</f>
        <v>60</v>
      </c>
      <c r="E74" s="166" t="s">
        <v>897</v>
      </c>
      <c r="F74" s="167" t="str">
        <f>SUBSTITUTE(INDEX(Calc!$K:$K,(ROW(A73)-1)*5+COLUMN(A73)+1),",",".")</f>
        <v>2.85</v>
      </c>
      <c r="G74" s="167" t="str">
        <f>SUBSTITUTE(INDEX(Calc!$K:$K,(ROW(B73)-1)*5+COLUMN(B73)+1),",",".")</f>
        <v>2.28</v>
      </c>
      <c r="H74" s="167" t="str">
        <f>SUBSTITUTE(INDEX(Calc!$K:$K,(ROW(C73)-1)*5+COLUMN(C73)+1),",",".")</f>
        <v>2.08</v>
      </c>
      <c r="I74" s="167" t="str">
        <f>SUBSTITUTE(INDEX(Calc!$K:$K,(ROW(D73)-1)*5+COLUMN(D73)+1),",",".")</f>
        <v>1.85</v>
      </c>
      <c r="J74" s="167" t="str">
        <f>SUBSTITUTE(INDEX(Calc!$K:$K,(ROW(E73)-1)*5+COLUMN(E73)+1),",",".")</f>
        <v>1.77</v>
      </c>
      <c r="K74" s="166" t="s">
        <v>898</v>
      </c>
      <c r="L74" s="167" t="str">
        <f>Закуп!AA74</f>
        <v>Самосборные</v>
      </c>
      <c r="M74" s="166" t="s">
        <v>899</v>
      </c>
      <c r="N74" s="166">
        <f>IF(Закуп!L74="",0,Закуп!L74)</f>
        <v>0</v>
      </c>
      <c r="O74" s="166" t="s">
        <v>900</v>
      </c>
      <c r="P74" s="144">
        <f>Закуп!N74</f>
        <v>1</v>
      </c>
      <c r="Q74" s="210" t="str">
        <f t="shared" si="1"/>
        <v xml:space="preserve">        [ 'dims' =&gt; [460,280,60], 'prices' =&gt; [2.85,2.28,2.08,1.85,1.77], 'type' =&gt; "Самосборные", 'sale' =&gt; "0" ],</v>
      </c>
    </row>
    <row r="75" spans="1:17" x14ac:dyDescent="0.4">
      <c r="A75" s="166" t="s">
        <v>896</v>
      </c>
      <c r="B75" s="166">
        <f>Закуп!R75</f>
        <v>600</v>
      </c>
      <c r="C75" s="166">
        <f>Закуп!S75</f>
        <v>115</v>
      </c>
      <c r="D75" s="166">
        <f>Закуп!T75</f>
        <v>105</v>
      </c>
      <c r="E75" s="166" t="s">
        <v>897</v>
      </c>
      <c r="F75" s="167" t="str">
        <f>SUBSTITUTE(INDEX(Calc!$K:$K,(ROW(A74)-1)*5+COLUMN(A74)+1),",",".")</f>
        <v>2.57</v>
      </c>
      <c r="G75" s="167" t="str">
        <f>SUBSTITUTE(INDEX(Calc!$K:$K,(ROW(B74)-1)*5+COLUMN(B74)+1),",",".")</f>
        <v>2.05</v>
      </c>
      <c r="H75" s="167" t="str">
        <f>SUBSTITUTE(INDEX(Calc!$K:$K,(ROW(C74)-1)*5+COLUMN(C74)+1),",",".")</f>
        <v>1.87</v>
      </c>
      <c r="I75" s="167" t="str">
        <f>SUBSTITUTE(INDEX(Calc!$K:$K,(ROW(D74)-1)*5+COLUMN(D74)+1),",",".")</f>
        <v>1.67</v>
      </c>
      <c r="J75" s="167" t="str">
        <f>SUBSTITUTE(INDEX(Calc!$K:$K,(ROW(E74)-1)*5+COLUMN(E74)+1),",",".")</f>
        <v>1.62</v>
      </c>
      <c r="K75" s="166" t="s">
        <v>898</v>
      </c>
      <c r="L75" s="167" t="str">
        <f>Закуп!AA75</f>
        <v>Самосборные</v>
      </c>
      <c r="M75" s="166" t="s">
        <v>899</v>
      </c>
      <c r="N75" s="166">
        <f>IF(Закуп!L75="",0,Закуп!L75)</f>
        <v>0</v>
      </c>
      <c r="O75" s="166" t="s">
        <v>900</v>
      </c>
      <c r="P75" s="144">
        <f>Закуп!N75</f>
        <v>1</v>
      </c>
      <c r="Q75" s="210" t="str">
        <f t="shared" si="1"/>
        <v xml:space="preserve">        [ 'dims' =&gt; [600,115,105], 'prices' =&gt; [2.57,2.05,1.87,1.67,1.62], 'type' =&gt; "Самосборные", 'sale' =&gt; "0" ],</v>
      </c>
    </row>
    <row r="76" spans="1:17" x14ac:dyDescent="0.4">
      <c r="A76" s="166" t="s">
        <v>896</v>
      </c>
      <c r="B76" s="166">
        <f>Закуп!R76</f>
        <v>170</v>
      </c>
      <c r="C76" s="166">
        <f>Закуп!S76</f>
        <v>170</v>
      </c>
      <c r="D76" s="166">
        <f>Закуп!T76</f>
        <v>90</v>
      </c>
      <c r="E76" s="166" t="s">
        <v>897</v>
      </c>
      <c r="F76" s="167" t="str">
        <f>SUBSTITUTE(INDEX(Calc!$K:$K,(ROW(A75)-1)*5+COLUMN(A75)+1),",",".")</f>
        <v>1.93</v>
      </c>
      <c r="G76" s="167" t="str">
        <f>SUBSTITUTE(INDEX(Calc!$K:$K,(ROW(B75)-1)*5+COLUMN(B75)+1),",",".")</f>
        <v>1.74</v>
      </c>
      <c r="H76" s="167" t="str">
        <f>SUBSTITUTE(INDEX(Calc!$K:$K,(ROW(C75)-1)*5+COLUMN(C75)+1),",",".")</f>
        <v>1.38</v>
      </c>
      <c r="I76" s="167" t="str">
        <f>SUBSTITUTE(INDEX(Calc!$K:$K,(ROW(D75)-1)*5+COLUMN(D75)+1),",",".")</f>
        <v>1.29</v>
      </c>
      <c r="J76" s="167" t="str">
        <f>SUBSTITUTE(INDEX(Calc!$K:$K,(ROW(E75)-1)*5+COLUMN(E75)+1),",",".")</f>
        <v>1.13</v>
      </c>
      <c r="K76" s="166" t="s">
        <v>898</v>
      </c>
      <c r="L76" s="167" t="str">
        <f>Закуп!AA76</f>
        <v>Самосборные</v>
      </c>
      <c r="M76" s="166" t="s">
        <v>899</v>
      </c>
      <c r="N76" s="166">
        <f>IF(Закуп!L76="",0,Закуп!L76)</f>
        <v>0</v>
      </c>
      <c r="O76" s="166" t="s">
        <v>900</v>
      </c>
      <c r="P76" s="144">
        <f>Закуп!N76</f>
        <v>1</v>
      </c>
      <c r="Q76" s="210" t="str">
        <f t="shared" si="1"/>
        <v xml:space="preserve">        [ 'dims' =&gt; [170,170,90], 'prices' =&gt; [1.93,1.74,1.38,1.29,1.13], 'type' =&gt; "Самосборные", 'sale' =&gt; "0" ],</v>
      </c>
    </row>
    <row r="77" spans="1:17" x14ac:dyDescent="0.4">
      <c r="A77" s="166" t="s">
        <v>896</v>
      </c>
      <c r="B77" s="166">
        <f>Закуп!R77</f>
        <v>780</v>
      </c>
      <c r="C77" s="166">
        <f>Закуп!S77</f>
        <v>130</v>
      </c>
      <c r="D77" s="166">
        <f>Закуп!T77</f>
        <v>84</v>
      </c>
      <c r="E77" s="166" t="s">
        <v>897</v>
      </c>
      <c r="F77" s="167" t="str">
        <f>SUBSTITUTE(INDEX(Calc!$K:$K,(ROW(A76)-1)*5+COLUMN(A76)+1),",",".")</f>
        <v>2.59</v>
      </c>
      <c r="G77" s="167" t="str">
        <f>SUBSTITUTE(INDEX(Calc!$K:$K,(ROW(B76)-1)*5+COLUMN(B76)+1),",",".")</f>
        <v>2.08</v>
      </c>
      <c r="H77" s="167" t="str">
        <f>SUBSTITUTE(INDEX(Calc!$K:$K,(ROW(C76)-1)*5+COLUMN(C76)+1),",",".")</f>
        <v>1.89</v>
      </c>
      <c r="I77" s="167" t="str">
        <f>SUBSTITUTE(INDEX(Calc!$K:$K,(ROW(D76)-1)*5+COLUMN(D76)+1),",",".")</f>
        <v>1.69</v>
      </c>
      <c r="J77" s="167" t="str">
        <f>SUBSTITUTE(INDEX(Calc!$K:$K,(ROW(E76)-1)*5+COLUMN(E76)+1),",",".")</f>
        <v>1.64</v>
      </c>
      <c r="K77" s="166" t="s">
        <v>898</v>
      </c>
      <c r="L77" s="167" t="str">
        <f>Закуп!AA77</f>
        <v>Самосборные</v>
      </c>
      <c r="M77" s="166" t="s">
        <v>899</v>
      </c>
      <c r="N77" s="166">
        <f>IF(Закуп!L77="",0,Закуп!L77)</f>
        <v>0</v>
      </c>
      <c r="O77" s="166" t="s">
        <v>900</v>
      </c>
      <c r="P77" s="144">
        <f>Закуп!N77</f>
        <v>1</v>
      </c>
      <c r="Q77" s="210" t="str">
        <f t="shared" si="1"/>
        <v xml:space="preserve">        [ 'dims' =&gt; [780,130,84], 'prices' =&gt; [2.59,2.08,1.89,1.69,1.64], 'type' =&gt; "Самосборные", 'sale' =&gt; "0" ],</v>
      </c>
    </row>
    <row r="78" spans="1:17" x14ac:dyDescent="0.4">
      <c r="A78" s="166" t="s">
        <v>896</v>
      </c>
      <c r="B78" s="166">
        <f>Закуп!R78</f>
        <v>300</v>
      </c>
      <c r="C78" s="166">
        <f>Закуп!S78</f>
        <v>100</v>
      </c>
      <c r="D78" s="166">
        <f>Закуп!T78</f>
        <v>60</v>
      </c>
      <c r="E78" s="166" t="s">
        <v>897</v>
      </c>
      <c r="F78" s="167" t="str">
        <f>SUBSTITUTE(INDEX(Calc!$K:$K,(ROW(A77)-1)*5+COLUMN(A77)+1),",",".")</f>
        <v>1.39</v>
      </c>
      <c r="G78" s="167" t="str">
        <f>SUBSTITUTE(INDEX(Calc!$K:$K,(ROW(B77)-1)*5+COLUMN(B77)+1),",",".")</f>
        <v>1.21</v>
      </c>
      <c r="H78" s="167" t="str">
        <f>SUBSTITUTE(INDEX(Calc!$K:$K,(ROW(C77)-1)*5+COLUMN(C77)+1),",",".")</f>
        <v>1.03</v>
      </c>
      <c r="I78" s="167" t="str">
        <f>SUBSTITUTE(INDEX(Calc!$K:$K,(ROW(D77)-1)*5+COLUMN(D77)+1),",",".")</f>
        <v>0.96</v>
      </c>
      <c r="J78" s="167" t="str">
        <f>SUBSTITUTE(INDEX(Calc!$K:$K,(ROW(E77)-1)*5+COLUMN(E77)+1),",",".")</f>
        <v>0.9</v>
      </c>
      <c r="K78" s="166" t="s">
        <v>898</v>
      </c>
      <c r="L78" s="167" t="str">
        <f>Закуп!AA78</f>
        <v>Самосборные</v>
      </c>
      <c r="M78" s="166" t="s">
        <v>899</v>
      </c>
      <c r="N78" s="166">
        <f>IF(Закуп!L78="",0,Закуп!L78)</f>
        <v>0</v>
      </c>
      <c r="O78" s="166" t="s">
        <v>900</v>
      </c>
      <c r="P78" s="144">
        <f>Закуп!N78</f>
        <v>1</v>
      </c>
      <c r="Q78" s="210" t="str">
        <f t="shared" si="1"/>
        <v xml:space="preserve">        [ 'dims' =&gt; [300,100,60], 'prices' =&gt; [1.39,1.21,1.03,0.96,0.9], 'type' =&gt; "Самосборные", 'sale' =&gt; "0" ],</v>
      </c>
    </row>
    <row r="79" spans="1:17" x14ac:dyDescent="0.4">
      <c r="A79" s="166" t="s">
        <v>896</v>
      </c>
      <c r="B79" s="166">
        <f>Закуп!R79</f>
        <v>280</v>
      </c>
      <c r="C79" s="166">
        <f>Закуп!S79</f>
        <v>100</v>
      </c>
      <c r="D79" s="166">
        <f>Закуп!T79</f>
        <v>100</v>
      </c>
      <c r="E79" s="166" t="s">
        <v>897</v>
      </c>
      <c r="F79" s="167" t="str">
        <f>SUBSTITUTE(INDEX(Calc!$K:$K,(ROW(A78)-1)*5+COLUMN(A78)+1),",",".")</f>
        <v>1.71</v>
      </c>
      <c r="G79" s="167" t="str">
        <f>SUBSTITUTE(INDEX(Calc!$K:$K,(ROW(B78)-1)*5+COLUMN(B78)+1),",",".")</f>
        <v>1.56</v>
      </c>
      <c r="H79" s="167" t="str">
        <f>SUBSTITUTE(INDEX(Calc!$K:$K,(ROW(C78)-1)*5+COLUMN(C78)+1),",",".")</f>
        <v>1.42</v>
      </c>
      <c r="I79" s="167" t="str">
        <f>SUBSTITUTE(INDEX(Calc!$K:$K,(ROW(D78)-1)*5+COLUMN(D78)+1),",",".")</f>
        <v>1.32</v>
      </c>
      <c r="J79" s="167" t="str">
        <f>SUBSTITUTE(INDEX(Calc!$K:$K,(ROW(E78)-1)*5+COLUMN(E78)+1),",",".")</f>
        <v>1.17</v>
      </c>
      <c r="K79" s="166" t="s">
        <v>898</v>
      </c>
      <c r="L79" s="167" t="str">
        <f>Закуп!AA79</f>
        <v>Самосборные</v>
      </c>
      <c r="M79" s="166" t="s">
        <v>899</v>
      </c>
      <c r="N79" s="166">
        <f>IF(Закуп!L79="",0,Закуп!L79)</f>
        <v>0</v>
      </c>
      <c r="O79" s="166" t="s">
        <v>900</v>
      </c>
      <c r="P79" s="144">
        <f>Закуп!N79</f>
        <v>1</v>
      </c>
      <c r="Q79" s="210" t="str">
        <f t="shared" si="1"/>
        <v xml:space="preserve">        [ 'dims' =&gt; [280,100,100], 'prices' =&gt; [1.71,1.56,1.42,1.32,1.17], 'type' =&gt; "Самосборные", 'sale' =&gt; "0" ],</v>
      </c>
    </row>
    <row r="80" spans="1:17" x14ac:dyDescent="0.4">
      <c r="A80" s="166" t="s">
        <v>896</v>
      </c>
      <c r="B80" s="166">
        <f>Закуп!R80</f>
        <v>320</v>
      </c>
      <c r="C80" s="166">
        <f>Закуп!S80</f>
        <v>210</v>
      </c>
      <c r="D80" s="166">
        <f>Закуп!T80</f>
        <v>45</v>
      </c>
      <c r="E80" s="166" t="s">
        <v>897</v>
      </c>
      <c r="F80" s="167" t="str">
        <f>SUBSTITUTE(INDEX(Calc!$K:$K,(ROW(A79)-1)*5+COLUMN(A79)+1),",",".")</f>
        <v>1.61</v>
      </c>
      <c r="G80" s="167" t="str">
        <f>SUBSTITUTE(INDEX(Calc!$K:$K,(ROW(B79)-1)*5+COLUMN(B79)+1),",",".")</f>
        <v>1.47</v>
      </c>
      <c r="H80" s="167" t="str">
        <f>SUBSTITUTE(INDEX(Calc!$K:$K,(ROW(C79)-1)*5+COLUMN(C79)+1),",",".")</f>
        <v>1.16</v>
      </c>
      <c r="I80" s="167" t="str">
        <f>SUBSTITUTE(INDEX(Calc!$K:$K,(ROW(D79)-1)*5+COLUMN(D79)+1),",",".")</f>
        <v>1.08</v>
      </c>
      <c r="J80" s="167" t="str">
        <f>SUBSTITUTE(INDEX(Calc!$K:$K,(ROW(E79)-1)*5+COLUMN(E79)+1),",",".")</f>
        <v>1.03</v>
      </c>
      <c r="K80" s="166" t="s">
        <v>898</v>
      </c>
      <c r="L80" s="167" t="str">
        <f>Закуп!AA80</f>
        <v>Самосборные</v>
      </c>
      <c r="M80" s="166" t="s">
        <v>899</v>
      </c>
      <c r="N80" s="166">
        <f>IF(Закуп!L80="",0,Закуп!L80)</f>
        <v>0</v>
      </c>
      <c r="O80" s="166" t="s">
        <v>900</v>
      </c>
      <c r="P80" s="144">
        <f>Закуп!N80</f>
        <v>1</v>
      </c>
      <c r="Q80" s="210" t="str">
        <f t="shared" si="1"/>
        <v xml:space="preserve">        [ 'dims' =&gt; [320,210,45], 'prices' =&gt; [1.61,1.47,1.16,1.08,1.03], 'type' =&gt; "Самосборные", 'sale' =&gt; "0" ],</v>
      </c>
    </row>
    <row r="81" spans="1:17" x14ac:dyDescent="0.4">
      <c r="A81" s="166" t="s">
        <v>896</v>
      </c>
      <c r="B81" s="166">
        <f>Закуп!R81</f>
        <v>325</v>
      </c>
      <c r="C81" s="166">
        <f>Закуп!S81</f>
        <v>170</v>
      </c>
      <c r="D81" s="166">
        <f>Закуп!T81</f>
        <v>115</v>
      </c>
      <c r="E81" s="166" t="s">
        <v>897</v>
      </c>
      <c r="F81" s="167" t="str">
        <f>SUBSTITUTE(INDEX(Calc!$K:$K,(ROW(A80)-1)*5+COLUMN(A80)+1),",",".")</f>
        <v>2.26</v>
      </c>
      <c r="G81" s="167" t="str">
        <f>SUBSTITUTE(INDEX(Calc!$K:$K,(ROW(B80)-1)*5+COLUMN(B80)+1),",",".")</f>
        <v>2.05</v>
      </c>
      <c r="H81" s="167" t="str">
        <f>SUBSTITUTE(INDEX(Calc!$K:$K,(ROW(C80)-1)*5+COLUMN(C80)+1),",",".")</f>
        <v>1.61</v>
      </c>
      <c r="I81" s="167" t="str">
        <f>SUBSTITUTE(INDEX(Calc!$K:$K,(ROW(D80)-1)*5+COLUMN(D80)+1),",",".")</f>
        <v>1.39</v>
      </c>
      <c r="J81" s="167" t="str">
        <f>SUBSTITUTE(INDEX(Calc!$K:$K,(ROW(E80)-1)*5+COLUMN(E80)+1),",",".")</f>
        <v>1.29</v>
      </c>
      <c r="K81" s="166" t="s">
        <v>898</v>
      </c>
      <c r="L81" s="167" t="str">
        <f>Закуп!AA81</f>
        <v>Самосборные</v>
      </c>
      <c r="M81" s="166" t="s">
        <v>899</v>
      </c>
      <c r="N81" s="166">
        <f>IF(Закуп!L81="",0,Закуп!L81)</f>
        <v>0</v>
      </c>
      <c r="O81" s="166" t="s">
        <v>900</v>
      </c>
      <c r="P81" s="144">
        <f>Закуп!N81</f>
        <v>1</v>
      </c>
      <c r="Q81" s="210" t="str">
        <f t="shared" si="1"/>
        <v xml:space="preserve">        [ 'dims' =&gt; [325,170,115], 'prices' =&gt; [2.26,2.05,1.61,1.39,1.29], 'type' =&gt; "Самосборные", 'sale' =&gt; "0" ],</v>
      </c>
    </row>
    <row r="82" spans="1:17" x14ac:dyDescent="0.4">
      <c r="A82" s="166" t="s">
        <v>896</v>
      </c>
      <c r="B82" s="166">
        <f>Закуп!R82</f>
        <v>140</v>
      </c>
      <c r="C82" s="166">
        <f>Закуп!S82</f>
        <v>90</v>
      </c>
      <c r="D82" s="166">
        <f>Закуп!T82</f>
        <v>90</v>
      </c>
      <c r="E82" s="166" t="s">
        <v>897</v>
      </c>
      <c r="F82" s="167" t="str">
        <f>SUBSTITUTE(INDEX(Calc!$K:$K,(ROW(A81)-1)*5+COLUMN(A81)+1),",",".")</f>
        <v>1.41</v>
      </c>
      <c r="G82" s="167" t="str">
        <f>SUBSTITUTE(INDEX(Calc!$K:$K,(ROW(B81)-1)*5+COLUMN(B81)+1),",",".")</f>
        <v>1.23</v>
      </c>
      <c r="H82" s="167" t="str">
        <f>SUBSTITUTE(INDEX(Calc!$K:$K,(ROW(C81)-1)*5+COLUMN(C81)+1),",",".")</f>
        <v>1.05</v>
      </c>
      <c r="I82" s="167" t="str">
        <f>SUBSTITUTE(INDEX(Calc!$K:$K,(ROW(D81)-1)*5+COLUMN(D81)+1),",",".")</f>
        <v>0.98</v>
      </c>
      <c r="J82" s="167" t="str">
        <f>SUBSTITUTE(INDEX(Calc!$K:$K,(ROW(E81)-1)*5+COLUMN(E81)+1),",",".")</f>
        <v>0.92</v>
      </c>
      <c r="K82" s="166" t="s">
        <v>898</v>
      </c>
      <c r="L82" s="167" t="str">
        <f>Закуп!AA82</f>
        <v>Самосборные</v>
      </c>
      <c r="M82" s="166" t="s">
        <v>899</v>
      </c>
      <c r="N82" s="166">
        <f>IF(Закуп!L82="",0,Закуп!L82)</f>
        <v>0</v>
      </c>
      <c r="O82" s="166" t="s">
        <v>900</v>
      </c>
      <c r="P82" s="144">
        <f>Закуп!N82</f>
        <v>1</v>
      </c>
      <c r="Q82" s="210" t="str">
        <f t="shared" si="1"/>
        <v xml:space="preserve">        [ 'dims' =&gt; [140,90,90], 'prices' =&gt; [1.41,1.23,1.05,0.98,0.92], 'type' =&gt; "Самосборные", 'sale' =&gt; "0" ],</v>
      </c>
    </row>
    <row r="83" spans="1:17" x14ac:dyDescent="0.4">
      <c r="A83" s="166" t="s">
        <v>896</v>
      </c>
      <c r="B83" s="166">
        <f>Закуп!R83</f>
        <v>305</v>
      </c>
      <c r="C83" s="166">
        <f>Закуп!S83</f>
        <v>155</v>
      </c>
      <c r="D83" s="166">
        <f>Закуп!T83</f>
        <v>55</v>
      </c>
      <c r="E83" s="166" t="s">
        <v>897</v>
      </c>
      <c r="F83" s="167" t="str">
        <f>SUBSTITUTE(INDEX(Calc!$K:$K,(ROW(A82)-1)*5+COLUMN(A82)+1),",",".")</f>
        <v>1.41</v>
      </c>
      <c r="G83" s="167" t="str">
        <f>SUBSTITUTE(INDEX(Calc!$K:$K,(ROW(B82)-1)*5+COLUMN(B82)+1),",",".")</f>
        <v>1.23</v>
      </c>
      <c r="H83" s="167" t="str">
        <f>SUBSTITUTE(INDEX(Calc!$K:$K,(ROW(C82)-1)*5+COLUMN(C82)+1),",",".")</f>
        <v>1.05</v>
      </c>
      <c r="I83" s="167" t="str">
        <f>SUBSTITUTE(INDEX(Calc!$K:$K,(ROW(D82)-1)*5+COLUMN(D82)+1),",",".")</f>
        <v>0.98</v>
      </c>
      <c r="J83" s="167" t="str">
        <f>SUBSTITUTE(INDEX(Calc!$K:$K,(ROW(E82)-1)*5+COLUMN(E82)+1),",",".")</f>
        <v>0.92</v>
      </c>
      <c r="K83" s="166" t="s">
        <v>898</v>
      </c>
      <c r="L83" s="167" t="str">
        <f>Закуп!AA83</f>
        <v>Самосборные</v>
      </c>
      <c r="M83" s="166" t="s">
        <v>899</v>
      </c>
      <c r="N83" s="166">
        <f>IF(Закуп!L83="",0,Закуп!L83)</f>
        <v>0</v>
      </c>
      <c r="O83" s="166" t="s">
        <v>900</v>
      </c>
      <c r="P83" s="144">
        <f>Закуп!N83</f>
        <v>1</v>
      </c>
      <c r="Q83" s="210" t="str">
        <f t="shared" si="1"/>
        <v xml:space="preserve">        [ 'dims' =&gt; [305,155,55], 'prices' =&gt; [1.41,1.23,1.05,0.98,0.92], 'type' =&gt; "Самосборные", 'sale' =&gt; "0" ],</v>
      </c>
    </row>
    <row r="84" spans="1:17" x14ac:dyDescent="0.4">
      <c r="A84" s="166" t="s">
        <v>896</v>
      </c>
      <c r="B84" s="166">
        <f>Закуп!R84</f>
        <v>155</v>
      </c>
      <c r="C84" s="166">
        <f>Закуп!S84</f>
        <v>110</v>
      </c>
      <c r="D84" s="166">
        <f>Закуп!T84</f>
        <v>40</v>
      </c>
      <c r="E84" s="166" t="s">
        <v>897</v>
      </c>
      <c r="F84" s="167" t="str">
        <f>SUBSTITUTE(INDEX(Calc!$K:$K,(ROW(A83)-1)*5+COLUMN(A83)+1),",",".")</f>
        <v>0.96</v>
      </c>
      <c r="G84" s="167" t="str">
        <f>SUBSTITUTE(INDEX(Calc!$K:$K,(ROW(B83)-1)*5+COLUMN(B83)+1),",",".")</f>
        <v>0.86</v>
      </c>
      <c r="H84" s="167" t="str">
        <f>SUBSTITUTE(INDEX(Calc!$K:$K,(ROW(C83)-1)*5+COLUMN(C83)+1),",",".")</f>
        <v>0.75</v>
      </c>
      <c r="I84" s="167" t="str">
        <f>SUBSTITUTE(INDEX(Calc!$K:$K,(ROW(D83)-1)*5+COLUMN(D83)+1),",",".")</f>
        <v>0.64</v>
      </c>
      <c r="J84" s="167" t="str">
        <f>SUBSTITUTE(INDEX(Calc!$K:$K,(ROW(E83)-1)*5+COLUMN(E83)+1),",",".")</f>
        <v>0.54</v>
      </c>
      <c r="K84" s="166" t="s">
        <v>898</v>
      </c>
      <c r="L84" s="167" t="str">
        <f>Закуп!AA84</f>
        <v>Самосборные</v>
      </c>
      <c r="M84" s="166" t="s">
        <v>899</v>
      </c>
      <c r="N84" s="166">
        <f>IF(Закуп!L84="",0,Закуп!L84)</f>
        <v>0</v>
      </c>
      <c r="O84" s="166" t="s">
        <v>900</v>
      </c>
      <c r="P84" s="144">
        <f>Закуп!N84</f>
        <v>1</v>
      </c>
      <c r="Q84" s="210" t="str">
        <f t="shared" si="1"/>
        <v xml:space="preserve">        [ 'dims' =&gt; [155,110,40], 'prices' =&gt; [0.96,0.86,0.75,0.64,0.54], 'type' =&gt; "Самосборные", 'sale' =&gt; "0" ],</v>
      </c>
    </row>
    <row r="85" spans="1:17" x14ac:dyDescent="0.4">
      <c r="A85" s="166" t="s">
        <v>896</v>
      </c>
      <c r="B85" s="166">
        <f>Закуп!R85</f>
        <v>60</v>
      </c>
      <c r="C85" s="166">
        <f>Закуп!S85</f>
        <v>60</v>
      </c>
      <c r="D85" s="166">
        <f>Закуп!T85</f>
        <v>210</v>
      </c>
      <c r="E85" s="166" t="s">
        <v>897</v>
      </c>
      <c r="F85" s="167" t="str">
        <f>SUBSTITUTE(INDEX(Calc!$K:$K,(ROW(A84)-1)*5+COLUMN(A84)+1),",",".")</f>
        <v>0.96</v>
      </c>
      <c r="G85" s="167" t="str">
        <f>SUBSTITUTE(INDEX(Calc!$K:$K,(ROW(B84)-1)*5+COLUMN(B84)+1),",",".")</f>
        <v>0.83</v>
      </c>
      <c r="H85" s="167" t="str">
        <f>SUBSTITUTE(INDEX(Calc!$K:$K,(ROW(C84)-1)*5+COLUMN(C84)+1),",",".")</f>
        <v>0.72</v>
      </c>
      <c r="I85" s="167" t="str">
        <f>SUBSTITUTE(INDEX(Calc!$K:$K,(ROW(D84)-1)*5+COLUMN(D84)+1),",",".")</f>
        <v>0.65</v>
      </c>
      <c r="J85" s="167" t="str">
        <f>SUBSTITUTE(INDEX(Calc!$K:$K,(ROW(E84)-1)*5+COLUMN(E84)+1),",",".")</f>
        <v>0.59</v>
      </c>
      <c r="K85" s="166" t="s">
        <v>898</v>
      </c>
      <c r="L85" s="167" t="str">
        <f>Закуп!AA85</f>
        <v>Самосборные</v>
      </c>
      <c r="M85" s="166" t="s">
        <v>899</v>
      </c>
      <c r="N85" s="166">
        <f>IF(Закуп!L85="",0,Закуп!L85)</f>
        <v>0</v>
      </c>
      <c r="O85" s="166" t="s">
        <v>900</v>
      </c>
      <c r="P85" s="144">
        <f>Закуп!N85</f>
        <v>1</v>
      </c>
      <c r="Q85" s="210" t="str">
        <f t="shared" si="1"/>
        <v xml:space="preserve">        [ 'dims' =&gt; [60,60,210], 'prices' =&gt; [0.96,0.83,0.72,0.65,0.59], 'type' =&gt; "Самосборные", 'sale' =&gt; "0" ],</v>
      </c>
    </row>
    <row r="86" spans="1:17" x14ac:dyDescent="0.4">
      <c r="A86" s="166" t="s">
        <v>896</v>
      </c>
      <c r="B86" s="166">
        <f>Закуп!R86</f>
        <v>250</v>
      </c>
      <c r="C86" s="166">
        <f>Закуп!S86</f>
        <v>250</v>
      </c>
      <c r="D86" s="166">
        <f>Закуп!T86</f>
        <v>55</v>
      </c>
      <c r="E86" s="166" t="s">
        <v>897</v>
      </c>
      <c r="F86" s="167" t="str">
        <f>SUBSTITUTE(INDEX(Calc!$K:$K,(ROW(A85)-1)*5+COLUMN(A85)+1),",",".")</f>
        <v>1.37</v>
      </c>
      <c r="G86" s="167" t="str">
        <f>SUBSTITUTE(INDEX(Calc!$K:$K,(ROW(B85)-1)*5+COLUMN(B85)+1),",",".")</f>
        <v>1.22</v>
      </c>
      <c r="H86" s="167" t="str">
        <f>SUBSTITUTE(INDEX(Calc!$K:$K,(ROW(C85)-1)*5+COLUMN(C85)+1),",",".")</f>
        <v>1.1</v>
      </c>
      <c r="I86" s="167" t="str">
        <f>SUBSTITUTE(INDEX(Calc!$K:$K,(ROW(D85)-1)*5+COLUMN(D85)+1),",",".")</f>
        <v>1.05</v>
      </c>
      <c r="J86" s="167" t="str">
        <f>SUBSTITUTE(INDEX(Calc!$K:$K,(ROW(E85)-1)*5+COLUMN(E85)+1),",",".")</f>
        <v>0.97</v>
      </c>
      <c r="K86" s="166" t="s">
        <v>898</v>
      </c>
      <c r="L86" s="167" t="str">
        <f>Закуп!AA86</f>
        <v>Самосборные</v>
      </c>
      <c r="M86" s="166" t="s">
        <v>899</v>
      </c>
      <c r="N86" s="166">
        <f>IF(Закуп!L86="",0,Закуп!L86)</f>
        <v>0</v>
      </c>
      <c r="O86" s="166" t="s">
        <v>900</v>
      </c>
      <c r="P86" s="144">
        <f>Закуп!N86</f>
        <v>1</v>
      </c>
      <c r="Q86" s="210" t="str">
        <f t="shared" si="1"/>
        <v xml:space="preserve">        [ 'dims' =&gt; [250,250,55], 'prices' =&gt; [1.37,1.22,1.1,1.05,0.97], 'type' =&gt; "Самосборные", 'sale' =&gt; "0" ],</v>
      </c>
    </row>
    <row r="87" spans="1:17" x14ac:dyDescent="0.4">
      <c r="A87" s="166" t="s">
        <v>896</v>
      </c>
      <c r="B87" s="166">
        <f>Закуп!R87</f>
        <v>370</v>
      </c>
      <c r="C87" s="166">
        <f>Закуп!S87</f>
        <v>280</v>
      </c>
      <c r="D87" s="166">
        <f>Закуп!T87</f>
        <v>60</v>
      </c>
      <c r="E87" s="166" t="s">
        <v>897</v>
      </c>
      <c r="F87" s="167" t="str">
        <f>SUBSTITUTE(INDEX(Calc!$K:$K,(ROW(A86)-1)*5+COLUMN(A86)+1),",",".")</f>
        <v>1.95</v>
      </c>
      <c r="G87" s="167" t="str">
        <f>SUBSTITUTE(INDEX(Calc!$K:$K,(ROW(B86)-1)*5+COLUMN(B86)+1),",",".")</f>
        <v>1.78</v>
      </c>
      <c r="H87" s="167" t="str">
        <f>SUBSTITUTE(INDEX(Calc!$K:$K,(ROW(C86)-1)*5+COLUMN(C86)+1),",",".")</f>
        <v>1.4</v>
      </c>
      <c r="I87" s="167" t="str">
        <f>SUBSTITUTE(INDEX(Calc!$K:$K,(ROW(D86)-1)*5+COLUMN(D86)+1),",",".")</f>
        <v>1.32</v>
      </c>
      <c r="J87" s="167" t="str">
        <f>SUBSTITUTE(INDEX(Calc!$K:$K,(ROW(E86)-1)*5+COLUMN(E86)+1),",",".")</f>
        <v>1.16</v>
      </c>
      <c r="K87" s="166" t="s">
        <v>898</v>
      </c>
      <c r="L87" s="167" t="str">
        <f>Закуп!AA87</f>
        <v>Самосборные</v>
      </c>
      <c r="M87" s="166" t="s">
        <v>899</v>
      </c>
      <c r="N87" s="166">
        <f>IF(Закуп!L87="",0,Закуп!L87)</f>
        <v>0</v>
      </c>
      <c r="O87" s="166" t="s">
        <v>900</v>
      </c>
      <c r="P87" s="144">
        <f>Закуп!N87</f>
        <v>1</v>
      </c>
      <c r="Q87" s="210" t="str">
        <f t="shared" si="1"/>
        <v xml:space="preserve">        [ 'dims' =&gt; [370,280,60], 'prices' =&gt; [1.95,1.78,1.4,1.32,1.16], 'type' =&gt; "Самосборные", 'sale' =&gt; "0" ],</v>
      </c>
    </row>
    <row r="88" spans="1:17" x14ac:dyDescent="0.4">
      <c r="A88" s="166" t="s">
        <v>896</v>
      </c>
      <c r="B88" s="166">
        <f>Закуп!R88</f>
        <v>125</v>
      </c>
      <c r="C88" s="166">
        <f>Закуп!S88</f>
        <v>125</v>
      </c>
      <c r="D88" s="166">
        <f>Закуп!T88</f>
        <v>90</v>
      </c>
      <c r="E88" s="166" t="s">
        <v>897</v>
      </c>
      <c r="F88" s="167" t="str">
        <f>SUBSTITUTE(INDEX(Calc!$K:$K,(ROW(A87)-1)*5+COLUMN(A87)+1),",",".")</f>
        <v>1.07</v>
      </c>
      <c r="G88" s="167" t="str">
        <f>SUBSTITUTE(INDEX(Calc!$K:$K,(ROW(B87)-1)*5+COLUMN(B87)+1),",",".")</f>
        <v>0.9</v>
      </c>
      <c r="H88" s="167" t="str">
        <f>SUBSTITUTE(INDEX(Calc!$K:$K,(ROW(C87)-1)*5+COLUMN(C87)+1),",",".")</f>
        <v>0.82</v>
      </c>
      <c r="I88" s="167" t="str">
        <f>SUBSTITUTE(INDEX(Calc!$K:$K,(ROW(D87)-1)*5+COLUMN(D87)+1),",",".")</f>
        <v>0.75</v>
      </c>
      <c r="J88" s="167" t="str">
        <f>SUBSTITUTE(INDEX(Calc!$K:$K,(ROW(E87)-1)*5+COLUMN(E87)+1),",",".")</f>
        <v>0.7</v>
      </c>
      <c r="K88" s="166" t="s">
        <v>898</v>
      </c>
      <c r="L88" s="167" t="str">
        <f>Закуп!AA88</f>
        <v>Самосборные</v>
      </c>
      <c r="M88" s="166" t="s">
        <v>899</v>
      </c>
      <c r="N88" s="166">
        <f>IF(Закуп!L88="",0,Закуп!L88)</f>
        <v>0</v>
      </c>
      <c r="O88" s="166" t="s">
        <v>900</v>
      </c>
      <c r="P88" s="144">
        <f>Закуп!N88</f>
        <v>1</v>
      </c>
      <c r="Q88" s="210" t="str">
        <f t="shared" si="1"/>
        <v xml:space="preserve">        [ 'dims' =&gt; [125,125,90], 'prices' =&gt; [1.07,0.9,0.82,0.75,0.7], 'type' =&gt; "Самосборные", 'sale' =&gt; "0" ],</v>
      </c>
    </row>
    <row r="89" spans="1:17" x14ac:dyDescent="0.4">
      <c r="A89" s="166" t="s">
        <v>896</v>
      </c>
      <c r="B89" s="166">
        <f>Закуп!R89</f>
        <v>495</v>
      </c>
      <c r="C89" s="166">
        <f>Закуп!S89</f>
        <v>90</v>
      </c>
      <c r="D89" s="166">
        <f>Закуп!T89</f>
        <v>300</v>
      </c>
      <c r="E89" s="166" t="s">
        <v>897</v>
      </c>
      <c r="F89" s="167" t="str">
        <f>SUBSTITUTE(INDEX(Calc!$K:$K,(ROW(A88)-1)*5+COLUMN(A88)+1),",",".")</f>
        <v>2.31</v>
      </c>
      <c r="G89" s="167" t="str">
        <f>SUBSTITUTE(INDEX(Calc!$K:$K,(ROW(B88)-1)*5+COLUMN(B88)+1),",",".")</f>
        <v>2.11</v>
      </c>
      <c r="H89" s="167" t="str">
        <f>SUBSTITUTE(INDEX(Calc!$K:$K,(ROW(C88)-1)*5+COLUMN(C88)+1),",",".")</f>
        <v>1.65</v>
      </c>
      <c r="I89" s="167" t="str">
        <f>SUBSTITUTE(INDEX(Calc!$K:$K,(ROW(D88)-1)*5+COLUMN(D88)+1),",",".")</f>
        <v>1.42</v>
      </c>
      <c r="J89" s="167" t="str">
        <f>SUBSTITUTE(INDEX(Calc!$K:$K,(ROW(E88)-1)*5+COLUMN(E88)+1),",",".")</f>
        <v>1.33</v>
      </c>
      <c r="K89" s="166" t="s">
        <v>898</v>
      </c>
      <c r="L89" s="167" t="str">
        <f>Закуп!AA89</f>
        <v>Четырехклапанные</v>
      </c>
      <c r="M89" s="166" t="s">
        <v>899</v>
      </c>
      <c r="N89" s="166">
        <f>IF(Закуп!L89="",0,Закуп!L89)</f>
        <v>0</v>
      </c>
      <c r="O89" s="166" t="s">
        <v>900</v>
      </c>
      <c r="P89" s="144">
        <f>Закуп!N89</f>
        <v>1</v>
      </c>
      <c r="Q89" s="210" t="str">
        <f t="shared" si="1"/>
        <v xml:space="preserve">        [ 'dims' =&gt; [495,90,300], 'prices' =&gt; [2.31,2.11,1.65,1.42,1.33], 'type' =&gt; "Четырехклапанные", 'sale' =&gt; "0" ],</v>
      </c>
    </row>
    <row r="90" spans="1:17" x14ac:dyDescent="0.4">
      <c r="A90" s="166" t="s">
        <v>896</v>
      </c>
      <c r="B90" s="166">
        <f>Закуп!R90</f>
        <v>175</v>
      </c>
      <c r="C90" s="166">
        <f>Закуп!S90</f>
        <v>175</v>
      </c>
      <c r="D90" s="166">
        <f>Закуп!T90</f>
        <v>90</v>
      </c>
      <c r="E90" s="166" t="s">
        <v>897</v>
      </c>
      <c r="F90" s="167" t="str">
        <f>SUBSTITUTE(INDEX(Calc!$K:$K,(ROW(A89)-1)*5+COLUMN(A89)+1),",",".")</f>
        <v>1.39</v>
      </c>
      <c r="G90" s="167" t="str">
        <f>SUBSTITUTE(INDEX(Calc!$K:$K,(ROW(B89)-1)*5+COLUMN(B89)+1),",",".")</f>
        <v>1.21</v>
      </c>
      <c r="H90" s="167" t="str">
        <f>SUBSTITUTE(INDEX(Calc!$K:$K,(ROW(C89)-1)*5+COLUMN(C89)+1),",",".")</f>
        <v>1.03</v>
      </c>
      <c r="I90" s="167" t="str">
        <f>SUBSTITUTE(INDEX(Calc!$K:$K,(ROW(D89)-1)*5+COLUMN(D89)+1),",",".")</f>
        <v>0.96</v>
      </c>
      <c r="J90" s="167" t="str">
        <f>SUBSTITUTE(INDEX(Calc!$K:$K,(ROW(E89)-1)*5+COLUMN(E89)+1),",",".")</f>
        <v>0.9</v>
      </c>
      <c r="K90" s="166" t="s">
        <v>898</v>
      </c>
      <c r="L90" s="167" t="str">
        <f>Закуп!AA90</f>
        <v>Самосборные</v>
      </c>
      <c r="M90" s="166" t="s">
        <v>899</v>
      </c>
      <c r="N90" s="166">
        <f>IF(Закуп!L90="",0,Закуп!L90)</f>
        <v>0</v>
      </c>
      <c r="O90" s="166" t="s">
        <v>900</v>
      </c>
      <c r="P90" s="144">
        <f>Закуп!N90</f>
        <v>1</v>
      </c>
      <c r="Q90" s="210" t="str">
        <f t="shared" si="1"/>
        <v xml:space="preserve">        [ 'dims' =&gt; [175,175,90], 'prices' =&gt; [1.39,1.21,1.03,0.96,0.9], 'type' =&gt; "Самосборные", 'sale' =&gt; "0" ],</v>
      </c>
    </row>
    <row r="91" spans="1:17" x14ac:dyDescent="0.4">
      <c r="A91" s="166" t="s">
        <v>896</v>
      </c>
      <c r="B91" s="166">
        <f>Закуп!R91</f>
        <v>220</v>
      </c>
      <c r="C91" s="166">
        <f>Закуп!S91</f>
        <v>120</v>
      </c>
      <c r="D91" s="166">
        <f>Закуп!T91</f>
        <v>155</v>
      </c>
      <c r="E91" s="166" t="s">
        <v>897</v>
      </c>
      <c r="F91" s="167" t="str">
        <f>SUBSTITUTE(INDEX(Calc!$K:$K,(ROW(A90)-1)*5+COLUMN(A90)+1),",",".")</f>
        <v>1.39</v>
      </c>
      <c r="G91" s="167" t="str">
        <f>SUBSTITUTE(INDEX(Calc!$K:$K,(ROW(B90)-1)*5+COLUMN(B90)+1),",",".")</f>
        <v>1.21</v>
      </c>
      <c r="H91" s="167" t="str">
        <f>SUBSTITUTE(INDEX(Calc!$K:$K,(ROW(C90)-1)*5+COLUMN(C90)+1),",",".")</f>
        <v>1.03</v>
      </c>
      <c r="I91" s="167" t="str">
        <f>SUBSTITUTE(INDEX(Calc!$K:$K,(ROW(D90)-1)*5+COLUMN(D90)+1),",",".")</f>
        <v>0.96</v>
      </c>
      <c r="J91" s="167" t="str">
        <f>SUBSTITUTE(INDEX(Calc!$K:$K,(ROW(E90)-1)*5+COLUMN(E90)+1),",",".")</f>
        <v>0.9</v>
      </c>
      <c r="K91" s="166" t="s">
        <v>898</v>
      </c>
      <c r="L91" s="167" t="str">
        <f>Закуп!AA91</f>
        <v>Самосборные</v>
      </c>
      <c r="M91" s="166" t="s">
        <v>899</v>
      </c>
      <c r="N91" s="166">
        <f>IF(Закуп!L91="",0,Закуп!L91)</f>
        <v>0</v>
      </c>
      <c r="O91" s="166" t="s">
        <v>900</v>
      </c>
      <c r="P91" s="144">
        <f>Закуп!N91</f>
        <v>1</v>
      </c>
      <c r="Q91" s="210" t="str">
        <f t="shared" si="1"/>
        <v xml:space="preserve">        [ 'dims' =&gt; [220,120,155], 'prices' =&gt; [1.39,1.21,1.03,0.96,0.9], 'type' =&gt; "Самосборные", 'sale' =&gt; "0" ],</v>
      </c>
    </row>
    <row r="92" spans="1:17" x14ac:dyDescent="0.4">
      <c r="A92" s="166" t="s">
        <v>896</v>
      </c>
      <c r="B92" s="166">
        <f>Закуп!R92</f>
        <v>390</v>
      </c>
      <c r="C92" s="166">
        <f>Закуп!S92</f>
        <v>325</v>
      </c>
      <c r="D92" s="166">
        <f>Закуп!T92</f>
        <v>370</v>
      </c>
      <c r="E92" s="166" t="s">
        <v>897</v>
      </c>
      <c r="F92" s="167" t="str">
        <f>SUBSTITUTE(INDEX(Calc!$K:$K,(ROW(A91)-1)*5+COLUMN(A91)+1),",",".")</f>
        <v>4.57</v>
      </c>
      <c r="G92" s="167" t="str">
        <f>SUBSTITUTE(INDEX(Calc!$K:$K,(ROW(B91)-1)*5+COLUMN(B91)+1),",",".")</f>
        <v>3.61</v>
      </c>
      <c r="H92" s="167" t="str">
        <f>SUBSTITUTE(INDEX(Calc!$K:$K,(ROW(C91)-1)*5+COLUMN(C91)+1),",",".")</f>
        <v>2.97</v>
      </c>
      <c r="I92" s="167" t="str">
        <f>SUBSTITUTE(INDEX(Calc!$K:$K,(ROW(D91)-1)*5+COLUMN(D91)+1),",",".")</f>
        <v>2.88</v>
      </c>
      <c r="J92" s="167" t="str">
        <f>SUBSTITUTE(INDEX(Calc!$K:$K,(ROW(E91)-1)*5+COLUMN(E91)+1),",",".")</f>
        <v>2.79</v>
      </c>
      <c r="K92" s="166" t="s">
        <v>898</v>
      </c>
      <c r="L92" s="167" t="str">
        <f>Закуп!AA92</f>
        <v>Четырехклапанные</v>
      </c>
      <c r="M92" s="166" t="s">
        <v>899</v>
      </c>
      <c r="N92" s="166">
        <f>IF(Закуп!L92="",0,Закуп!L92)</f>
        <v>0</v>
      </c>
      <c r="O92" s="166" t="s">
        <v>900</v>
      </c>
      <c r="P92" s="144">
        <f>Закуп!N92</f>
        <v>1</v>
      </c>
      <c r="Q92" s="210" t="str">
        <f t="shared" si="1"/>
        <v xml:space="preserve">        [ 'dims' =&gt; [390,325,370], 'prices' =&gt; [4.57,3.61,2.97,2.88,2.79], 'type' =&gt; "Четырехклапанные", 'sale' =&gt; "0" ],</v>
      </c>
    </row>
    <row r="93" spans="1:17" x14ac:dyDescent="0.4">
      <c r="A93" s="166" t="s">
        <v>896</v>
      </c>
      <c r="B93" s="166">
        <f>Закуп!R93</f>
        <v>570</v>
      </c>
      <c r="C93" s="166">
        <f>Закуп!S93</f>
        <v>350</v>
      </c>
      <c r="D93" s="166">
        <f>Закуп!T93</f>
        <v>190</v>
      </c>
      <c r="E93" s="166" t="s">
        <v>897</v>
      </c>
      <c r="F93" s="167" t="str">
        <f>SUBSTITUTE(INDEX(Calc!$K:$K,(ROW(A92)-1)*5+COLUMN(A92)+1),",",".")</f>
        <v>4.55</v>
      </c>
      <c r="G93" s="167" t="str">
        <f>SUBSTITUTE(INDEX(Calc!$K:$K,(ROW(B92)-1)*5+COLUMN(B92)+1),",",".")</f>
        <v>3.6</v>
      </c>
      <c r="H93" s="167" t="str">
        <f>SUBSTITUTE(INDEX(Calc!$K:$K,(ROW(C92)-1)*5+COLUMN(C92)+1),",",".")</f>
        <v>2.95</v>
      </c>
      <c r="I93" s="167" t="str">
        <f>SUBSTITUTE(INDEX(Calc!$K:$K,(ROW(D92)-1)*5+COLUMN(D92)+1),",",".")</f>
        <v>2.87</v>
      </c>
      <c r="J93" s="167" t="str">
        <f>SUBSTITUTE(INDEX(Calc!$K:$K,(ROW(E92)-1)*5+COLUMN(E92)+1),",",".")</f>
        <v>2.77</v>
      </c>
      <c r="K93" s="166" t="s">
        <v>898</v>
      </c>
      <c r="L93" s="167" t="str">
        <f>Закуп!AA93</f>
        <v>Четырехклапанные</v>
      </c>
      <c r="M93" s="166" t="s">
        <v>899</v>
      </c>
      <c r="N93" s="166">
        <f>IF(Закуп!L93="",0,Закуп!L93)</f>
        <v>0</v>
      </c>
      <c r="O93" s="166" t="s">
        <v>900</v>
      </c>
      <c r="P93" s="144">
        <f>Закуп!N93</f>
        <v>1</v>
      </c>
      <c r="Q93" s="210" t="str">
        <f t="shared" si="1"/>
        <v xml:space="preserve">        [ 'dims' =&gt; [570,350,190], 'prices' =&gt; [4.55,3.6,2.95,2.87,2.77], 'type' =&gt; "Четырехклапанные", 'sale' =&gt; "0" ],</v>
      </c>
    </row>
    <row r="94" spans="1:17" x14ac:dyDescent="0.4">
      <c r="A94" s="166" t="s">
        <v>896</v>
      </c>
      <c r="B94" s="166">
        <f>Закуп!R94</f>
        <v>200</v>
      </c>
      <c r="C94" s="166">
        <f>Закуп!S94</f>
        <v>90</v>
      </c>
      <c r="D94" s="166">
        <f>Закуп!T94</f>
        <v>40</v>
      </c>
      <c r="E94" s="166" t="s">
        <v>897</v>
      </c>
      <c r="F94" s="167" t="str">
        <f>SUBSTITUTE(INDEX(Calc!$K:$K,(ROW(A93)-1)*5+COLUMN(A93)+1),",",".")</f>
        <v>1.03</v>
      </c>
      <c r="G94" s="167" t="str">
        <f>SUBSTITUTE(INDEX(Calc!$K:$K,(ROW(B93)-1)*5+COLUMN(B93)+1),",",".")</f>
        <v>0.89</v>
      </c>
      <c r="H94" s="167" t="str">
        <f>SUBSTITUTE(INDEX(Calc!$K:$K,(ROW(C93)-1)*5+COLUMN(C93)+1),",",".")</f>
        <v>0.71</v>
      </c>
      <c r="I94" s="167" t="str">
        <f>SUBSTITUTE(INDEX(Calc!$K:$K,(ROW(D93)-1)*5+COLUMN(D93)+1),",",".")</f>
        <v>0.65</v>
      </c>
      <c r="J94" s="167" t="str">
        <f>SUBSTITUTE(INDEX(Calc!$K:$K,(ROW(E93)-1)*5+COLUMN(E93)+1),",",".")</f>
        <v>0.56</v>
      </c>
      <c r="K94" s="166" t="s">
        <v>898</v>
      </c>
      <c r="L94" s="167" t="str">
        <f>Закуп!AA94</f>
        <v>Самосборные</v>
      </c>
      <c r="M94" s="166" t="s">
        <v>899</v>
      </c>
      <c r="N94" s="166">
        <f>IF(Закуп!L94="",0,Закуп!L94)</f>
        <v>0</v>
      </c>
      <c r="O94" s="166" t="s">
        <v>900</v>
      </c>
      <c r="P94" s="144">
        <f>Закуп!N94</f>
        <v>1</v>
      </c>
      <c r="Q94" s="210" t="str">
        <f t="shared" si="1"/>
        <v xml:space="preserve">        [ 'dims' =&gt; [200,90,40], 'prices' =&gt; [1.03,0.89,0.71,0.65,0.56], 'type' =&gt; "Самосборные", 'sale' =&gt; "0" ],</v>
      </c>
    </row>
    <row r="95" spans="1:17" x14ac:dyDescent="0.4">
      <c r="A95" s="166" t="s">
        <v>896</v>
      </c>
      <c r="B95" s="166">
        <f>Закуп!R95</f>
        <v>74</v>
      </c>
      <c r="C95" s="166">
        <f>Закуп!S95</f>
        <v>71</v>
      </c>
      <c r="D95" s="166">
        <f>Закуп!T95</f>
        <v>247</v>
      </c>
      <c r="E95" s="166" t="s">
        <v>897</v>
      </c>
      <c r="F95" s="167" t="str">
        <f>SUBSTITUTE(INDEX(Calc!$K:$K,(ROW(A94)-1)*5+COLUMN(A94)+1),",",".")</f>
        <v>1.03</v>
      </c>
      <c r="G95" s="167" t="str">
        <f>SUBSTITUTE(INDEX(Calc!$K:$K,(ROW(B94)-1)*5+COLUMN(B94)+1),",",".")</f>
        <v>0.89</v>
      </c>
      <c r="H95" s="167" t="str">
        <f>SUBSTITUTE(INDEX(Calc!$K:$K,(ROW(C94)-1)*5+COLUMN(C94)+1),",",".")</f>
        <v>0.71</v>
      </c>
      <c r="I95" s="167" t="str">
        <f>SUBSTITUTE(INDEX(Calc!$K:$K,(ROW(D94)-1)*5+COLUMN(D94)+1),",",".")</f>
        <v>0.65</v>
      </c>
      <c r="J95" s="167" t="str">
        <f>SUBSTITUTE(INDEX(Calc!$K:$K,(ROW(E94)-1)*5+COLUMN(E94)+1),",",".")</f>
        <v>0.56</v>
      </c>
      <c r="K95" s="166" t="s">
        <v>898</v>
      </c>
      <c r="L95" s="167" t="str">
        <f>Закуп!AA95</f>
        <v>Самосборные</v>
      </c>
      <c r="M95" s="166" t="s">
        <v>899</v>
      </c>
      <c r="N95" s="166">
        <f>IF(Закуп!L95="",0,Закуп!L95)</f>
        <v>0</v>
      </c>
      <c r="O95" s="166" t="s">
        <v>900</v>
      </c>
      <c r="P95" s="144">
        <f>Закуп!N95</f>
        <v>1</v>
      </c>
      <c r="Q95" s="210" t="str">
        <f t="shared" si="1"/>
        <v xml:space="preserve">        [ 'dims' =&gt; [74,71,247], 'prices' =&gt; [1.03,0.89,0.71,0.65,0.56], 'type' =&gt; "Самосборные", 'sale' =&gt; "0" ],</v>
      </c>
    </row>
    <row r="96" spans="1:17" x14ac:dyDescent="0.4">
      <c r="A96" s="166" t="s">
        <v>896</v>
      </c>
      <c r="B96" s="166">
        <f>Закуп!R96</f>
        <v>235</v>
      </c>
      <c r="C96" s="166">
        <f>Закуп!S96</f>
        <v>35</v>
      </c>
      <c r="D96" s="166">
        <f>Закуп!T96</f>
        <v>35</v>
      </c>
      <c r="E96" s="166" t="s">
        <v>897</v>
      </c>
      <c r="F96" s="167" t="str">
        <f>SUBSTITUTE(INDEX(Calc!$K:$K,(ROW(A95)-1)*5+COLUMN(A95)+1),",",".")</f>
        <v>1.16</v>
      </c>
      <c r="G96" s="167" t="str">
        <f>SUBSTITUTE(INDEX(Calc!$K:$K,(ROW(B95)-1)*5+COLUMN(B95)+1),",",".")</f>
        <v>1.02</v>
      </c>
      <c r="H96" s="167" t="str">
        <f>SUBSTITUTE(INDEX(Calc!$K:$K,(ROW(C95)-1)*5+COLUMN(C95)+1),",",".")</f>
        <v>0.87</v>
      </c>
      <c r="I96" s="167" t="str">
        <f>SUBSTITUTE(INDEX(Calc!$K:$K,(ROW(D95)-1)*5+COLUMN(D95)+1),",",".")</f>
        <v>0.73</v>
      </c>
      <c r="J96" s="167" t="str">
        <f>SUBSTITUTE(INDEX(Calc!$K:$K,(ROW(E95)-1)*5+COLUMN(E95)+1),",",".")</f>
        <v>0.59</v>
      </c>
      <c r="K96" s="166" t="s">
        <v>898</v>
      </c>
      <c r="L96" s="167" t="str">
        <f>Закуп!AA96</f>
        <v>Самосборные</v>
      </c>
      <c r="M96" s="166" t="s">
        <v>899</v>
      </c>
      <c r="N96" s="166">
        <f>IF(Закуп!L96="",0,Закуп!L96)</f>
        <v>0</v>
      </c>
      <c r="O96" s="166" t="s">
        <v>900</v>
      </c>
      <c r="P96" s="144">
        <f>Закуп!N96</f>
        <v>1</v>
      </c>
      <c r="Q96" s="210" t="str">
        <f t="shared" si="1"/>
        <v xml:space="preserve">        [ 'dims' =&gt; [235,35,35], 'prices' =&gt; [1.16,1.02,0.87,0.73,0.59], 'type' =&gt; "Самосборные", 'sale' =&gt; "0" ],</v>
      </c>
    </row>
    <row r="97" spans="1:17" x14ac:dyDescent="0.4">
      <c r="A97" s="166" t="s">
        <v>896</v>
      </c>
      <c r="B97" s="166">
        <f>Закуп!R97</f>
        <v>290</v>
      </c>
      <c r="C97" s="166">
        <f>Закуп!S97</f>
        <v>230</v>
      </c>
      <c r="D97" s="166">
        <f>Закуп!T97</f>
        <v>155</v>
      </c>
      <c r="E97" s="166" t="s">
        <v>897</v>
      </c>
      <c r="F97" s="167" t="str">
        <f>SUBSTITUTE(INDEX(Calc!$K:$K,(ROW(A96)-1)*5+COLUMN(A96)+1),",",".")</f>
        <v>1.77</v>
      </c>
      <c r="G97" s="167" t="str">
        <f>SUBSTITUTE(INDEX(Calc!$K:$K,(ROW(B96)-1)*5+COLUMN(B96)+1),",",".")</f>
        <v>1.61</v>
      </c>
      <c r="H97" s="167" t="str">
        <f>SUBSTITUTE(INDEX(Calc!$K:$K,(ROW(C96)-1)*5+COLUMN(C96)+1),",",".")</f>
        <v>1.47</v>
      </c>
      <c r="I97" s="167" t="str">
        <f>SUBSTITUTE(INDEX(Calc!$K:$K,(ROW(D96)-1)*5+COLUMN(D96)+1),",",".")</f>
        <v>1.35</v>
      </c>
      <c r="J97" s="167" t="str">
        <f>SUBSTITUTE(INDEX(Calc!$K:$K,(ROW(E96)-1)*5+COLUMN(E96)+1),",",".")</f>
        <v>1.2</v>
      </c>
      <c r="K97" s="166" t="s">
        <v>898</v>
      </c>
      <c r="L97" s="167" t="str">
        <f>Закуп!AA97</f>
        <v>Четырехклапанные</v>
      </c>
      <c r="M97" s="166" t="s">
        <v>899</v>
      </c>
      <c r="N97" s="166">
        <f>IF(Закуп!L97="",0,Закуп!L97)</f>
        <v>0</v>
      </c>
      <c r="O97" s="166" t="s">
        <v>900</v>
      </c>
      <c r="P97" s="144">
        <f>Закуп!N97</f>
        <v>1</v>
      </c>
      <c r="Q97" s="210" t="str">
        <f t="shared" si="1"/>
        <v xml:space="preserve">        [ 'dims' =&gt; [290,230,155], 'prices' =&gt; [1.77,1.61,1.47,1.35,1.2], 'type' =&gt; "Четырехклапанные", 'sale' =&gt; "0" ],</v>
      </c>
    </row>
    <row r="98" spans="1:17" x14ac:dyDescent="0.4">
      <c r="A98" s="166" t="s">
        <v>896</v>
      </c>
      <c r="B98" s="166">
        <f>Закуп!R98</f>
        <v>600</v>
      </c>
      <c r="C98" s="166">
        <f>Закуп!S98</f>
        <v>270</v>
      </c>
      <c r="D98" s="166">
        <f>Закуп!T98</f>
        <v>280</v>
      </c>
      <c r="E98" s="166" t="s">
        <v>897</v>
      </c>
      <c r="F98" s="167" t="str">
        <f>SUBSTITUTE(INDEX(Calc!$K:$K,(ROW(A97)-1)*5+COLUMN(A97)+1),",",".")</f>
        <v>4.39</v>
      </c>
      <c r="G98" s="167" t="str">
        <f>SUBSTITUTE(INDEX(Calc!$K:$K,(ROW(B97)-1)*5+COLUMN(B97)+1),",",".")</f>
        <v>3.47</v>
      </c>
      <c r="H98" s="167" t="str">
        <f>SUBSTITUTE(INDEX(Calc!$K:$K,(ROW(C97)-1)*5+COLUMN(C97)+1),",",".")</f>
        <v>2.86</v>
      </c>
      <c r="I98" s="167" t="str">
        <f>SUBSTITUTE(INDEX(Calc!$K:$K,(ROW(D97)-1)*5+COLUMN(D97)+1),",",".")</f>
        <v>2.77</v>
      </c>
      <c r="J98" s="167" t="str">
        <f>SUBSTITUTE(INDEX(Calc!$K:$K,(ROW(E97)-1)*5+COLUMN(E97)+1),",",".")</f>
        <v>2.68</v>
      </c>
      <c r="K98" s="166" t="s">
        <v>898</v>
      </c>
      <c r="L98" s="167" t="str">
        <f>Закуп!AA98</f>
        <v>Четырехклапанные</v>
      </c>
      <c r="M98" s="166" t="s">
        <v>899</v>
      </c>
      <c r="N98" s="166">
        <f>IF(Закуп!L98="",0,Закуп!L98)</f>
        <v>0</v>
      </c>
      <c r="O98" s="166" t="s">
        <v>900</v>
      </c>
      <c r="P98" s="144">
        <f>Закуп!N98</f>
        <v>1</v>
      </c>
      <c r="Q98" s="210" t="str">
        <f t="shared" si="1"/>
        <v xml:space="preserve">        [ 'dims' =&gt; [600,270,280], 'prices' =&gt; [4.39,3.47,2.86,2.77,2.68], 'type' =&gt; "Четырехклапанные", 'sale' =&gt; "0" ],</v>
      </c>
    </row>
    <row r="99" spans="1:17" x14ac:dyDescent="0.4">
      <c r="A99" s="166" t="s">
        <v>896</v>
      </c>
      <c r="B99" s="166">
        <f>Закуп!R99</f>
        <v>175</v>
      </c>
      <c r="C99" s="166">
        <f>Закуп!S99</f>
        <v>175</v>
      </c>
      <c r="D99" s="166">
        <f>Закуп!T99</f>
        <v>200</v>
      </c>
      <c r="E99" s="166" t="s">
        <v>897</v>
      </c>
      <c r="F99" s="167" t="str">
        <f>SUBSTITUTE(INDEX(Calc!$K:$K,(ROW(A98)-1)*5+COLUMN(A98)+1),",",".")</f>
        <v>1.44</v>
      </c>
      <c r="G99" s="167" t="str">
        <f>SUBSTITUTE(INDEX(Calc!$K:$K,(ROW(B98)-1)*5+COLUMN(B98)+1),",",".")</f>
        <v>1.26</v>
      </c>
      <c r="H99" s="167" t="str">
        <f>SUBSTITUTE(INDEX(Calc!$K:$K,(ROW(C98)-1)*5+COLUMN(C98)+1),",",".")</f>
        <v>1.07</v>
      </c>
      <c r="I99" s="167" t="str">
        <f>SUBSTITUTE(INDEX(Calc!$K:$K,(ROW(D98)-1)*5+COLUMN(D98)+1),",",".")</f>
        <v>1.01</v>
      </c>
      <c r="J99" s="167" t="str">
        <f>SUBSTITUTE(INDEX(Calc!$K:$K,(ROW(E98)-1)*5+COLUMN(E98)+1),",",".")</f>
        <v>0.94</v>
      </c>
      <c r="K99" s="166" t="s">
        <v>898</v>
      </c>
      <c r="L99" s="167" t="str">
        <f>Закуп!AA99</f>
        <v>Четырехклапанные</v>
      </c>
      <c r="M99" s="166" t="s">
        <v>899</v>
      </c>
      <c r="N99" s="166">
        <f>IF(Закуп!L99="",0,Закуп!L99)</f>
        <v>0</v>
      </c>
      <c r="O99" s="166" t="s">
        <v>900</v>
      </c>
      <c r="P99" s="144">
        <f>Закуп!N99</f>
        <v>1</v>
      </c>
      <c r="Q99" s="210" t="str">
        <f t="shared" si="1"/>
        <v xml:space="preserve">        [ 'dims' =&gt; [175,175,200], 'prices' =&gt; [1.44,1.26,1.07,1.01,0.94], 'type' =&gt; "Четырехклапанные", 'sale' =&gt; "0" ],</v>
      </c>
    </row>
    <row r="100" spans="1:17" x14ac:dyDescent="0.4">
      <c r="A100" s="166" t="s">
        <v>896</v>
      </c>
      <c r="B100" s="166">
        <f>Закуп!R100</f>
        <v>390</v>
      </c>
      <c r="C100" s="166">
        <f>Закуп!S100</f>
        <v>290</v>
      </c>
      <c r="D100" s="166">
        <f>Закуп!T100</f>
        <v>290</v>
      </c>
      <c r="E100" s="166" t="s">
        <v>897</v>
      </c>
      <c r="F100" s="167" t="str">
        <f>SUBSTITUTE(INDEX(Calc!$K:$K,(ROW(A99)-1)*5+COLUMN(A99)+1),",",".")</f>
        <v>3.62</v>
      </c>
      <c r="G100" s="167" t="str">
        <f>SUBSTITUTE(INDEX(Calc!$K:$K,(ROW(B99)-1)*5+COLUMN(B99)+1),",",".")</f>
        <v>2.9</v>
      </c>
      <c r="H100" s="167" t="str">
        <f>SUBSTITUTE(INDEX(Calc!$K:$K,(ROW(C99)-1)*5+COLUMN(C99)+1),",",".")</f>
        <v>2.44</v>
      </c>
      <c r="I100" s="167" t="str">
        <f>SUBSTITUTE(INDEX(Calc!$K:$K,(ROW(D99)-1)*5+COLUMN(D99)+1),",",".")</f>
        <v>2.32</v>
      </c>
      <c r="J100" s="167" t="str">
        <f>SUBSTITUTE(INDEX(Calc!$K:$K,(ROW(E99)-1)*5+COLUMN(E99)+1),",",".")</f>
        <v>2.2</v>
      </c>
      <c r="K100" s="166" t="s">
        <v>898</v>
      </c>
      <c r="L100" s="167" t="str">
        <f>Закуп!AA100</f>
        <v>Четырехклапанные</v>
      </c>
      <c r="M100" s="166" t="s">
        <v>899</v>
      </c>
      <c r="N100" s="166">
        <f>IF(Закуп!L100="",0,Закуп!L100)</f>
        <v>0</v>
      </c>
      <c r="O100" s="166" t="s">
        <v>900</v>
      </c>
      <c r="P100" s="144">
        <f>Закуп!N100</f>
        <v>1</v>
      </c>
      <c r="Q100" s="210" t="str">
        <f t="shared" si="1"/>
        <v xml:space="preserve">        [ 'dims' =&gt; [390,290,290], 'prices' =&gt; [3.62,2.9,2.44,2.32,2.2], 'type' =&gt; "Четырехклапанные", 'sale' =&gt; "0" ],</v>
      </c>
    </row>
    <row r="101" spans="1:17" x14ac:dyDescent="0.4">
      <c r="A101" s="166" t="s">
        <v>896</v>
      </c>
      <c r="B101" s="166">
        <f>Закуп!R101</f>
        <v>290</v>
      </c>
      <c r="C101" s="166">
        <f>Закуп!S101</f>
        <v>225</v>
      </c>
      <c r="D101" s="166">
        <f>Закуп!T101</f>
        <v>230</v>
      </c>
      <c r="E101" s="166" t="s">
        <v>897</v>
      </c>
      <c r="F101" s="167" t="str">
        <f>SUBSTITUTE(INDEX(Calc!$K:$K,(ROW(A100)-1)*5+COLUMN(A100)+1),",",".")</f>
        <v>2.4</v>
      </c>
      <c r="G101" s="167" t="str">
        <f>SUBSTITUTE(INDEX(Calc!$K:$K,(ROW(B100)-1)*5+COLUMN(B100)+1),",",".")</f>
        <v>2.18</v>
      </c>
      <c r="H101" s="167" t="str">
        <f>SUBSTITUTE(INDEX(Calc!$K:$K,(ROW(C100)-1)*5+COLUMN(C100)+1),",",".")</f>
        <v>1.7</v>
      </c>
      <c r="I101" s="167" t="str">
        <f>SUBSTITUTE(INDEX(Calc!$K:$K,(ROW(D100)-1)*5+COLUMN(D100)+1),",",".")</f>
        <v>1.48</v>
      </c>
      <c r="J101" s="167" t="str">
        <f>SUBSTITUTE(INDEX(Calc!$K:$K,(ROW(E100)-1)*5+COLUMN(E100)+1),",",".")</f>
        <v>1.38</v>
      </c>
      <c r="K101" s="166" t="s">
        <v>898</v>
      </c>
      <c r="L101" s="167" t="str">
        <f>Закуп!AA101</f>
        <v>Четырехклапанные</v>
      </c>
      <c r="M101" s="166" t="s">
        <v>899</v>
      </c>
      <c r="N101" s="166">
        <f>IF(Закуп!L101="",0,Закуп!L101)</f>
        <v>0</v>
      </c>
      <c r="O101" s="166" t="s">
        <v>900</v>
      </c>
      <c r="P101" s="144">
        <f>Закуп!N101</f>
        <v>1</v>
      </c>
      <c r="Q101" s="210" t="str">
        <f t="shared" si="1"/>
        <v xml:space="preserve">        [ 'dims' =&gt; [290,225,230], 'prices' =&gt; [2.4,2.18,1.7,1.48,1.38], 'type' =&gt; "Четырехклапанные", 'sale' =&gt; "0" ],</v>
      </c>
    </row>
    <row r="102" spans="1:17" x14ac:dyDescent="0.4">
      <c r="A102" s="166" t="s">
        <v>896</v>
      </c>
      <c r="B102" s="166">
        <f>Закуп!R102</f>
        <v>100</v>
      </c>
      <c r="C102" s="166">
        <f>Закуп!S102</f>
        <v>100</v>
      </c>
      <c r="D102" s="166">
        <f>Закуп!T102</f>
        <v>100</v>
      </c>
      <c r="E102" s="166" t="s">
        <v>897</v>
      </c>
      <c r="F102" s="167" t="str">
        <f>SUBSTITUTE(INDEX(Calc!$K:$K,(ROW(A101)-1)*5+COLUMN(A101)+1),",",".")</f>
        <v>0.98</v>
      </c>
      <c r="G102" s="167" t="str">
        <f>SUBSTITUTE(INDEX(Calc!$K:$K,(ROW(B101)-1)*5+COLUMN(B101)+1),",",".")</f>
        <v>0.86</v>
      </c>
      <c r="H102" s="167" t="str">
        <f>SUBSTITUTE(INDEX(Calc!$K:$K,(ROW(C101)-1)*5+COLUMN(C101)+1),",",".")</f>
        <v>0.74</v>
      </c>
      <c r="I102" s="167" t="str">
        <f>SUBSTITUTE(INDEX(Calc!$K:$K,(ROW(D101)-1)*5+COLUMN(D101)+1),",",".")</f>
        <v>0.67</v>
      </c>
      <c r="J102" s="167" t="str">
        <f>SUBSTITUTE(INDEX(Calc!$K:$K,(ROW(E101)-1)*5+COLUMN(E101)+1),",",".")</f>
        <v>0.59</v>
      </c>
      <c r="K102" s="166" t="s">
        <v>898</v>
      </c>
      <c r="L102" s="167" t="str">
        <f>Закуп!AA102</f>
        <v>Самосборные</v>
      </c>
      <c r="M102" s="166" t="s">
        <v>899</v>
      </c>
      <c r="N102" s="166">
        <f>IF(Закуп!L102="",0,Закуп!L102)</f>
        <v>0</v>
      </c>
      <c r="O102" s="166" t="s">
        <v>900</v>
      </c>
      <c r="P102" s="144">
        <f>Закуп!N102</f>
        <v>1</v>
      </c>
      <c r="Q102" s="210" t="str">
        <f t="shared" si="1"/>
        <v xml:space="preserve">        [ 'dims' =&gt; [100,100,100], 'prices' =&gt; [0.98,0.86,0.74,0.67,0.59], 'type' =&gt; "Самосборные", 'sale' =&gt; "0" ],</v>
      </c>
    </row>
    <row r="103" spans="1:17" x14ac:dyDescent="0.4">
      <c r="A103" s="166" t="s">
        <v>896</v>
      </c>
      <c r="B103" s="166">
        <f>Закуп!R103</f>
        <v>150</v>
      </c>
      <c r="C103" s="166">
        <f>Закуп!S103</f>
        <v>115</v>
      </c>
      <c r="D103" s="166">
        <f>Закуп!T103</f>
        <v>135</v>
      </c>
      <c r="E103" s="166" t="s">
        <v>897</v>
      </c>
      <c r="F103" s="167" t="str">
        <f>SUBSTITUTE(INDEX(Calc!$K:$K,(ROW(A102)-1)*5+COLUMN(A102)+1),",",".")</f>
        <v>0.89</v>
      </c>
      <c r="G103" s="167" t="str">
        <f>SUBSTITUTE(INDEX(Calc!$K:$K,(ROW(B102)-1)*5+COLUMN(B102)+1),",",".")</f>
        <v>0.76</v>
      </c>
      <c r="H103" s="167" t="str">
        <f>SUBSTITUTE(INDEX(Calc!$K:$K,(ROW(C102)-1)*5+COLUMN(C102)+1),",",".")</f>
        <v>0.61</v>
      </c>
      <c r="I103" s="167" t="str">
        <f>SUBSTITUTE(INDEX(Calc!$K:$K,(ROW(D102)-1)*5+COLUMN(D102)+1),",",".")</f>
        <v>0.57</v>
      </c>
      <c r="J103" s="167" t="str">
        <f>SUBSTITUTE(INDEX(Calc!$K:$K,(ROW(E102)-1)*5+COLUMN(E102)+1),",",".")</f>
        <v>0.48</v>
      </c>
      <c r="K103" s="166" t="s">
        <v>898</v>
      </c>
      <c r="L103" s="167" t="str">
        <f>Закуп!AA103</f>
        <v>Четырехклапанные</v>
      </c>
      <c r="M103" s="166" t="s">
        <v>899</v>
      </c>
      <c r="N103" s="166">
        <f>IF(Закуп!L103="",0,Закуп!L103)</f>
        <v>0</v>
      </c>
      <c r="O103" s="166" t="s">
        <v>900</v>
      </c>
      <c r="P103" s="144">
        <f>Закуп!N103</f>
        <v>1</v>
      </c>
      <c r="Q103" s="210" t="str">
        <f t="shared" si="1"/>
        <v xml:space="preserve">        [ 'dims' =&gt; [150,115,135], 'prices' =&gt; [0.89,0.76,0.61,0.57,0.48], 'type' =&gt; "Четырехклапанные", 'sale' =&gt; "0" ],</v>
      </c>
    </row>
    <row r="104" spans="1:17" x14ac:dyDescent="0.4">
      <c r="A104" s="166" t="s">
        <v>896</v>
      </c>
      <c r="B104" s="166">
        <f>Закуп!R104</f>
        <v>290</v>
      </c>
      <c r="C104" s="166">
        <f>Закуп!S104</f>
        <v>225</v>
      </c>
      <c r="D104" s="166">
        <f>Закуп!T104</f>
        <v>110</v>
      </c>
      <c r="E104" s="166" t="s">
        <v>897</v>
      </c>
      <c r="F104" s="167" t="str">
        <f>SUBSTITUTE(INDEX(Calc!$K:$K,(ROW(A103)-1)*5+COLUMN(A103)+1),",",".")</f>
        <v>1.78</v>
      </c>
      <c r="G104" s="167" t="str">
        <f>SUBSTITUTE(INDEX(Calc!$K:$K,(ROW(B103)-1)*5+COLUMN(B103)+1),",",".")</f>
        <v>1.62</v>
      </c>
      <c r="H104" s="167" t="str">
        <f>SUBSTITUTE(INDEX(Calc!$K:$K,(ROW(C103)-1)*5+COLUMN(C103)+1),",",".")</f>
        <v>1.27</v>
      </c>
      <c r="I104" s="167" t="str">
        <f>SUBSTITUTE(INDEX(Calc!$K:$K,(ROW(D103)-1)*5+COLUMN(D103)+1),",",".")</f>
        <v>1.2</v>
      </c>
      <c r="J104" s="167" t="str">
        <f>SUBSTITUTE(INDEX(Calc!$K:$K,(ROW(E103)-1)*5+COLUMN(E103)+1),",",".")</f>
        <v>1.05</v>
      </c>
      <c r="K104" s="166" t="s">
        <v>898</v>
      </c>
      <c r="L104" s="167" t="str">
        <f>Закуп!AA104</f>
        <v>Четырехклапанные</v>
      </c>
      <c r="M104" s="166" t="s">
        <v>899</v>
      </c>
      <c r="N104" s="166">
        <f>IF(Закуп!L104="",0,Закуп!L104)</f>
        <v>0</v>
      </c>
      <c r="O104" s="166" t="s">
        <v>900</v>
      </c>
      <c r="P104" s="144">
        <f>Закуп!N104</f>
        <v>1</v>
      </c>
      <c r="Q104" s="210" t="str">
        <f t="shared" si="1"/>
        <v xml:space="preserve">        [ 'dims' =&gt; [290,225,110], 'prices' =&gt; [1.78,1.62,1.27,1.2,1.05], 'type' =&gt; "Четырехклапанные", 'sale' =&gt; "0" ],</v>
      </c>
    </row>
    <row r="105" spans="1:17" x14ac:dyDescent="0.4">
      <c r="A105" s="166" t="s">
        <v>896</v>
      </c>
      <c r="B105" s="166">
        <f>Закуп!R105</f>
        <v>330</v>
      </c>
      <c r="C105" s="166">
        <f>Закуп!S105</f>
        <v>180</v>
      </c>
      <c r="D105" s="166">
        <f>Закуп!T105</f>
        <v>95</v>
      </c>
      <c r="E105" s="166" t="s">
        <v>897</v>
      </c>
      <c r="F105" s="167" t="str">
        <f>SUBSTITUTE(INDEX(Calc!$K:$K,(ROW(A104)-1)*5+COLUMN(A104)+1),",",".")</f>
        <v>1.44</v>
      </c>
      <c r="G105" s="167" t="str">
        <f>SUBSTITUTE(INDEX(Calc!$K:$K,(ROW(B104)-1)*5+COLUMN(B104)+1),",",".")</f>
        <v>1.31</v>
      </c>
      <c r="H105" s="167" t="str">
        <f>SUBSTITUTE(INDEX(Calc!$K:$K,(ROW(C104)-1)*5+COLUMN(C104)+1),",",".")</f>
        <v>1.04</v>
      </c>
      <c r="I105" s="167" t="str">
        <f>SUBSTITUTE(INDEX(Calc!$K:$K,(ROW(D104)-1)*5+COLUMN(D104)+1),",",".")</f>
        <v>0.97</v>
      </c>
      <c r="J105" s="167" t="str">
        <f>SUBSTITUTE(INDEX(Calc!$K:$K,(ROW(E104)-1)*5+COLUMN(E104)+1),",",".")</f>
        <v>0.92</v>
      </c>
      <c r="K105" s="166" t="s">
        <v>898</v>
      </c>
      <c r="L105" s="167" t="str">
        <f>Закуп!AA105</f>
        <v>Четырехклапанные</v>
      </c>
      <c r="M105" s="166" t="s">
        <v>899</v>
      </c>
      <c r="N105" s="166">
        <f>IF(Закуп!L105="",0,Закуп!L105)</f>
        <v>0</v>
      </c>
      <c r="O105" s="166" t="s">
        <v>900</v>
      </c>
      <c r="P105" s="144">
        <f>Закуп!N105</f>
        <v>1</v>
      </c>
      <c r="Q105" s="210" t="str">
        <f t="shared" si="1"/>
        <v xml:space="preserve">        [ 'dims' =&gt; [330,180,95], 'prices' =&gt; [1.44,1.31,1.04,0.97,0.92], 'type' =&gt; "Четырехклапанные", 'sale' =&gt; "0" ],</v>
      </c>
    </row>
    <row r="106" spans="1:17" x14ac:dyDescent="0.4">
      <c r="A106" s="166" t="s">
        <v>896</v>
      </c>
      <c r="B106" s="166">
        <f>Закуп!R106</f>
        <v>515</v>
      </c>
      <c r="C106" s="166">
        <f>Закуп!S106</f>
        <v>200</v>
      </c>
      <c r="D106" s="166">
        <f>Закуп!T106</f>
        <v>200</v>
      </c>
      <c r="E106" s="166" t="s">
        <v>897</v>
      </c>
      <c r="F106" s="167" t="str">
        <f>SUBSTITUTE(INDEX(Calc!$K:$K,(ROW(A105)-1)*5+COLUMN(A105)+1),",",".")</f>
        <v>2.64</v>
      </c>
      <c r="G106" s="167" t="str">
        <f>SUBSTITUTE(INDEX(Calc!$K:$K,(ROW(B105)-1)*5+COLUMN(B105)+1),",",".")</f>
        <v>2.12</v>
      </c>
      <c r="H106" s="167" t="str">
        <f>SUBSTITUTE(INDEX(Calc!$K:$K,(ROW(C105)-1)*5+COLUMN(C105)+1),",",".")</f>
        <v>1.93</v>
      </c>
      <c r="I106" s="167" t="str">
        <f>SUBSTITUTE(INDEX(Calc!$K:$K,(ROW(D105)-1)*5+COLUMN(D105)+1),",",".")</f>
        <v>1.72</v>
      </c>
      <c r="J106" s="167" t="str">
        <f>SUBSTITUTE(INDEX(Calc!$K:$K,(ROW(E105)-1)*5+COLUMN(E105)+1),",",".")</f>
        <v>1.67</v>
      </c>
      <c r="K106" s="166" t="s">
        <v>898</v>
      </c>
      <c r="L106" s="167" t="str">
        <f>Закуп!AA106</f>
        <v>Четырехклапанные</v>
      </c>
      <c r="M106" s="166" t="s">
        <v>899</v>
      </c>
      <c r="N106" s="166">
        <f>IF(Закуп!L106="",0,Закуп!L106)</f>
        <v>0</v>
      </c>
      <c r="O106" s="166" t="s">
        <v>900</v>
      </c>
      <c r="P106" s="144">
        <f>Закуп!N106</f>
        <v>1</v>
      </c>
      <c r="Q106" s="210" t="str">
        <f t="shared" si="1"/>
        <v xml:space="preserve">        [ 'dims' =&gt; [515,200,200], 'prices' =&gt; [2.64,2.12,1.93,1.72,1.67], 'type' =&gt; "Четырехклапанные", 'sale' =&gt; "0" ],</v>
      </c>
    </row>
    <row r="107" spans="1:17" x14ac:dyDescent="0.4">
      <c r="A107" s="166" t="s">
        <v>896</v>
      </c>
      <c r="B107" s="166">
        <f>Закуп!R107</f>
        <v>350</v>
      </c>
      <c r="C107" s="166">
        <f>Закуп!S107</f>
        <v>265</v>
      </c>
      <c r="D107" s="166">
        <f>Закуп!T107</f>
        <v>320</v>
      </c>
      <c r="E107" s="166" t="s">
        <v>897</v>
      </c>
      <c r="F107" s="167" t="str">
        <f>SUBSTITUTE(INDEX(Calc!$K:$K,(ROW(A106)-1)*5+COLUMN(A106)+1),",",".")</f>
        <v>3.32</v>
      </c>
      <c r="G107" s="167" t="str">
        <f>SUBSTITUTE(INDEX(Calc!$K:$K,(ROW(B106)-1)*5+COLUMN(B106)+1),",",".")</f>
        <v>2.65</v>
      </c>
      <c r="H107" s="167" t="str">
        <f>SUBSTITUTE(INDEX(Calc!$K:$K,(ROW(C106)-1)*5+COLUMN(C106)+1),",",".")</f>
        <v>2.39</v>
      </c>
      <c r="I107" s="167" t="str">
        <f>SUBSTITUTE(INDEX(Calc!$K:$K,(ROW(D106)-1)*5+COLUMN(D106)+1),",",".")</f>
        <v>2.15</v>
      </c>
      <c r="J107" s="167" t="str">
        <f>SUBSTITUTE(INDEX(Calc!$K:$K,(ROW(E106)-1)*5+COLUMN(E106)+1),",",".")</f>
        <v>2.05</v>
      </c>
      <c r="K107" s="166" t="s">
        <v>898</v>
      </c>
      <c r="L107" s="167" t="str">
        <f>Закуп!AA107</f>
        <v>Четырехклапанные</v>
      </c>
      <c r="M107" s="166" t="s">
        <v>899</v>
      </c>
      <c r="N107" s="166">
        <f>IF(Закуп!L107="",0,Закуп!L107)</f>
        <v>0</v>
      </c>
      <c r="O107" s="166" t="s">
        <v>900</v>
      </c>
      <c r="P107" s="144">
        <f>Закуп!N107</f>
        <v>1</v>
      </c>
      <c r="Q107" s="210" t="str">
        <f t="shared" si="1"/>
        <v xml:space="preserve">        [ 'dims' =&gt; [350,265,320], 'prices' =&gt; [3.32,2.65,2.39,2.15,2.05], 'type' =&gt; "Четырехклапанные", 'sale' =&gt; "0" ],</v>
      </c>
    </row>
    <row r="108" spans="1:17" x14ac:dyDescent="0.4">
      <c r="A108" s="166" t="s">
        <v>896</v>
      </c>
      <c r="B108" s="166">
        <f>Закуп!R108</f>
        <v>500</v>
      </c>
      <c r="C108" s="166">
        <f>Закуп!S108</f>
        <v>335</v>
      </c>
      <c r="D108" s="166">
        <f>Закуп!T108</f>
        <v>185</v>
      </c>
      <c r="E108" s="166" t="s">
        <v>897</v>
      </c>
      <c r="F108" s="167" t="str">
        <f>SUBSTITUTE(INDEX(Calc!$K:$K,(ROW(A107)-1)*5+COLUMN(A107)+1),",",".")</f>
        <v>3.98</v>
      </c>
      <c r="G108" s="167" t="str">
        <f>SUBSTITUTE(INDEX(Calc!$K:$K,(ROW(B107)-1)*5+COLUMN(B107)+1),",",".")</f>
        <v>3.15</v>
      </c>
      <c r="H108" s="167" t="str">
        <f>SUBSTITUTE(INDEX(Calc!$K:$K,(ROW(C107)-1)*5+COLUMN(C107)+1),",",".")</f>
        <v>2.64</v>
      </c>
      <c r="I108" s="167" t="str">
        <f>SUBSTITUTE(INDEX(Calc!$K:$K,(ROW(D107)-1)*5+COLUMN(D107)+1),",",".")</f>
        <v>2.5</v>
      </c>
      <c r="J108" s="167" t="str">
        <f>SUBSTITUTE(INDEX(Calc!$K:$K,(ROW(E107)-1)*5+COLUMN(E107)+1),",",".")</f>
        <v>2.43</v>
      </c>
      <c r="K108" s="166" t="s">
        <v>898</v>
      </c>
      <c r="L108" s="167" t="str">
        <f>Закуп!AA108</f>
        <v>Четырехклапанные</v>
      </c>
      <c r="M108" s="166" t="s">
        <v>899</v>
      </c>
      <c r="N108" s="166">
        <f>IF(Закуп!L108="",0,Закуп!L108)</f>
        <v>0</v>
      </c>
      <c r="O108" s="166" t="s">
        <v>900</v>
      </c>
      <c r="P108" s="144">
        <f>Закуп!N108</f>
        <v>1</v>
      </c>
      <c r="Q108" s="210" t="str">
        <f t="shared" si="1"/>
        <v xml:space="preserve">        [ 'dims' =&gt; [500,335,185], 'prices' =&gt; [3.98,3.15,2.64,2.5,2.43], 'type' =&gt; "Четырехклапанные", 'sale' =&gt; "0" ],</v>
      </c>
    </row>
    <row r="109" spans="1:17" x14ac:dyDescent="0.4">
      <c r="A109" s="166" t="s">
        <v>896</v>
      </c>
      <c r="B109" s="166">
        <f>Закуп!R109</f>
        <v>985</v>
      </c>
      <c r="C109" s="166">
        <f>Закуп!S109</f>
        <v>585</v>
      </c>
      <c r="D109" s="166">
        <f>Закуп!T109</f>
        <v>450</v>
      </c>
      <c r="E109" s="166" t="s">
        <v>897</v>
      </c>
      <c r="F109" s="167" t="str">
        <f>SUBSTITUTE(INDEX(Calc!$K:$K,(ROW(A108)-1)*5+COLUMN(A108)+1),",",".")</f>
        <v>9.87</v>
      </c>
      <c r="G109" s="167" t="str">
        <f>SUBSTITUTE(INDEX(Calc!$K:$K,(ROW(B108)-1)*5+COLUMN(B108)+1),",",".")</f>
        <v>9.52</v>
      </c>
      <c r="H109" s="167" t="str">
        <f>SUBSTITUTE(INDEX(Calc!$K:$K,(ROW(C108)-1)*5+COLUMN(C108)+1),",",".")</f>
        <v>9.18</v>
      </c>
      <c r="I109" s="167" t="str">
        <f>SUBSTITUTE(INDEX(Calc!$K:$K,(ROW(D108)-1)*5+COLUMN(D108)+1),",",".")</f>
        <v>8.84</v>
      </c>
      <c r="J109" s="167" t="str">
        <f>SUBSTITUTE(INDEX(Calc!$K:$K,(ROW(E108)-1)*5+COLUMN(E108)+1),",",".")</f>
        <v>8.51</v>
      </c>
      <c r="K109" s="166" t="s">
        <v>898</v>
      </c>
      <c r="L109" s="167" t="str">
        <f>Закуп!AA109</f>
        <v>Четырехклапанные</v>
      </c>
      <c r="M109" s="166" t="s">
        <v>899</v>
      </c>
      <c r="N109" s="166">
        <f>IF(Закуп!L109="",0,Закуп!L109)</f>
        <v>0</v>
      </c>
      <c r="O109" s="166" t="s">
        <v>900</v>
      </c>
      <c r="P109" s="144">
        <f>Закуп!N109</f>
        <v>1</v>
      </c>
      <c r="Q109" s="210" t="str">
        <f t="shared" si="1"/>
        <v xml:space="preserve">        [ 'dims' =&gt; [985,585,450], 'prices' =&gt; [9.87,9.52,9.18,8.84,8.51], 'type' =&gt; "Четырехклапанные", 'sale' =&gt; "0" ],</v>
      </c>
    </row>
    <row r="110" spans="1:17" x14ac:dyDescent="0.4">
      <c r="A110" s="166" t="s">
        <v>896</v>
      </c>
      <c r="B110" s="166">
        <f>Закуп!R110</f>
        <v>400</v>
      </c>
      <c r="C110" s="166">
        <f>Закуп!S110</f>
        <v>400</v>
      </c>
      <c r="D110" s="166">
        <f>Закуп!T110</f>
        <v>100</v>
      </c>
      <c r="E110" s="166" t="s">
        <v>897</v>
      </c>
      <c r="F110" s="167" t="str">
        <f>SUBSTITUTE(INDEX(Calc!$K:$K,(ROW(A109)-1)*5+COLUMN(A109)+1),",",".")</f>
        <v>3.67</v>
      </c>
      <c r="G110" s="167" t="str">
        <f>SUBSTITUTE(INDEX(Calc!$K:$K,(ROW(B109)-1)*5+COLUMN(B109)+1),",",".")</f>
        <v>2.94</v>
      </c>
      <c r="H110" s="167" t="str">
        <f>SUBSTITUTE(INDEX(Calc!$K:$K,(ROW(C109)-1)*5+COLUMN(C109)+1),",",".")</f>
        <v>2.48</v>
      </c>
      <c r="I110" s="167" t="str">
        <f>SUBSTITUTE(INDEX(Calc!$K:$K,(ROW(D109)-1)*5+COLUMN(D109)+1),",",".")</f>
        <v>2.35</v>
      </c>
      <c r="J110" s="167" t="str">
        <f>SUBSTITUTE(INDEX(Calc!$K:$K,(ROW(E109)-1)*5+COLUMN(E109)+1),",",".")</f>
        <v>2.24</v>
      </c>
      <c r="K110" s="166" t="s">
        <v>898</v>
      </c>
      <c r="L110" s="167" t="str">
        <f>Закуп!AA110</f>
        <v>Четырехклапанные</v>
      </c>
      <c r="M110" s="166" t="s">
        <v>899</v>
      </c>
      <c r="N110" s="166">
        <f>IF(Закуп!L110="",0,Закуп!L110)</f>
        <v>0</v>
      </c>
      <c r="O110" s="166" t="s">
        <v>900</v>
      </c>
      <c r="P110" s="144">
        <f>Закуп!N110</f>
        <v>1</v>
      </c>
      <c r="Q110" s="210" t="str">
        <f t="shared" si="1"/>
        <v xml:space="preserve">        [ 'dims' =&gt; [400,400,100], 'prices' =&gt; [3.67,2.94,2.48,2.35,2.24], 'type' =&gt; "Четырехклапанные", 'sale' =&gt; "0" ],</v>
      </c>
    </row>
    <row r="111" spans="1:17" x14ac:dyDescent="0.4">
      <c r="A111" s="166" t="s">
        <v>896</v>
      </c>
      <c r="B111" s="166">
        <f>Закуп!R111</f>
        <v>125</v>
      </c>
      <c r="C111" s="166">
        <f>Закуп!S111</f>
        <v>110</v>
      </c>
      <c r="D111" s="166">
        <f>Закуп!T111</f>
        <v>95</v>
      </c>
      <c r="E111" s="166" t="s">
        <v>897</v>
      </c>
      <c r="F111" s="167" t="str">
        <f>SUBSTITUTE(INDEX(Calc!$K:$K,(ROW(A110)-1)*5+COLUMN(A110)+1),",",".")</f>
        <v>1.07</v>
      </c>
      <c r="G111" s="167" t="str">
        <f>SUBSTITUTE(INDEX(Calc!$K:$K,(ROW(B110)-1)*5+COLUMN(B110)+1),",",".")</f>
        <v>0.87</v>
      </c>
      <c r="H111" s="167" t="str">
        <f>SUBSTITUTE(INDEX(Calc!$K:$K,(ROW(C110)-1)*5+COLUMN(C110)+1),",",".")</f>
        <v>0.68</v>
      </c>
      <c r="I111" s="167" t="str">
        <f>SUBSTITUTE(INDEX(Calc!$K:$K,(ROW(D110)-1)*5+COLUMN(D110)+1),",",".")</f>
        <v>0.63</v>
      </c>
      <c r="J111" s="167" t="str">
        <f>SUBSTITUTE(INDEX(Calc!$K:$K,(ROW(E110)-1)*5+COLUMN(E110)+1),",",".")</f>
        <v>0.59</v>
      </c>
      <c r="K111" s="166" t="s">
        <v>898</v>
      </c>
      <c r="L111" s="167" t="str">
        <f>Закуп!AA111</f>
        <v>Самосборные</v>
      </c>
      <c r="M111" s="166" t="s">
        <v>899</v>
      </c>
      <c r="N111" s="166">
        <f>IF(Закуп!L111="",0,Закуп!L111)</f>
        <v>0</v>
      </c>
      <c r="O111" s="166" t="s">
        <v>900</v>
      </c>
      <c r="P111" s="144">
        <f>Закуп!N111</f>
        <v>1</v>
      </c>
      <c r="Q111" s="210" t="str">
        <f t="shared" si="1"/>
        <v xml:space="preserve">        [ 'dims' =&gt; [125,110,95], 'prices' =&gt; [1.07,0.87,0.68,0.63,0.59], 'type' =&gt; "Самосборные", 'sale' =&gt; "0" ],</v>
      </c>
    </row>
    <row r="112" spans="1:17" x14ac:dyDescent="0.4">
      <c r="A112" s="166" t="s">
        <v>896</v>
      </c>
      <c r="B112" s="166">
        <f>Закуп!R112</f>
        <v>375</v>
      </c>
      <c r="C112" s="166">
        <f>Закуп!S112</f>
        <v>250</v>
      </c>
      <c r="D112" s="166">
        <f>Закуп!T112</f>
        <v>230</v>
      </c>
      <c r="E112" s="166" t="s">
        <v>897</v>
      </c>
      <c r="F112" s="167" t="str">
        <f>SUBSTITUTE(INDEX(Calc!$K:$K,(ROW(A111)-1)*5+COLUMN(A111)+1),",",".")</f>
        <v>2.77</v>
      </c>
      <c r="G112" s="167" t="str">
        <f>SUBSTITUTE(INDEX(Calc!$K:$K,(ROW(B111)-1)*5+COLUMN(B111)+1),",",".")</f>
        <v>2.21</v>
      </c>
      <c r="H112" s="167" t="str">
        <f>SUBSTITUTE(INDEX(Calc!$K:$K,(ROW(C111)-1)*5+COLUMN(C111)+1),",",".")</f>
        <v>2.02</v>
      </c>
      <c r="I112" s="167" t="str">
        <f>SUBSTITUTE(INDEX(Calc!$K:$K,(ROW(D111)-1)*5+COLUMN(D111)+1),",",".")</f>
        <v>1.8</v>
      </c>
      <c r="J112" s="167" t="str">
        <f>SUBSTITUTE(INDEX(Calc!$K:$K,(ROW(E111)-1)*5+COLUMN(E111)+1),",",".")</f>
        <v>1.74</v>
      </c>
      <c r="K112" s="166" t="s">
        <v>898</v>
      </c>
      <c r="L112" s="167" t="str">
        <f>Закуп!AA112</f>
        <v>Четырехклапанные</v>
      </c>
      <c r="M112" s="166" t="s">
        <v>899</v>
      </c>
      <c r="N112" s="166">
        <f>IF(Закуп!L112="",0,Закуп!L112)</f>
        <v>0</v>
      </c>
      <c r="O112" s="166" t="s">
        <v>900</v>
      </c>
      <c r="P112" s="144">
        <f>Закуп!N112</f>
        <v>1</v>
      </c>
      <c r="Q112" s="210" t="str">
        <f t="shared" si="1"/>
        <v xml:space="preserve">        [ 'dims' =&gt; [375,250,230], 'prices' =&gt; [2.77,2.21,2.02,1.8,1.74], 'type' =&gt; "Четырехклапанные", 'sale' =&gt; "0" ],</v>
      </c>
    </row>
    <row r="113" spans="1:17" x14ac:dyDescent="0.4">
      <c r="A113" s="166" t="s">
        <v>896</v>
      </c>
      <c r="B113" s="166">
        <f>Закуп!R113</f>
        <v>720</v>
      </c>
      <c r="C113" s="166">
        <f>Закуп!S113</f>
        <v>650</v>
      </c>
      <c r="D113" s="166">
        <f>Закуп!T113</f>
        <v>360</v>
      </c>
      <c r="E113" s="166" t="s">
        <v>897</v>
      </c>
      <c r="F113" s="167" t="str">
        <f>SUBSTITUTE(INDEX(Calc!$K:$K,(ROW(A112)-1)*5+COLUMN(A112)+1),",",".")</f>
        <v>9.78</v>
      </c>
      <c r="G113" s="167" t="str">
        <f>SUBSTITUTE(INDEX(Calc!$K:$K,(ROW(B112)-1)*5+COLUMN(B112)+1),",",".")</f>
        <v>8.34</v>
      </c>
      <c r="H113" s="167" t="str">
        <f>SUBSTITUTE(INDEX(Calc!$K:$K,(ROW(C112)-1)*5+COLUMN(C112)+1),",",".")</f>
        <v>7.64</v>
      </c>
      <c r="I113" s="167" t="str">
        <f>SUBSTITUTE(INDEX(Calc!$K:$K,(ROW(D112)-1)*5+COLUMN(D112)+1),",",".")</f>
        <v>7.52</v>
      </c>
      <c r="J113" s="167" t="str">
        <f>SUBSTITUTE(INDEX(Calc!$K:$K,(ROW(E112)-1)*5+COLUMN(E112)+1),",",".")</f>
        <v>7.46</v>
      </c>
      <c r="K113" s="166" t="s">
        <v>898</v>
      </c>
      <c r="L113" s="167" t="str">
        <f>Закуп!AA113</f>
        <v>Четырехклапанные</v>
      </c>
      <c r="M113" s="166" t="s">
        <v>899</v>
      </c>
      <c r="N113" s="166">
        <f>IF(Закуп!L113="",0,Закуп!L113)</f>
        <v>0</v>
      </c>
      <c r="O113" s="166" t="s">
        <v>900</v>
      </c>
      <c r="P113" s="144">
        <f>Закуп!N113</f>
        <v>1</v>
      </c>
      <c r="Q113" s="210" t="str">
        <f t="shared" si="1"/>
        <v xml:space="preserve">        [ 'dims' =&gt; [720,650,360], 'prices' =&gt; [9.78,8.34,7.64,7.52,7.46], 'type' =&gt; "Четырехклапанные", 'sale' =&gt; "0" ],</v>
      </c>
    </row>
    <row r="114" spans="1:17" x14ac:dyDescent="0.4">
      <c r="A114" s="166" t="s">
        <v>896</v>
      </c>
      <c r="B114" s="166">
        <f>Закуп!R114</f>
        <v>1200</v>
      </c>
      <c r="C114" s="166">
        <f>Закуп!S114</f>
        <v>550</v>
      </c>
      <c r="D114" s="166">
        <f>Закуп!T114</f>
        <v>775</v>
      </c>
      <c r="E114" s="166" t="s">
        <v>897</v>
      </c>
      <c r="F114" s="167" t="str">
        <f>SUBSTITUTE(INDEX(Calc!$K:$K,(ROW(A113)-1)*5+COLUMN(A113)+1),",",".")</f>
        <v>16.37</v>
      </c>
      <c r="G114" s="167" t="str">
        <f>SUBSTITUTE(INDEX(Calc!$K:$K,(ROW(B113)-1)*5+COLUMN(B113)+1),",",".")</f>
        <v>15.28</v>
      </c>
      <c r="H114" s="167" t="str">
        <f>SUBSTITUTE(INDEX(Calc!$K:$K,(ROW(C113)-1)*5+COLUMN(C113)+1),",",".")</f>
        <v>14.72</v>
      </c>
      <c r="I114" s="167" t="str">
        <f>SUBSTITUTE(INDEX(Calc!$K:$K,(ROW(D113)-1)*5+COLUMN(D113)+1),",",".")</f>
        <v>14.19</v>
      </c>
      <c r="J114" s="167" t="str">
        <f>SUBSTITUTE(INDEX(Calc!$K:$K,(ROW(E113)-1)*5+COLUMN(E113)+1),",",".")</f>
        <v>13.64</v>
      </c>
      <c r="K114" s="166" t="s">
        <v>898</v>
      </c>
      <c r="L114" s="167" t="str">
        <f>Закуп!AA114</f>
        <v>Четырехклапанные</v>
      </c>
      <c r="M114" s="166" t="s">
        <v>899</v>
      </c>
      <c r="N114" s="166">
        <f>IF(Закуп!L114="",0,Закуп!L114)</f>
        <v>0</v>
      </c>
      <c r="O114" s="166" t="s">
        <v>900</v>
      </c>
      <c r="P114" s="144">
        <f>Закуп!N114</f>
        <v>1</v>
      </c>
      <c r="Q114" s="210" t="str">
        <f t="shared" si="1"/>
        <v xml:space="preserve">        [ 'dims' =&gt; [1200,550,775], 'prices' =&gt; [16.37,15.28,14.72,14.19,13.64], 'type' =&gt; "Четырехклапанные", 'sale' =&gt; "0" ],</v>
      </c>
    </row>
    <row r="115" spans="1:17" x14ac:dyDescent="0.4">
      <c r="A115" s="166" t="s">
        <v>896</v>
      </c>
      <c r="B115" s="166">
        <f>Закуп!R115</f>
        <v>300</v>
      </c>
      <c r="C115" s="166">
        <f>Закуп!S115</f>
        <v>300</v>
      </c>
      <c r="D115" s="166">
        <f>Закуп!T115</f>
        <v>300</v>
      </c>
      <c r="E115" s="166" t="s">
        <v>897</v>
      </c>
      <c r="F115" s="167" t="str">
        <f>SUBSTITUTE(INDEX(Calc!$K:$K,(ROW(A114)-1)*5+COLUMN(A114)+1),",",".")</f>
        <v>3.34</v>
      </c>
      <c r="G115" s="167" t="str">
        <f>SUBSTITUTE(INDEX(Calc!$K:$K,(ROW(B114)-1)*5+COLUMN(B114)+1),",",".")</f>
        <v>2.68</v>
      </c>
      <c r="H115" s="167" t="str">
        <f>SUBSTITUTE(INDEX(Calc!$K:$K,(ROW(C114)-1)*5+COLUMN(C114)+1),",",".")</f>
        <v>2.41</v>
      </c>
      <c r="I115" s="167" t="str">
        <f>SUBSTITUTE(INDEX(Calc!$K:$K,(ROW(D114)-1)*5+COLUMN(D114)+1),",",".")</f>
        <v>2.17</v>
      </c>
      <c r="J115" s="167" t="str">
        <f>SUBSTITUTE(INDEX(Calc!$K:$K,(ROW(E114)-1)*5+COLUMN(E114)+1),",",".")</f>
        <v>2.07</v>
      </c>
      <c r="K115" s="166" t="s">
        <v>898</v>
      </c>
      <c r="L115" s="167" t="str">
        <f>Закуп!AA115</f>
        <v>Четырехклапанные</v>
      </c>
      <c r="M115" s="166" t="s">
        <v>899</v>
      </c>
      <c r="N115" s="166">
        <f>IF(Закуп!L115="",0,Закуп!L115)</f>
        <v>0</v>
      </c>
      <c r="O115" s="166" t="s">
        <v>900</v>
      </c>
      <c r="P115" s="144">
        <f>Закуп!N115</f>
        <v>1</v>
      </c>
      <c r="Q115" s="210" t="str">
        <f t="shared" si="1"/>
        <v xml:space="preserve">        [ 'dims' =&gt; [300,300,300], 'prices' =&gt; [3.34,2.68,2.41,2.17,2.07], 'type' =&gt; "Четырехклапанные", 'sale' =&gt; "0" ],</v>
      </c>
    </row>
    <row r="116" spans="1:17" x14ac:dyDescent="0.4">
      <c r="A116" s="166" t="s">
        <v>896</v>
      </c>
      <c r="B116" s="166">
        <f>Закуп!R116</f>
        <v>1022</v>
      </c>
      <c r="C116" s="166">
        <f>Закуп!S116</f>
        <v>518</v>
      </c>
      <c r="D116" s="166">
        <f>Закуп!T116</f>
        <v>720</v>
      </c>
      <c r="E116" s="166" t="s">
        <v>897</v>
      </c>
      <c r="F116" s="167" t="str">
        <f>SUBSTITUTE(INDEX(Calc!$K:$K,(ROW(A115)-1)*5+COLUMN(A115)+1),",",".")</f>
        <v>11.57</v>
      </c>
      <c r="G116" s="167" t="str">
        <f>SUBSTITUTE(INDEX(Calc!$K:$K,(ROW(B115)-1)*5+COLUMN(B115)+1),",",".")</f>
        <v>11.17</v>
      </c>
      <c r="H116" s="167" t="str">
        <f>SUBSTITUTE(INDEX(Calc!$K:$K,(ROW(C115)-1)*5+COLUMN(C115)+1),",",".")</f>
        <v>10.77</v>
      </c>
      <c r="I116" s="167" t="str">
        <f>SUBSTITUTE(INDEX(Calc!$K:$K,(ROW(D115)-1)*5+COLUMN(D115)+1),",",".")</f>
        <v>10.37</v>
      </c>
      <c r="J116" s="167" t="str">
        <f>SUBSTITUTE(INDEX(Calc!$K:$K,(ROW(E115)-1)*5+COLUMN(E115)+1),",",".")</f>
        <v>9.98</v>
      </c>
      <c r="K116" s="166" t="s">
        <v>898</v>
      </c>
      <c r="L116" s="167" t="str">
        <f>Закуп!AA116</f>
        <v>Четырехклапанные</v>
      </c>
      <c r="M116" s="166" t="s">
        <v>899</v>
      </c>
      <c r="N116" s="166">
        <f>IF(Закуп!L116="",0,Закуп!L116)</f>
        <v>0</v>
      </c>
      <c r="O116" s="166" t="s">
        <v>900</v>
      </c>
      <c r="P116" s="144">
        <f>Закуп!N116</f>
        <v>1</v>
      </c>
      <c r="Q116" s="210" t="str">
        <f t="shared" si="1"/>
        <v xml:space="preserve">        [ 'dims' =&gt; [1022,518,720], 'prices' =&gt; [11.57,11.17,10.77,10.37,9.98], 'type' =&gt; "Четырехклапанные", 'sale' =&gt; "0" ],</v>
      </c>
    </row>
    <row r="117" spans="1:17" x14ac:dyDescent="0.4">
      <c r="A117" s="166" t="s">
        <v>896</v>
      </c>
      <c r="B117" s="166">
        <f>Закуп!R117</f>
        <v>400</v>
      </c>
      <c r="C117" s="166">
        <f>Закуп!S117</f>
        <v>400</v>
      </c>
      <c r="D117" s="166">
        <f>Закуп!T117</f>
        <v>300</v>
      </c>
      <c r="E117" s="166" t="s">
        <v>897</v>
      </c>
      <c r="F117" s="167" t="str">
        <f>SUBSTITUTE(INDEX(Calc!$K:$K,(ROW(A116)-1)*5+COLUMN(A116)+1),",",".")</f>
        <v>4.11</v>
      </c>
      <c r="G117" s="167" t="str">
        <f>SUBSTITUTE(INDEX(Calc!$K:$K,(ROW(B116)-1)*5+COLUMN(B116)+1),",",".")</f>
        <v>4</v>
      </c>
      <c r="H117" s="167" t="str">
        <f>SUBSTITUTE(INDEX(Calc!$K:$K,(ROW(C116)-1)*5+COLUMN(C116)+1),",",".")</f>
        <v>3.34</v>
      </c>
      <c r="I117" s="167" t="str">
        <f>SUBSTITUTE(INDEX(Calc!$K:$K,(ROW(D116)-1)*5+COLUMN(D116)+1),",",".")</f>
        <v>3.23</v>
      </c>
      <c r="J117" s="167" t="str">
        <f>SUBSTITUTE(INDEX(Calc!$K:$K,(ROW(E116)-1)*5+COLUMN(E116)+1),",",".")</f>
        <v>3.14</v>
      </c>
      <c r="K117" s="166" t="s">
        <v>898</v>
      </c>
      <c r="L117" s="167" t="str">
        <f>Закуп!AA117</f>
        <v>Четырехклапанные</v>
      </c>
      <c r="M117" s="166" t="s">
        <v>899</v>
      </c>
      <c r="N117" s="166">
        <f>IF(Закуп!L117="",0,Закуп!L117)</f>
        <v>0</v>
      </c>
      <c r="O117" s="166" t="s">
        <v>900</v>
      </c>
      <c r="P117" s="144">
        <f>Закуп!N117</f>
        <v>1</v>
      </c>
      <c r="Q117" s="210" t="str">
        <f t="shared" si="1"/>
        <v xml:space="preserve">        [ 'dims' =&gt; [400,400,300], 'prices' =&gt; [4.11,4,3.34,3.23,3.14], 'type' =&gt; "Четырехклапанные", 'sale' =&gt; "0" ],</v>
      </c>
    </row>
    <row r="118" spans="1:17" x14ac:dyDescent="0.4">
      <c r="A118" s="166" t="s">
        <v>896</v>
      </c>
      <c r="B118" s="166">
        <f>Закуп!R118</f>
        <v>35</v>
      </c>
      <c r="C118" s="166">
        <f>Закуп!S118</f>
        <v>35</v>
      </c>
      <c r="D118" s="166">
        <f>Закуп!T118</f>
        <v>235</v>
      </c>
      <c r="E118" s="166" t="s">
        <v>897</v>
      </c>
      <c r="F118" s="167" t="str">
        <f>SUBSTITUTE(INDEX(Calc!$K:$K,(ROW(A117)-1)*5+COLUMN(A117)+1),",",".")</f>
        <v>1.16</v>
      </c>
      <c r="G118" s="167" t="str">
        <f>SUBSTITUTE(INDEX(Calc!$K:$K,(ROW(B117)-1)*5+COLUMN(B117)+1),",",".")</f>
        <v>1.02</v>
      </c>
      <c r="H118" s="167" t="str">
        <f>SUBSTITUTE(INDEX(Calc!$K:$K,(ROW(C117)-1)*5+COLUMN(C117)+1),",",".")</f>
        <v>0.87</v>
      </c>
      <c r="I118" s="167" t="str">
        <f>SUBSTITUTE(INDEX(Calc!$K:$K,(ROW(D117)-1)*5+COLUMN(D117)+1),",",".")</f>
        <v>0.73</v>
      </c>
      <c r="J118" s="167" t="str">
        <f>SUBSTITUTE(INDEX(Calc!$K:$K,(ROW(E117)-1)*5+COLUMN(E117)+1),",",".")</f>
        <v>0.59</v>
      </c>
      <c r="K118" s="166" t="s">
        <v>898</v>
      </c>
      <c r="L118" s="167" t="str">
        <f>Закуп!AA118</f>
        <v>Самосборные</v>
      </c>
      <c r="M118" s="166" t="s">
        <v>899</v>
      </c>
      <c r="N118" s="166">
        <f>IF(Закуп!L118="",0,Закуп!L118)</f>
        <v>0</v>
      </c>
      <c r="O118" s="166" t="s">
        <v>900</v>
      </c>
      <c r="P118" s="144">
        <f>Закуп!N118</f>
        <v>1</v>
      </c>
      <c r="Q118" s="210" t="str">
        <f t="shared" si="1"/>
        <v xml:space="preserve">        [ 'dims' =&gt; [35,35,235], 'prices' =&gt; [1.16,1.02,0.87,0.73,0.59], 'type' =&gt; "Самосборные", 'sale' =&gt; "0" ],</v>
      </c>
    </row>
    <row r="119" spans="1:17" x14ac:dyDescent="0.4">
      <c r="A119" s="166" t="s">
        <v>896</v>
      </c>
      <c r="B119" s="166">
        <f>Закуп!R119</f>
        <v>255</v>
      </c>
      <c r="C119" s="166">
        <f>Закуп!S119</f>
        <v>204</v>
      </c>
      <c r="D119" s="166">
        <f>Закуп!T119</f>
        <v>131</v>
      </c>
      <c r="E119" s="166" t="s">
        <v>897</v>
      </c>
      <c r="F119" s="167" t="str">
        <f>SUBSTITUTE(INDEX(Calc!$K:$K,(ROW(A118)-1)*5+COLUMN(A118)+1),",",".")</f>
        <v>1.58</v>
      </c>
      <c r="G119" s="167" t="str">
        <f>SUBSTITUTE(INDEX(Calc!$K:$K,(ROW(B118)-1)*5+COLUMN(B118)+1),",",".")</f>
        <v>1.43</v>
      </c>
      <c r="H119" s="167" t="str">
        <f>SUBSTITUTE(INDEX(Calc!$K:$K,(ROW(C118)-1)*5+COLUMN(C118)+1),",",".")</f>
        <v>1.13</v>
      </c>
      <c r="I119" s="167" t="str">
        <f>SUBSTITUTE(INDEX(Calc!$K:$K,(ROW(D118)-1)*5+COLUMN(D118)+1),",",".")</f>
        <v>1.06</v>
      </c>
      <c r="J119" s="167" t="str">
        <f>SUBSTITUTE(INDEX(Calc!$K:$K,(ROW(E118)-1)*5+COLUMN(E118)+1),",",".")</f>
        <v>1.01</v>
      </c>
      <c r="K119" s="166" t="s">
        <v>898</v>
      </c>
      <c r="L119" s="167" t="str">
        <f>Закуп!AA119</f>
        <v>Четырехклапанные</v>
      </c>
      <c r="M119" s="166" t="s">
        <v>899</v>
      </c>
      <c r="N119" s="166">
        <f>IF(Закуп!L119="",0,Закуп!L119)</f>
        <v>0</v>
      </c>
      <c r="O119" s="166" t="s">
        <v>900</v>
      </c>
      <c r="P119" s="144">
        <f>Закуп!N119</f>
        <v>1</v>
      </c>
      <c r="Q119" s="210" t="str">
        <f t="shared" si="1"/>
        <v xml:space="preserve">        [ 'dims' =&gt; [255,204,131], 'prices' =&gt; [1.58,1.43,1.13,1.06,1.01], 'type' =&gt; "Четырехклапанные", 'sale' =&gt; "0" ],</v>
      </c>
    </row>
    <row r="120" spans="1:17" x14ac:dyDescent="0.4">
      <c r="A120" s="166" t="s">
        <v>896</v>
      </c>
      <c r="B120" s="166">
        <f>Закуп!R120</f>
        <v>540</v>
      </c>
      <c r="C120" s="166">
        <f>Закуп!S120</f>
        <v>325</v>
      </c>
      <c r="D120" s="166">
        <f>Закуп!T120</f>
        <v>130</v>
      </c>
      <c r="E120" s="166" t="s">
        <v>897</v>
      </c>
      <c r="F120" s="167" t="str">
        <f>SUBSTITUTE(INDEX(Calc!$K:$K,(ROW(A119)-1)*5+COLUMN(A119)+1),",",".")</f>
        <v>3.62</v>
      </c>
      <c r="G120" s="167" t="str">
        <f>SUBSTITUTE(INDEX(Calc!$K:$K,(ROW(B119)-1)*5+COLUMN(B119)+1),",",".")</f>
        <v>2.9</v>
      </c>
      <c r="H120" s="167" t="str">
        <f>SUBSTITUTE(INDEX(Calc!$K:$K,(ROW(C119)-1)*5+COLUMN(C119)+1),",",".")</f>
        <v>2.44</v>
      </c>
      <c r="I120" s="167" t="str">
        <f>SUBSTITUTE(INDEX(Calc!$K:$K,(ROW(D119)-1)*5+COLUMN(D119)+1),",",".")</f>
        <v>2.32</v>
      </c>
      <c r="J120" s="167" t="str">
        <f>SUBSTITUTE(INDEX(Calc!$K:$K,(ROW(E119)-1)*5+COLUMN(E119)+1),",",".")</f>
        <v>2.2</v>
      </c>
      <c r="K120" s="166" t="s">
        <v>898</v>
      </c>
      <c r="L120" s="167" t="str">
        <f>Закуп!AA120</f>
        <v>Четырехклапанные</v>
      </c>
      <c r="M120" s="166" t="s">
        <v>899</v>
      </c>
      <c r="N120" s="166">
        <f>IF(Закуп!L120="",0,Закуп!L120)</f>
        <v>0</v>
      </c>
      <c r="O120" s="166" t="s">
        <v>900</v>
      </c>
      <c r="P120" s="144">
        <f>Закуп!N120</f>
        <v>1</v>
      </c>
      <c r="Q120" s="210" t="str">
        <f t="shared" si="1"/>
        <v xml:space="preserve">        [ 'dims' =&gt; [540,325,130], 'prices' =&gt; [3.62,2.9,2.44,2.32,2.2], 'type' =&gt; "Четырехклапанные", 'sale' =&gt; "0" ],</v>
      </c>
    </row>
    <row r="121" spans="1:17" x14ac:dyDescent="0.4">
      <c r="A121" s="166" t="s">
        <v>896</v>
      </c>
      <c r="B121" s="166">
        <f>Закуп!R121</f>
        <v>190</v>
      </c>
      <c r="C121" s="166">
        <f>Закуп!S121</f>
        <v>180</v>
      </c>
      <c r="D121" s="166">
        <f>Закуп!T121</f>
        <v>360</v>
      </c>
      <c r="E121" s="166" t="s">
        <v>897</v>
      </c>
      <c r="F121" s="167" t="str">
        <f>SUBSTITUTE(INDEX(Calc!$K:$K,(ROW(A120)-1)*5+COLUMN(A120)+1),",",".")</f>
        <v>1.77</v>
      </c>
      <c r="G121" s="167" t="str">
        <f>SUBSTITUTE(INDEX(Calc!$K:$K,(ROW(B120)-1)*5+COLUMN(B120)+1),",",".")</f>
        <v>1.61</v>
      </c>
      <c r="H121" s="167" t="str">
        <f>SUBSTITUTE(INDEX(Calc!$K:$K,(ROW(C120)-1)*5+COLUMN(C120)+1),",",".")</f>
        <v>1.47</v>
      </c>
      <c r="I121" s="167" t="str">
        <f>SUBSTITUTE(INDEX(Calc!$K:$K,(ROW(D120)-1)*5+COLUMN(D120)+1),",",".")</f>
        <v>1.35</v>
      </c>
      <c r="J121" s="167" t="str">
        <f>SUBSTITUTE(INDEX(Calc!$K:$K,(ROW(E120)-1)*5+COLUMN(E120)+1),",",".")</f>
        <v>1.2</v>
      </c>
      <c r="K121" s="166" t="s">
        <v>898</v>
      </c>
      <c r="L121" s="167" t="str">
        <f>Закуп!AA121</f>
        <v>Четырехклапанные</v>
      </c>
      <c r="M121" s="166" t="s">
        <v>899</v>
      </c>
      <c r="N121" s="166">
        <f>IF(Закуп!L121="",0,Закуп!L121)</f>
        <v>0</v>
      </c>
      <c r="O121" s="166" t="s">
        <v>900</v>
      </c>
      <c r="P121" s="144">
        <f>Закуп!N121</f>
        <v>1</v>
      </c>
      <c r="Q121" s="210" t="str">
        <f t="shared" si="1"/>
        <v xml:space="preserve">        [ 'dims' =&gt; [190,180,360], 'prices' =&gt; [1.77,1.61,1.47,1.35,1.2], 'type' =&gt; "Четырехклапанные", 'sale' =&gt; "0" ],</v>
      </c>
    </row>
    <row r="122" spans="1:17" x14ac:dyDescent="0.4">
      <c r="A122" s="166" t="s">
        <v>896</v>
      </c>
      <c r="B122" s="166">
        <f>Закуп!R122</f>
        <v>230</v>
      </c>
      <c r="C122" s="166">
        <f>Закуп!S122</f>
        <v>140</v>
      </c>
      <c r="D122" s="166">
        <f>Закуп!T122</f>
        <v>180</v>
      </c>
      <c r="E122" s="166" t="s">
        <v>897</v>
      </c>
      <c r="F122" s="167" t="str">
        <f>SUBSTITUTE(INDEX(Calc!$K:$K,(ROW(A121)-1)*5+COLUMN(A121)+1),",",".")</f>
        <v>1.29</v>
      </c>
      <c r="G122" s="167" t="str">
        <f>SUBSTITUTE(INDEX(Calc!$K:$K,(ROW(B121)-1)*5+COLUMN(B121)+1),",",".")</f>
        <v>1.13</v>
      </c>
      <c r="H122" s="167" t="str">
        <f>SUBSTITUTE(INDEX(Calc!$K:$K,(ROW(C121)-1)*5+COLUMN(C121)+1),",",".")</f>
        <v>0.96</v>
      </c>
      <c r="I122" s="167" t="str">
        <f>SUBSTITUTE(INDEX(Calc!$K:$K,(ROW(D121)-1)*5+COLUMN(D121)+1),",",".")</f>
        <v>0.9</v>
      </c>
      <c r="J122" s="167" t="str">
        <f>SUBSTITUTE(INDEX(Calc!$K:$K,(ROW(E121)-1)*5+COLUMN(E121)+1),",",".")</f>
        <v>0.85</v>
      </c>
      <c r="K122" s="166" t="s">
        <v>898</v>
      </c>
      <c r="L122" s="167" t="str">
        <f>Закуп!AA122</f>
        <v>Четырехклапанные</v>
      </c>
      <c r="M122" s="166" t="s">
        <v>899</v>
      </c>
      <c r="N122" s="166">
        <f>IF(Закуп!L122="",0,Закуп!L122)</f>
        <v>0</v>
      </c>
      <c r="O122" s="166" t="s">
        <v>900</v>
      </c>
      <c r="P122" s="144">
        <f>Закуп!N122</f>
        <v>1</v>
      </c>
      <c r="Q122" s="210" t="str">
        <f t="shared" si="1"/>
        <v xml:space="preserve">        [ 'dims' =&gt; [230,140,180], 'prices' =&gt; [1.29,1.13,0.96,0.9,0.85], 'type' =&gt; "Четырехклапанные", 'sale' =&gt; "0" ],</v>
      </c>
    </row>
    <row r="123" spans="1:17" x14ac:dyDescent="0.4">
      <c r="A123" s="166" t="s">
        <v>896</v>
      </c>
      <c r="B123" s="166">
        <f>Закуп!R123</f>
        <v>170</v>
      </c>
      <c r="C123" s="166">
        <f>Закуп!S123</f>
        <v>160</v>
      </c>
      <c r="D123" s="166">
        <f>Закуп!T123</f>
        <v>210</v>
      </c>
      <c r="E123" s="166" t="s">
        <v>897</v>
      </c>
      <c r="F123" s="167" t="str">
        <f>SUBSTITUTE(INDEX(Calc!$K:$K,(ROW(A122)-1)*5+COLUMN(A122)+1),",",".")</f>
        <v>1.33</v>
      </c>
      <c r="G123" s="167" t="str">
        <f>SUBSTITUTE(INDEX(Calc!$K:$K,(ROW(B122)-1)*5+COLUMN(B122)+1),",",".")</f>
        <v>1.16</v>
      </c>
      <c r="H123" s="167" t="str">
        <f>SUBSTITUTE(INDEX(Calc!$K:$K,(ROW(C122)-1)*5+COLUMN(C122)+1),",",".")</f>
        <v>0.98</v>
      </c>
      <c r="I123" s="167" t="str">
        <f>SUBSTITUTE(INDEX(Calc!$K:$K,(ROW(D122)-1)*5+COLUMN(D122)+1),",",".")</f>
        <v>0.92</v>
      </c>
      <c r="J123" s="167" t="str">
        <f>SUBSTITUTE(INDEX(Calc!$K:$K,(ROW(E122)-1)*5+COLUMN(E122)+1),",",".")</f>
        <v>0.86</v>
      </c>
      <c r="K123" s="166" t="s">
        <v>898</v>
      </c>
      <c r="L123" s="167" t="str">
        <f>Закуп!AA123</f>
        <v>Четырехклапанные</v>
      </c>
      <c r="M123" s="166" t="s">
        <v>899</v>
      </c>
      <c r="N123" s="166">
        <f>IF(Закуп!L123="",0,Закуп!L123)</f>
        <v>0</v>
      </c>
      <c r="O123" s="166" t="s">
        <v>900</v>
      </c>
      <c r="P123" s="144">
        <f>Закуп!N123</f>
        <v>1</v>
      </c>
      <c r="Q123" s="210" t="str">
        <f t="shared" si="1"/>
        <v xml:space="preserve">        [ 'dims' =&gt; [170,160,210], 'prices' =&gt; [1.33,1.16,0.98,0.92,0.86], 'type' =&gt; "Четырехклапанные", 'sale' =&gt; "0" ],</v>
      </c>
    </row>
    <row r="124" spans="1:17" x14ac:dyDescent="0.4">
      <c r="A124" s="166" t="s">
        <v>896</v>
      </c>
      <c r="B124" s="166">
        <f>Закуп!R124</f>
        <v>70</v>
      </c>
      <c r="C124" s="166">
        <f>Закуп!S124</f>
        <v>70</v>
      </c>
      <c r="D124" s="166">
        <f>Закуп!T124</f>
        <v>70</v>
      </c>
      <c r="E124" s="166" t="s">
        <v>897</v>
      </c>
      <c r="F124" s="167" t="str">
        <f>SUBSTITUTE(INDEX(Calc!$K:$K,(ROW(A123)-1)*5+COLUMN(A123)+1),",",".")</f>
        <v>1.04</v>
      </c>
      <c r="G124" s="167" t="str">
        <f>SUBSTITUTE(INDEX(Calc!$K:$K,(ROW(B123)-1)*5+COLUMN(B123)+1),",",".")</f>
        <v>0.94</v>
      </c>
      <c r="H124" s="167" t="str">
        <f>SUBSTITUTE(INDEX(Calc!$K:$K,(ROW(C123)-1)*5+COLUMN(C123)+1),",",".")</f>
        <v>0.75</v>
      </c>
      <c r="I124" s="167" t="str">
        <f>SUBSTITUTE(INDEX(Calc!$K:$K,(ROW(D123)-1)*5+COLUMN(D123)+1),",",".")</f>
        <v>0.67</v>
      </c>
      <c r="J124" s="167" t="str">
        <f>SUBSTITUTE(INDEX(Calc!$K:$K,(ROW(E123)-1)*5+COLUMN(E123)+1),",",".")</f>
        <v>0.52</v>
      </c>
      <c r="K124" s="166" t="s">
        <v>898</v>
      </c>
      <c r="L124" s="167" t="str">
        <f>Закуп!AA124</f>
        <v>Самосборные</v>
      </c>
      <c r="M124" s="166" t="s">
        <v>899</v>
      </c>
      <c r="N124" s="166">
        <f>IF(Закуп!L124="",0,Закуп!L124)</f>
        <v>0</v>
      </c>
      <c r="O124" s="166" t="s">
        <v>900</v>
      </c>
      <c r="P124" s="144">
        <f>Закуп!N124</f>
        <v>1</v>
      </c>
      <c r="Q124" s="210" t="str">
        <f t="shared" si="1"/>
        <v xml:space="preserve">        [ 'dims' =&gt; [70,70,70], 'prices' =&gt; [1.04,0.94,0.75,0.67,0.52], 'type' =&gt; "Самосборные", 'sale' =&gt; "0" ],</v>
      </c>
    </row>
    <row r="125" spans="1:17" x14ac:dyDescent="0.4">
      <c r="A125" s="166" t="s">
        <v>896</v>
      </c>
      <c r="B125" s="166">
        <f>Закуп!R125</f>
        <v>410</v>
      </c>
      <c r="C125" s="166">
        <f>Закуп!S125</f>
        <v>100</v>
      </c>
      <c r="D125" s="166">
        <f>Закуп!T125</f>
        <v>390</v>
      </c>
      <c r="E125" s="166" t="s">
        <v>897</v>
      </c>
      <c r="F125" s="167" t="str">
        <f>SUBSTITUTE(INDEX(Calc!$K:$K,(ROW(A124)-1)*5+COLUMN(A124)+1),",",".")</f>
        <v>2.33</v>
      </c>
      <c r="G125" s="167" t="str">
        <f>SUBSTITUTE(INDEX(Calc!$K:$K,(ROW(B124)-1)*5+COLUMN(B124)+1),",",".")</f>
        <v>1.99</v>
      </c>
      <c r="H125" s="167" t="str">
        <f>SUBSTITUTE(INDEX(Calc!$K:$K,(ROW(C124)-1)*5+COLUMN(C124)+1),",",".")</f>
        <v>1.73</v>
      </c>
      <c r="I125" s="167" t="str">
        <f>SUBSTITUTE(INDEX(Calc!$K:$K,(ROW(D124)-1)*5+COLUMN(D124)+1),",",".")</f>
        <v>1.55</v>
      </c>
      <c r="J125" s="167" t="str">
        <f>SUBSTITUTE(INDEX(Calc!$K:$K,(ROW(E124)-1)*5+COLUMN(E124)+1),",",".")</f>
        <v>1.48</v>
      </c>
      <c r="K125" s="166" t="s">
        <v>898</v>
      </c>
      <c r="L125" s="167" t="str">
        <f>Закуп!AA125</f>
        <v>Четырехклапанные</v>
      </c>
      <c r="M125" s="166" t="s">
        <v>899</v>
      </c>
      <c r="N125" s="166">
        <f>IF(Закуп!L125="",0,Закуп!L125)</f>
        <v>0</v>
      </c>
      <c r="O125" s="166" t="s">
        <v>900</v>
      </c>
      <c r="P125" s="144">
        <f>Закуп!N125</f>
        <v>1</v>
      </c>
      <c r="Q125" s="210" t="str">
        <f t="shared" si="1"/>
        <v xml:space="preserve">        [ 'dims' =&gt; [410,100,390], 'prices' =&gt; [2.33,1.99,1.73,1.55,1.48], 'type' =&gt; "Четырехклапанные", 'sale' =&gt; "0" ],</v>
      </c>
    </row>
    <row r="126" spans="1:17" x14ac:dyDescent="0.4">
      <c r="A126" s="166" t="s">
        <v>896</v>
      </c>
      <c r="B126" s="166">
        <f>Закуп!R126</f>
        <v>210</v>
      </c>
      <c r="C126" s="166">
        <f>Закуп!S126</f>
        <v>190</v>
      </c>
      <c r="D126" s="166">
        <f>Закуп!T126</f>
        <v>355</v>
      </c>
      <c r="E126" s="166" t="s">
        <v>897</v>
      </c>
      <c r="F126" s="167" t="str">
        <f>SUBSTITUTE(INDEX(Calc!$K:$K,(ROW(A125)-1)*5+COLUMN(A125)+1),",",".")</f>
        <v>1.86</v>
      </c>
      <c r="G126" s="167" t="str">
        <f>SUBSTITUTE(INDEX(Calc!$K:$K,(ROW(B125)-1)*5+COLUMN(B125)+1),",",".")</f>
        <v>1.69</v>
      </c>
      <c r="H126" s="167" t="str">
        <f>SUBSTITUTE(INDEX(Calc!$K:$K,(ROW(C125)-1)*5+COLUMN(C125)+1),",",".")</f>
        <v>1.54</v>
      </c>
      <c r="I126" s="167" t="str">
        <f>SUBSTITUTE(INDEX(Calc!$K:$K,(ROW(D125)-1)*5+COLUMN(D125)+1),",",".")</f>
        <v>1.42</v>
      </c>
      <c r="J126" s="167" t="str">
        <f>SUBSTITUTE(INDEX(Calc!$K:$K,(ROW(E125)-1)*5+COLUMN(E125)+1),",",".")</f>
        <v>1.26</v>
      </c>
      <c r="K126" s="166" t="s">
        <v>898</v>
      </c>
      <c r="L126" s="167" t="str">
        <f>Закуп!AA126</f>
        <v>Четырехклапанные</v>
      </c>
      <c r="M126" s="166" t="s">
        <v>899</v>
      </c>
      <c r="N126" s="166">
        <f>IF(Закуп!L126="",0,Закуп!L126)</f>
        <v>0</v>
      </c>
      <c r="O126" s="166" t="s">
        <v>900</v>
      </c>
      <c r="P126" s="144">
        <f>Закуп!N126</f>
        <v>1</v>
      </c>
      <c r="Q126" s="210" t="str">
        <f t="shared" si="1"/>
        <v xml:space="preserve">        [ 'dims' =&gt; [210,190,355], 'prices' =&gt; [1.86,1.69,1.54,1.42,1.26], 'type' =&gt; "Четырехклапанные", 'sale' =&gt; "0" ],</v>
      </c>
    </row>
    <row r="127" spans="1:17" x14ac:dyDescent="0.4">
      <c r="A127" s="166" t="s">
        <v>896</v>
      </c>
      <c r="B127" s="166">
        <f>Закуп!R127</f>
        <v>465</v>
      </c>
      <c r="C127" s="166">
        <f>Закуп!S127</f>
        <v>305</v>
      </c>
      <c r="D127" s="166">
        <f>Закуп!T127</f>
        <v>490</v>
      </c>
      <c r="E127" s="166" t="s">
        <v>897</v>
      </c>
      <c r="F127" s="167" t="str">
        <f>SUBSTITUTE(INDEX(Calc!$K:$K,(ROW(A126)-1)*5+COLUMN(A126)+1),",",".")</f>
        <v>4.48</v>
      </c>
      <c r="G127" s="167" t="str">
        <f>SUBSTITUTE(INDEX(Calc!$K:$K,(ROW(B126)-1)*5+COLUMN(B126)+1),",",".")</f>
        <v>4.37</v>
      </c>
      <c r="H127" s="167" t="str">
        <f>SUBSTITUTE(INDEX(Calc!$K:$K,(ROW(C126)-1)*5+COLUMN(C126)+1),",",".")</f>
        <v>3.58</v>
      </c>
      <c r="I127" s="167" t="str">
        <f>SUBSTITUTE(INDEX(Calc!$K:$K,(ROW(D126)-1)*5+COLUMN(D126)+1),",",".")</f>
        <v>3.53</v>
      </c>
      <c r="J127" s="167" t="str">
        <f>SUBSTITUTE(INDEX(Calc!$K:$K,(ROW(E126)-1)*5+COLUMN(E126)+1),",",".")</f>
        <v>3.41</v>
      </c>
      <c r="K127" s="166" t="s">
        <v>898</v>
      </c>
      <c r="L127" s="167" t="str">
        <f>Закуп!AA127</f>
        <v>Четырехклапанные</v>
      </c>
      <c r="M127" s="166" t="s">
        <v>899</v>
      </c>
      <c r="N127" s="166">
        <f>IF(Закуп!L127="",0,Закуп!L127)</f>
        <v>0</v>
      </c>
      <c r="O127" s="166" t="s">
        <v>900</v>
      </c>
      <c r="P127" s="144">
        <f>Закуп!N127</f>
        <v>1</v>
      </c>
      <c r="Q127" s="210" t="str">
        <f t="shared" si="1"/>
        <v xml:space="preserve">        [ 'dims' =&gt; [465,305,490], 'prices' =&gt; [4.48,4.37,3.58,3.53,3.41], 'type' =&gt; "Четырехклапанные", 'sale' =&gt; "0" ],</v>
      </c>
    </row>
    <row r="128" spans="1:17" x14ac:dyDescent="0.4">
      <c r="A128" s="166" t="s">
        <v>896</v>
      </c>
      <c r="B128" s="166">
        <f>Закуп!R128</f>
        <v>225</v>
      </c>
      <c r="C128" s="166">
        <f>Закуп!S128</f>
        <v>225</v>
      </c>
      <c r="D128" s="166">
        <f>Закуп!T128</f>
        <v>135</v>
      </c>
      <c r="E128" s="166" t="s">
        <v>897</v>
      </c>
      <c r="F128" s="167" t="str">
        <f>SUBSTITUTE(INDEX(Calc!$K:$K,(ROW(A127)-1)*5+COLUMN(A127)+1),",",".")</f>
        <v>1.67</v>
      </c>
      <c r="G128" s="167" t="str">
        <f>SUBSTITUTE(INDEX(Calc!$K:$K,(ROW(B127)-1)*5+COLUMN(B127)+1),",",".")</f>
        <v>1.52</v>
      </c>
      <c r="H128" s="167" t="str">
        <f>SUBSTITUTE(INDEX(Calc!$K:$K,(ROW(C127)-1)*5+COLUMN(C127)+1),",",".")</f>
        <v>1.2</v>
      </c>
      <c r="I128" s="167" t="str">
        <f>SUBSTITUTE(INDEX(Calc!$K:$K,(ROW(D127)-1)*5+COLUMN(D127)+1),",",".")</f>
        <v>1.12</v>
      </c>
      <c r="J128" s="167" t="str">
        <f>SUBSTITUTE(INDEX(Calc!$K:$K,(ROW(E127)-1)*5+COLUMN(E127)+1),",",".")</f>
        <v>1.06</v>
      </c>
      <c r="K128" s="166" t="s">
        <v>898</v>
      </c>
      <c r="L128" s="167" t="str">
        <f>Закуп!AA128</f>
        <v>Четырехклапанные</v>
      </c>
      <c r="M128" s="166" t="s">
        <v>899</v>
      </c>
      <c r="N128" s="166">
        <f>IF(Закуп!L128="",0,Закуп!L128)</f>
        <v>0</v>
      </c>
      <c r="O128" s="166" t="s">
        <v>900</v>
      </c>
      <c r="P128" s="144">
        <f>Закуп!N128</f>
        <v>1</v>
      </c>
      <c r="Q128" s="210" t="str">
        <f t="shared" si="1"/>
        <v xml:space="preserve">        [ 'dims' =&gt; [225,225,135], 'prices' =&gt; [1.67,1.52,1.2,1.12,1.06], 'type' =&gt; "Четырехклапанные", 'sale' =&gt; "0" ],</v>
      </c>
    </row>
    <row r="129" spans="1:17" x14ac:dyDescent="0.4">
      <c r="A129" s="166" t="s">
        <v>896</v>
      </c>
      <c r="B129" s="166">
        <f>Закуп!R129</f>
        <v>320</v>
      </c>
      <c r="C129" s="166">
        <f>Закуп!S129</f>
        <v>230</v>
      </c>
      <c r="D129" s="166">
        <f>Закуп!T129</f>
        <v>335</v>
      </c>
      <c r="E129" s="166" t="s">
        <v>897</v>
      </c>
      <c r="F129" s="167" t="str">
        <f>SUBSTITUTE(INDEX(Calc!$K:$K,(ROW(A128)-1)*5+COLUMN(A128)+1),",",".")</f>
        <v>2.88</v>
      </c>
      <c r="G129" s="167" t="str">
        <f>SUBSTITUTE(INDEX(Calc!$K:$K,(ROW(B128)-1)*5+COLUMN(B128)+1),",",".")</f>
        <v>2.3</v>
      </c>
      <c r="H129" s="167" t="str">
        <f>SUBSTITUTE(INDEX(Calc!$K:$K,(ROW(C128)-1)*5+COLUMN(C128)+1),",",".")</f>
        <v>2.1</v>
      </c>
      <c r="I129" s="167" t="str">
        <f>SUBSTITUTE(INDEX(Calc!$K:$K,(ROW(D128)-1)*5+COLUMN(D128)+1),",",".")</f>
        <v>1.87</v>
      </c>
      <c r="J129" s="167" t="str">
        <f>SUBSTITUTE(INDEX(Calc!$K:$K,(ROW(E128)-1)*5+COLUMN(E128)+1),",",".")</f>
        <v>1.79</v>
      </c>
      <c r="K129" s="166" t="s">
        <v>898</v>
      </c>
      <c r="L129" s="167" t="str">
        <f>Закуп!AA129</f>
        <v>Четырехклапанные</v>
      </c>
      <c r="M129" s="166" t="s">
        <v>899</v>
      </c>
      <c r="N129" s="166">
        <f>IF(Закуп!L129="",0,Закуп!L129)</f>
        <v>0</v>
      </c>
      <c r="O129" s="166" t="s">
        <v>900</v>
      </c>
      <c r="P129" s="144">
        <f>Закуп!N129</f>
        <v>1</v>
      </c>
      <c r="Q129" s="210" t="str">
        <f t="shared" si="1"/>
        <v xml:space="preserve">        [ 'dims' =&gt; [320,230,335], 'prices' =&gt; [2.88,2.3,2.1,1.87,1.79], 'type' =&gt; "Четырехклапанные", 'sale' =&gt; "0" ],</v>
      </c>
    </row>
    <row r="130" spans="1:17" x14ac:dyDescent="0.4">
      <c r="A130" s="166" t="s">
        <v>896</v>
      </c>
      <c r="B130" s="166">
        <f>Закуп!R130</f>
        <v>320</v>
      </c>
      <c r="C130" s="166">
        <f>Закуп!S130</f>
        <v>160</v>
      </c>
      <c r="D130" s="166">
        <f>Закуп!T130</f>
        <v>35</v>
      </c>
      <c r="E130" s="166" t="s">
        <v>897</v>
      </c>
      <c r="F130" s="167" t="str">
        <f>SUBSTITUTE(INDEX(Calc!$K:$K,(ROW(A129)-1)*5+COLUMN(A129)+1),",",".")</f>
        <v>1.04</v>
      </c>
      <c r="G130" s="167" t="str">
        <f>SUBSTITUTE(INDEX(Calc!$K:$K,(ROW(B129)-1)*5+COLUMN(B129)+1),",",".")</f>
        <v>0.88</v>
      </c>
      <c r="H130" s="167" t="str">
        <f>SUBSTITUTE(INDEX(Calc!$K:$K,(ROW(C129)-1)*5+COLUMN(C129)+1),",",".")</f>
        <v>0.8</v>
      </c>
      <c r="I130" s="167" t="str">
        <f>SUBSTITUTE(INDEX(Calc!$K:$K,(ROW(D129)-1)*5+COLUMN(D129)+1),",",".")</f>
        <v>0.73</v>
      </c>
      <c r="J130" s="167" t="str">
        <f>SUBSTITUTE(INDEX(Calc!$K:$K,(ROW(E129)-1)*5+COLUMN(E129)+1),",",".")</f>
        <v>0.67</v>
      </c>
      <c r="K130" s="166" t="s">
        <v>898</v>
      </c>
      <c r="L130" s="167" t="str">
        <f>Закуп!AA130</f>
        <v>Самосборные</v>
      </c>
      <c r="M130" s="166" t="s">
        <v>899</v>
      </c>
      <c r="N130" s="166">
        <f>IF(Закуп!L130="",0,Закуп!L130)</f>
        <v>0</v>
      </c>
      <c r="O130" s="166" t="s">
        <v>900</v>
      </c>
      <c r="P130" s="144">
        <f>Закуп!N130</f>
        <v>1</v>
      </c>
      <c r="Q130" s="210" t="str">
        <f t="shared" ref="Q130:Q193" si="2">CONCATENATE(A130,B130,",",C130,",",D130,E130,F130,",",G130,",",H130,",",I130,",",J130,K130,L130,M130,N130,O130,)</f>
        <v xml:space="preserve">        [ 'dims' =&gt; [320,160,35], 'prices' =&gt; [1.04,0.88,0.8,0.73,0.67], 'type' =&gt; "Самосборные", 'sale' =&gt; "0" ],</v>
      </c>
    </row>
    <row r="131" spans="1:17" x14ac:dyDescent="0.4">
      <c r="A131" s="166" t="s">
        <v>896</v>
      </c>
      <c r="B131" s="166">
        <f>Закуп!R131</f>
        <v>380</v>
      </c>
      <c r="C131" s="166">
        <f>Закуп!S131</f>
        <v>285</v>
      </c>
      <c r="D131" s="166">
        <f>Закуп!T131</f>
        <v>70</v>
      </c>
      <c r="E131" s="166" t="s">
        <v>897</v>
      </c>
      <c r="F131" s="167" t="str">
        <f>SUBSTITUTE(INDEX(Calc!$K:$K,(ROW(A130)-1)*5+COLUMN(A130)+1),",",".")</f>
        <v>2.4</v>
      </c>
      <c r="G131" s="167" t="str">
        <f>SUBSTITUTE(INDEX(Calc!$K:$K,(ROW(B130)-1)*5+COLUMN(B130)+1),",",".")</f>
        <v>2.18</v>
      </c>
      <c r="H131" s="167" t="str">
        <f>SUBSTITUTE(INDEX(Calc!$K:$K,(ROW(C130)-1)*5+COLUMN(C130)+1),",",".")</f>
        <v>1.7</v>
      </c>
      <c r="I131" s="167" t="str">
        <f>SUBSTITUTE(INDEX(Calc!$K:$K,(ROW(D130)-1)*5+COLUMN(D130)+1),",",".")</f>
        <v>1.48</v>
      </c>
      <c r="J131" s="167" t="str">
        <f>SUBSTITUTE(INDEX(Calc!$K:$K,(ROW(E130)-1)*5+COLUMN(E130)+1),",",".")</f>
        <v>1.38</v>
      </c>
      <c r="K131" s="166" t="s">
        <v>898</v>
      </c>
      <c r="L131" s="167" t="str">
        <f>Закуп!AA131</f>
        <v>Четырехклапанные</v>
      </c>
      <c r="M131" s="166" t="s">
        <v>899</v>
      </c>
      <c r="N131" s="166">
        <f>IF(Закуп!L131="",0,Закуп!L131)</f>
        <v>0</v>
      </c>
      <c r="O131" s="166" t="s">
        <v>900</v>
      </c>
      <c r="P131" s="144">
        <f>Закуп!N131</f>
        <v>1</v>
      </c>
      <c r="Q131" s="210" t="str">
        <f t="shared" si="2"/>
        <v xml:space="preserve">        [ 'dims' =&gt; [380,285,70], 'prices' =&gt; [2.4,2.18,1.7,1.48,1.38], 'type' =&gt; "Четырехклапанные", 'sale' =&gt; "0" ],</v>
      </c>
    </row>
    <row r="132" spans="1:17" x14ac:dyDescent="0.4">
      <c r="A132" s="166" t="s">
        <v>896</v>
      </c>
      <c r="B132" s="166">
        <f>Закуп!R132</f>
        <v>230</v>
      </c>
      <c r="C132" s="166">
        <f>Закуп!S132</f>
        <v>145</v>
      </c>
      <c r="D132" s="166">
        <f>Закуп!T132</f>
        <v>240</v>
      </c>
      <c r="E132" s="166" t="s">
        <v>897</v>
      </c>
      <c r="F132" s="167" t="str">
        <f>SUBSTITUTE(INDEX(Calc!$K:$K,(ROW(A131)-1)*5+COLUMN(A131)+1),",",".")</f>
        <v>1.5</v>
      </c>
      <c r="G132" s="167" t="str">
        <f>SUBSTITUTE(INDEX(Calc!$K:$K,(ROW(B131)-1)*5+COLUMN(B131)+1),",",".")</f>
        <v>1.36</v>
      </c>
      <c r="H132" s="167" t="str">
        <f>SUBSTITUTE(INDEX(Calc!$K:$K,(ROW(C131)-1)*5+COLUMN(C131)+1),",",".")</f>
        <v>1.07</v>
      </c>
      <c r="I132" s="167" t="str">
        <f>SUBSTITUTE(INDEX(Calc!$K:$K,(ROW(D131)-1)*5+COLUMN(D131)+1),",",".")</f>
        <v>1.01</v>
      </c>
      <c r="J132" s="167" t="str">
        <f>SUBSTITUTE(INDEX(Calc!$K:$K,(ROW(E131)-1)*5+COLUMN(E131)+1),",",".")</f>
        <v>0.95</v>
      </c>
      <c r="K132" s="166" t="s">
        <v>898</v>
      </c>
      <c r="L132" s="167" t="str">
        <f>Закуп!AA132</f>
        <v>Четырехклапанные</v>
      </c>
      <c r="M132" s="166" t="s">
        <v>899</v>
      </c>
      <c r="N132" s="166">
        <f>IF(Закуп!L132="",0,Закуп!L132)</f>
        <v>0</v>
      </c>
      <c r="O132" s="166" t="s">
        <v>900</v>
      </c>
      <c r="P132" s="144">
        <f>Закуп!N132</f>
        <v>1</v>
      </c>
      <c r="Q132" s="210" t="str">
        <f t="shared" si="2"/>
        <v xml:space="preserve">        [ 'dims' =&gt; [230,145,240], 'prices' =&gt; [1.5,1.36,1.07,1.01,0.95], 'type' =&gt; "Четырехклапанные", 'sale' =&gt; "0" ],</v>
      </c>
    </row>
    <row r="133" spans="1:17" x14ac:dyDescent="0.4">
      <c r="A133" s="166" t="s">
        <v>896</v>
      </c>
      <c r="B133" s="166">
        <f>Закуп!R133</f>
        <v>380</v>
      </c>
      <c r="C133" s="166">
        <f>Закуп!S133</f>
        <v>285</v>
      </c>
      <c r="D133" s="166">
        <f>Закуп!T133</f>
        <v>310</v>
      </c>
      <c r="E133" s="166" t="s">
        <v>897</v>
      </c>
      <c r="F133" s="167" t="str">
        <f>SUBSTITUTE(INDEX(Calc!$K:$K,(ROW(A132)-1)*5+COLUMN(A132)+1),",",".")</f>
        <v>3.65</v>
      </c>
      <c r="G133" s="167" t="str">
        <f>SUBSTITUTE(INDEX(Calc!$K:$K,(ROW(B132)-1)*5+COLUMN(B132)+1),",",".")</f>
        <v>2.92</v>
      </c>
      <c r="H133" s="167" t="str">
        <f>SUBSTITUTE(INDEX(Calc!$K:$K,(ROW(C132)-1)*5+COLUMN(C132)+1),",",".")</f>
        <v>2.46</v>
      </c>
      <c r="I133" s="167" t="str">
        <f>SUBSTITUTE(INDEX(Calc!$K:$K,(ROW(D132)-1)*5+COLUMN(D132)+1),",",".")</f>
        <v>2.33</v>
      </c>
      <c r="J133" s="167" t="str">
        <f>SUBSTITUTE(INDEX(Calc!$K:$K,(ROW(E132)-1)*5+COLUMN(E132)+1),",",".")</f>
        <v>2.23</v>
      </c>
      <c r="K133" s="166" t="s">
        <v>898</v>
      </c>
      <c r="L133" s="167" t="str">
        <f>Закуп!AA133</f>
        <v>Четырехклапанные</v>
      </c>
      <c r="M133" s="166" t="s">
        <v>899</v>
      </c>
      <c r="N133" s="166">
        <f>IF(Закуп!L133="",0,Закуп!L133)</f>
        <v>0</v>
      </c>
      <c r="O133" s="166" t="s">
        <v>900</v>
      </c>
      <c r="P133" s="144">
        <f>Закуп!N133</f>
        <v>1</v>
      </c>
      <c r="Q133" s="210" t="str">
        <f t="shared" si="2"/>
        <v xml:space="preserve">        [ 'dims' =&gt; [380,285,310], 'prices' =&gt; [3.65,2.92,2.46,2.33,2.23], 'type' =&gt; "Четырехклапанные", 'sale' =&gt; "0" ],</v>
      </c>
    </row>
    <row r="134" spans="1:17" x14ac:dyDescent="0.4">
      <c r="A134" s="166" t="s">
        <v>896</v>
      </c>
      <c r="B134" s="166">
        <f>Закуп!R134</f>
        <v>420</v>
      </c>
      <c r="C134" s="166">
        <f>Закуп!S134</f>
        <v>270</v>
      </c>
      <c r="D134" s="166">
        <f>Закуп!T134</f>
        <v>160</v>
      </c>
      <c r="E134" s="166" t="s">
        <v>897</v>
      </c>
      <c r="F134" s="167" t="str">
        <f>SUBSTITUTE(INDEX(Calc!$K:$K,(ROW(A133)-1)*5+COLUMN(A133)+1),",",".")</f>
        <v>2.75</v>
      </c>
      <c r="G134" s="167" t="str">
        <f>SUBSTITUTE(INDEX(Calc!$K:$K,(ROW(B133)-1)*5+COLUMN(B133)+1),",",".")</f>
        <v>2.19</v>
      </c>
      <c r="H134" s="167" t="str">
        <f>SUBSTITUTE(INDEX(Calc!$K:$K,(ROW(C133)-1)*5+COLUMN(C133)+1),",",".")</f>
        <v>2</v>
      </c>
      <c r="I134" s="167" t="str">
        <f>SUBSTITUTE(INDEX(Calc!$K:$K,(ROW(D133)-1)*5+COLUMN(D133)+1),",",".")</f>
        <v>1.79</v>
      </c>
      <c r="J134" s="167" t="str">
        <f>SUBSTITUTE(INDEX(Calc!$K:$K,(ROW(E133)-1)*5+COLUMN(E133)+1),",",".")</f>
        <v>1.73</v>
      </c>
      <c r="K134" s="166" t="s">
        <v>898</v>
      </c>
      <c r="L134" s="167" t="str">
        <f>Закуп!AA134</f>
        <v>Четырехклапанные</v>
      </c>
      <c r="M134" s="166" t="s">
        <v>899</v>
      </c>
      <c r="N134" s="166">
        <f>IF(Закуп!L134="",0,Закуп!L134)</f>
        <v>0</v>
      </c>
      <c r="O134" s="166" t="s">
        <v>900</v>
      </c>
      <c r="P134" s="144">
        <f>Закуп!N134</f>
        <v>1</v>
      </c>
      <c r="Q134" s="210" t="str">
        <f t="shared" si="2"/>
        <v xml:space="preserve">        [ 'dims' =&gt; [420,270,160], 'prices' =&gt; [2.75,2.19,2,1.79,1.73], 'type' =&gt; "Четырехклапанные", 'sale' =&gt; "0" ],</v>
      </c>
    </row>
    <row r="135" spans="1:17" x14ac:dyDescent="0.4">
      <c r="A135" s="166" t="s">
        <v>896</v>
      </c>
      <c r="B135" s="166">
        <f>Закуп!R135</f>
        <v>380</v>
      </c>
      <c r="C135" s="166">
        <f>Закуп!S135</f>
        <v>285</v>
      </c>
      <c r="D135" s="166">
        <f>Закуп!T135</f>
        <v>237</v>
      </c>
      <c r="E135" s="166" t="s">
        <v>897</v>
      </c>
      <c r="F135" s="167" t="str">
        <f>SUBSTITUTE(INDEX(Calc!$K:$K,(ROW(A134)-1)*5+COLUMN(A134)+1),",",".")</f>
        <v>3.21</v>
      </c>
      <c r="G135" s="167" t="str">
        <f>SUBSTITUTE(INDEX(Calc!$K:$K,(ROW(B134)-1)*5+COLUMN(B134)+1),",",".")</f>
        <v>2.57</v>
      </c>
      <c r="H135" s="167" t="str">
        <f>SUBSTITUTE(INDEX(Calc!$K:$K,(ROW(C134)-1)*5+COLUMN(C134)+1),",",".")</f>
        <v>2.31</v>
      </c>
      <c r="I135" s="167" t="str">
        <f>SUBSTITUTE(INDEX(Calc!$K:$K,(ROW(D134)-1)*5+COLUMN(D134)+1),",",".")</f>
        <v>2.09</v>
      </c>
      <c r="J135" s="167" t="str">
        <f>SUBSTITUTE(INDEX(Calc!$K:$K,(ROW(E134)-1)*5+COLUMN(E134)+1),",",".")</f>
        <v>1.99</v>
      </c>
      <c r="K135" s="166" t="s">
        <v>898</v>
      </c>
      <c r="L135" s="167" t="str">
        <f>Закуп!AA135</f>
        <v>Четырехклапанные</v>
      </c>
      <c r="M135" s="166" t="s">
        <v>899</v>
      </c>
      <c r="N135" s="166">
        <f>IF(Закуп!L135="",0,Закуп!L135)</f>
        <v>0</v>
      </c>
      <c r="O135" s="166" t="s">
        <v>900</v>
      </c>
      <c r="P135" s="144">
        <f>Закуп!N135</f>
        <v>1</v>
      </c>
      <c r="Q135" s="210" t="str">
        <f t="shared" si="2"/>
        <v xml:space="preserve">        [ 'dims' =&gt; [380,285,237], 'prices' =&gt; [3.21,2.57,2.31,2.09,1.99], 'type' =&gt; "Четырехклапанные", 'sale' =&gt; "0" ],</v>
      </c>
    </row>
    <row r="136" spans="1:17" x14ac:dyDescent="0.4">
      <c r="A136" s="166" t="s">
        <v>896</v>
      </c>
      <c r="B136" s="166">
        <f>Закуп!R136</f>
        <v>200</v>
      </c>
      <c r="C136" s="166">
        <f>Закуп!S136</f>
        <v>160</v>
      </c>
      <c r="D136" s="166">
        <f>Закуп!T136</f>
        <v>250</v>
      </c>
      <c r="E136" s="166" t="s">
        <v>897</v>
      </c>
      <c r="F136" s="167" t="str">
        <f>SUBSTITUTE(INDEX(Calc!$K:$K,(ROW(A135)-1)*5+COLUMN(A135)+1),",",".")</f>
        <v>1.53</v>
      </c>
      <c r="G136" s="167" t="str">
        <f>SUBSTITUTE(INDEX(Calc!$K:$K,(ROW(B135)-1)*5+COLUMN(B135)+1),",",".")</f>
        <v>1.39</v>
      </c>
      <c r="H136" s="167" t="str">
        <f>SUBSTITUTE(INDEX(Calc!$K:$K,(ROW(C135)-1)*5+COLUMN(C135)+1),",",".")</f>
        <v>1.09</v>
      </c>
      <c r="I136" s="167" t="str">
        <f>SUBSTITUTE(INDEX(Calc!$K:$K,(ROW(D135)-1)*5+COLUMN(D135)+1),",",".")</f>
        <v>1.03</v>
      </c>
      <c r="J136" s="167" t="str">
        <f>SUBSTITUTE(INDEX(Calc!$K:$K,(ROW(E135)-1)*5+COLUMN(E135)+1),",",".")</f>
        <v>0.97</v>
      </c>
      <c r="K136" s="166" t="s">
        <v>898</v>
      </c>
      <c r="L136" s="167" t="str">
        <f>Закуп!AA136</f>
        <v>Четырехклапанные</v>
      </c>
      <c r="M136" s="166" t="s">
        <v>899</v>
      </c>
      <c r="N136" s="166">
        <f>IF(Закуп!L136="",0,Закуп!L136)</f>
        <v>0</v>
      </c>
      <c r="O136" s="166" t="s">
        <v>900</v>
      </c>
      <c r="P136" s="144">
        <f>Закуп!N136</f>
        <v>1</v>
      </c>
      <c r="Q136" s="210" t="str">
        <f t="shared" si="2"/>
        <v xml:space="preserve">        [ 'dims' =&gt; [200,160,250], 'prices' =&gt; [1.53,1.39,1.09,1.03,0.97], 'type' =&gt; "Четырехклапанные", 'sale' =&gt; "0" ],</v>
      </c>
    </row>
    <row r="137" spans="1:17" x14ac:dyDescent="0.4">
      <c r="A137" s="166" t="s">
        <v>896</v>
      </c>
      <c r="B137" s="166">
        <f>Закуп!R137</f>
        <v>295</v>
      </c>
      <c r="C137" s="166">
        <f>Закуп!S137</f>
        <v>225</v>
      </c>
      <c r="D137" s="166">
        <f>Закуп!T137</f>
        <v>160</v>
      </c>
      <c r="E137" s="166" t="s">
        <v>897</v>
      </c>
      <c r="F137" s="167" t="str">
        <f>SUBSTITUTE(INDEX(Calc!$K:$K,(ROW(A136)-1)*5+COLUMN(A136)+1),",",".")</f>
        <v>1.77</v>
      </c>
      <c r="G137" s="167" t="str">
        <f>SUBSTITUTE(INDEX(Calc!$K:$K,(ROW(B136)-1)*5+COLUMN(B136)+1),",",".")</f>
        <v>1.61</v>
      </c>
      <c r="H137" s="167" t="str">
        <f>SUBSTITUTE(INDEX(Calc!$K:$K,(ROW(C136)-1)*5+COLUMN(C136)+1),",",".")</f>
        <v>1.47</v>
      </c>
      <c r="I137" s="167" t="str">
        <f>SUBSTITUTE(INDEX(Calc!$K:$K,(ROW(D136)-1)*5+COLUMN(D136)+1),",",".")</f>
        <v>1.35</v>
      </c>
      <c r="J137" s="167" t="str">
        <f>SUBSTITUTE(INDEX(Calc!$K:$K,(ROW(E136)-1)*5+COLUMN(E136)+1),",",".")</f>
        <v>1.2</v>
      </c>
      <c r="K137" s="166" t="s">
        <v>898</v>
      </c>
      <c r="L137" s="167" t="str">
        <f>Закуп!AA137</f>
        <v>Четырехклапанные</v>
      </c>
      <c r="M137" s="166" t="s">
        <v>899</v>
      </c>
      <c r="N137" s="166">
        <f>IF(Закуп!L137="",0,Закуп!L137)</f>
        <v>0</v>
      </c>
      <c r="O137" s="166" t="s">
        <v>900</v>
      </c>
      <c r="P137" s="144">
        <f>Закуп!N137</f>
        <v>1</v>
      </c>
      <c r="Q137" s="210" t="str">
        <f t="shared" si="2"/>
        <v xml:space="preserve">        [ 'dims' =&gt; [295,225,160], 'prices' =&gt; [1.77,1.61,1.47,1.35,1.2], 'type' =&gt; "Четырехклапанные", 'sale' =&gt; "0" ],</v>
      </c>
    </row>
    <row r="138" spans="1:17" x14ac:dyDescent="0.4">
      <c r="A138" s="166" t="s">
        <v>896</v>
      </c>
      <c r="B138" s="166">
        <f>Закуп!R138</f>
        <v>400</v>
      </c>
      <c r="C138" s="166">
        <f>Закуп!S138</f>
        <v>370</v>
      </c>
      <c r="D138" s="166">
        <f>Закуп!T138</f>
        <v>230</v>
      </c>
      <c r="E138" s="166" t="s">
        <v>897</v>
      </c>
      <c r="F138" s="167" t="str">
        <f>SUBSTITUTE(INDEX(Calc!$K:$K,(ROW(A137)-1)*5+COLUMN(A137)+1),",",".")</f>
        <v>4.24</v>
      </c>
      <c r="G138" s="167" t="str">
        <f>SUBSTITUTE(INDEX(Calc!$K:$K,(ROW(B137)-1)*5+COLUMN(B137)+1),",",".")</f>
        <v>3.35</v>
      </c>
      <c r="H138" s="167" t="str">
        <f>SUBSTITUTE(INDEX(Calc!$K:$K,(ROW(C137)-1)*5+COLUMN(C137)+1),",",".")</f>
        <v>2.81</v>
      </c>
      <c r="I138" s="167" t="str">
        <f>SUBSTITUTE(INDEX(Calc!$K:$K,(ROW(D137)-1)*5+COLUMN(D137)+1),",",".")</f>
        <v>2.66</v>
      </c>
      <c r="J138" s="167" t="str">
        <f>SUBSTITUTE(INDEX(Calc!$K:$K,(ROW(E137)-1)*5+COLUMN(E137)+1),",",".")</f>
        <v>2.59</v>
      </c>
      <c r="K138" s="166" t="s">
        <v>898</v>
      </c>
      <c r="L138" s="167" t="str">
        <f>Закуп!AA138</f>
        <v>Четырехклапанные</v>
      </c>
      <c r="M138" s="166" t="s">
        <v>899</v>
      </c>
      <c r="N138" s="166">
        <f>IF(Закуп!L138="",0,Закуп!L138)</f>
        <v>0</v>
      </c>
      <c r="O138" s="166" t="s">
        <v>900</v>
      </c>
      <c r="P138" s="144">
        <f>Закуп!N138</f>
        <v>1</v>
      </c>
      <c r="Q138" s="210" t="str">
        <f t="shared" si="2"/>
        <v xml:space="preserve">        [ 'dims' =&gt; [400,370,230], 'prices' =&gt; [4.24,3.35,2.81,2.66,2.59], 'type' =&gt; "Четырехклапанные", 'sale' =&gt; "0" ],</v>
      </c>
    </row>
    <row r="139" spans="1:17" x14ac:dyDescent="0.4">
      <c r="A139" s="166" t="s">
        <v>896</v>
      </c>
      <c r="B139" s="166">
        <f>Закуп!R139</f>
        <v>630</v>
      </c>
      <c r="C139" s="166">
        <f>Закуп!S139</f>
        <v>320</v>
      </c>
      <c r="D139" s="166">
        <f>Закуп!T139</f>
        <v>340</v>
      </c>
      <c r="E139" s="166" t="s">
        <v>897</v>
      </c>
      <c r="F139" s="167" t="str">
        <f>SUBSTITUTE(INDEX(Calc!$K:$K,(ROW(A138)-1)*5+COLUMN(A138)+1),",",".")</f>
        <v>4.58</v>
      </c>
      <c r="G139" s="167" t="str">
        <f>SUBSTITUTE(INDEX(Calc!$K:$K,(ROW(B138)-1)*5+COLUMN(B138)+1),",",".")</f>
        <v>4.46</v>
      </c>
      <c r="H139" s="167" t="str">
        <f>SUBSTITUTE(INDEX(Calc!$K:$K,(ROW(C138)-1)*5+COLUMN(C138)+1),",",".")</f>
        <v>3.67</v>
      </c>
      <c r="I139" s="167" t="str">
        <f>SUBSTITUTE(INDEX(Calc!$K:$K,(ROW(D138)-1)*5+COLUMN(D138)+1),",",".")</f>
        <v>3.61</v>
      </c>
      <c r="J139" s="167" t="str">
        <f>SUBSTITUTE(INDEX(Calc!$K:$K,(ROW(E138)-1)*5+COLUMN(E138)+1),",",".")</f>
        <v>3.49</v>
      </c>
      <c r="K139" s="166" t="s">
        <v>898</v>
      </c>
      <c r="L139" s="167" t="str">
        <f>Закуп!AA139</f>
        <v>Четырехклапанные</v>
      </c>
      <c r="M139" s="166" t="s">
        <v>899</v>
      </c>
      <c r="N139" s="166">
        <f>IF(Закуп!L139="",0,Закуп!L139)</f>
        <v>0</v>
      </c>
      <c r="O139" s="166" t="s">
        <v>900</v>
      </c>
      <c r="P139" s="144">
        <f>Закуп!N139</f>
        <v>1</v>
      </c>
      <c r="Q139" s="210" t="str">
        <f t="shared" si="2"/>
        <v xml:space="preserve">        [ 'dims' =&gt; [630,320,340], 'prices' =&gt; [4.58,4.46,3.67,3.61,3.49], 'type' =&gt; "Четырехклапанные", 'sale' =&gt; "0" ],</v>
      </c>
    </row>
    <row r="140" spans="1:17" x14ac:dyDescent="0.4">
      <c r="A140" s="166" t="s">
        <v>896</v>
      </c>
      <c r="B140" s="166">
        <f>Закуп!R140</f>
        <v>350</v>
      </c>
      <c r="C140" s="166">
        <f>Закуп!S140</f>
        <v>340</v>
      </c>
      <c r="D140" s="166">
        <f>Закуп!T140</f>
        <v>190</v>
      </c>
      <c r="E140" s="166" t="s">
        <v>897</v>
      </c>
      <c r="F140" s="167" t="str">
        <f>SUBSTITUTE(INDEX(Calc!$K:$K,(ROW(A139)-1)*5+COLUMN(A139)+1),",",".")</f>
        <v>3.36</v>
      </c>
      <c r="G140" s="167" t="str">
        <f>SUBSTITUTE(INDEX(Calc!$K:$K,(ROW(B139)-1)*5+COLUMN(B139)+1),",",".")</f>
        <v>2.7</v>
      </c>
      <c r="H140" s="167" t="str">
        <f>SUBSTITUTE(INDEX(Calc!$K:$K,(ROW(C139)-1)*5+COLUMN(C139)+1),",",".")</f>
        <v>2.42</v>
      </c>
      <c r="I140" s="167" t="str">
        <f>SUBSTITUTE(INDEX(Calc!$K:$K,(ROW(D139)-1)*5+COLUMN(D139)+1),",",".")</f>
        <v>2.18</v>
      </c>
      <c r="J140" s="167" t="str">
        <f>SUBSTITUTE(INDEX(Calc!$K:$K,(ROW(E139)-1)*5+COLUMN(E139)+1),",",".")</f>
        <v>2.09</v>
      </c>
      <c r="K140" s="166" t="s">
        <v>898</v>
      </c>
      <c r="L140" s="167" t="str">
        <f>Закуп!AA140</f>
        <v>Четырехклапанные</v>
      </c>
      <c r="M140" s="166" t="s">
        <v>899</v>
      </c>
      <c r="N140" s="166">
        <f>IF(Закуп!L140="",0,Закуп!L140)</f>
        <v>0</v>
      </c>
      <c r="O140" s="166" t="s">
        <v>900</v>
      </c>
      <c r="P140" s="144">
        <f>Закуп!N140</f>
        <v>1</v>
      </c>
      <c r="Q140" s="210" t="str">
        <f t="shared" si="2"/>
        <v xml:space="preserve">        [ 'dims' =&gt; [350,340,190], 'prices' =&gt; [3.36,2.7,2.42,2.18,2.09], 'type' =&gt; "Четырехклапанные", 'sale' =&gt; "0" ],</v>
      </c>
    </row>
    <row r="141" spans="1:17" x14ac:dyDescent="0.4">
      <c r="A141" s="166" t="s">
        <v>896</v>
      </c>
      <c r="B141" s="166">
        <f>Закуп!R141</f>
        <v>103</v>
      </c>
      <c r="C141" s="166">
        <f>Закуп!S141</f>
        <v>103</v>
      </c>
      <c r="D141" s="166">
        <f>Закуп!T141</f>
        <v>130</v>
      </c>
      <c r="E141" s="166" t="s">
        <v>897</v>
      </c>
      <c r="F141" s="167" t="str">
        <f>SUBSTITUTE(INDEX(Calc!$K:$K,(ROW(A140)-1)*5+COLUMN(A140)+1),",",".")</f>
        <v>0.98</v>
      </c>
      <c r="G141" s="167" t="str">
        <f>SUBSTITUTE(INDEX(Calc!$K:$K,(ROW(B140)-1)*5+COLUMN(B140)+1),",",".")</f>
        <v>0.86</v>
      </c>
      <c r="H141" s="167" t="str">
        <f>SUBSTITUTE(INDEX(Calc!$K:$K,(ROW(C140)-1)*5+COLUMN(C140)+1),",",".")</f>
        <v>0.74</v>
      </c>
      <c r="I141" s="167" t="str">
        <f>SUBSTITUTE(INDEX(Calc!$K:$K,(ROW(D140)-1)*5+COLUMN(D140)+1),",",".")</f>
        <v>0.67</v>
      </c>
      <c r="J141" s="167" t="str">
        <f>SUBSTITUTE(INDEX(Calc!$K:$K,(ROW(E140)-1)*5+COLUMN(E140)+1),",",".")</f>
        <v>0.59</v>
      </c>
      <c r="K141" s="166" t="s">
        <v>898</v>
      </c>
      <c r="L141" s="167" t="str">
        <f>Закуп!AA141</f>
        <v>Четырехклапанные</v>
      </c>
      <c r="M141" s="166" t="s">
        <v>899</v>
      </c>
      <c r="N141" s="166">
        <f>IF(Закуп!L141="",0,Закуп!L141)</f>
        <v>0</v>
      </c>
      <c r="O141" s="166" t="s">
        <v>900</v>
      </c>
      <c r="P141" s="144">
        <f>Закуп!N141</f>
        <v>1</v>
      </c>
      <c r="Q141" s="210" t="str">
        <f t="shared" si="2"/>
        <v xml:space="preserve">        [ 'dims' =&gt; [103,103,130], 'prices' =&gt; [0.98,0.86,0.74,0.67,0.59], 'type' =&gt; "Четырехклапанные", 'sale' =&gt; "0" ],</v>
      </c>
    </row>
    <row r="142" spans="1:17" x14ac:dyDescent="0.4">
      <c r="A142" s="166" t="s">
        <v>896</v>
      </c>
      <c r="B142" s="166">
        <f>Закуп!R142</f>
        <v>200</v>
      </c>
      <c r="C142" s="166">
        <f>Закуп!S142</f>
        <v>120</v>
      </c>
      <c r="D142" s="166">
        <f>Закуп!T142</f>
        <v>200</v>
      </c>
      <c r="E142" s="166" t="s">
        <v>897</v>
      </c>
      <c r="F142" s="167" t="str">
        <f>SUBSTITUTE(INDEX(Calc!$K:$K,(ROW(A141)-1)*5+COLUMN(A141)+1),",",".")</f>
        <v>1.17</v>
      </c>
      <c r="G142" s="167" t="str">
        <f>SUBSTITUTE(INDEX(Calc!$K:$K,(ROW(B141)-1)*5+COLUMN(B141)+1),",",".")</f>
        <v>0.97</v>
      </c>
      <c r="H142" s="167" t="str">
        <f>SUBSTITUTE(INDEX(Calc!$K:$K,(ROW(C141)-1)*5+COLUMN(C141)+1),",",".")</f>
        <v>0.89</v>
      </c>
      <c r="I142" s="167" t="str">
        <f>SUBSTITUTE(INDEX(Calc!$K:$K,(ROW(D141)-1)*5+COLUMN(D141)+1),",",".")</f>
        <v>0.81</v>
      </c>
      <c r="J142" s="167" t="str">
        <f>SUBSTITUTE(INDEX(Calc!$K:$K,(ROW(E141)-1)*5+COLUMN(E141)+1),",",".")</f>
        <v>0.76</v>
      </c>
      <c r="K142" s="166" t="s">
        <v>898</v>
      </c>
      <c r="L142" s="167" t="str">
        <f>Закуп!AA142</f>
        <v>Четырехклапанные</v>
      </c>
      <c r="M142" s="166" t="s">
        <v>899</v>
      </c>
      <c r="N142" s="166">
        <f>IF(Закуп!L142="",0,Закуп!L142)</f>
        <v>0</v>
      </c>
      <c r="O142" s="166" t="s">
        <v>900</v>
      </c>
      <c r="P142" s="144">
        <f>Закуп!N142</f>
        <v>1</v>
      </c>
      <c r="Q142" s="210" t="str">
        <f t="shared" si="2"/>
        <v xml:space="preserve">        [ 'dims' =&gt; [200,120,200], 'prices' =&gt; [1.17,0.97,0.89,0.81,0.76], 'type' =&gt; "Четырехклапанные", 'sale' =&gt; "0" ],</v>
      </c>
    </row>
    <row r="143" spans="1:17" x14ac:dyDescent="0.4">
      <c r="A143" s="166" t="s">
        <v>896</v>
      </c>
      <c r="B143" s="166">
        <f>Закуп!R143</f>
        <v>380</v>
      </c>
      <c r="C143" s="166">
        <f>Закуп!S143</f>
        <v>285</v>
      </c>
      <c r="D143" s="166">
        <f>Закуп!T143</f>
        <v>190</v>
      </c>
      <c r="E143" s="166" t="s">
        <v>897</v>
      </c>
      <c r="F143" s="167" t="str">
        <f>SUBSTITUTE(INDEX(Calc!$K:$K,(ROW(A142)-1)*5+COLUMN(A142)+1),",",".")</f>
        <v>2.93</v>
      </c>
      <c r="G143" s="167" t="str">
        <f>SUBSTITUTE(INDEX(Calc!$K:$K,(ROW(B142)-1)*5+COLUMN(B142)+1),",",".")</f>
        <v>2.34</v>
      </c>
      <c r="H143" s="167" t="str">
        <f>SUBSTITUTE(INDEX(Calc!$K:$K,(ROW(C142)-1)*5+COLUMN(C142)+1),",",".")</f>
        <v>2.14</v>
      </c>
      <c r="I143" s="167" t="str">
        <f>SUBSTITUTE(INDEX(Calc!$K:$K,(ROW(D142)-1)*5+COLUMN(D142)+1),",",".")</f>
        <v>1.9</v>
      </c>
      <c r="J143" s="167" t="str">
        <f>SUBSTITUTE(INDEX(Calc!$K:$K,(ROW(E142)-1)*5+COLUMN(E142)+1),",",".")</f>
        <v>1.82</v>
      </c>
      <c r="K143" s="166" t="s">
        <v>898</v>
      </c>
      <c r="L143" s="167" t="str">
        <f>Закуп!AA143</f>
        <v>Четырехклапанные</v>
      </c>
      <c r="M143" s="166" t="s">
        <v>899</v>
      </c>
      <c r="N143" s="166">
        <f>IF(Закуп!L143="",0,Закуп!L143)</f>
        <v>0</v>
      </c>
      <c r="O143" s="166" t="s">
        <v>900</v>
      </c>
      <c r="P143" s="144">
        <f>Закуп!N143</f>
        <v>1</v>
      </c>
      <c r="Q143" s="210" t="str">
        <f t="shared" si="2"/>
        <v xml:space="preserve">        [ 'dims' =&gt; [380,285,190], 'prices' =&gt; [2.93,2.34,2.14,1.9,1.82], 'type' =&gt; "Четырехклапанные", 'sale' =&gt; "0" ],</v>
      </c>
    </row>
    <row r="144" spans="1:17" x14ac:dyDescent="0.4">
      <c r="A144" s="166" t="s">
        <v>896</v>
      </c>
      <c r="B144" s="166">
        <f>Закуп!R144</f>
        <v>540</v>
      </c>
      <c r="C144" s="166">
        <f>Закуп!S144</f>
        <v>325</v>
      </c>
      <c r="D144" s="166">
        <f>Закуп!T144</f>
        <v>110</v>
      </c>
      <c r="E144" s="166" t="s">
        <v>897</v>
      </c>
      <c r="F144" s="167" t="str">
        <f>SUBSTITUTE(INDEX(Calc!$K:$K,(ROW(A143)-1)*5+COLUMN(A143)+1),",",".")</f>
        <v>3.45</v>
      </c>
      <c r="G144" s="167" t="str">
        <f>SUBSTITUTE(INDEX(Calc!$K:$K,(ROW(B143)-1)*5+COLUMN(B143)+1),",",".")</f>
        <v>2.75</v>
      </c>
      <c r="H144" s="167" t="str">
        <f>SUBSTITUTE(INDEX(Calc!$K:$K,(ROW(C143)-1)*5+COLUMN(C143)+1),",",".")</f>
        <v>2.48</v>
      </c>
      <c r="I144" s="167" t="str">
        <f>SUBSTITUTE(INDEX(Calc!$K:$K,(ROW(D143)-1)*5+COLUMN(D143)+1),",",".")</f>
        <v>2.24</v>
      </c>
      <c r="J144" s="167" t="str">
        <f>SUBSTITUTE(INDEX(Calc!$K:$K,(ROW(E143)-1)*5+COLUMN(E143)+1),",",".")</f>
        <v>2.13</v>
      </c>
      <c r="K144" s="166" t="s">
        <v>898</v>
      </c>
      <c r="L144" s="167" t="str">
        <f>Закуп!AA144</f>
        <v>Четырехклапанные</v>
      </c>
      <c r="M144" s="166" t="s">
        <v>899</v>
      </c>
      <c r="N144" s="166">
        <f>IF(Закуп!L144="",0,Закуп!L144)</f>
        <v>0</v>
      </c>
      <c r="O144" s="166" t="s">
        <v>900</v>
      </c>
      <c r="P144" s="144">
        <f>Закуп!N144</f>
        <v>1</v>
      </c>
      <c r="Q144" s="210" t="str">
        <f t="shared" si="2"/>
        <v xml:space="preserve">        [ 'dims' =&gt; [540,325,110], 'prices' =&gt; [3.45,2.75,2.48,2.24,2.13], 'type' =&gt; "Четырехклапанные", 'sale' =&gt; "0" ],</v>
      </c>
    </row>
    <row r="145" spans="1:17" x14ac:dyDescent="0.4">
      <c r="A145" s="166" t="s">
        <v>896</v>
      </c>
      <c r="B145" s="166">
        <f>Закуп!R145</f>
        <v>260</v>
      </c>
      <c r="C145" s="166">
        <f>Закуп!S145</f>
        <v>230</v>
      </c>
      <c r="D145" s="166">
        <f>Закуп!T145</f>
        <v>420</v>
      </c>
      <c r="E145" s="166" t="s">
        <v>897</v>
      </c>
      <c r="F145" s="167" t="str">
        <f>SUBSTITUTE(INDEX(Calc!$K:$K,(ROW(A144)-1)*5+COLUMN(A144)+1),",",".")</f>
        <v>2.95</v>
      </c>
      <c r="G145" s="167" t="str">
        <f>SUBSTITUTE(INDEX(Calc!$K:$K,(ROW(B144)-1)*5+COLUMN(B144)+1),",",".")</f>
        <v>2.36</v>
      </c>
      <c r="H145" s="167" t="str">
        <f>SUBSTITUTE(INDEX(Calc!$K:$K,(ROW(C144)-1)*5+COLUMN(C144)+1),",",".")</f>
        <v>2.15</v>
      </c>
      <c r="I145" s="167" t="str">
        <f>SUBSTITUTE(INDEX(Calc!$K:$K,(ROW(D144)-1)*5+COLUMN(D144)+1),",",".")</f>
        <v>1.92</v>
      </c>
      <c r="J145" s="167" t="str">
        <f>SUBSTITUTE(INDEX(Calc!$K:$K,(ROW(E144)-1)*5+COLUMN(E144)+1),",",".")</f>
        <v>1.83</v>
      </c>
      <c r="K145" s="166" t="s">
        <v>898</v>
      </c>
      <c r="L145" s="167" t="str">
        <f>Закуп!AA145</f>
        <v>Четырехклапанные</v>
      </c>
      <c r="M145" s="166" t="s">
        <v>899</v>
      </c>
      <c r="N145" s="166">
        <f>IF(Закуп!L145="",0,Закуп!L145)</f>
        <v>0</v>
      </c>
      <c r="O145" s="166" t="s">
        <v>900</v>
      </c>
      <c r="P145" s="144">
        <f>Закуп!N145</f>
        <v>1</v>
      </c>
      <c r="Q145" s="210" t="str">
        <f t="shared" si="2"/>
        <v xml:space="preserve">        [ 'dims' =&gt; [260,230,420], 'prices' =&gt; [2.95,2.36,2.15,1.92,1.83], 'type' =&gt; "Четырехклапанные", 'sale' =&gt; "0" ],</v>
      </c>
    </row>
    <row r="146" spans="1:17" x14ac:dyDescent="0.4">
      <c r="A146" s="166" t="s">
        <v>896</v>
      </c>
      <c r="B146" s="166">
        <f>Закуп!R146</f>
        <v>200</v>
      </c>
      <c r="C146" s="166">
        <f>Закуп!S146</f>
        <v>150</v>
      </c>
      <c r="D146" s="166">
        <f>Закуп!T146</f>
        <v>305</v>
      </c>
      <c r="E146" s="166" t="s">
        <v>897</v>
      </c>
      <c r="F146" s="167" t="str">
        <f>SUBSTITUTE(INDEX(Calc!$K:$K,(ROW(A145)-1)*5+COLUMN(A145)+1),",",".")</f>
        <v>1.67</v>
      </c>
      <c r="G146" s="167" t="str">
        <f>SUBSTITUTE(INDEX(Calc!$K:$K,(ROW(B145)-1)*5+COLUMN(B145)+1),",",".")</f>
        <v>1.52</v>
      </c>
      <c r="H146" s="167" t="str">
        <f>SUBSTITUTE(INDEX(Calc!$K:$K,(ROW(C145)-1)*5+COLUMN(C145)+1),",",".")</f>
        <v>1.2</v>
      </c>
      <c r="I146" s="167" t="str">
        <f>SUBSTITUTE(INDEX(Calc!$K:$K,(ROW(D145)-1)*5+COLUMN(D145)+1),",",".")</f>
        <v>1.12</v>
      </c>
      <c r="J146" s="167" t="str">
        <f>SUBSTITUTE(INDEX(Calc!$K:$K,(ROW(E145)-1)*5+COLUMN(E145)+1),",",".")</f>
        <v>1.06</v>
      </c>
      <c r="K146" s="166" t="s">
        <v>898</v>
      </c>
      <c r="L146" s="167" t="str">
        <f>Закуп!AA146</f>
        <v>Четырехклапанные</v>
      </c>
      <c r="M146" s="166" t="s">
        <v>899</v>
      </c>
      <c r="N146" s="166">
        <f>IF(Закуп!L146="",0,Закуп!L146)</f>
        <v>0</v>
      </c>
      <c r="O146" s="166" t="s">
        <v>900</v>
      </c>
      <c r="P146" s="144">
        <f>Закуп!N146</f>
        <v>1</v>
      </c>
      <c r="Q146" s="210" t="str">
        <f t="shared" si="2"/>
        <v xml:space="preserve">        [ 'dims' =&gt; [200,150,305], 'prices' =&gt; [1.67,1.52,1.2,1.12,1.06], 'type' =&gt; "Четырехклапанные", 'sale' =&gt; "0" ],</v>
      </c>
    </row>
    <row r="147" spans="1:17" x14ac:dyDescent="0.4">
      <c r="A147" s="166" t="s">
        <v>896</v>
      </c>
      <c r="B147" s="166">
        <f>Закуп!R147</f>
        <v>380</v>
      </c>
      <c r="C147" s="166">
        <f>Закуп!S147</f>
        <v>130</v>
      </c>
      <c r="D147" s="166">
        <f>Закуп!T147</f>
        <v>192</v>
      </c>
      <c r="E147" s="166" t="s">
        <v>897</v>
      </c>
      <c r="F147" s="167" t="str">
        <f>SUBSTITUTE(INDEX(Calc!$K:$K,(ROW(A146)-1)*5+COLUMN(A146)+1),",",".")</f>
        <v>1.69</v>
      </c>
      <c r="G147" s="167" t="str">
        <f>SUBSTITUTE(INDEX(Calc!$K:$K,(ROW(B146)-1)*5+COLUMN(B146)+1),",",".")</f>
        <v>1.54</v>
      </c>
      <c r="H147" s="167" t="str">
        <f>SUBSTITUTE(INDEX(Calc!$K:$K,(ROW(C146)-1)*5+COLUMN(C146)+1),",",".")</f>
        <v>1.22</v>
      </c>
      <c r="I147" s="167" t="str">
        <f>SUBSTITUTE(INDEX(Calc!$K:$K,(ROW(D146)-1)*5+COLUMN(D146)+1),",",".")</f>
        <v>1.14</v>
      </c>
      <c r="J147" s="167" t="str">
        <f>SUBSTITUTE(INDEX(Calc!$K:$K,(ROW(E146)-1)*5+COLUMN(E146)+1),",",".")</f>
        <v>1.01</v>
      </c>
      <c r="K147" s="166" t="s">
        <v>898</v>
      </c>
      <c r="L147" s="167" t="str">
        <f>Закуп!AA147</f>
        <v>Четырехклапанные</v>
      </c>
      <c r="M147" s="166" t="s">
        <v>899</v>
      </c>
      <c r="N147" s="166">
        <f>IF(Закуп!L147="",0,Закуп!L147)</f>
        <v>0</v>
      </c>
      <c r="O147" s="166" t="s">
        <v>900</v>
      </c>
      <c r="P147" s="144">
        <f>Закуп!N147</f>
        <v>1</v>
      </c>
      <c r="Q147" s="210" t="str">
        <f t="shared" si="2"/>
        <v xml:space="preserve">        [ 'dims' =&gt; [380,130,192], 'prices' =&gt; [1.69,1.54,1.22,1.14,1.01], 'type' =&gt; "Четырехклапанные", 'sale' =&gt; "0" ],</v>
      </c>
    </row>
    <row r="148" spans="1:17" x14ac:dyDescent="0.4">
      <c r="A148" s="166" t="s">
        <v>896</v>
      </c>
      <c r="B148" s="166">
        <f>Закуп!R148</f>
        <v>535</v>
      </c>
      <c r="C148" s="166">
        <f>Закуп!S148</f>
        <v>215</v>
      </c>
      <c r="D148" s="166">
        <f>Закуп!T148</f>
        <v>165</v>
      </c>
      <c r="E148" s="166" t="s">
        <v>897</v>
      </c>
      <c r="F148" s="167" t="str">
        <f>SUBSTITUTE(INDEX(Calc!$K:$K,(ROW(A147)-1)*5+COLUMN(A147)+1),",",".")</f>
        <v>2.62</v>
      </c>
      <c r="G148" s="167" t="str">
        <f>SUBSTITUTE(INDEX(Calc!$K:$K,(ROW(B147)-1)*5+COLUMN(B147)+1),",",".")</f>
        <v>2.1</v>
      </c>
      <c r="H148" s="167" t="str">
        <f>SUBSTITUTE(INDEX(Calc!$K:$K,(ROW(C147)-1)*5+COLUMN(C147)+1),",",".")</f>
        <v>1.92</v>
      </c>
      <c r="I148" s="167" t="str">
        <f>SUBSTITUTE(INDEX(Calc!$K:$K,(ROW(D147)-1)*5+COLUMN(D147)+1),",",".")</f>
        <v>1.7</v>
      </c>
      <c r="J148" s="167" t="str">
        <f>SUBSTITUTE(INDEX(Calc!$K:$K,(ROW(E147)-1)*5+COLUMN(E147)+1),",",".")</f>
        <v>1.65</v>
      </c>
      <c r="K148" s="166" t="s">
        <v>898</v>
      </c>
      <c r="L148" s="167" t="str">
        <f>Закуп!AA148</f>
        <v>Четырехклапанные</v>
      </c>
      <c r="M148" s="166" t="s">
        <v>899</v>
      </c>
      <c r="N148" s="166">
        <f>IF(Закуп!L148="",0,Закуп!L148)</f>
        <v>0</v>
      </c>
      <c r="O148" s="166" t="s">
        <v>900</v>
      </c>
      <c r="P148" s="144">
        <f>Закуп!N148</f>
        <v>1</v>
      </c>
      <c r="Q148" s="210" t="str">
        <f t="shared" si="2"/>
        <v xml:space="preserve">        [ 'dims' =&gt; [535,215,165], 'prices' =&gt; [2.62,2.1,1.92,1.7,1.65], 'type' =&gt; "Четырехклапанные", 'sale' =&gt; "0" ],</v>
      </c>
    </row>
    <row r="149" spans="1:17" hidden="1" x14ac:dyDescent="0.4">
      <c r="A149" s="166" t="s">
        <v>896</v>
      </c>
      <c r="B149" s="166">
        <f>Закуп!R149</f>
        <v>560</v>
      </c>
      <c r="C149" s="166">
        <f>Закуп!S149</f>
        <v>360</v>
      </c>
      <c r="D149" s="166">
        <f>Закуп!T149</f>
        <v>390</v>
      </c>
      <c r="E149" s="166" t="s">
        <v>897</v>
      </c>
      <c r="F149" s="167" t="str">
        <f>SUBSTITUTE(INDEX(Calc!$K:$K,(ROW(A148)-1)*5+COLUMN(A148)+1),",",".")</f>
        <v>5.03</v>
      </c>
      <c r="G149" s="167" t="str">
        <f>SUBSTITUTE(INDEX(Calc!$K:$K,(ROW(B148)-1)*5+COLUMN(B148)+1),",",".")</f>
        <v>4.65</v>
      </c>
      <c r="H149" s="167" t="str">
        <f>SUBSTITUTE(INDEX(Calc!$K:$K,(ROW(C148)-1)*5+COLUMN(C148)+1),",",".")</f>
        <v>3.96</v>
      </c>
      <c r="I149" s="167" t="str">
        <f>SUBSTITUTE(INDEX(Calc!$K:$K,(ROW(D148)-1)*5+COLUMN(D148)+1),",",".")</f>
        <v>3.84</v>
      </c>
      <c r="J149" s="167" t="str">
        <f>SUBSTITUTE(INDEX(Calc!$K:$K,(ROW(E148)-1)*5+COLUMN(E148)+1),",",".")</f>
        <v>3.78</v>
      </c>
      <c r="K149" s="166" t="s">
        <v>898</v>
      </c>
      <c r="L149" s="167" t="str">
        <f>Закуп!AA149</f>
        <v>Четырехклапанные</v>
      </c>
      <c r="M149" s="166" t="s">
        <v>899</v>
      </c>
      <c r="N149" s="166">
        <f>IF(Закуп!L149="",0,Закуп!L149)</f>
        <v>0</v>
      </c>
      <c r="O149" s="166" t="s">
        <v>900</v>
      </c>
      <c r="P149" s="144">
        <f>Закуп!N149</f>
        <v>0</v>
      </c>
      <c r="Q149" s="210" t="str">
        <f t="shared" si="2"/>
        <v xml:space="preserve">        [ 'dims' =&gt; [560,360,390], 'prices' =&gt; [5.03,4.65,3.96,3.84,3.78], 'type' =&gt; "Четырехклапанные", 'sale' =&gt; "0" ],</v>
      </c>
    </row>
    <row r="150" spans="1:17" x14ac:dyDescent="0.4">
      <c r="A150" s="166" t="s">
        <v>896</v>
      </c>
      <c r="B150" s="166">
        <f>Закуп!R150</f>
        <v>340</v>
      </c>
      <c r="C150" s="166">
        <f>Закуп!S150</f>
        <v>265</v>
      </c>
      <c r="D150" s="166">
        <f>Закуп!T150</f>
        <v>110</v>
      </c>
      <c r="E150" s="166" t="s">
        <v>897</v>
      </c>
      <c r="F150" s="167" t="str">
        <f>SUBSTITUTE(INDEX(Calc!$K:$K,(ROW(A149)-1)*5+COLUMN(A149)+1),",",".")</f>
        <v>2.31</v>
      </c>
      <c r="G150" s="167" t="str">
        <f>SUBSTITUTE(INDEX(Calc!$K:$K,(ROW(B149)-1)*5+COLUMN(B149)+1),",",".")</f>
        <v>2.11</v>
      </c>
      <c r="H150" s="167" t="str">
        <f>SUBSTITUTE(INDEX(Calc!$K:$K,(ROW(C149)-1)*5+COLUMN(C149)+1),",",".")</f>
        <v>1.65</v>
      </c>
      <c r="I150" s="167" t="str">
        <f>SUBSTITUTE(INDEX(Calc!$K:$K,(ROW(D149)-1)*5+COLUMN(D149)+1),",",".")</f>
        <v>1.42</v>
      </c>
      <c r="J150" s="167" t="str">
        <f>SUBSTITUTE(INDEX(Calc!$K:$K,(ROW(E149)-1)*5+COLUMN(E149)+1),",",".")</f>
        <v>1.33</v>
      </c>
      <c r="K150" s="166" t="s">
        <v>898</v>
      </c>
      <c r="L150" s="167" t="str">
        <f>Закуп!AA150</f>
        <v>Четырехклапанные</v>
      </c>
      <c r="M150" s="166" t="s">
        <v>899</v>
      </c>
      <c r="N150" s="166">
        <f>IF(Закуп!L150="",0,Закуп!L150)</f>
        <v>0</v>
      </c>
      <c r="O150" s="166" t="s">
        <v>900</v>
      </c>
      <c r="P150" s="144">
        <f>Закуп!N150</f>
        <v>1</v>
      </c>
      <c r="Q150" s="210" t="str">
        <f t="shared" si="2"/>
        <v xml:space="preserve">        [ 'dims' =&gt; [340,265,110], 'prices' =&gt; [2.31,2.11,1.65,1.42,1.33], 'type' =&gt; "Четырехклапанные", 'sale' =&gt; "0" ],</v>
      </c>
    </row>
    <row r="151" spans="1:17" x14ac:dyDescent="0.4">
      <c r="A151" s="166" t="s">
        <v>896</v>
      </c>
      <c r="B151" s="166">
        <f>Закуп!R151</f>
        <v>160</v>
      </c>
      <c r="C151" s="166">
        <f>Закуп!S151</f>
        <v>80</v>
      </c>
      <c r="D151" s="166">
        <f>Закуп!T151</f>
        <v>80</v>
      </c>
      <c r="E151" s="166" t="s">
        <v>897</v>
      </c>
      <c r="F151" s="167" t="str">
        <f>SUBSTITUTE(INDEX(Calc!$K:$K,(ROW(A150)-1)*5+COLUMN(A150)+1),",",".")</f>
        <v>1.12</v>
      </c>
      <c r="G151" s="167" t="str">
        <f>SUBSTITUTE(INDEX(Calc!$K:$K,(ROW(B150)-1)*5+COLUMN(B150)+1),",",".")</f>
        <v>0.93</v>
      </c>
      <c r="H151" s="167" t="str">
        <f>SUBSTITUTE(INDEX(Calc!$K:$K,(ROW(C150)-1)*5+COLUMN(C150)+1),",",".")</f>
        <v>0.81</v>
      </c>
      <c r="I151" s="167" t="str">
        <f>SUBSTITUTE(INDEX(Calc!$K:$K,(ROW(D150)-1)*5+COLUMN(D150)+1),",",".")</f>
        <v>0.73</v>
      </c>
      <c r="J151" s="167" t="str">
        <f>SUBSTITUTE(INDEX(Calc!$K:$K,(ROW(E150)-1)*5+COLUMN(E150)+1),",",".")</f>
        <v>0.65</v>
      </c>
      <c r="K151" s="166" t="s">
        <v>898</v>
      </c>
      <c r="L151" s="167" t="str">
        <f>Закуп!AA151</f>
        <v>Четырехклапанные</v>
      </c>
      <c r="M151" s="166" t="s">
        <v>899</v>
      </c>
      <c r="N151" s="166">
        <f>IF(Закуп!L151="",0,Закуп!L151)</f>
        <v>0</v>
      </c>
      <c r="O151" s="166" t="s">
        <v>900</v>
      </c>
      <c r="P151" s="144">
        <f>Закуп!N151</f>
        <v>1</v>
      </c>
      <c r="Q151" s="210" t="str">
        <f t="shared" si="2"/>
        <v xml:space="preserve">        [ 'dims' =&gt; [160,80,80], 'prices' =&gt; [1.12,0.93,0.81,0.73,0.65], 'type' =&gt; "Четырехклапанные", 'sale' =&gt; "0" ],</v>
      </c>
    </row>
    <row r="152" spans="1:17" x14ac:dyDescent="0.4">
      <c r="A152" s="166" t="s">
        <v>896</v>
      </c>
      <c r="B152" s="166">
        <f>Закуп!R152</f>
        <v>370</v>
      </c>
      <c r="C152" s="166">
        <f>Закуп!S152</f>
        <v>370</v>
      </c>
      <c r="D152" s="166">
        <f>Закуп!T152</f>
        <v>290</v>
      </c>
      <c r="E152" s="166" t="s">
        <v>897</v>
      </c>
      <c r="F152" s="167" t="str">
        <f>SUBSTITUTE(INDEX(Calc!$K:$K,(ROW(A151)-1)*5+COLUMN(A151)+1),",",".")</f>
        <v>4.49</v>
      </c>
      <c r="G152" s="167" t="str">
        <f>SUBSTITUTE(INDEX(Calc!$K:$K,(ROW(B151)-1)*5+COLUMN(B151)+1),",",".")</f>
        <v>3.55</v>
      </c>
      <c r="H152" s="167" t="str">
        <f>SUBSTITUTE(INDEX(Calc!$K:$K,(ROW(C151)-1)*5+COLUMN(C151)+1),",",".")</f>
        <v>2.92</v>
      </c>
      <c r="I152" s="167" t="str">
        <f>SUBSTITUTE(INDEX(Calc!$K:$K,(ROW(D151)-1)*5+COLUMN(D151)+1),",",".")</f>
        <v>2.84</v>
      </c>
      <c r="J152" s="167" t="str">
        <f>SUBSTITUTE(INDEX(Calc!$K:$K,(ROW(E151)-1)*5+COLUMN(E151)+1),",",".")</f>
        <v>2.74</v>
      </c>
      <c r="K152" s="166" t="s">
        <v>898</v>
      </c>
      <c r="L152" s="167" t="str">
        <f>Закуп!AA152</f>
        <v>Четырехклапанные</v>
      </c>
      <c r="M152" s="166" t="s">
        <v>899</v>
      </c>
      <c r="N152" s="166">
        <f>IF(Закуп!L152="",0,Закуп!L152)</f>
        <v>0</v>
      </c>
      <c r="O152" s="166" t="s">
        <v>900</v>
      </c>
      <c r="P152" s="144">
        <f>Закуп!N152</f>
        <v>1</v>
      </c>
      <c r="Q152" s="210" t="str">
        <f t="shared" si="2"/>
        <v xml:space="preserve">        [ 'dims' =&gt; [370,370,290], 'prices' =&gt; [4.49,3.55,2.92,2.84,2.74], 'type' =&gt; "Четырехклапанные", 'sale' =&gt; "0" ],</v>
      </c>
    </row>
    <row r="153" spans="1:17" x14ac:dyDescent="0.4">
      <c r="A153" s="166" t="s">
        <v>896</v>
      </c>
      <c r="B153" s="166">
        <f>Закуп!R153</f>
        <v>240</v>
      </c>
      <c r="C153" s="166">
        <f>Закуп!S153</f>
        <v>240</v>
      </c>
      <c r="D153" s="166">
        <f>Закуп!T153</f>
        <v>150</v>
      </c>
      <c r="E153" s="166" t="s">
        <v>897</v>
      </c>
      <c r="F153" s="167" t="str">
        <f>SUBSTITUTE(INDEX(Calc!$K:$K,(ROW(A152)-1)*5+COLUMN(A152)+1),",",".")</f>
        <v>1.93</v>
      </c>
      <c r="G153" s="167" t="str">
        <f>SUBSTITUTE(INDEX(Calc!$K:$K,(ROW(B152)-1)*5+COLUMN(B152)+1),",",".")</f>
        <v>1.74</v>
      </c>
      <c r="H153" s="167" t="str">
        <f>SUBSTITUTE(INDEX(Calc!$K:$K,(ROW(C152)-1)*5+COLUMN(C152)+1),",",".")</f>
        <v>1.38</v>
      </c>
      <c r="I153" s="167" t="str">
        <f>SUBSTITUTE(INDEX(Calc!$K:$K,(ROW(D152)-1)*5+COLUMN(D152)+1),",",".")</f>
        <v>1.29</v>
      </c>
      <c r="J153" s="167" t="str">
        <f>SUBSTITUTE(INDEX(Calc!$K:$K,(ROW(E152)-1)*5+COLUMN(E152)+1),",",".")</f>
        <v>1.13</v>
      </c>
      <c r="K153" s="166" t="s">
        <v>898</v>
      </c>
      <c r="L153" s="167" t="str">
        <f>Закуп!AA153</f>
        <v>Четырехклапанные</v>
      </c>
      <c r="M153" s="166" t="s">
        <v>899</v>
      </c>
      <c r="N153" s="166">
        <f>IF(Закуп!L153="",0,Закуп!L153)</f>
        <v>0</v>
      </c>
      <c r="O153" s="166" t="s">
        <v>900</v>
      </c>
      <c r="P153" s="144">
        <f>Закуп!N153</f>
        <v>1</v>
      </c>
      <c r="Q153" s="210" t="str">
        <f t="shared" si="2"/>
        <v xml:space="preserve">        [ 'dims' =&gt; [240,240,150], 'prices' =&gt; [1.93,1.74,1.38,1.29,1.13], 'type' =&gt; "Четырехклапанные", 'sale' =&gt; "0" ],</v>
      </c>
    </row>
    <row r="154" spans="1:17" x14ac:dyDescent="0.4">
      <c r="A154" s="166" t="s">
        <v>896</v>
      </c>
      <c r="B154" s="166">
        <f>Закуп!R154</f>
        <v>760</v>
      </c>
      <c r="C154" s="166">
        <f>Закуп!S154</f>
        <v>375</v>
      </c>
      <c r="D154" s="166">
        <f>Закуп!T154</f>
        <v>166</v>
      </c>
      <c r="E154" s="166" t="s">
        <v>897</v>
      </c>
      <c r="F154" s="167" t="str">
        <f>SUBSTITUTE(INDEX(Calc!$K:$K,(ROW(A153)-1)*5+COLUMN(A153)+1),",",".")</f>
        <v>4.48</v>
      </c>
      <c r="G154" s="167" t="str">
        <f>SUBSTITUTE(INDEX(Calc!$K:$K,(ROW(B153)-1)*5+COLUMN(B153)+1),",",".")</f>
        <v>4.37</v>
      </c>
      <c r="H154" s="167" t="str">
        <f>SUBSTITUTE(INDEX(Calc!$K:$K,(ROW(C153)-1)*5+COLUMN(C153)+1),",",".")</f>
        <v>3.58</v>
      </c>
      <c r="I154" s="167" t="str">
        <f>SUBSTITUTE(INDEX(Calc!$K:$K,(ROW(D153)-1)*5+COLUMN(D153)+1),",",".")</f>
        <v>3.53</v>
      </c>
      <c r="J154" s="167" t="str">
        <f>SUBSTITUTE(INDEX(Calc!$K:$K,(ROW(E153)-1)*5+COLUMN(E153)+1),",",".")</f>
        <v>3.41</v>
      </c>
      <c r="K154" s="166" t="s">
        <v>898</v>
      </c>
      <c r="L154" s="167" t="str">
        <f>Закуп!AA154</f>
        <v>Четырехклапанные</v>
      </c>
      <c r="M154" s="166" t="s">
        <v>899</v>
      </c>
      <c r="N154" s="166">
        <f>IF(Закуп!L154="",0,Закуп!L154)</f>
        <v>0</v>
      </c>
      <c r="O154" s="166" t="s">
        <v>900</v>
      </c>
      <c r="P154" s="144">
        <f>Закуп!N154</f>
        <v>1</v>
      </c>
      <c r="Q154" s="210" t="str">
        <f t="shared" si="2"/>
        <v xml:space="preserve">        [ 'dims' =&gt; [760,375,166], 'prices' =&gt; [4.48,4.37,3.58,3.53,3.41], 'type' =&gt; "Четырехклапанные", 'sale' =&gt; "0" ],</v>
      </c>
    </row>
    <row r="155" spans="1:17" x14ac:dyDescent="0.4">
      <c r="A155" s="166" t="s">
        <v>896</v>
      </c>
      <c r="B155" s="166">
        <f>Закуп!R155</f>
        <v>470</v>
      </c>
      <c r="C155" s="166">
        <f>Закуп!S155</f>
        <v>200</v>
      </c>
      <c r="D155" s="166">
        <f>Закуп!T155</f>
        <v>110</v>
      </c>
      <c r="E155" s="166" t="s">
        <v>897</v>
      </c>
      <c r="F155" s="167" t="str">
        <f>SUBSTITUTE(INDEX(Calc!$K:$K,(ROW(A154)-1)*5+COLUMN(A154)+1),",",".")</f>
        <v>1.81</v>
      </c>
      <c r="G155" s="167" t="str">
        <f>SUBSTITUTE(INDEX(Calc!$K:$K,(ROW(B154)-1)*5+COLUMN(B154)+1),",",".")</f>
        <v>1.65</v>
      </c>
      <c r="H155" s="167" t="str">
        <f>SUBSTITUTE(INDEX(Calc!$K:$K,(ROW(C154)-1)*5+COLUMN(C154)+1),",",".")</f>
        <v>1.5</v>
      </c>
      <c r="I155" s="167" t="str">
        <f>SUBSTITUTE(INDEX(Calc!$K:$K,(ROW(D154)-1)*5+COLUMN(D154)+1),",",".")</f>
        <v>1.39</v>
      </c>
      <c r="J155" s="167" t="str">
        <f>SUBSTITUTE(INDEX(Calc!$K:$K,(ROW(E154)-1)*5+COLUMN(E154)+1),",",".")</f>
        <v>1.23</v>
      </c>
      <c r="K155" s="166" t="s">
        <v>898</v>
      </c>
      <c r="L155" s="167" t="str">
        <f>Закуп!AA155</f>
        <v>Четырехклапанные</v>
      </c>
      <c r="M155" s="166" t="s">
        <v>899</v>
      </c>
      <c r="N155" s="166">
        <f>IF(Закуп!L155="",0,Закуп!L155)</f>
        <v>0</v>
      </c>
      <c r="O155" s="166" t="s">
        <v>900</v>
      </c>
      <c r="P155" s="144">
        <f>Закуп!N155</f>
        <v>1</v>
      </c>
      <c r="Q155" s="210" t="str">
        <f t="shared" si="2"/>
        <v xml:space="preserve">        [ 'dims' =&gt; [470,200,110], 'prices' =&gt; [1.81,1.65,1.5,1.39,1.23], 'type' =&gt; "Четырехклапанные", 'sale' =&gt; "0" ],</v>
      </c>
    </row>
    <row r="156" spans="1:17" x14ac:dyDescent="0.4">
      <c r="A156" s="166" t="s">
        <v>896</v>
      </c>
      <c r="B156" s="166">
        <f>Закуп!R156</f>
        <v>270</v>
      </c>
      <c r="C156" s="166">
        <f>Закуп!S156</f>
        <v>270</v>
      </c>
      <c r="D156" s="166">
        <f>Закуп!T156</f>
        <v>270</v>
      </c>
      <c r="E156" s="166" t="s">
        <v>897</v>
      </c>
      <c r="F156" s="167" t="str">
        <f>SUBSTITUTE(INDEX(Calc!$K:$K,(ROW(A155)-1)*5+COLUMN(A155)+1),",",".")</f>
        <v>2.7</v>
      </c>
      <c r="G156" s="167" t="str">
        <f>SUBSTITUTE(INDEX(Calc!$K:$K,(ROW(B155)-1)*5+COLUMN(B155)+1),",",".")</f>
        <v>2.16</v>
      </c>
      <c r="H156" s="167" t="str">
        <f>SUBSTITUTE(INDEX(Calc!$K:$K,(ROW(C155)-1)*5+COLUMN(C155)+1),",",".")</f>
        <v>1.97</v>
      </c>
      <c r="I156" s="167" t="str">
        <f>SUBSTITUTE(INDEX(Calc!$K:$K,(ROW(D155)-1)*5+COLUMN(D155)+1),",",".")</f>
        <v>1.75</v>
      </c>
      <c r="J156" s="167" t="str">
        <f>SUBSTITUTE(INDEX(Calc!$K:$K,(ROW(E155)-1)*5+COLUMN(E155)+1),",",".")</f>
        <v>1.7</v>
      </c>
      <c r="K156" s="166" t="s">
        <v>898</v>
      </c>
      <c r="L156" s="167" t="str">
        <f>Закуп!AA156</f>
        <v>Четырехклапанные</v>
      </c>
      <c r="M156" s="166" t="s">
        <v>899</v>
      </c>
      <c r="N156" s="166">
        <f>IF(Закуп!L156="",0,Закуп!L156)</f>
        <v>0</v>
      </c>
      <c r="O156" s="166" t="s">
        <v>900</v>
      </c>
      <c r="P156" s="144">
        <f>Закуп!N156</f>
        <v>1</v>
      </c>
      <c r="Q156" s="210" t="str">
        <f t="shared" si="2"/>
        <v xml:space="preserve">        [ 'dims' =&gt; [270,270,270], 'prices' =&gt; [2.7,2.16,1.97,1.75,1.7], 'type' =&gt; "Четырехклапанные", 'sale' =&gt; "0" ],</v>
      </c>
    </row>
    <row r="157" spans="1:17" x14ac:dyDescent="0.4">
      <c r="A157" s="166" t="s">
        <v>896</v>
      </c>
      <c r="B157" s="166">
        <f>Закуп!R157</f>
        <v>140</v>
      </c>
      <c r="C157" s="166">
        <f>Закуп!S157</f>
        <v>95</v>
      </c>
      <c r="D157" s="166">
        <f>Закуп!T157</f>
        <v>205</v>
      </c>
      <c r="E157" s="166" t="s">
        <v>897</v>
      </c>
      <c r="F157" s="167" t="str">
        <f>SUBSTITUTE(INDEX(Calc!$K:$K,(ROW(A156)-1)*5+COLUMN(A156)+1),",",".")</f>
        <v>1.06</v>
      </c>
      <c r="G157" s="167" t="str">
        <f>SUBSTITUTE(INDEX(Calc!$K:$K,(ROW(B156)-1)*5+COLUMN(B156)+1),",",".")</f>
        <v>0.91</v>
      </c>
      <c r="H157" s="167" t="str">
        <f>SUBSTITUTE(INDEX(Calc!$K:$K,(ROW(C156)-1)*5+COLUMN(C156)+1),",",".")</f>
        <v>0.7</v>
      </c>
      <c r="I157" s="167" t="str">
        <f>SUBSTITUTE(INDEX(Calc!$K:$K,(ROW(D156)-1)*5+COLUMN(D156)+1),",",".")</f>
        <v>0.65</v>
      </c>
      <c r="J157" s="167" t="str">
        <f>SUBSTITUTE(INDEX(Calc!$K:$K,(ROW(E156)-1)*5+COLUMN(E156)+1),",",".")</f>
        <v>0.62</v>
      </c>
      <c r="K157" s="166" t="s">
        <v>898</v>
      </c>
      <c r="L157" s="167" t="str">
        <f>Закуп!AA157</f>
        <v>Четырехклапанные</v>
      </c>
      <c r="M157" s="166" t="s">
        <v>899</v>
      </c>
      <c r="N157" s="166">
        <f>IF(Закуп!L157="",0,Закуп!L157)</f>
        <v>0</v>
      </c>
      <c r="O157" s="166" t="s">
        <v>900</v>
      </c>
      <c r="P157" s="144">
        <f>Закуп!N157</f>
        <v>1</v>
      </c>
      <c r="Q157" s="210" t="str">
        <f t="shared" si="2"/>
        <v xml:space="preserve">        [ 'dims' =&gt; [140,95,205], 'prices' =&gt; [1.06,0.91,0.7,0.65,0.62], 'type' =&gt; "Четырехклапанные", 'sale' =&gt; "0" ],</v>
      </c>
    </row>
    <row r="158" spans="1:17" x14ac:dyDescent="0.4">
      <c r="A158" s="166" t="s">
        <v>896</v>
      </c>
      <c r="B158" s="166">
        <f>Закуп!R158</f>
        <v>210</v>
      </c>
      <c r="C158" s="166">
        <f>Закуп!S158</f>
        <v>103</v>
      </c>
      <c r="D158" s="166">
        <f>Закуп!T158</f>
        <v>130</v>
      </c>
      <c r="E158" s="166" t="s">
        <v>897</v>
      </c>
      <c r="F158" s="167" t="str">
        <f>SUBSTITUTE(INDEX(Calc!$K:$K,(ROW(A157)-1)*5+COLUMN(A157)+1),",",".")</f>
        <v>1.06</v>
      </c>
      <c r="G158" s="167" t="str">
        <f>SUBSTITUTE(INDEX(Calc!$K:$K,(ROW(B157)-1)*5+COLUMN(B157)+1),",",".")</f>
        <v>0.91</v>
      </c>
      <c r="H158" s="167" t="str">
        <f>SUBSTITUTE(INDEX(Calc!$K:$K,(ROW(C157)-1)*5+COLUMN(C157)+1),",",".")</f>
        <v>0.7</v>
      </c>
      <c r="I158" s="167" t="str">
        <f>SUBSTITUTE(INDEX(Calc!$K:$K,(ROW(D157)-1)*5+COLUMN(D157)+1),",",".")</f>
        <v>0.65</v>
      </c>
      <c r="J158" s="167" t="str">
        <f>SUBSTITUTE(INDEX(Calc!$K:$K,(ROW(E157)-1)*5+COLUMN(E157)+1),",",".")</f>
        <v>0.62</v>
      </c>
      <c r="K158" s="166" t="s">
        <v>898</v>
      </c>
      <c r="L158" s="167" t="str">
        <f>Закуп!AA158</f>
        <v>Четырехклапанные</v>
      </c>
      <c r="M158" s="166" t="s">
        <v>899</v>
      </c>
      <c r="N158" s="166">
        <f>IF(Закуп!L158="",0,Закуп!L158)</f>
        <v>0</v>
      </c>
      <c r="O158" s="166" t="s">
        <v>900</v>
      </c>
      <c r="P158" s="144">
        <f>Закуп!N158</f>
        <v>1</v>
      </c>
      <c r="Q158" s="210" t="str">
        <f t="shared" si="2"/>
        <v xml:space="preserve">        [ 'dims' =&gt; [210,103,130], 'prices' =&gt; [1.06,0.91,0.7,0.65,0.62], 'type' =&gt; "Четырехклапанные", 'sale' =&gt; "0" ],</v>
      </c>
    </row>
    <row r="159" spans="1:17" x14ac:dyDescent="0.4">
      <c r="A159" s="166" t="s">
        <v>896</v>
      </c>
      <c r="B159" s="166">
        <f>Закуп!R159</f>
        <v>350</v>
      </c>
      <c r="C159" s="166">
        <f>Закуп!S159</f>
        <v>230</v>
      </c>
      <c r="D159" s="166">
        <f>Закуп!T159</f>
        <v>190</v>
      </c>
      <c r="E159" s="166" t="s">
        <v>897</v>
      </c>
      <c r="F159" s="167" t="str">
        <f>SUBSTITUTE(INDEX(Calc!$K:$K,(ROW(A158)-1)*5+COLUMN(A158)+1),",",".")</f>
        <v>2.48</v>
      </c>
      <c r="G159" s="167" t="str">
        <f>SUBSTITUTE(INDEX(Calc!$K:$K,(ROW(B158)-1)*5+COLUMN(B158)+1),",",".")</f>
        <v>2.26</v>
      </c>
      <c r="H159" s="167" t="str">
        <f>SUBSTITUTE(INDEX(Calc!$K:$K,(ROW(C158)-1)*5+COLUMN(C158)+1),",",".")</f>
        <v>1.77</v>
      </c>
      <c r="I159" s="167" t="str">
        <f>SUBSTITUTE(INDEX(Calc!$K:$K,(ROW(D158)-1)*5+COLUMN(D158)+1),",",".")</f>
        <v>1.53</v>
      </c>
      <c r="J159" s="167" t="str">
        <f>SUBSTITUTE(INDEX(Calc!$K:$K,(ROW(E158)-1)*5+COLUMN(E158)+1),",",".")</f>
        <v>1.42</v>
      </c>
      <c r="K159" s="166" t="s">
        <v>898</v>
      </c>
      <c r="L159" s="167" t="str">
        <f>Закуп!AA159</f>
        <v>Четырехклапанные</v>
      </c>
      <c r="M159" s="166" t="s">
        <v>899</v>
      </c>
      <c r="N159" s="166">
        <f>IF(Закуп!L159="",0,Закуп!L159)</f>
        <v>0</v>
      </c>
      <c r="O159" s="166" t="s">
        <v>900</v>
      </c>
      <c r="P159" s="144">
        <f>Закуп!N159</f>
        <v>1</v>
      </c>
      <c r="Q159" s="210" t="str">
        <f t="shared" si="2"/>
        <v xml:space="preserve">        [ 'dims' =&gt; [350,230,190], 'prices' =&gt; [2.48,2.26,1.77,1.53,1.42], 'type' =&gt; "Четырехклапанные", 'sale' =&gt; "0" ],</v>
      </c>
    </row>
    <row r="160" spans="1:17" x14ac:dyDescent="0.4">
      <c r="A160" s="166" t="s">
        <v>896</v>
      </c>
      <c r="B160" s="166">
        <f>Закуп!R160</f>
        <v>560</v>
      </c>
      <c r="C160" s="166">
        <f>Закуп!S160</f>
        <v>360</v>
      </c>
      <c r="D160" s="166">
        <f>Закуп!T160</f>
        <v>300</v>
      </c>
      <c r="E160" s="166" t="s">
        <v>897</v>
      </c>
      <c r="F160" s="167" t="str">
        <f>SUBSTITUTE(INDEX(Calc!$K:$K,(ROW(A159)-1)*5+COLUMN(A159)+1),",",".")</f>
        <v>4.44</v>
      </c>
      <c r="G160" s="167" t="str">
        <f>SUBSTITUTE(INDEX(Calc!$K:$K,(ROW(B159)-1)*5+COLUMN(B159)+1),",",".")</f>
        <v>4.32</v>
      </c>
      <c r="H160" s="167" t="str">
        <f>SUBSTITUTE(INDEX(Calc!$K:$K,(ROW(C159)-1)*5+COLUMN(C159)+1),",",".")</f>
        <v>3.55</v>
      </c>
      <c r="I160" s="167" t="str">
        <f>SUBSTITUTE(INDEX(Calc!$K:$K,(ROW(D159)-1)*5+COLUMN(D159)+1),",",".")</f>
        <v>3.5</v>
      </c>
      <c r="J160" s="167" t="str">
        <f>SUBSTITUTE(INDEX(Calc!$K:$K,(ROW(E159)-1)*5+COLUMN(E159)+1),",",".")</f>
        <v>3.38</v>
      </c>
      <c r="K160" s="166" t="s">
        <v>898</v>
      </c>
      <c r="L160" s="167" t="str">
        <f>Закуп!AA160</f>
        <v>Четырехклапанные</v>
      </c>
      <c r="M160" s="166" t="s">
        <v>899</v>
      </c>
      <c r="N160" s="166">
        <f>IF(Закуп!L160="",0,Закуп!L160)</f>
        <v>0</v>
      </c>
      <c r="O160" s="166" t="s">
        <v>900</v>
      </c>
      <c r="P160" s="144">
        <f>Закуп!N160</f>
        <v>1</v>
      </c>
      <c r="Q160" s="210" t="str">
        <f t="shared" si="2"/>
        <v xml:space="preserve">        [ 'dims' =&gt; [560,360,300], 'prices' =&gt; [4.44,4.32,3.55,3.5,3.38], 'type' =&gt; "Четырехклапанные", 'sale' =&gt; "0" ],</v>
      </c>
    </row>
    <row r="161" spans="1:17" x14ac:dyDescent="0.4">
      <c r="A161" s="166" t="s">
        <v>896</v>
      </c>
      <c r="B161" s="166">
        <f>Закуп!R161</f>
        <v>200</v>
      </c>
      <c r="C161" s="166">
        <f>Закуп!S161</f>
        <v>120</v>
      </c>
      <c r="D161" s="166">
        <f>Закуп!T161</f>
        <v>150</v>
      </c>
      <c r="E161" s="166" t="s">
        <v>897</v>
      </c>
      <c r="F161" s="167" t="str">
        <f>SUBSTITUTE(INDEX(Calc!$K:$K,(ROW(A160)-1)*5+COLUMN(A160)+1),",",".")</f>
        <v>1.16</v>
      </c>
      <c r="G161" s="167" t="str">
        <f>SUBSTITUTE(INDEX(Calc!$K:$K,(ROW(B160)-1)*5+COLUMN(B160)+1),",",".")</f>
        <v>1.01</v>
      </c>
      <c r="H161" s="167" t="str">
        <f>SUBSTITUTE(INDEX(Calc!$K:$K,(ROW(C160)-1)*5+COLUMN(C160)+1),",",".")</f>
        <v>0.82</v>
      </c>
      <c r="I161" s="167" t="str">
        <f>SUBSTITUTE(INDEX(Calc!$K:$K,(ROW(D160)-1)*5+COLUMN(D160)+1),",",".")</f>
        <v>0.77</v>
      </c>
      <c r="J161" s="167" t="str">
        <f>SUBSTITUTE(INDEX(Calc!$K:$K,(ROW(E160)-1)*5+COLUMN(E160)+1),",",".")</f>
        <v>0.72</v>
      </c>
      <c r="K161" s="166" t="s">
        <v>898</v>
      </c>
      <c r="L161" s="167" t="str">
        <f>Закуп!AA161</f>
        <v>Четырехклапанные</v>
      </c>
      <c r="M161" s="166" t="s">
        <v>899</v>
      </c>
      <c r="N161" s="166">
        <f>IF(Закуп!L161="",0,Закуп!L161)</f>
        <v>0</v>
      </c>
      <c r="O161" s="166" t="s">
        <v>900</v>
      </c>
      <c r="P161" s="144">
        <f>Закуп!N161</f>
        <v>1</v>
      </c>
      <c r="Q161" s="210" t="str">
        <f t="shared" si="2"/>
        <v xml:space="preserve">        [ 'dims' =&gt; [200,120,150], 'prices' =&gt; [1.16,1.01,0.82,0.77,0.72], 'type' =&gt; "Четырехклапанные", 'sale' =&gt; "0" ],</v>
      </c>
    </row>
    <row r="162" spans="1:17" x14ac:dyDescent="0.4">
      <c r="A162" s="166" t="s">
        <v>896</v>
      </c>
      <c r="B162" s="166">
        <f>Закуп!R162</f>
        <v>260</v>
      </c>
      <c r="C162" s="166">
        <f>Закуп!S162</f>
        <v>170</v>
      </c>
      <c r="D162" s="166">
        <f>Закуп!T162</f>
        <v>240</v>
      </c>
      <c r="E162" s="166" t="s">
        <v>897</v>
      </c>
      <c r="F162" s="167" t="str">
        <f>SUBSTITUTE(INDEX(Calc!$K:$K,(ROW(A161)-1)*5+COLUMN(A161)+1),",",".")</f>
        <v>1.81</v>
      </c>
      <c r="G162" s="167" t="str">
        <f>SUBSTITUTE(INDEX(Calc!$K:$K,(ROW(B161)-1)*5+COLUMN(B161)+1),",",".")</f>
        <v>1.65</v>
      </c>
      <c r="H162" s="167" t="str">
        <f>SUBSTITUTE(INDEX(Calc!$K:$K,(ROW(C161)-1)*5+COLUMN(C161)+1),",",".")</f>
        <v>1.29</v>
      </c>
      <c r="I162" s="167" t="str">
        <f>SUBSTITUTE(INDEX(Calc!$K:$K,(ROW(D161)-1)*5+COLUMN(D161)+1),",",".")</f>
        <v>1.22</v>
      </c>
      <c r="J162" s="167" t="str">
        <f>SUBSTITUTE(INDEX(Calc!$K:$K,(ROW(E161)-1)*5+COLUMN(E161)+1),",",".")</f>
        <v>1.07</v>
      </c>
      <c r="K162" s="166" t="s">
        <v>898</v>
      </c>
      <c r="L162" s="167" t="str">
        <f>Закуп!AA162</f>
        <v>Четырехклапанные</v>
      </c>
      <c r="M162" s="166" t="s">
        <v>899</v>
      </c>
      <c r="N162" s="166">
        <f>IF(Закуп!L162="",0,Закуп!L162)</f>
        <v>0</v>
      </c>
      <c r="O162" s="166" t="s">
        <v>900</v>
      </c>
      <c r="P162" s="144">
        <f>Закуп!N162</f>
        <v>1</v>
      </c>
      <c r="Q162" s="210" t="str">
        <f t="shared" si="2"/>
        <v xml:space="preserve">        [ 'dims' =&gt; [260,170,240], 'prices' =&gt; [1.81,1.65,1.29,1.22,1.07], 'type' =&gt; "Четырехклапанные", 'sale' =&gt; "0" ],</v>
      </c>
    </row>
    <row r="163" spans="1:17" x14ac:dyDescent="0.4">
      <c r="A163" s="166" t="s">
        <v>896</v>
      </c>
      <c r="B163" s="166">
        <f>Закуп!R163</f>
        <v>800</v>
      </c>
      <c r="C163" s="166">
        <f>Закуп!S163</f>
        <v>480</v>
      </c>
      <c r="D163" s="166">
        <f>Закуп!T163</f>
        <v>290</v>
      </c>
      <c r="E163" s="166" t="s">
        <v>897</v>
      </c>
      <c r="F163" s="167" t="str">
        <f>SUBSTITUTE(INDEX(Calc!$K:$K,(ROW(A162)-1)*5+COLUMN(A162)+1),",",".")</f>
        <v>7.06</v>
      </c>
      <c r="G163" s="167" t="str">
        <f>SUBSTITUTE(INDEX(Calc!$K:$K,(ROW(B162)-1)*5+COLUMN(B162)+1),",",".")</f>
        <v>6.53</v>
      </c>
      <c r="H163" s="167" t="str">
        <f>SUBSTITUTE(INDEX(Calc!$K:$K,(ROW(C162)-1)*5+COLUMN(C162)+1),",",".")</f>
        <v>5.63</v>
      </c>
      <c r="I163" s="167" t="str">
        <f>SUBSTITUTE(INDEX(Calc!$K:$K,(ROW(D162)-1)*5+COLUMN(D162)+1),",",".")</f>
        <v>5.45</v>
      </c>
      <c r="J163" s="167" t="str">
        <f>SUBSTITUTE(INDEX(Calc!$K:$K,(ROW(E162)-1)*5+COLUMN(E162)+1),",",".")</f>
        <v>5.36</v>
      </c>
      <c r="K163" s="166" t="s">
        <v>898</v>
      </c>
      <c r="L163" s="167" t="str">
        <f>Закуп!AA163</f>
        <v>Четырехклапанные</v>
      </c>
      <c r="M163" s="166" t="s">
        <v>899</v>
      </c>
      <c r="N163" s="166">
        <f>IF(Закуп!L163="",0,Закуп!L163)</f>
        <v>0</v>
      </c>
      <c r="O163" s="166" t="s">
        <v>900</v>
      </c>
      <c r="P163" s="144">
        <f>Закуп!N163</f>
        <v>1</v>
      </c>
      <c r="Q163" s="210" t="str">
        <f t="shared" si="2"/>
        <v xml:space="preserve">        [ 'dims' =&gt; [800,480,290], 'prices' =&gt; [7.06,6.53,5.63,5.45,5.36], 'type' =&gt; "Четырехклапанные", 'sale' =&gt; "0" ],</v>
      </c>
    </row>
    <row r="164" spans="1:17" x14ac:dyDescent="0.4">
      <c r="A164" s="166" t="s">
        <v>896</v>
      </c>
      <c r="B164" s="166">
        <f>Закуп!R164</f>
        <v>390</v>
      </c>
      <c r="C164" s="166">
        <f>Закуп!S164</f>
        <v>390</v>
      </c>
      <c r="D164" s="166">
        <f>Закуп!T164</f>
        <v>390</v>
      </c>
      <c r="E164" s="166" t="s">
        <v>897</v>
      </c>
      <c r="F164" s="167" t="str">
        <f>SUBSTITUTE(INDEX(Calc!$K:$K,(ROW(A163)-1)*5+COLUMN(A163)+1),",",".")</f>
        <v>4.46</v>
      </c>
      <c r="G164" s="167" t="str">
        <f>SUBSTITUTE(INDEX(Calc!$K:$K,(ROW(B163)-1)*5+COLUMN(B163)+1),",",".")</f>
        <v>4.34</v>
      </c>
      <c r="H164" s="167" t="str">
        <f>SUBSTITUTE(INDEX(Calc!$K:$K,(ROW(C163)-1)*5+COLUMN(C163)+1),",",".")</f>
        <v>3.56</v>
      </c>
      <c r="I164" s="167" t="str">
        <f>SUBSTITUTE(INDEX(Calc!$K:$K,(ROW(D163)-1)*5+COLUMN(D163)+1),",",".")</f>
        <v>3.51</v>
      </c>
      <c r="J164" s="167" t="str">
        <f>SUBSTITUTE(INDEX(Calc!$K:$K,(ROW(E163)-1)*5+COLUMN(E163)+1),",",".")</f>
        <v>3.4</v>
      </c>
      <c r="K164" s="166" t="s">
        <v>898</v>
      </c>
      <c r="L164" s="167" t="str">
        <f>Закуп!AA164</f>
        <v>Четырехклапанные</v>
      </c>
      <c r="M164" s="166" t="s">
        <v>899</v>
      </c>
      <c r="N164" s="166">
        <f>IF(Закуп!L164="",0,Закуп!L164)</f>
        <v>0</v>
      </c>
      <c r="O164" s="166" t="s">
        <v>900</v>
      </c>
      <c r="P164" s="144">
        <f>Закуп!N164</f>
        <v>1</v>
      </c>
      <c r="Q164" s="210" t="str">
        <f t="shared" si="2"/>
        <v xml:space="preserve">        [ 'dims' =&gt; [390,390,390], 'prices' =&gt; [4.46,4.34,3.56,3.51,3.4], 'type' =&gt; "Четырехклапанные", 'sale' =&gt; "0" ],</v>
      </c>
    </row>
    <row r="165" spans="1:17" x14ac:dyDescent="0.4">
      <c r="A165" s="166" t="s">
        <v>896</v>
      </c>
      <c r="B165" s="166">
        <f>Закуп!R165</f>
        <v>465</v>
      </c>
      <c r="C165" s="166">
        <f>Закуп!S165</f>
        <v>155</v>
      </c>
      <c r="D165" s="166">
        <f>Закуп!T165</f>
        <v>192</v>
      </c>
      <c r="E165" s="166" t="s">
        <v>897</v>
      </c>
      <c r="F165" s="167" t="str">
        <f>SUBSTITUTE(INDEX(Calc!$K:$K,(ROW(A164)-1)*5+COLUMN(A164)+1),",",".")</f>
        <v>1.88</v>
      </c>
      <c r="G165" s="167" t="str">
        <f>SUBSTITUTE(INDEX(Calc!$K:$K,(ROW(B164)-1)*5+COLUMN(B164)+1),",",".")</f>
        <v>1.71</v>
      </c>
      <c r="H165" s="167" t="str">
        <f>SUBSTITUTE(INDEX(Calc!$K:$K,(ROW(C164)-1)*5+COLUMN(C164)+1),",",".")</f>
        <v>1.56</v>
      </c>
      <c r="I165" s="167" t="str">
        <f>SUBSTITUTE(INDEX(Calc!$K:$K,(ROW(D164)-1)*5+COLUMN(D164)+1),",",".")</f>
        <v>1.44</v>
      </c>
      <c r="J165" s="167" t="str">
        <f>SUBSTITUTE(INDEX(Calc!$K:$K,(ROW(E164)-1)*5+COLUMN(E164)+1),",",".")</f>
        <v>1.28</v>
      </c>
      <c r="K165" s="166" t="s">
        <v>898</v>
      </c>
      <c r="L165" s="167" t="str">
        <f>Закуп!AA165</f>
        <v>Четырехклапанные</v>
      </c>
      <c r="M165" s="166" t="s">
        <v>899</v>
      </c>
      <c r="N165" s="166">
        <f>IF(Закуп!L165="",0,Закуп!L165)</f>
        <v>0</v>
      </c>
      <c r="O165" s="166" t="s">
        <v>900</v>
      </c>
      <c r="P165" s="144">
        <f>Закуп!N165</f>
        <v>1</v>
      </c>
      <c r="Q165" s="210" t="str">
        <f t="shared" si="2"/>
        <v xml:space="preserve">        [ 'dims' =&gt; [465,155,192], 'prices' =&gt; [1.88,1.71,1.56,1.44,1.28], 'type' =&gt; "Четырехклапанные", 'sale' =&gt; "0" ],</v>
      </c>
    </row>
    <row r="166" spans="1:17" x14ac:dyDescent="0.4">
      <c r="A166" s="166" t="s">
        <v>896</v>
      </c>
      <c r="B166" s="166">
        <f>Закуп!R166</f>
        <v>630</v>
      </c>
      <c r="C166" s="166">
        <f>Закуп!S166</f>
        <v>330</v>
      </c>
      <c r="D166" s="166">
        <f>Закуп!T166</f>
        <v>130</v>
      </c>
      <c r="E166" s="166" t="s">
        <v>897</v>
      </c>
      <c r="F166" s="167" t="str">
        <f>SUBSTITUTE(INDEX(Calc!$K:$K,(ROW(A165)-1)*5+COLUMN(A165)+1),",",".")</f>
        <v>4.03</v>
      </c>
      <c r="G166" s="167" t="str">
        <f>SUBSTITUTE(INDEX(Calc!$K:$K,(ROW(B165)-1)*5+COLUMN(B165)+1),",",".")</f>
        <v>3.19</v>
      </c>
      <c r="H166" s="167" t="str">
        <f>SUBSTITUTE(INDEX(Calc!$K:$K,(ROW(C165)-1)*5+COLUMN(C165)+1),",",".")</f>
        <v>2.69</v>
      </c>
      <c r="I166" s="167" t="str">
        <f>SUBSTITUTE(INDEX(Calc!$K:$K,(ROW(D165)-1)*5+COLUMN(D165)+1),",",".")</f>
        <v>2.54</v>
      </c>
      <c r="J166" s="167" t="str">
        <f>SUBSTITUTE(INDEX(Calc!$K:$K,(ROW(E165)-1)*5+COLUMN(E165)+1),",",".")</f>
        <v>2.46</v>
      </c>
      <c r="K166" s="166" t="s">
        <v>898</v>
      </c>
      <c r="L166" s="167" t="str">
        <f>Закуп!AA166</f>
        <v>Четырехклапанные</v>
      </c>
      <c r="M166" s="166" t="s">
        <v>899</v>
      </c>
      <c r="N166" s="166">
        <f>IF(Закуп!L166="",0,Закуп!L166)</f>
        <v>0</v>
      </c>
      <c r="O166" s="166" t="s">
        <v>900</v>
      </c>
      <c r="P166" s="144">
        <f>Закуп!N166</f>
        <v>1</v>
      </c>
      <c r="Q166" s="210" t="str">
        <f t="shared" si="2"/>
        <v xml:space="preserve">        [ 'dims' =&gt; [630,330,130], 'prices' =&gt; [4.03,3.19,2.69,2.54,2.46], 'type' =&gt; "Четырехклапанные", 'sale' =&gt; "0" ],</v>
      </c>
    </row>
    <row r="167" spans="1:17" x14ac:dyDescent="0.4">
      <c r="A167" s="166" t="s">
        <v>896</v>
      </c>
      <c r="B167" s="166">
        <f>Закуп!R167</f>
        <v>274</v>
      </c>
      <c r="C167" s="166">
        <f>Закуп!S167</f>
        <v>186</v>
      </c>
      <c r="D167" s="166">
        <f>Закуп!T167</f>
        <v>87</v>
      </c>
      <c r="E167" s="166" t="s">
        <v>897</v>
      </c>
      <c r="F167" s="167" t="str">
        <f>SUBSTITUTE(INDEX(Calc!$K:$K,(ROW(A166)-1)*5+COLUMN(A166)+1),",",".")</f>
        <v>2.32</v>
      </c>
      <c r="G167" s="167" t="str">
        <f>SUBSTITUTE(INDEX(Calc!$K:$K,(ROW(B166)-1)*5+COLUMN(B166)+1),",",".")</f>
        <v>2</v>
      </c>
      <c r="H167" s="167" t="str">
        <f>SUBSTITUTE(INDEX(Calc!$K:$K,(ROW(C166)-1)*5+COLUMN(C166)+1),",",".")</f>
        <v>1.88</v>
      </c>
      <c r="I167" s="167" t="str">
        <f>SUBSTITUTE(INDEX(Calc!$K:$K,(ROW(D166)-1)*5+COLUMN(D166)+1),",",".")</f>
        <v>1.75</v>
      </c>
      <c r="J167" s="167" t="str">
        <f>SUBSTITUTE(INDEX(Calc!$K:$K,(ROW(E166)-1)*5+COLUMN(E166)+1),",",".")</f>
        <v>1.53</v>
      </c>
      <c r="K167" s="166" t="s">
        <v>898</v>
      </c>
      <c r="L167" s="167" t="str">
        <f>Закуп!AA167</f>
        <v>Самосборные</v>
      </c>
      <c r="M167" s="166" t="s">
        <v>899</v>
      </c>
      <c r="N167" s="166">
        <f>IF(Закуп!L167="",0,Закуп!L167)</f>
        <v>0</v>
      </c>
      <c r="O167" s="166" t="s">
        <v>900</v>
      </c>
      <c r="P167" s="144">
        <f>Закуп!N167</f>
        <v>1</v>
      </c>
      <c r="Q167" s="210" t="str">
        <f t="shared" si="2"/>
        <v xml:space="preserve">        [ 'dims' =&gt; [274,186,87], 'prices' =&gt; [2.32,2,1.88,1.75,1.53], 'type' =&gt; "Самосборные", 'sale' =&gt; "0" ],</v>
      </c>
    </row>
    <row r="168" spans="1:17" x14ac:dyDescent="0.4">
      <c r="A168" s="166" t="s">
        <v>896</v>
      </c>
      <c r="B168" s="166">
        <f>Закуп!R168</f>
        <v>579</v>
      </c>
      <c r="C168" s="166">
        <f>Закуп!S168</f>
        <v>261</v>
      </c>
      <c r="D168" s="166">
        <f>Закуп!T168</f>
        <v>265</v>
      </c>
      <c r="E168" s="166" t="s">
        <v>897</v>
      </c>
      <c r="F168" s="167" t="str">
        <f>SUBSTITUTE(INDEX(Calc!$K:$K,(ROW(A167)-1)*5+COLUMN(A167)+1),",",".")</f>
        <v>4.06</v>
      </c>
      <c r="G168" s="167" t="str">
        <f>SUBSTITUTE(INDEX(Calc!$K:$K,(ROW(B167)-1)*5+COLUMN(B167)+1),",",".")</f>
        <v>3.21</v>
      </c>
      <c r="H168" s="167" t="str">
        <f>SUBSTITUTE(INDEX(Calc!$K:$K,(ROW(C167)-1)*5+COLUMN(C167)+1),",",".")</f>
        <v>2.7</v>
      </c>
      <c r="I168" s="167" t="str">
        <f>SUBSTITUTE(INDEX(Calc!$K:$K,(ROW(D167)-1)*5+COLUMN(D167)+1),",",".")</f>
        <v>2.56</v>
      </c>
      <c r="J168" s="167" t="str">
        <f>SUBSTITUTE(INDEX(Calc!$K:$K,(ROW(E167)-1)*5+COLUMN(E167)+1),",",".")</f>
        <v>2.47</v>
      </c>
      <c r="K168" s="166" t="s">
        <v>898</v>
      </c>
      <c r="L168" s="167" t="str">
        <f>Закуп!AA168</f>
        <v>Четырехклапанные</v>
      </c>
      <c r="M168" s="166" t="s">
        <v>899</v>
      </c>
      <c r="N168" s="166">
        <f>IF(Закуп!L168="",0,Закуп!L168)</f>
        <v>0</v>
      </c>
      <c r="O168" s="166" t="s">
        <v>900</v>
      </c>
      <c r="P168" s="144">
        <f>Закуп!N168</f>
        <v>1</v>
      </c>
      <c r="Q168" s="210" t="str">
        <f t="shared" si="2"/>
        <v xml:space="preserve">        [ 'dims' =&gt; [579,261,265], 'prices' =&gt; [4.06,3.21,2.7,2.56,2.47], 'type' =&gt; "Четырехклапанные", 'sale' =&gt; "0" ],</v>
      </c>
    </row>
    <row r="169" spans="1:17" x14ac:dyDescent="0.4">
      <c r="A169" s="166" t="s">
        <v>896</v>
      </c>
      <c r="B169" s="166">
        <f>Закуп!R169</f>
        <v>745</v>
      </c>
      <c r="C169" s="166">
        <f>Закуп!S169</f>
        <v>545</v>
      </c>
      <c r="D169" s="166">
        <f>Закуп!T169</f>
        <v>580</v>
      </c>
      <c r="E169" s="166" t="s">
        <v>897</v>
      </c>
      <c r="F169" s="167" t="str">
        <f>SUBSTITUTE(INDEX(Calc!$K:$K,(ROW(A168)-1)*5+COLUMN(A168)+1),",",".")</f>
        <v>10.25</v>
      </c>
      <c r="G169" s="167" t="str">
        <f>SUBSTITUTE(INDEX(Calc!$K:$K,(ROW(B168)-1)*5+COLUMN(B168)+1),",",".")</f>
        <v>8.74</v>
      </c>
      <c r="H169" s="167" t="str">
        <f>SUBSTITUTE(INDEX(Calc!$K:$K,(ROW(C168)-1)*5+COLUMN(C168)+1),",",".")</f>
        <v>8.03</v>
      </c>
      <c r="I169" s="167" t="str">
        <f>SUBSTITUTE(INDEX(Calc!$K:$K,(ROW(D168)-1)*5+COLUMN(D168)+1),",",".")</f>
        <v>7.89</v>
      </c>
      <c r="J169" s="167" t="str">
        <f>SUBSTITUTE(INDEX(Calc!$K:$K,(ROW(E168)-1)*5+COLUMN(E168)+1),",",".")</f>
        <v>7.82</v>
      </c>
      <c r="K169" s="166" t="s">
        <v>898</v>
      </c>
      <c r="L169" s="167" t="str">
        <f>Закуп!AA169</f>
        <v>Четырехклапанные</v>
      </c>
      <c r="M169" s="166" t="s">
        <v>899</v>
      </c>
      <c r="N169" s="166">
        <f>IF(Закуп!L169="",0,Закуп!L169)</f>
        <v>0</v>
      </c>
      <c r="O169" s="166" t="s">
        <v>900</v>
      </c>
      <c r="P169" s="144">
        <f>Закуп!N169</f>
        <v>1</v>
      </c>
      <c r="Q169" s="210" t="str">
        <f t="shared" si="2"/>
        <v xml:space="preserve">        [ 'dims' =&gt; [745,545,580], 'prices' =&gt; [10.25,8.74,8.03,7.89,7.82], 'type' =&gt; "Четырехклапанные", 'sale' =&gt; "0" ],</v>
      </c>
    </row>
    <row r="170" spans="1:17" x14ac:dyDescent="0.4">
      <c r="A170" s="166" t="s">
        <v>896</v>
      </c>
      <c r="B170" s="166">
        <f>Закуп!R170</f>
        <v>150</v>
      </c>
      <c r="C170" s="166">
        <f>Закуп!S170</f>
        <v>150</v>
      </c>
      <c r="D170" s="166">
        <f>Закуп!T170</f>
        <v>100</v>
      </c>
      <c r="E170" s="166" t="s">
        <v>897</v>
      </c>
      <c r="F170" s="167" t="str">
        <f>SUBSTITUTE(INDEX(Calc!$K:$K,(ROW(A169)-1)*5+COLUMN(A169)+1),",",".")</f>
        <v>1.06</v>
      </c>
      <c r="G170" s="167" t="str">
        <f>SUBSTITUTE(INDEX(Calc!$K:$K,(ROW(B169)-1)*5+COLUMN(B169)+1),",",".")</f>
        <v>0.9</v>
      </c>
      <c r="H170" s="167" t="str">
        <f>SUBSTITUTE(INDEX(Calc!$K:$K,(ROW(C169)-1)*5+COLUMN(C169)+1),",",".")</f>
        <v>0.72</v>
      </c>
      <c r="I170" s="167" t="str">
        <f>SUBSTITUTE(INDEX(Calc!$K:$K,(ROW(D169)-1)*5+COLUMN(D169)+1),",",".")</f>
        <v>0.68</v>
      </c>
      <c r="J170" s="167" t="str">
        <f>SUBSTITUTE(INDEX(Calc!$K:$K,(ROW(E169)-1)*5+COLUMN(E169)+1),",",".")</f>
        <v>0.63</v>
      </c>
      <c r="K170" s="166" t="s">
        <v>898</v>
      </c>
      <c r="L170" s="167" t="str">
        <f>Закуп!AA170</f>
        <v>Четырехклапанные</v>
      </c>
      <c r="M170" s="166" t="s">
        <v>899</v>
      </c>
      <c r="N170" s="166">
        <f>IF(Закуп!L170="",0,Закуп!L170)</f>
        <v>0</v>
      </c>
      <c r="O170" s="166" t="s">
        <v>900</v>
      </c>
      <c r="P170" s="144">
        <f>Закуп!N170</f>
        <v>1</v>
      </c>
      <c r="Q170" s="210" t="str">
        <f t="shared" si="2"/>
        <v xml:space="preserve">        [ 'dims' =&gt; [150,150,100], 'prices' =&gt; [1.06,0.9,0.72,0.68,0.63], 'type' =&gt; "Четырехклапанные", 'sale' =&gt; "0" ],</v>
      </c>
    </row>
    <row r="171" spans="1:17" x14ac:dyDescent="0.4">
      <c r="A171" s="166" t="s">
        <v>896</v>
      </c>
      <c r="B171" s="166">
        <f>Закуп!R171</f>
        <v>260</v>
      </c>
      <c r="C171" s="166">
        <f>Закуп!S171</f>
        <v>190</v>
      </c>
      <c r="D171" s="166">
        <f>Закуп!T171</f>
        <v>160</v>
      </c>
      <c r="E171" s="166" t="s">
        <v>897</v>
      </c>
      <c r="F171" s="167" t="str">
        <f>SUBSTITUTE(INDEX(Calc!$K:$K,(ROW(A170)-1)*5+COLUMN(A170)+1),",",".")</f>
        <v>1.64</v>
      </c>
      <c r="G171" s="167" t="str">
        <f>SUBSTITUTE(INDEX(Calc!$K:$K,(ROW(B170)-1)*5+COLUMN(B170)+1),",",".")</f>
        <v>1.49</v>
      </c>
      <c r="H171" s="167" t="str">
        <f>SUBSTITUTE(INDEX(Calc!$K:$K,(ROW(C170)-1)*5+COLUMN(C170)+1),",",".")</f>
        <v>1.18</v>
      </c>
      <c r="I171" s="167" t="str">
        <f>SUBSTITUTE(INDEX(Calc!$K:$K,(ROW(D170)-1)*5+COLUMN(D170)+1),",",".")</f>
        <v>1.1</v>
      </c>
      <c r="J171" s="167" t="str">
        <f>SUBSTITUTE(INDEX(Calc!$K:$K,(ROW(E170)-1)*5+COLUMN(E170)+1),",",".")</f>
        <v>1.04</v>
      </c>
      <c r="K171" s="166" t="s">
        <v>898</v>
      </c>
      <c r="L171" s="167" t="str">
        <f>Закуп!AA171</f>
        <v>Четырехклапанные</v>
      </c>
      <c r="M171" s="166" t="s">
        <v>899</v>
      </c>
      <c r="N171" s="166">
        <f>IF(Закуп!L171="",0,Закуп!L171)</f>
        <v>0</v>
      </c>
      <c r="O171" s="166" t="s">
        <v>900</v>
      </c>
      <c r="P171" s="144">
        <f>Закуп!N171</f>
        <v>1</v>
      </c>
      <c r="Q171" s="210" t="str">
        <f t="shared" si="2"/>
        <v xml:space="preserve">        [ 'dims' =&gt; [260,190,160], 'prices' =&gt; [1.64,1.49,1.18,1.1,1.04], 'type' =&gt; "Четырехклапанные", 'sale' =&gt; "0" ],</v>
      </c>
    </row>
    <row r="172" spans="1:17" x14ac:dyDescent="0.4">
      <c r="A172" s="166" t="s">
        <v>896</v>
      </c>
      <c r="B172" s="166">
        <f>Закуп!R172</f>
        <v>150</v>
      </c>
      <c r="C172" s="166">
        <f>Закуп!S172</f>
        <v>150</v>
      </c>
      <c r="D172" s="166">
        <f>Закуп!T172</f>
        <v>85</v>
      </c>
      <c r="E172" s="166" t="s">
        <v>897</v>
      </c>
      <c r="F172" s="167" t="str">
        <f>SUBSTITUTE(INDEX(Calc!$K:$K,(ROW(A171)-1)*5+COLUMN(A171)+1),",",".")</f>
        <v>1.06</v>
      </c>
      <c r="G172" s="167" t="str">
        <f>SUBSTITUTE(INDEX(Calc!$K:$K,(ROW(B171)-1)*5+COLUMN(B171)+1),",",".")</f>
        <v>0.91</v>
      </c>
      <c r="H172" s="167" t="str">
        <f>SUBSTITUTE(INDEX(Calc!$K:$K,(ROW(C171)-1)*5+COLUMN(C171)+1),",",".")</f>
        <v>0.7</v>
      </c>
      <c r="I172" s="167" t="str">
        <f>SUBSTITUTE(INDEX(Calc!$K:$K,(ROW(D171)-1)*5+COLUMN(D171)+1),",",".")</f>
        <v>0.65</v>
      </c>
      <c r="J172" s="167" t="str">
        <f>SUBSTITUTE(INDEX(Calc!$K:$K,(ROW(E171)-1)*5+COLUMN(E171)+1),",",".")</f>
        <v>0.62</v>
      </c>
      <c r="K172" s="166" t="s">
        <v>898</v>
      </c>
      <c r="L172" s="167" t="str">
        <f>Закуп!AA172</f>
        <v>Четырехклапанные</v>
      </c>
      <c r="M172" s="166" t="s">
        <v>899</v>
      </c>
      <c r="N172" s="166">
        <f>IF(Закуп!L172="",0,Закуп!L172)</f>
        <v>0</v>
      </c>
      <c r="O172" s="166" t="s">
        <v>900</v>
      </c>
      <c r="P172" s="144">
        <f>Закуп!N172</f>
        <v>1</v>
      </c>
      <c r="Q172" s="210" t="str">
        <f t="shared" si="2"/>
        <v xml:space="preserve">        [ 'dims' =&gt; [150,150,85], 'prices' =&gt; [1.06,0.91,0.7,0.65,0.62], 'type' =&gt; "Четырехклапанные", 'sale' =&gt; "0" ],</v>
      </c>
    </row>
    <row r="173" spans="1:17" x14ac:dyDescent="0.4">
      <c r="A173" s="166" t="s">
        <v>896</v>
      </c>
      <c r="B173" s="166">
        <f>Закуп!R173</f>
        <v>120</v>
      </c>
      <c r="C173" s="166">
        <f>Закуп!S173</f>
        <v>120</v>
      </c>
      <c r="D173" s="166">
        <f>Закуп!T173</f>
        <v>120</v>
      </c>
      <c r="E173" s="166" t="s">
        <v>897</v>
      </c>
      <c r="F173" s="167" t="str">
        <f>SUBSTITUTE(INDEX(Calc!$K:$K,(ROW(A172)-1)*5+COLUMN(A172)+1),",",".")</f>
        <v>1</v>
      </c>
      <c r="G173" s="167" t="str">
        <f>SUBSTITUTE(INDEX(Calc!$K:$K,(ROW(B172)-1)*5+COLUMN(B172)+1),",",".")</f>
        <v>0.9</v>
      </c>
      <c r="H173" s="167" t="str">
        <f>SUBSTITUTE(INDEX(Calc!$K:$K,(ROW(C172)-1)*5+COLUMN(C172)+1),",",".")</f>
        <v>0.8</v>
      </c>
      <c r="I173" s="167" t="str">
        <f>SUBSTITUTE(INDEX(Calc!$K:$K,(ROW(D172)-1)*5+COLUMN(D172)+1),",",".")</f>
        <v>0.7</v>
      </c>
      <c r="J173" s="167" t="str">
        <f>SUBSTITUTE(INDEX(Calc!$K:$K,(ROW(E172)-1)*5+COLUMN(E172)+1),",",".")</f>
        <v>0.6</v>
      </c>
      <c r="K173" s="166" t="s">
        <v>898</v>
      </c>
      <c r="L173" s="167" t="str">
        <f>Закуп!AA173</f>
        <v>Четырехклапанные</v>
      </c>
      <c r="M173" s="166" t="s">
        <v>899</v>
      </c>
      <c r="N173" s="166">
        <f>IF(Закуп!L173="",0,Закуп!L173)</f>
        <v>0</v>
      </c>
      <c r="O173" s="166" t="s">
        <v>900</v>
      </c>
      <c r="P173" s="144">
        <f>Закуп!N173</f>
        <v>1</v>
      </c>
      <c r="Q173" s="210" t="str">
        <f t="shared" si="2"/>
        <v xml:space="preserve">        [ 'dims' =&gt; [120,120,120], 'prices' =&gt; [1,0.9,0.8,0.7,0.6], 'type' =&gt; "Четырехклапанные", 'sale' =&gt; "0" ],</v>
      </c>
    </row>
    <row r="174" spans="1:17" x14ac:dyDescent="0.4">
      <c r="A174" s="166" t="s">
        <v>896</v>
      </c>
      <c r="B174" s="166">
        <f>Закуп!R174</f>
        <v>180</v>
      </c>
      <c r="C174" s="166">
        <f>Закуп!S174</f>
        <v>180</v>
      </c>
      <c r="D174" s="166">
        <f>Закуп!T174</f>
        <v>125</v>
      </c>
      <c r="E174" s="166" t="s">
        <v>897</v>
      </c>
      <c r="F174" s="167" t="str">
        <f>SUBSTITUTE(INDEX(Calc!$K:$K,(ROW(A173)-1)*5+COLUMN(A173)+1),",",".")</f>
        <v>1.24</v>
      </c>
      <c r="G174" s="167" t="str">
        <f>SUBSTITUTE(INDEX(Calc!$K:$K,(ROW(B173)-1)*5+COLUMN(B173)+1),",",".")</f>
        <v>1.08</v>
      </c>
      <c r="H174" s="167" t="str">
        <f>SUBSTITUTE(INDEX(Calc!$K:$K,(ROW(C173)-1)*5+COLUMN(C173)+1),",",".")</f>
        <v>0.92</v>
      </c>
      <c r="I174" s="167" t="str">
        <f>SUBSTITUTE(INDEX(Calc!$K:$K,(ROW(D173)-1)*5+COLUMN(D173)+1),",",".")</f>
        <v>0.87</v>
      </c>
      <c r="J174" s="167" t="str">
        <f>SUBSTITUTE(INDEX(Calc!$K:$K,(ROW(E173)-1)*5+COLUMN(E173)+1),",",".")</f>
        <v>0.8</v>
      </c>
      <c r="K174" s="166" t="s">
        <v>898</v>
      </c>
      <c r="L174" s="167" t="str">
        <f>Закуп!AA174</f>
        <v>Четырехклапанные</v>
      </c>
      <c r="M174" s="166" t="s">
        <v>899</v>
      </c>
      <c r="N174" s="166">
        <f>IF(Закуп!L174="",0,Закуп!L174)</f>
        <v>0</v>
      </c>
      <c r="O174" s="166" t="s">
        <v>900</v>
      </c>
      <c r="P174" s="144">
        <f>Закуп!N174</f>
        <v>1</v>
      </c>
      <c r="Q174" s="210" t="str">
        <f t="shared" si="2"/>
        <v xml:space="preserve">        [ 'dims' =&gt; [180,180,125], 'prices' =&gt; [1.24,1.08,0.92,0.87,0.8], 'type' =&gt; "Четырехклапанные", 'sale' =&gt; "0" ],</v>
      </c>
    </row>
    <row r="175" spans="1:17" x14ac:dyDescent="0.4">
      <c r="A175" s="166" t="s">
        <v>896</v>
      </c>
      <c r="B175" s="166">
        <f>Закуп!R175</f>
        <v>260</v>
      </c>
      <c r="C175" s="166">
        <f>Закуп!S175</f>
        <v>190</v>
      </c>
      <c r="D175" s="166">
        <f>Закуп!T175</f>
        <v>300</v>
      </c>
      <c r="E175" s="166" t="s">
        <v>897</v>
      </c>
      <c r="F175" s="167" t="str">
        <f>SUBSTITUTE(INDEX(Calc!$K:$K,(ROW(A174)-1)*5+COLUMN(A174)+1),",",".")</f>
        <v>2.26</v>
      </c>
      <c r="G175" s="167" t="str">
        <f>SUBSTITUTE(INDEX(Calc!$K:$K,(ROW(B174)-1)*5+COLUMN(B174)+1),",",".")</f>
        <v>2.05</v>
      </c>
      <c r="H175" s="167" t="str">
        <f>SUBSTITUTE(INDEX(Calc!$K:$K,(ROW(C174)-1)*5+COLUMN(C174)+1),",",".")</f>
        <v>1.61</v>
      </c>
      <c r="I175" s="167" t="str">
        <f>SUBSTITUTE(INDEX(Calc!$K:$K,(ROW(D174)-1)*5+COLUMN(D174)+1),",",".")</f>
        <v>1.39</v>
      </c>
      <c r="J175" s="167" t="str">
        <f>SUBSTITUTE(INDEX(Calc!$K:$K,(ROW(E174)-1)*5+COLUMN(E174)+1),",",".")</f>
        <v>1.29</v>
      </c>
      <c r="K175" s="166" t="s">
        <v>898</v>
      </c>
      <c r="L175" s="167" t="str">
        <f>Закуп!AA175</f>
        <v>Четырехклапанные</v>
      </c>
      <c r="M175" s="166" t="s">
        <v>899</v>
      </c>
      <c r="N175" s="166">
        <f>IF(Закуп!L175="",0,Закуп!L175)</f>
        <v>0</v>
      </c>
      <c r="O175" s="166" t="s">
        <v>900</v>
      </c>
      <c r="P175" s="144">
        <f>Закуп!N175</f>
        <v>1</v>
      </c>
      <c r="Q175" s="210" t="str">
        <f t="shared" si="2"/>
        <v xml:space="preserve">        [ 'dims' =&gt; [260,190,300], 'prices' =&gt; [2.26,2.05,1.61,1.39,1.29], 'type' =&gt; "Четырехклапанные", 'sale' =&gt; "0" ],</v>
      </c>
    </row>
    <row r="176" spans="1:17" x14ac:dyDescent="0.4">
      <c r="A176" s="166" t="s">
        <v>896</v>
      </c>
      <c r="B176" s="166">
        <f>Закуп!R176</f>
        <v>280</v>
      </c>
      <c r="C176" s="166">
        <f>Закуп!S176</f>
        <v>90</v>
      </c>
      <c r="D176" s="166">
        <f>Закуп!T176</f>
        <v>125</v>
      </c>
      <c r="E176" s="166" t="s">
        <v>897</v>
      </c>
      <c r="F176" s="167" t="str">
        <f>SUBSTITUTE(INDEX(Calc!$K:$K,(ROW(A175)-1)*5+COLUMN(A175)+1),",",".")</f>
        <v>1.13</v>
      </c>
      <c r="G176" s="167" t="str">
        <f>SUBSTITUTE(INDEX(Calc!$K:$K,(ROW(B175)-1)*5+COLUMN(B175)+1),",",".")</f>
        <v>0.94</v>
      </c>
      <c r="H176" s="167" t="str">
        <f>SUBSTITUTE(INDEX(Calc!$K:$K,(ROW(C175)-1)*5+COLUMN(C175)+1),",",".")</f>
        <v>0.77</v>
      </c>
      <c r="I176" s="167" t="str">
        <f>SUBSTITUTE(INDEX(Calc!$K:$K,(ROW(D175)-1)*5+COLUMN(D175)+1),",",".")</f>
        <v>0.72</v>
      </c>
      <c r="J176" s="167" t="str">
        <f>SUBSTITUTE(INDEX(Calc!$K:$K,(ROW(E175)-1)*5+COLUMN(E175)+1),",",".")</f>
        <v>0.68</v>
      </c>
      <c r="K176" s="166" t="s">
        <v>898</v>
      </c>
      <c r="L176" s="167" t="str">
        <f>Закуп!AA176</f>
        <v>Четырехклапанные</v>
      </c>
      <c r="M176" s="166" t="s">
        <v>899</v>
      </c>
      <c r="N176" s="166">
        <f>IF(Закуп!L176="",0,Закуп!L176)</f>
        <v>0</v>
      </c>
      <c r="O176" s="166" t="s">
        <v>900</v>
      </c>
      <c r="P176" s="144">
        <f>Закуп!N176</f>
        <v>1</v>
      </c>
      <c r="Q176" s="210" t="str">
        <f t="shared" si="2"/>
        <v xml:space="preserve">        [ 'dims' =&gt; [280,90,125], 'prices' =&gt; [1.13,0.94,0.77,0.72,0.68], 'type' =&gt; "Четырехклапанные", 'sale' =&gt; "0" ],</v>
      </c>
    </row>
    <row r="177" spans="1:17" x14ac:dyDescent="0.4">
      <c r="A177" s="166" t="s">
        <v>896</v>
      </c>
      <c r="B177" s="166">
        <f>Закуп!R177</f>
        <v>350</v>
      </c>
      <c r="C177" s="166">
        <f>Закуп!S177</f>
        <v>60</v>
      </c>
      <c r="D177" s="166">
        <f>Закуп!T177</f>
        <v>440</v>
      </c>
      <c r="E177" s="166" t="s">
        <v>897</v>
      </c>
      <c r="F177" s="167" t="str">
        <f>SUBSTITUTE(INDEX(Calc!$K:$K,(ROW(A176)-1)*5+COLUMN(A176)+1),",",".")</f>
        <v>1.81</v>
      </c>
      <c r="G177" s="167" t="str">
        <f>SUBSTITUTE(INDEX(Calc!$K:$K,(ROW(B176)-1)*5+COLUMN(B176)+1),",",".")</f>
        <v>1.65</v>
      </c>
      <c r="H177" s="167" t="str">
        <f>SUBSTITUTE(INDEX(Calc!$K:$K,(ROW(C176)-1)*5+COLUMN(C176)+1),",",".")</f>
        <v>1.5</v>
      </c>
      <c r="I177" s="167" t="str">
        <f>SUBSTITUTE(INDEX(Calc!$K:$K,(ROW(D176)-1)*5+COLUMN(D176)+1),",",".")</f>
        <v>1.39</v>
      </c>
      <c r="J177" s="167" t="str">
        <f>SUBSTITUTE(INDEX(Calc!$K:$K,(ROW(E176)-1)*5+COLUMN(E176)+1),",",".")</f>
        <v>1.23</v>
      </c>
      <c r="K177" s="166" t="s">
        <v>898</v>
      </c>
      <c r="L177" s="167" t="str">
        <f>Закуп!AA177</f>
        <v>Четырехклапанные</v>
      </c>
      <c r="M177" s="166" t="s">
        <v>899</v>
      </c>
      <c r="N177" s="166">
        <f>IF(Закуп!L177="",0,Закуп!L177)</f>
        <v>0</v>
      </c>
      <c r="O177" s="166" t="s">
        <v>900</v>
      </c>
      <c r="P177" s="144">
        <f>Закуп!N177</f>
        <v>1</v>
      </c>
      <c r="Q177" s="210" t="str">
        <f t="shared" si="2"/>
        <v xml:space="preserve">        [ 'dims' =&gt; [350,60,440], 'prices' =&gt; [1.81,1.65,1.5,1.39,1.23], 'type' =&gt; "Четырехклапанные", 'sale' =&gt; "0" ],</v>
      </c>
    </row>
    <row r="178" spans="1:17" x14ac:dyDescent="0.4">
      <c r="A178" s="166" t="s">
        <v>896</v>
      </c>
      <c r="B178" s="166">
        <f>Закуп!R178</f>
        <v>210</v>
      </c>
      <c r="C178" s="166">
        <f>Закуп!S178</f>
        <v>70</v>
      </c>
      <c r="D178" s="166">
        <f>Закуп!T178</f>
        <v>200</v>
      </c>
      <c r="E178" s="166" t="s">
        <v>897</v>
      </c>
      <c r="F178" s="167" t="str">
        <f>SUBSTITUTE(INDEX(Calc!$K:$K,(ROW(A177)-1)*5+COLUMN(A177)+1),",",".")</f>
        <v>1.1</v>
      </c>
      <c r="G178" s="167" t="str">
        <f>SUBSTITUTE(INDEX(Calc!$K:$K,(ROW(B177)-1)*5+COLUMN(B177)+1),",",".")</f>
        <v>0.92</v>
      </c>
      <c r="H178" s="167" t="str">
        <f>SUBSTITUTE(INDEX(Calc!$K:$K,(ROW(C177)-1)*5+COLUMN(C177)+1),",",".")</f>
        <v>0.75</v>
      </c>
      <c r="I178" s="167" t="str">
        <f>SUBSTITUTE(INDEX(Calc!$K:$K,(ROW(D177)-1)*5+COLUMN(D177)+1),",",".")</f>
        <v>0.71</v>
      </c>
      <c r="J178" s="167" t="str">
        <f>SUBSTITUTE(INDEX(Calc!$K:$K,(ROW(E177)-1)*5+COLUMN(E177)+1),",",".")</f>
        <v>0.66</v>
      </c>
      <c r="K178" s="166" t="s">
        <v>898</v>
      </c>
      <c r="L178" s="167" t="str">
        <f>Закуп!AA178</f>
        <v>Четырехклапанные</v>
      </c>
      <c r="M178" s="166" t="s">
        <v>899</v>
      </c>
      <c r="N178" s="166">
        <f>IF(Закуп!L178="",0,Закуп!L178)</f>
        <v>0</v>
      </c>
      <c r="O178" s="166" t="s">
        <v>900</v>
      </c>
      <c r="P178" s="144">
        <f>Закуп!N178</f>
        <v>1</v>
      </c>
      <c r="Q178" s="210" t="str">
        <f t="shared" si="2"/>
        <v xml:space="preserve">        [ 'dims' =&gt; [210,70,200], 'prices' =&gt; [1.1,0.92,0.75,0.71,0.66], 'type' =&gt; "Четырехклапанные", 'sale' =&gt; "0" ],</v>
      </c>
    </row>
    <row r="179" spans="1:17" x14ac:dyDescent="0.4">
      <c r="A179" s="166" t="s">
        <v>896</v>
      </c>
      <c r="B179" s="166">
        <f>Закуп!R179</f>
        <v>215</v>
      </c>
      <c r="C179" s="166">
        <f>Закуп!S179</f>
        <v>215</v>
      </c>
      <c r="D179" s="166">
        <f>Закуп!T179</f>
        <v>120</v>
      </c>
      <c r="E179" s="166" t="s">
        <v>897</v>
      </c>
      <c r="F179" s="167" t="str">
        <f>SUBSTITUTE(INDEX(Calc!$K:$K,(ROW(A178)-1)*5+COLUMN(A178)+1),",",".")</f>
        <v>1.5</v>
      </c>
      <c r="G179" s="167" t="str">
        <f>SUBSTITUTE(INDEX(Calc!$K:$K,(ROW(B178)-1)*5+COLUMN(B178)+1),",",".")</f>
        <v>1.36</v>
      </c>
      <c r="H179" s="167" t="str">
        <f>SUBSTITUTE(INDEX(Calc!$K:$K,(ROW(C178)-1)*5+COLUMN(C178)+1),",",".")</f>
        <v>1.07</v>
      </c>
      <c r="I179" s="167" t="str">
        <f>SUBSTITUTE(INDEX(Calc!$K:$K,(ROW(D178)-1)*5+COLUMN(D178)+1),",",".")</f>
        <v>1.01</v>
      </c>
      <c r="J179" s="167" t="str">
        <f>SUBSTITUTE(INDEX(Calc!$K:$K,(ROW(E178)-1)*5+COLUMN(E178)+1),",",".")</f>
        <v>0.95</v>
      </c>
      <c r="K179" s="166" t="s">
        <v>898</v>
      </c>
      <c r="L179" s="167" t="str">
        <f>Закуп!AA179</f>
        <v>Четырехклапанные</v>
      </c>
      <c r="M179" s="166" t="s">
        <v>899</v>
      </c>
      <c r="N179" s="166">
        <f>IF(Закуп!L179="",0,Закуп!L179)</f>
        <v>0</v>
      </c>
      <c r="O179" s="166" t="s">
        <v>900</v>
      </c>
      <c r="P179" s="144">
        <f>Закуп!N179</f>
        <v>1</v>
      </c>
      <c r="Q179" s="210" t="str">
        <f t="shared" si="2"/>
        <v xml:space="preserve">        [ 'dims' =&gt; [215,215,120], 'prices' =&gt; [1.5,1.36,1.07,1.01,0.95], 'type' =&gt; "Четырехклапанные", 'sale' =&gt; "0" ],</v>
      </c>
    </row>
    <row r="180" spans="1:17" x14ac:dyDescent="0.4">
      <c r="A180" s="166" t="s">
        <v>896</v>
      </c>
      <c r="B180" s="166">
        <f>Закуп!R180</f>
        <v>180</v>
      </c>
      <c r="C180" s="166">
        <f>Закуп!S180</f>
        <v>140</v>
      </c>
      <c r="D180" s="166">
        <f>Закуп!T180</f>
        <v>220</v>
      </c>
      <c r="E180" s="166" t="s">
        <v>897</v>
      </c>
      <c r="F180" s="167" t="str">
        <f>SUBSTITUTE(INDEX(Calc!$K:$K,(ROW(A179)-1)*5+COLUMN(A179)+1),",",".")</f>
        <v>1.27</v>
      </c>
      <c r="G180" s="167" t="str">
        <f>SUBSTITUTE(INDEX(Calc!$K:$K,(ROW(B179)-1)*5+COLUMN(B179)+1),",",".")</f>
        <v>1.1</v>
      </c>
      <c r="H180" s="167" t="str">
        <f>SUBSTITUTE(INDEX(Calc!$K:$K,(ROW(C179)-1)*5+COLUMN(C179)+1),",",".")</f>
        <v>0.94</v>
      </c>
      <c r="I180" s="167" t="str">
        <f>SUBSTITUTE(INDEX(Calc!$K:$K,(ROW(D179)-1)*5+COLUMN(D179)+1),",",".")</f>
        <v>0.89</v>
      </c>
      <c r="J180" s="167" t="str">
        <f>SUBSTITUTE(INDEX(Calc!$K:$K,(ROW(E179)-1)*5+COLUMN(E179)+1),",",".")</f>
        <v>0.82</v>
      </c>
      <c r="K180" s="166" t="s">
        <v>898</v>
      </c>
      <c r="L180" s="167" t="str">
        <f>Закуп!AA180</f>
        <v>Четырехклапанные</v>
      </c>
      <c r="M180" s="166" t="s">
        <v>899</v>
      </c>
      <c r="N180" s="166">
        <f>IF(Закуп!L180="",0,Закуп!L180)</f>
        <v>0</v>
      </c>
      <c r="O180" s="166" t="s">
        <v>900</v>
      </c>
      <c r="P180" s="144">
        <f>Закуп!N180</f>
        <v>1</v>
      </c>
      <c r="Q180" s="210" t="str">
        <f t="shared" si="2"/>
        <v xml:space="preserve">        [ 'dims' =&gt; [180,140,220], 'prices' =&gt; [1.27,1.1,0.94,0.89,0.82], 'type' =&gt; "Четырехклапанные", 'sale' =&gt; "0" ],</v>
      </c>
    </row>
    <row r="181" spans="1:17" x14ac:dyDescent="0.4">
      <c r="A181" s="166" t="s">
        <v>896</v>
      </c>
      <c r="B181" s="166">
        <f>Закуп!R181</f>
        <v>125</v>
      </c>
      <c r="C181" s="166">
        <f>Закуп!S181</f>
        <v>125</v>
      </c>
      <c r="D181" s="166">
        <f>Закуп!T181</f>
        <v>730</v>
      </c>
      <c r="E181" s="166" t="s">
        <v>897</v>
      </c>
      <c r="F181" s="167" t="str">
        <f>SUBSTITUTE(INDEX(Calc!$K:$K,(ROW(A180)-1)*5+COLUMN(A180)+1),",",".")</f>
        <v>2.14</v>
      </c>
      <c r="G181" s="167" t="str">
        <f>SUBSTITUTE(INDEX(Calc!$K:$K,(ROW(B180)-1)*5+COLUMN(B180)+1),",",".")</f>
        <v>1.93</v>
      </c>
      <c r="H181" s="167" t="str">
        <f>SUBSTITUTE(INDEX(Calc!$K:$K,(ROW(C180)-1)*5+COLUMN(C180)+1),",",".")</f>
        <v>1.71</v>
      </c>
      <c r="I181" s="167" t="str">
        <f>SUBSTITUTE(INDEX(Calc!$K:$K,(ROW(D180)-1)*5+COLUMN(D180)+1),",",".")</f>
        <v>1.61</v>
      </c>
      <c r="J181" s="167" t="str">
        <f>SUBSTITUTE(INDEX(Calc!$K:$K,(ROW(E180)-1)*5+COLUMN(E180)+1),",",".")</f>
        <v>1.5</v>
      </c>
      <c r="K181" s="166" t="s">
        <v>898</v>
      </c>
      <c r="L181" s="167" t="str">
        <f>Закуп!AA181</f>
        <v>Четырехклапанные</v>
      </c>
      <c r="M181" s="166" t="s">
        <v>899</v>
      </c>
      <c r="N181" s="166">
        <f>IF(Закуп!L181="",0,Закуп!L181)</f>
        <v>0</v>
      </c>
      <c r="O181" s="166" t="s">
        <v>900</v>
      </c>
      <c r="P181" s="144">
        <f>Закуп!N181</f>
        <v>1</v>
      </c>
      <c r="Q181" s="210" t="str">
        <f t="shared" si="2"/>
        <v xml:space="preserve">        [ 'dims' =&gt; [125,125,730], 'prices' =&gt; [2.14,1.93,1.71,1.61,1.5], 'type' =&gt; "Четырехклапанные", 'sale' =&gt; "0" ],</v>
      </c>
    </row>
    <row r="182" spans="1:17" x14ac:dyDescent="0.4">
      <c r="A182" s="166" t="s">
        <v>896</v>
      </c>
      <c r="B182" s="166">
        <f>Закуп!R182</f>
        <v>250</v>
      </c>
      <c r="C182" s="166">
        <f>Закуп!S182</f>
        <v>190</v>
      </c>
      <c r="D182" s="166">
        <f>Закуп!T182</f>
        <v>170</v>
      </c>
      <c r="E182" s="166" t="s">
        <v>897</v>
      </c>
      <c r="F182" s="167" t="str">
        <f>SUBSTITUTE(INDEX(Calc!$K:$K,(ROW(A181)-1)*5+COLUMN(A181)+1),",",".")</f>
        <v>1.64</v>
      </c>
      <c r="G182" s="167" t="str">
        <f>SUBSTITUTE(INDEX(Calc!$K:$K,(ROW(B181)-1)*5+COLUMN(B181)+1),",",".")</f>
        <v>1.49</v>
      </c>
      <c r="H182" s="167" t="str">
        <f>SUBSTITUTE(INDEX(Calc!$K:$K,(ROW(C181)-1)*5+COLUMN(C181)+1),",",".")</f>
        <v>1.18</v>
      </c>
      <c r="I182" s="167" t="str">
        <f>SUBSTITUTE(INDEX(Calc!$K:$K,(ROW(D181)-1)*5+COLUMN(D181)+1),",",".")</f>
        <v>1.1</v>
      </c>
      <c r="J182" s="167" t="str">
        <f>SUBSTITUTE(INDEX(Calc!$K:$K,(ROW(E181)-1)*5+COLUMN(E181)+1),",",".")</f>
        <v>1.04</v>
      </c>
      <c r="K182" s="166" t="s">
        <v>898</v>
      </c>
      <c r="L182" s="167" t="str">
        <f>Закуп!AA182</f>
        <v>Четырехклапанные</v>
      </c>
      <c r="M182" s="166" t="s">
        <v>899</v>
      </c>
      <c r="N182" s="166">
        <f>IF(Закуп!L182="",0,Закуп!L182)</f>
        <v>0</v>
      </c>
      <c r="O182" s="166" t="s">
        <v>900</v>
      </c>
      <c r="P182" s="144">
        <f>Закуп!N182</f>
        <v>1</v>
      </c>
      <c r="Q182" s="210" t="str">
        <f t="shared" si="2"/>
        <v xml:space="preserve">        [ 'dims' =&gt; [250,190,170], 'prices' =&gt; [1.64,1.49,1.18,1.1,1.04], 'type' =&gt; "Четырехклапанные", 'sale' =&gt; "0" ],</v>
      </c>
    </row>
    <row r="183" spans="1:17" x14ac:dyDescent="0.4">
      <c r="A183" s="166" t="s">
        <v>896</v>
      </c>
      <c r="B183" s="166">
        <f>Закуп!R183</f>
        <v>72</v>
      </c>
      <c r="C183" s="166">
        <f>Закуп!S183</f>
        <v>72</v>
      </c>
      <c r="D183" s="166">
        <f>Закуп!T183</f>
        <v>90</v>
      </c>
      <c r="E183" s="166" t="s">
        <v>897</v>
      </c>
      <c r="F183" s="167" t="str">
        <f>SUBSTITUTE(INDEX(Calc!$K:$K,(ROW(A182)-1)*5+COLUMN(A182)+1),",",".")</f>
        <v>1.06</v>
      </c>
      <c r="G183" s="167" t="str">
        <f>SUBSTITUTE(INDEX(Calc!$K:$K,(ROW(B182)-1)*5+COLUMN(B182)+1),",",".")</f>
        <v>0.94</v>
      </c>
      <c r="H183" s="167" t="str">
        <f>SUBSTITUTE(INDEX(Calc!$K:$K,(ROW(C182)-1)*5+COLUMN(C182)+1),",",".")</f>
        <v>0.82</v>
      </c>
      <c r="I183" s="167" t="str">
        <f>SUBSTITUTE(INDEX(Calc!$K:$K,(ROW(D182)-1)*5+COLUMN(D182)+1),",",".")</f>
        <v>0.71</v>
      </c>
      <c r="J183" s="167" t="str">
        <f>SUBSTITUTE(INDEX(Calc!$K:$K,(ROW(E182)-1)*5+COLUMN(E182)+1),",",".")</f>
        <v>0.59</v>
      </c>
      <c r="K183" s="166" t="s">
        <v>898</v>
      </c>
      <c r="L183" s="167" t="str">
        <f>Закуп!AA183</f>
        <v>Четырехклапанные</v>
      </c>
      <c r="M183" s="166" t="s">
        <v>899</v>
      </c>
      <c r="N183" s="166">
        <f>IF(Закуп!L183="",0,Закуп!L183)</f>
        <v>0</v>
      </c>
      <c r="O183" s="166" t="s">
        <v>900</v>
      </c>
      <c r="P183" s="144">
        <f>Закуп!N183</f>
        <v>1</v>
      </c>
      <c r="Q183" s="210" t="str">
        <f t="shared" si="2"/>
        <v xml:space="preserve">        [ 'dims' =&gt; [72,72,90], 'prices' =&gt; [1.06,0.94,0.82,0.71,0.59], 'type' =&gt; "Четырехклапанные", 'sale' =&gt; "0" ],</v>
      </c>
    </row>
    <row r="184" spans="1:17" x14ac:dyDescent="0.4">
      <c r="A184" s="166" t="s">
        <v>896</v>
      </c>
      <c r="B184" s="166">
        <f>Закуп!R184</f>
        <v>300</v>
      </c>
      <c r="C184" s="166">
        <f>Закуп!S184</f>
        <v>300</v>
      </c>
      <c r="D184" s="166">
        <f>Закуп!T184</f>
        <v>200</v>
      </c>
      <c r="E184" s="166" t="s">
        <v>897</v>
      </c>
      <c r="F184" s="167" t="str">
        <f>SUBSTITUTE(INDEX(Calc!$K:$K,(ROW(A183)-1)*5+COLUMN(A183)+1),",",".")</f>
        <v>3</v>
      </c>
      <c r="G184" s="167" t="str">
        <f>SUBSTITUTE(INDEX(Calc!$K:$K,(ROW(B183)-1)*5+COLUMN(B183)+1),",",".")</f>
        <v>2.78</v>
      </c>
      <c r="H184" s="167" t="str">
        <f>SUBSTITUTE(INDEX(Calc!$K:$K,(ROW(C183)-1)*5+COLUMN(C183)+1),",",".")</f>
        <v>2.57</v>
      </c>
      <c r="I184" s="167" t="str">
        <f>SUBSTITUTE(INDEX(Calc!$K:$K,(ROW(D183)-1)*5+COLUMN(D183)+1),",",".")</f>
        <v>2.14</v>
      </c>
      <c r="J184" s="167" t="str">
        <f>SUBSTITUTE(INDEX(Calc!$K:$K,(ROW(E183)-1)*5+COLUMN(E183)+1),",",".")</f>
        <v>1.93</v>
      </c>
      <c r="K184" s="166" t="s">
        <v>898</v>
      </c>
      <c r="L184" s="167" t="str">
        <f>Закуп!AA184</f>
        <v>Четырехклапанные</v>
      </c>
      <c r="M184" s="166" t="s">
        <v>899</v>
      </c>
      <c r="N184" s="166">
        <f>IF(Закуп!L184="",0,Закуп!L184)</f>
        <v>0</v>
      </c>
      <c r="O184" s="166" t="s">
        <v>900</v>
      </c>
      <c r="P184" s="144">
        <f>Закуп!N184</f>
        <v>1</v>
      </c>
      <c r="Q184" s="210" t="str">
        <f t="shared" si="2"/>
        <v xml:space="preserve">        [ 'dims' =&gt; [300,300,200], 'prices' =&gt; [3,2.78,2.57,2.14,1.93], 'type' =&gt; "Четырехклапанные", 'sale' =&gt; "0" ],</v>
      </c>
    </row>
    <row r="185" spans="1:17" x14ac:dyDescent="0.4">
      <c r="A185" s="166" t="s">
        <v>896</v>
      </c>
      <c r="B185" s="166">
        <f>Закуп!R185</f>
        <v>300</v>
      </c>
      <c r="C185" s="166">
        <f>Закуп!S185</f>
        <v>200</v>
      </c>
      <c r="D185" s="166">
        <f>Закуп!T185</f>
        <v>200</v>
      </c>
      <c r="E185" s="166" t="s">
        <v>897</v>
      </c>
      <c r="F185" s="167" t="str">
        <f>SUBSTITUTE(INDEX(Calc!$K:$K,(ROW(A184)-1)*5+COLUMN(A184)+1),",",".")</f>
        <v>2.14</v>
      </c>
      <c r="G185" s="167" t="str">
        <f>SUBSTITUTE(INDEX(Calc!$K:$K,(ROW(B184)-1)*5+COLUMN(B184)+1),",",".")</f>
        <v>1.93</v>
      </c>
      <c r="H185" s="167" t="str">
        <f>SUBSTITUTE(INDEX(Calc!$K:$K,(ROW(C184)-1)*5+COLUMN(C184)+1),",",".")</f>
        <v>1.71</v>
      </c>
      <c r="I185" s="167" t="str">
        <f>SUBSTITUTE(INDEX(Calc!$K:$K,(ROW(D184)-1)*5+COLUMN(D184)+1),",",".")</f>
        <v>1.61</v>
      </c>
      <c r="J185" s="167" t="str">
        <f>SUBSTITUTE(INDEX(Calc!$K:$K,(ROW(E184)-1)*5+COLUMN(E184)+1),",",".")</f>
        <v>1.5</v>
      </c>
      <c r="K185" s="166" t="s">
        <v>898</v>
      </c>
      <c r="L185" s="167" t="str">
        <f>Закуп!AA185</f>
        <v>Четырехклапанные</v>
      </c>
      <c r="M185" s="166" t="s">
        <v>899</v>
      </c>
      <c r="N185" s="166">
        <f>IF(Закуп!L185="",0,Закуп!L185)</f>
        <v>0</v>
      </c>
      <c r="O185" s="166" t="s">
        <v>900</v>
      </c>
      <c r="P185" s="144">
        <f>Закуп!N185</f>
        <v>1</v>
      </c>
      <c r="Q185" s="210" t="str">
        <f t="shared" si="2"/>
        <v xml:space="preserve">        [ 'dims' =&gt; [300,200,200], 'prices' =&gt; [2.14,1.93,1.71,1.61,1.5], 'type' =&gt; "Четырехклапанные", 'sale' =&gt; "0" ],</v>
      </c>
    </row>
    <row r="186" spans="1:17" x14ac:dyDescent="0.4">
      <c r="A186" s="166" t="s">
        <v>896</v>
      </c>
      <c r="B186" s="166">
        <f>Закуп!R186</f>
        <v>400</v>
      </c>
      <c r="C186" s="166">
        <f>Закуп!S186</f>
        <v>200</v>
      </c>
      <c r="D186" s="166">
        <f>Закуп!T186</f>
        <v>200</v>
      </c>
      <c r="E186" s="166" t="s">
        <v>897</v>
      </c>
      <c r="F186" s="167" t="str">
        <f>SUBSTITUTE(INDEX(Calc!$K:$K,(ROW(A185)-1)*5+COLUMN(A185)+1),",",".")</f>
        <v>2.46</v>
      </c>
      <c r="G186" s="167" t="str">
        <f>SUBSTITUTE(INDEX(Calc!$K:$K,(ROW(B185)-1)*5+COLUMN(B185)+1),",",".")</f>
        <v>2.14</v>
      </c>
      <c r="H186" s="167" t="str">
        <f>SUBSTITUTE(INDEX(Calc!$K:$K,(ROW(C185)-1)*5+COLUMN(C185)+1),",",".")</f>
        <v>1.93</v>
      </c>
      <c r="I186" s="167" t="str">
        <f>SUBSTITUTE(INDEX(Calc!$K:$K,(ROW(D185)-1)*5+COLUMN(D185)+1),",",".")</f>
        <v>1.71</v>
      </c>
      <c r="J186" s="167" t="str">
        <f>SUBSTITUTE(INDEX(Calc!$K:$K,(ROW(E185)-1)*5+COLUMN(E185)+1),",",".")</f>
        <v>1.61</v>
      </c>
      <c r="K186" s="166" t="s">
        <v>898</v>
      </c>
      <c r="L186" s="167" t="str">
        <f>Закуп!AA186</f>
        <v>Четырехклапанные</v>
      </c>
      <c r="M186" s="166" t="s">
        <v>899</v>
      </c>
      <c r="N186" s="166">
        <f>IF(Закуп!L186="",0,Закуп!L186)</f>
        <v>0</v>
      </c>
      <c r="O186" s="166" t="s">
        <v>900</v>
      </c>
      <c r="P186" s="144">
        <f>Закуп!N186</f>
        <v>1</v>
      </c>
      <c r="Q186" s="210" t="str">
        <f t="shared" si="2"/>
        <v xml:space="preserve">        [ 'dims' =&gt; [400,200,200], 'prices' =&gt; [2.46,2.14,1.93,1.71,1.61], 'type' =&gt; "Четырехклапанные", 'sale' =&gt; "0" ],</v>
      </c>
    </row>
    <row r="187" spans="1:17" x14ac:dyDescent="0.4">
      <c r="A187" s="166" t="s">
        <v>896</v>
      </c>
      <c r="B187" s="166">
        <f>Закуп!R187</f>
        <v>200</v>
      </c>
      <c r="C187" s="166">
        <f>Закуп!S187</f>
        <v>200</v>
      </c>
      <c r="D187" s="166">
        <f>Закуп!T187</f>
        <v>200</v>
      </c>
      <c r="E187" s="166" t="s">
        <v>897</v>
      </c>
      <c r="F187" s="167" t="str">
        <f>SUBSTITUTE(INDEX(Calc!$K:$K,(ROW(A186)-1)*5+COLUMN(A186)+1),",",".")</f>
        <v>2.14</v>
      </c>
      <c r="G187" s="167" t="str">
        <f>SUBSTITUTE(INDEX(Calc!$K:$K,(ROW(B186)-1)*5+COLUMN(B186)+1),",",".")</f>
        <v>1.87</v>
      </c>
      <c r="H187" s="167" t="str">
        <f>SUBSTITUTE(INDEX(Calc!$K:$K,(ROW(C186)-1)*5+COLUMN(C186)+1),",",".")</f>
        <v>1.61</v>
      </c>
      <c r="I187" s="167" t="str">
        <f>SUBSTITUTE(INDEX(Calc!$K:$K,(ROW(D186)-1)*5+COLUMN(D186)+1),",",".")</f>
        <v>1.39</v>
      </c>
      <c r="J187" s="167" t="str">
        <f>SUBSTITUTE(INDEX(Calc!$K:$K,(ROW(E186)-1)*5+COLUMN(E186)+1),",",".")</f>
        <v>1.28</v>
      </c>
      <c r="K187" s="166" t="s">
        <v>898</v>
      </c>
      <c r="L187" s="167" t="str">
        <f>Закуп!AA187</f>
        <v>Четырехклапанные</v>
      </c>
      <c r="M187" s="166" t="s">
        <v>899</v>
      </c>
      <c r="N187" s="166">
        <f>IF(Закуп!L187="",0,Закуп!L187)</f>
        <v>0</v>
      </c>
      <c r="O187" s="166" t="s">
        <v>900</v>
      </c>
      <c r="P187" s="144">
        <f>Закуп!N187</f>
        <v>1</v>
      </c>
      <c r="Q187" s="210" t="str">
        <f t="shared" si="2"/>
        <v xml:space="preserve">        [ 'dims' =&gt; [200,200,200], 'prices' =&gt; [2.14,1.87,1.61,1.39,1.28], 'type' =&gt; "Четырехклапанные", 'sale' =&gt; "0" ],</v>
      </c>
    </row>
    <row r="188" spans="1:17" x14ac:dyDescent="0.4">
      <c r="A188" s="166" t="s">
        <v>896</v>
      </c>
      <c r="B188" s="166">
        <f>Закуп!R188</f>
        <v>500</v>
      </c>
      <c r="C188" s="166">
        <f>Закуп!S188</f>
        <v>300</v>
      </c>
      <c r="D188" s="166">
        <f>Закуп!T188</f>
        <v>300</v>
      </c>
      <c r="E188" s="166" t="s">
        <v>897</v>
      </c>
      <c r="F188" s="167" t="str">
        <f>SUBSTITUTE(INDEX(Calc!$K:$K,(ROW(A187)-1)*5+COLUMN(A187)+1),",",".")</f>
        <v>4.39</v>
      </c>
      <c r="G188" s="167" t="str">
        <f>SUBSTITUTE(INDEX(Calc!$K:$K,(ROW(B187)-1)*5+COLUMN(B187)+1),",",".")</f>
        <v>3.47</v>
      </c>
      <c r="H188" s="167" t="str">
        <f>SUBSTITUTE(INDEX(Calc!$K:$K,(ROW(C187)-1)*5+COLUMN(C187)+1),",",".")</f>
        <v>2.86</v>
      </c>
      <c r="I188" s="167" t="str">
        <f>SUBSTITUTE(INDEX(Calc!$K:$K,(ROW(D187)-1)*5+COLUMN(D187)+1),",",".")</f>
        <v>2.77</v>
      </c>
      <c r="J188" s="167" t="str">
        <f>SUBSTITUTE(INDEX(Calc!$K:$K,(ROW(E187)-1)*5+COLUMN(E187)+1),",",".")</f>
        <v>2.68</v>
      </c>
      <c r="K188" s="166" t="s">
        <v>898</v>
      </c>
      <c r="L188" s="167" t="str">
        <f>Закуп!AA188</f>
        <v>Четырехклапанные</v>
      </c>
      <c r="M188" s="166" t="s">
        <v>899</v>
      </c>
      <c r="N188" s="166">
        <f>IF(Закуп!L188="",0,Закуп!L188)</f>
        <v>0</v>
      </c>
      <c r="O188" s="166" t="s">
        <v>900</v>
      </c>
      <c r="P188" s="144">
        <f>Закуп!N188</f>
        <v>1</v>
      </c>
      <c r="Q188" s="210" t="str">
        <f t="shared" si="2"/>
        <v xml:space="preserve">        [ 'dims' =&gt; [500,300,300], 'prices' =&gt; [4.39,3.47,2.86,2.77,2.68], 'type' =&gt; "Четырехклапанные", 'sale' =&gt; "0" ],</v>
      </c>
    </row>
    <row r="189" spans="1:17" x14ac:dyDescent="0.4">
      <c r="A189" s="166" t="s">
        <v>896</v>
      </c>
      <c r="B189" s="166">
        <f>Закуп!R189</f>
        <v>400</v>
      </c>
      <c r="C189" s="166">
        <f>Закуп!S189</f>
        <v>300</v>
      </c>
      <c r="D189" s="166">
        <f>Закуп!T189</f>
        <v>200</v>
      </c>
      <c r="E189" s="166" t="s">
        <v>897</v>
      </c>
      <c r="F189" s="167" t="str">
        <f>SUBSTITUTE(INDEX(Calc!$K:$K,(ROW(A188)-1)*5+COLUMN(A188)+1),",",".")</f>
        <v>3.23</v>
      </c>
      <c r="G189" s="167" t="str">
        <f>SUBSTITUTE(INDEX(Calc!$K:$K,(ROW(B188)-1)*5+COLUMN(B188)+1),",",".")</f>
        <v>2.59</v>
      </c>
      <c r="H189" s="167" t="str">
        <f>SUBSTITUTE(INDEX(Calc!$K:$K,(ROW(C188)-1)*5+COLUMN(C188)+1),",",".")</f>
        <v>2.33</v>
      </c>
      <c r="I189" s="167" t="str">
        <f>SUBSTITUTE(INDEX(Calc!$K:$K,(ROW(D188)-1)*5+COLUMN(D188)+1),",",".")</f>
        <v>2.11</v>
      </c>
      <c r="J189" s="167" t="str">
        <f>SUBSTITUTE(INDEX(Calc!$K:$K,(ROW(E188)-1)*5+COLUMN(E188)+1),",",".")</f>
        <v>2</v>
      </c>
      <c r="K189" s="166" t="s">
        <v>898</v>
      </c>
      <c r="L189" s="167" t="str">
        <f>Закуп!AA189</f>
        <v>Четырехклапанные</v>
      </c>
      <c r="M189" s="166" t="s">
        <v>899</v>
      </c>
      <c r="N189" s="166">
        <f>IF(Закуп!L189="",0,Закуп!L189)</f>
        <v>0</v>
      </c>
      <c r="O189" s="166" t="s">
        <v>900</v>
      </c>
      <c r="P189" s="144">
        <f>Закуп!N189</f>
        <v>1</v>
      </c>
      <c r="Q189" s="210" t="str">
        <f t="shared" si="2"/>
        <v xml:space="preserve">        [ 'dims' =&gt; [400,300,200], 'prices' =&gt; [3.23,2.59,2.33,2.11,2], 'type' =&gt; "Четырехклапанные", 'sale' =&gt; "0" ],</v>
      </c>
    </row>
    <row r="190" spans="1:17" x14ac:dyDescent="0.4">
      <c r="A190" s="166" t="s">
        <v>896</v>
      </c>
      <c r="B190" s="166">
        <f>Закуп!R190</f>
        <v>125</v>
      </c>
      <c r="C190" s="166">
        <f>Закуп!S190</f>
        <v>125</v>
      </c>
      <c r="D190" s="166">
        <f>Закуп!T190</f>
        <v>200</v>
      </c>
      <c r="E190" s="166" t="s">
        <v>897</v>
      </c>
      <c r="F190" s="167" t="str">
        <f>SUBSTITUTE(INDEX(Calc!$K:$K,(ROW(A189)-1)*5+COLUMN(A189)+1),",",".")</f>
        <v>0.95</v>
      </c>
      <c r="G190" s="167" t="str">
        <f>SUBSTITUTE(INDEX(Calc!$K:$K,(ROW(B189)-1)*5+COLUMN(B189)+1),",",".")</f>
        <v>0.79</v>
      </c>
      <c r="H190" s="167" t="str">
        <f>SUBSTITUTE(INDEX(Calc!$K:$K,(ROW(C189)-1)*5+COLUMN(C189)+1),",",".")</f>
        <v>0.73</v>
      </c>
      <c r="I190" s="167" t="str">
        <f>SUBSTITUTE(INDEX(Calc!$K:$K,(ROW(D189)-1)*5+COLUMN(D189)+1),",",".")</f>
        <v>0.66</v>
      </c>
      <c r="J190" s="167" t="str">
        <f>SUBSTITUTE(INDEX(Calc!$K:$K,(ROW(E189)-1)*5+COLUMN(E189)+1),",",".")</f>
        <v>0.62</v>
      </c>
      <c r="K190" s="166" t="s">
        <v>898</v>
      </c>
      <c r="L190" s="167" t="str">
        <f>Закуп!AA190</f>
        <v>Четырехклапанные</v>
      </c>
      <c r="M190" s="166" t="s">
        <v>899</v>
      </c>
      <c r="N190" s="166">
        <f>IF(Закуп!L190="",0,Закуп!L190)</f>
        <v>0</v>
      </c>
      <c r="O190" s="166" t="s">
        <v>900</v>
      </c>
      <c r="P190" s="144">
        <f>Закуп!N190</f>
        <v>1</v>
      </c>
      <c r="Q190" s="210" t="str">
        <f t="shared" si="2"/>
        <v xml:space="preserve">        [ 'dims' =&gt; [125,125,200], 'prices' =&gt; [0.95,0.79,0.73,0.66,0.62], 'type' =&gt; "Четырехклапанные", 'sale' =&gt; "0" ],</v>
      </c>
    </row>
    <row r="191" spans="1:17" x14ac:dyDescent="0.4">
      <c r="A191" s="166" t="s">
        <v>896</v>
      </c>
      <c r="B191" s="166">
        <f>Закуп!R191</f>
        <v>150</v>
      </c>
      <c r="C191" s="166">
        <f>Закуп!S191</f>
        <v>150</v>
      </c>
      <c r="D191" s="166">
        <f>Закуп!T191</f>
        <v>200</v>
      </c>
      <c r="E191" s="166" t="s">
        <v>897</v>
      </c>
      <c r="F191" s="167" t="str">
        <f>SUBSTITUTE(INDEX(Calc!$K:$K,(ROW(A190)-1)*5+COLUMN(A190)+1),",",".")</f>
        <v>1.19</v>
      </c>
      <c r="G191" s="167" t="str">
        <f>SUBSTITUTE(INDEX(Calc!$K:$K,(ROW(B190)-1)*5+COLUMN(B190)+1),",",".")</f>
        <v>1.01</v>
      </c>
      <c r="H191" s="167" t="str">
        <f>SUBSTITUTE(INDEX(Calc!$K:$K,(ROW(C190)-1)*5+COLUMN(C190)+1),",",".")</f>
        <v>0.92</v>
      </c>
      <c r="I191" s="167" t="str">
        <f>SUBSTITUTE(INDEX(Calc!$K:$K,(ROW(D190)-1)*5+COLUMN(D190)+1),",",".")</f>
        <v>0.83</v>
      </c>
      <c r="J191" s="167" t="str">
        <f>SUBSTITUTE(INDEX(Calc!$K:$K,(ROW(E190)-1)*5+COLUMN(E190)+1),",",".")</f>
        <v>0.78</v>
      </c>
      <c r="K191" s="166" t="s">
        <v>898</v>
      </c>
      <c r="L191" s="167" t="str">
        <f>Закуп!AA191</f>
        <v>Четырехклапанные</v>
      </c>
      <c r="M191" s="166" t="s">
        <v>899</v>
      </c>
      <c r="N191" s="166">
        <f>IF(Закуп!L191="",0,Закуп!L191)</f>
        <v>0</v>
      </c>
      <c r="O191" s="166" t="s">
        <v>900</v>
      </c>
      <c r="P191" s="144">
        <f>Закуп!N191</f>
        <v>1</v>
      </c>
      <c r="Q191" s="210" t="str">
        <f t="shared" si="2"/>
        <v xml:space="preserve">        [ 'dims' =&gt; [150,150,200], 'prices' =&gt; [1.19,1.01,0.92,0.83,0.78], 'type' =&gt; "Четырехклапанные", 'sale' =&gt; "0" ],</v>
      </c>
    </row>
    <row r="192" spans="1:17" x14ac:dyDescent="0.4">
      <c r="A192" s="166" t="s">
        <v>896</v>
      </c>
      <c r="B192" s="166">
        <f>Закуп!R192</f>
        <v>190</v>
      </c>
      <c r="C192" s="166">
        <f>Закуп!S192</f>
        <v>110</v>
      </c>
      <c r="D192" s="166">
        <f>Закуп!T192</f>
        <v>70</v>
      </c>
      <c r="E192" s="166" t="s">
        <v>897</v>
      </c>
      <c r="F192" s="167" t="str">
        <f>SUBSTITUTE(INDEX(Calc!$K:$K,(ROW(A191)-1)*5+COLUMN(A191)+1),",",".")</f>
        <v>1.07</v>
      </c>
      <c r="G192" s="167" t="str">
        <f>SUBSTITUTE(INDEX(Calc!$K:$K,(ROW(B191)-1)*5+COLUMN(B191)+1),",",".")</f>
        <v>0.96</v>
      </c>
      <c r="H192" s="167" t="str">
        <f>SUBSTITUTE(INDEX(Calc!$K:$K,(ROW(C191)-1)*5+COLUMN(C191)+1),",",".")</f>
        <v>0.86</v>
      </c>
      <c r="I192" s="167" t="str">
        <f>SUBSTITUTE(INDEX(Calc!$K:$K,(ROW(D191)-1)*5+COLUMN(D191)+1),",",".")</f>
        <v>0.75</v>
      </c>
      <c r="J192" s="167" t="str">
        <f>SUBSTITUTE(INDEX(Calc!$K:$K,(ROW(E191)-1)*5+COLUMN(E191)+1),",",".")</f>
        <v>0.64</v>
      </c>
      <c r="K192" s="166" t="s">
        <v>898</v>
      </c>
      <c r="L192" s="167" t="str">
        <f>Закуп!AA192</f>
        <v>Четырехклапанные</v>
      </c>
      <c r="M192" s="166" t="s">
        <v>899</v>
      </c>
      <c r="N192" s="166">
        <f>IF(Закуп!L192="",0,Закуп!L192)</f>
        <v>0</v>
      </c>
      <c r="O192" s="166" t="s">
        <v>900</v>
      </c>
      <c r="P192" s="144">
        <f>Закуп!N192</f>
        <v>1</v>
      </c>
      <c r="Q192" s="210" t="str">
        <f t="shared" si="2"/>
        <v xml:space="preserve">        [ 'dims' =&gt; [190,110,70], 'prices' =&gt; [1.07,0.96,0.86,0.75,0.64], 'type' =&gt; "Четырехклапанные", 'sale' =&gt; "0" ],</v>
      </c>
    </row>
    <row r="193" spans="1:17" x14ac:dyDescent="0.4">
      <c r="A193" s="166" t="s">
        <v>896</v>
      </c>
      <c r="B193" s="166">
        <f>Закуп!R193</f>
        <v>110</v>
      </c>
      <c r="C193" s="166">
        <f>Закуп!S193</f>
        <v>50</v>
      </c>
      <c r="D193" s="166">
        <f>Закуп!T193</f>
        <v>130</v>
      </c>
      <c r="E193" s="166" t="s">
        <v>897</v>
      </c>
      <c r="F193" s="167" t="str">
        <f>SUBSTITUTE(INDEX(Calc!$K:$K,(ROW(A192)-1)*5+COLUMN(A192)+1),",",".")</f>
        <v>0.43</v>
      </c>
      <c r="G193" s="167" t="str">
        <f>SUBSTITUTE(INDEX(Calc!$K:$K,(ROW(B192)-1)*5+COLUMN(B192)+1),",",".")</f>
        <v>0.43</v>
      </c>
      <c r="H193" s="167" t="str">
        <f>SUBSTITUTE(INDEX(Calc!$K:$K,(ROW(C192)-1)*5+COLUMN(C192)+1),",",".")</f>
        <v>0.43</v>
      </c>
      <c r="I193" s="167" t="str">
        <f>SUBSTITUTE(INDEX(Calc!$K:$K,(ROW(D192)-1)*5+COLUMN(D192)+1),",",".")</f>
        <v>0.43</v>
      </c>
      <c r="J193" s="167" t="str">
        <f>SUBSTITUTE(INDEX(Calc!$K:$K,(ROW(E192)-1)*5+COLUMN(E192)+1),",",".")</f>
        <v>0.43</v>
      </c>
      <c r="K193" s="166" t="s">
        <v>898</v>
      </c>
      <c r="L193" s="167" t="str">
        <f>Закуп!AA193</f>
        <v>Самосборные</v>
      </c>
      <c r="M193" s="166" t="s">
        <v>899</v>
      </c>
      <c r="N193" s="166" t="str">
        <f>IF(Закуп!L193="",0,Закуп!L193)</f>
        <v>Sale</v>
      </c>
      <c r="O193" s="166" t="s">
        <v>900</v>
      </c>
      <c r="P193" s="144">
        <f>Закуп!N193</f>
        <v>1</v>
      </c>
      <c r="Q193" s="210" t="str">
        <f t="shared" si="2"/>
        <v xml:space="preserve">        [ 'dims' =&gt; [110,50,130], 'prices' =&gt; [0.43,0.43,0.43,0.43,0.43], 'type' =&gt; "Самосборные", 'sale' =&gt; "Sale" ],</v>
      </c>
    </row>
    <row r="194" spans="1:17" x14ac:dyDescent="0.4">
      <c r="A194" s="166" t="s">
        <v>896</v>
      </c>
      <c r="B194" s="166">
        <f>Закуп!R194</f>
        <v>150</v>
      </c>
      <c r="C194" s="166">
        <f>Закуп!S194</f>
        <v>150</v>
      </c>
      <c r="D194" s="166">
        <f>Закуп!T194</f>
        <v>150</v>
      </c>
      <c r="E194" s="166" t="s">
        <v>897</v>
      </c>
      <c r="F194" s="167" t="str">
        <f>SUBSTITUTE(INDEX(Calc!$K:$K,(ROW(A193)-1)*5+COLUMN(A193)+1),",",".")</f>
        <v>1.39</v>
      </c>
      <c r="G194" s="167" t="str">
        <f>SUBSTITUTE(INDEX(Calc!$K:$K,(ROW(B193)-1)*5+COLUMN(B193)+1),",",".")</f>
        <v>1.28</v>
      </c>
      <c r="H194" s="167" t="str">
        <f>SUBSTITUTE(INDEX(Calc!$K:$K,(ROW(C193)-1)*5+COLUMN(C193)+1),",",".")</f>
        <v>1.18</v>
      </c>
      <c r="I194" s="167" t="str">
        <f>SUBSTITUTE(INDEX(Calc!$K:$K,(ROW(D193)-1)*5+COLUMN(D193)+1),",",".")</f>
        <v>1.07</v>
      </c>
      <c r="J194" s="167" t="str">
        <f>SUBSTITUTE(INDEX(Calc!$K:$K,(ROW(E193)-1)*5+COLUMN(E193)+1),",",".")</f>
        <v>0.96</v>
      </c>
      <c r="K194" s="166" t="s">
        <v>898</v>
      </c>
      <c r="L194" s="167" t="str">
        <f>Закуп!AA194</f>
        <v>Четырехклапанные</v>
      </c>
      <c r="M194" s="166" t="s">
        <v>899</v>
      </c>
      <c r="N194" s="166">
        <f>IF(Закуп!L194="",0,Закуп!L194)</f>
        <v>0</v>
      </c>
      <c r="O194" s="166" t="s">
        <v>900</v>
      </c>
      <c r="P194" s="144">
        <f>Закуп!N194</f>
        <v>1</v>
      </c>
      <c r="Q194" s="210" t="str">
        <f t="shared" ref="Q194:Q257" si="3">CONCATENATE(A194,B194,",",C194,",",D194,E194,F194,",",G194,",",H194,",",I194,",",J194,K194,L194,M194,N194,O194,)</f>
        <v xml:space="preserve">        [ 'dims' =&gt; [150,150,150], 'prices' =&gt; [1.39,1.28,1.18,1.07,0.96], 'type' =&gt; "Четырехклапанные", 'sale' =&gt; "0" ],</v>
      </c>
    </row>
    <row r="195" spans="1:17" x14ac:dyDescent="0.4">
      <c r="A195" s="166" t="s">
        <v>896</v>
      </c>
      <c r="B195" s="166">
        <f>Закуп!R195</f>
        <v>1135</v>
      </c>
      <c r="C195" s="166">
        <f>Закуп!S195</f>
        <v>100</v>
      </c>
      <c r="D195" s="166">
        <f>Закуп!T195</f>
        <v>50</v>
      </c>
      <c r="E195" s="166" t="s">
        <v>897</v>
      </c>
      <c r="F195" s="167" t="str">
        <f>SUBSTITUTE(INDEX(Calc!$K:$K,(ROW(A194)-1)*5+COLUMN(A194)+1),",",".")</f>
        <v>2.27</v>
      </c>
      <c r="G195" s="167" t="str">
        <f>SUBSTITUTE(INDEX(Calc!$K:$K,(ROW(B194)-1)*5+COLUMN(B194)+1),",",".")</f>
        <v>2.11</v>
      </c>
      <c r="H195" s="167" t="str">
        <f>SUBSTITUTE(INDEX(Calc!$K:$K,(ROW(C194)-1)*5+COLUMN(C194)+1),",",".")</f>
        <v>1.95</v>
      </c>
      <c r="I195" s="167" t="str">
        <f>SUBSTITUTE(INDEX(Calc!$K:$K,(ROW(D194)-1)*5+COLUMN(D194)+1),",",".")</f>
        <v>1.84</v>
      </c>
      <c r="J195" s="167" t="str">
        <f>SUBSTITUTE(INDEX(Calc!$K:$K,(ROW(E194)-1)*5+COLUMN(E194)+1),",",".")</f>
        <v>1.73</v>
      </c>
      <c r="K195" s="166" t="s">
        <v>898</v>
      </c>
      <c r="L195" s="167" t="str">
        <f>Закуп!AA195</f>
        <v>Четырехклапанные</v>
      </c>
      <c r="M195" s="166" t="s">
        <v>899</v>
      </c>
      <c r="N195" s="166">
        <f>IF(Закуп!L195="",0,Закуп!L195)</f>
        <v>0</v>
      </c>
      <c r="O195" s="166" t="s">
        <v>900</v>
      </c>
      <c r="P195" s="144">
        <f>Закуп!N195</f>
        <v>1</v>
      </c>
      <c r="Q195" s="210" t="str">
        <f t="shared" si="3"/>
        <v xml:space="preserve">        [ 'dims' =&gt; [1135,100,50], 'prices' =&gt; [2.27,2.11,1.95,1.84,1.73], 'type' =&gt; "Четырехклапанные", 'sale' =&gt; "0" ],</v>
      </c>
    </row>
    <row r="196" spans="1:17" x14ac:dyDescent="0.4">
      <c r="A196" s="166" t="s">
        <v>896</v>
      </c>
      <c r="B196" s="166">
        <f>Закуп!R196</f>
        <v>125</v>
      </c>
      <c r="C196" s="166">
        <f>Закуп!S196</f>
        <v>110</v>
      </c>
      <c r="D196" s="166">
        <f>Закуп!T196</f>
        <v>60</v>
      </c>
      <c r="E196" s="166" t="s">
        <v>897</v>
      </c>
      <c r="F196" s="167" t="str">
        <f>SUBSTITUTE(INDEX(Calc!$K:$K,(ROW(A195)-1)*5+COLUMN(A195)+1),",",".")</f>
        <v>0.96</v>
      </c>
      <c r="G196" s="167" t="str">
        <f>SUBSTITUTE(INDEX(Calc!$K:$K,(ROW(B195)-1)*5+COLUMN(B195)+1),",",".")</f>
        <v>0.86</v>
      </c>
      <c r="H196" s="167" t="str">
        <f>SUBSTITUTE(INDEX(Calc!$K:$K,(ROW(C195)-1)*5+COLUMN(C195)+1),",",".")</f>
        <v>0.75</v>
      </c>
      <c r="I196" s="167" t="str">
        <f>SUBSTITUTE(INDEX(Calc!$K:$K,(ROW(D195)-1)*5+COLUMN(D195)+1),",",".")</f>
        <v>0.64</v>
      </c>
      <c r="J196" s="167" t="str">
        <f>SUBSTITUTE(INDEX(Calc!$K:$K,(ROW(E195)-1)*5+COLUMN(E195)+1),",",".")</f>
        <v>0.54</v>
      </c>
      <c r="K196" s="166" t="s">
        <v>898</v>
      </c>
      <c r="L196" s="167" t="str">
        <f>Закуп!AA196</f>
        <v>Самосборные</v>
      </c>
      <c r="M196" s="166" t="s">
        <v>899</v>
      </c>
      <c r="N196" s="166">
        <f>IF(Закуп!L196="",0,Закуп!L196)</f>
        <v>0</v>
      </c>
      <c r="O196" s="166" t="s">
        <v>900</v>
      </c>
      <c r="P196" s="144">
        <f>Закуп!N196</f>
        <v>1</v>
      </c>
      <c r="Q196" s="210" t="str">
        <f t="shared" si="3"/>
        <v xml:space="preserve">        [ 'dims' =&gt; [125,110,60], 'prices' =&gt; [0.96,0.86,0.75,0.64,0.54], 'type' =&gt; "Самосборные", 'sale' =&gt; "0" ],</v>
      </c>
    </row>
    <row r="197" spans="1:17" x14ac:dyDescent="0.4">
      <c r="A197" s="166" t="s">
        <v>896</v>
      </c>
      <c r="B197" s="166">
        <f>Закуп!R197</f>
        <v>120</v>
      </c>
      <c r="C197" s="166">
        <f>Закуп!S197</f>
        <v>80</v>
      </c>
      <c r="D197" s="166">
        <f>Закуп!T197</f>
        <v>30</v>
      </c>
      <c r="E197" s="166" t="s">
        <v>897</v>
      </c>
      <c r="F197" s="167" t="str">
        <f>SUBSTITUTE(INDEX(Calc!$K:$K,(ROW(A196)-1)*5+COLUMN(A196)+1),",",".")</f>
        <v>0.96</v>
      </c>
      <c r="G197" s="167" t="str">
        <f>SUBSTITUTE(INDEX(Calc!$K:$K,(ROW(B196)-1)*5+COLUMN(B196)+1),",",".")</f>
        <v>0.86</v>
      </c>
      <c r="H197" s="167" t="str">
        <f>SUBSTITUTE(INDEX(Calc!$K:$K,(ROW(C196)-1)*5+COLUMN(C196)+1),",",".")</f>
        <v>0.75</v>
      </c>
      <c r="I197" s="167" t="str">
        <f>SUBSTITUTE(INDEX(Calc!$K:$K,(ROW(D196)-1)*5+COLUMN(D196)+1),",",".")</f>
        <v>0.64</v>
      </c>
      <c r="J197" s="167" t="str">
        <f>SUBSTITUTE(INDEX(Calc!$K:$K,(ROW(E196)-1)*5+COLUMN(E196)+1),",",".")</f>
        <v>0.54</v>
      </c>
      <c r="K197" s="166" t="s">
        <v>898</v>
      </c>
      <c r="L197" s="167" t="str">
        <f>Закуп!AA197</f>
        <v>Самосборные</v>
      </c>
      <c r="M197" s="166" t="s">
        <v>899</v>
      </c>
      <c r="N197" s="166">
        <f>IF(Закуп!L197="",0,Закуп!L197)</f>
        <v>0</v>
      </c>
      <c r="O197" s="166" t="s">
        <v>900</v>
      </c>
      <c r="P197" s="144">
        <f>Закуп!N197</f>
        <v>1</v>
      </c>
      <c r="Q197" s="210" t="str">
        <f t="shared" si="3"/>
        <v xml:space="preserve">        [ 'dims' =&gt; [120,80,30], 'prices' =&gt; [0.96,0.86,0.75,0.64,0.54], 'type' =&gt; "Самосборные", 'sale' =&gt; "0" ],</v>
      </c>
    </row>
    <row r="198" spans="1:17" x14ac:dyDescent="0.4">
      <c r="A198" s="166" t="s">
        <v>896</v>
      </c>
      <c r="B198" s="166">
        <f>Закуп!R198</f>
        <v>130</v>
      </c>
      <c r="C198" s="166">
        <f>Закуп!S198</f>
        <v>70</v>
      </c>
      <c r="D198" s="166">
        <f>Закуп!T198</f>
        <v>40</v>
      </c>
      <c r="E198" s="166" t="s">
        <v>897</v>
      </c>
      <c r="F198" s="167" t="str">
        <f>SUBSTITUTE(INDEX(Calc!$K:$K,(ROW(A197)-1)*5+COLUMN(A197)+1),",",".")</f>
        <v>0.96</v>
      </c>
      <c r="G198" s="167" t="str">
        <f>SUBSTITUTE(INDEX(Calc!$K:$K,(ROW(B197)-1)*5+COLUMN(B197)+1),",",".")</f>
        <v>0.86</v>
      </c>
      <c r="H198" s="167" t="str">
        <f>SUBSTITUTE(INDEX(Calc!$K:$K,(ROW(C197)-1)*5+COLUMN(C197)+1),",",".")</f>
        <v>0.75</v>
      </c>
      <c r="I198" s="167" t="str">
        <f>SUBSTITUTE(INDEX(Calc!$K:$K,(ROW(D197)-1)*5+COLUMN(D197)+1),",",".")</f>
        <v>0.64</v>
      </c>
      <c r="J198" s="167" t="str">
        <f>SUBSTITUTE(INDEX(Calc!$K:$K,(ROW(E197)-1)*5+COLUMN(E197)+1),",",".")</f>
        <v>0.54</v>
      </c>
      <c r="K198" s="166" t="s">
        <v>898</v>
      </c>
      <c r="L198" s="167" t="str">
        <f>Закуп!AA198</f>
        <v>Четырехклапанные</v>
      </c>
      <c r="M198" s="166" t="s">
        <v>899</v>
      </c>
      <c r="N198" s="166">
        <f>IF(Закуп!L198="",0,Закуп!L198)</f>
        <v>0</v>
      </c>
      <c r="O198" s="166" t="s">
        <v>900</v>
      </c>
      <c r="P198" s="144">
        <f>Закуп!N198</f>
        <v>1</v>
      </c>
      <c r="Q198" s="210" t="str">
        <f t="shared" si="3"/>
        <v xml:space="preserve">        [ 'dims' =&gt; [130,70,40], 'prices' =&gt; [0.96,0.86,0.75,0.64,0.54], 'type' =&gt; "Четырехклапанные", 'sale' =&gt; "0" ],</v>
      </c>
    </row>
    <row r="199" spans="1:17" x14ac:dyDescent="0.4">
      <c r="A199" s="166" t="s">
        <v>896</v>
      </c>
      <c r="B199" s="166">
        <f>Закуп!R199</f>
        <v>240</v>
      </c>
      <c r="C199" s="166">
        <f>Закуп!S199</f>
        <v>240</v>
      </c>
      <c r="D199" s="166">
        <f>Закуп!T199</f>
        <v>80</v>
      </c>
      <c r="E199" s="166" t="s">
        <v>897</v>
      </c>
      <c r="F199" s="167" t="str">
        <f>SUBSTITUTE(INDEX(Calc!$K:$K,(ROW(A198)-1)*5+COLUMN(A198)+1),",",".")</f>
        <v>1.58</v>
      </c>
      <c r="G199" s="167" t="str">
        <f>SUBSTITUTE(INDEX(Calc!$K:$K,(ROW(B198)-1)*5+COLUMN(B198)+1),",",".")</f>
        <v>1.43</v>
      </c>
      <c r="H199" s="167" t="str">
        <f>SUBSTITUTE(INDEX(Calc!$K:$K,(ROW(C198)-1)*5+COLUMN(C198)+1),",",".")</f>
        <v>1.13</v>
      </c>
      <c r="I199" s="167" t="str">
        <f>SUBSTITUTE(INDEX(Calc!$K:$K,(ROW(D198)-1)*5+COLUMN(D198)+1),",",".")</f>
        <v>1.06</v>
      </c>
      <c r="J199" s="167" t="str">
        <f>SUBSTITUTE(INDEX(Calc!$K:$K,(ROW(E198)-1)*5+COLUMN(E198)+1),",",".")</f>
        <v>1.01</v>
      </c>
      <c r="K199" s="166" t="s">
        <v>898</v>
      </c>
      <c r="L199" s="167" t="str">
        <f>Закуп!AA199</f>
        <v>Четырехклапанные</v>
      </c>
      <c r="M199" s="166" t="s">
        <v>899</v>
      </c>
      <c r="N199" s="166">
        <f>IF(Закуп!L199="",0,Закуп!L199)</f>
        <v>0</v>
      </c>
      <c r="O199" s="166" t="s">
        <v>900</v>
      </c>
      <c r="P199" s="144">
        <f>Закуп!N199</f>
        <v>1</v>
      </c>
      <c r="Q199" s="210" t="str">
        <f t="shared" si="3"/>
        <v xml:space="preserve">        [ 'dims' =&gt; [240,240,80], 'prices' =&gt; [1.58,1.43,1.13,1.06,1.01], 'type' =&gt; "Четырехклапанные", 'sale' =&gt; "0" ],</v>
      </c>
    </row>
    <row r="200" spans="1:17" x14ac:dyDescent="0.4">
      <c r="A200" s="166" t="s">
        <v>896</v>
      </c>
      <c r="B200" s="166">
        <f>Закуп!R200</f>
        <v>185</v>
      </c>
      <c r="C200" s="166">
        <f>Закуп!S200</f>
        <v>125</v>
      </c>
      <c r="D200" s="166">
        <f>Закуп!T200</f>
        <v>20</v>
      </c>
      <c r="E200" s="166" t="s">
        <v>897</v>
      </c>
      <c r="F200" s="167" t="str">
        <f>SUBSTITUTE(INDEX(Calc!$K:$K,(ROW(A199)-1)*5+COLUMN(A199)+1),",",".")</f>
        <v>0.96</v>
      </c>
      <c r="G200" s="167" t="str">
        <f>SUBSTITUTE(INDEX(Calc!$K:$K,(ROW(B199)-1)*5+COLUMN(B199)+1),",",".")</f>
        <v>0.82</v>
      </c>
      <c r="H200" s="167" t="str">
        <f>SUBSTITUTE(INDEX(Calc!$K:$K,(ROW(C199)-1)*5+COLUMN(C199)+1),",",".")</f>
        <v>0.7</v>
      </c>
      <c r="I200" s="167" t="str">
        <f>SUBSTITUTE(INDEX(Calc!$K:$K,(ROW(D199)-1)*5+COLUMN(D199)+1),",",".")</f>
        <v>0.59</v>
      </c>
      <c r="J200" s="167" t="str">
        <f>SUBSTITUTE(INDEX(Calc!$K:$K,(ROW(E199)-1)*5+COLUMN(E199)+1),",",".")</f>
        <v>0.51</v>
      </c>
      <c r="K200" s="166" t="s">
        <v>898</v>
      </c>
      <c r="L200" s="167" t="str">
        <f>Закуп!AA200</f>
        <v>Самосборные</v>
      </c>
      <c r="M200" s="166" t="s">
        <v>899</v>
      </c>
      <c r="N200" s="166">
        <f>IF(Закуп!L200="",0,Закуп!L200)</f>
        <v>0</v>
      </c>
      <c r="O200" s="166" t="s">
        <v>900</v>
      </c>
      <c r="P200" s="144">
        <f>Закуп!N200</f>
        <v>1</v>
      </c>
      <c r="Q200" s="210" t="str">
        <f t="shared" si="3"/>
        <v xml:space="preserve">        [ 'dims' =&gt; [185,125,20], 'prices' =&gt; [0.96,0.82,0.7,0.59,0.51], 'type' =&gt; "Самосборные", 'sale' =&gt; "0" ],</v>
      </c>
    </row>
    <row r="201" spans="1:17" x14ac:dyDescent="0.4">
      <c r="A201" s="166" t="s">
        <v>896</v>
      </c>
      <c r="B201" s="166">
        <f>Закуп!R201</f>
        <v>540</v>
      </c>
      <c r="C201" s="166">
        <f>Закуп!S201</f>
        <v>325</v>
      </c>
      <c r="D201" s="166">
        <f>Закуп!T201</f>
        <v>100</v>
      </c>
      <c r="E201" s="166" t="s">
        <v>897</v>
      </c>
      <c r="F201" s="167" t="str">
        <f>SUBSTITUTE(INDEX(Calc!$K:$K,(ROW(A200)-1)*5+COLUMN(A200)+1),",",".")</f>
        <v>3.45</v>
      </c>
      <c r="G201" s="167" t="str">
        <f>SUBSTITUTE(INDEX(Calc!$K:$K,(ROW(B200)-1)*5+COLUMN(B200)+1),",",".")</f>
        <v>2.75</v>
      </c>
      <c r="H201" s="167" t="str">
        <f>SUBSTITUTE(INDEX(Calc!$K:$K,(ROW(C200)-1)*5+COLUMN(C200)+1),",",".")</f>
        <v>2.48</v>
      </c>
      <c r="I201" s="167" t="str">
        <f>SUBSTITUTE(INDEX(Calc!$K:$K,(ROW(D200)-1)*5+COLUMN(D200)+1),",",".")</f>
        <v>2.24</v>
      </c>
      <c r="J201" s="167" t="str">
        <f>SUBSTITUTE(INDEX(Calc!$K:$K,(ROW(E200)-1)*5+COLUMN(E200)+1),",",".")</f>
        <v>2.13</v>
      </c>
      <c r="K201" s="166" t="s">
        <v>898</v>
      </c>
      <c r="L201" s="167" t="str">
        <f>Закуп!AA201</f>
        <v>Четырехклапанные</v>
      </c>
      <c r="M201" s="166" t="s">
        <v>899</v>
      </c>
      <c r="N201" s="166">
        <f>IF(Закуп!L201="",0,Закуп!L201)</f>
        <v>0</v>
      </c>
      <c r="O201" s="166" t="s">
        <v>900</v>
      </c>
      <c r="P201" s="144">
        <f>Закуп!N201</f>
        <v>1</v>
      </c>
      <c r="Q201" s="210" t="str">
        <f t="shared" si="3"/>
        <v xml:space="preserve">        [ 'dims' =&gt; [540,325,100], 'prices' =&gt; [3.45,2.75,2.48,2.24,2.13], 'type' =&gt; "Четырехклапанные", 'sale' =&gt; "0" ],</v>
      </c>
    </row>
    <row r="202" spans="1:17" x14ac:dyDescent="0.4">
      <c r="A202" s="166" t="s">
        <v>896</v>
      </c>
      <c r="B202" s="166">
        <f>Закуп!R202</f>
        <v>314</v>
      </c>
      <c r="C202" s="166">
        <f>Закуп!S202</f>
        <v>164</v>
      </c>
      <c r="D202" s="166">
        <f>Закуп!T202</f>
        <v>57</v>
      </c>
      <c r="E202" s="166" t="s">
        <v>897</v>
      </c>
      <c r="F202" s="167" t="str">
        <f>SUBSTITUTE(INDEX(Calc!$K:$K,(ROW(A201)-1)*5+COLUMN(A201)+1),",",".")</f>
        <v>1.53</v>
      </c>
      <c r="G202" s="167" t="str">
        <f>SUBSTITUTE(INDEX(Calc!$K:$K,(ROW(B201)-1)*5+COLUMN(B201)+1),",",".")</f>
        <v>1.39</v>
      </c>
      <c r="H202" s="167" t="str">
        <f>SUBSTITUTE(INDEX(Calc!$K:$K,(ROW(C201)-1)*5+COLUMN(C201)+1),",",".")</f>
        <v>1.09</v>
      </c>
      <c r="I202" s="167" t="str">
        <f>SUBSTITUTE(INDEX(Calc!$K:$K,(ROW(D201)-1)*5+COLUMN(D201)+1),",",".")</f>
        <v>1.03</v>
      </c>
      <c r="J202" s="167" t="str">
        <f>SUBSTITUTE(INDEX(Calc!$K:$K,(ROW(E201)-1)*5+COLUMN(E201)+1),",",".")</f>
        <v>0.97</v>
      </c>
      <c r="K202" s="166" t="s">
        <v>898</v>
      </c>
      <c r="L202" s="167" t="str">
        <f>Закуп!AA202</f>
        <v>Самосборные</v>
      </c>
      <c r="M202" s="166" t="s">
        <v>899</v>
      </c>
      <c r="N202" s="166">
        <f>IF(Закуп!L202="",0,Закуп!L202)</f>
        <v>0</v>
      </c>
      <c r="O202" s="166" t="s">
        <v>900</v>
      </c>
      <c r="P202" s="144">
        <f>Закуп!N202</f>
        <v>1</v>
      </c>
      <c r="Q202" s="210" t="str">
        <f t="shared" si="3"/>
        <v xml:space="preserve">        [ 'dims' =&gt; [314,164,57], 'prices' =&gt; [1.53,1.39,1.09,1.03,0.97], 'type' =&gt; "Самосборные", 'sale' =&gt; "0" ],</v>
      </c>
    </row>
    <row r="203" spans="1:17" x14ac:dyDescent="0.4">
      <c r="A203" s="166" t="s">
        <v>896</v>
      </c>
      <c r="B203" s="166">
        <f>Закуп!R203</f>
        <v>187</v>
      </c>
      <c r="C203" s="166">
        <f>Закуп!S203</f>
        <v>124</v>
      </c>
      <c r="D203" s="166">
        <f>Закуп!T203</f>
        <v>140</v>
      </c>
      <c r="E203" s="166" t="s">
        <v>897</v>
      </c>
      <c r="F203" s="167" t="str">
        <f>SUBSTITUTE(INDEX(Calc!$K:$K,(ROW(A202)-1)*5+COLUMN(A202)+1),",",".")</f>
        <v>1.06</v>
      </c>
      <c r="G203" s="167" t="str">
        <f>SUBSTITUTE(INDEX(Calc!$K:$K,(ROW(B202)-1)*5+COLUMN(B202)+1),",",".")</f>
        <v>0.92</v>
      </c>
      <c r="H203" s="167" t="str">
        <f>SUBSTITUTE(INDEX(Calc!$K:$K,(ROW(C202)-1)*5+COLUMN(C202)+1),",",".")</f>
        <v>0.85</v>
      </c>
      <c r="I203" s="167" t="str">
        <f>SUBSTITUTE(INDEX(Calc!$K:$K,(ROW(D202)-1)*5+COLUMN(D202)+1),",",".")</f>
        <v>0.77</v>
      </c>
      <c r="J203" s="167" t="str">
        <f>SUBSTITUTE(INDEX(Calc!$K:$K,(ROW(E202)-1)*5+COLUMN(E202)+1),",",".")</f>
        <v>0.72</v>
      </c>
      <c r="K203" s="166" t="s">
        <v>898</v>
      </c>
      <c r="L203" s="167" t="str">
        <f>Закуп!AA203</f>
        <v>Самосборные</v>
      </c>
      <c r="M203" s="166" t="s">
        <v>899</v>
      </c>
      <c r="N203" s="166">
        <f>IF(Закуп!L203="",0,Закуп!L203)</f>
        <v>0</v>
      </c>
      <c r="O203" s="166" t="s">
        <v>900</v>
      </c>
      <c r="P203" s="144">
        <f>Закуп!N203</f>
        <v>1</v>
      </c>
      <c r="Q203" s="210" t="str">
        <f t="shared" si="3"/>
        <v xml:space="preserve">        [ 'dims' =&gt; [187,124,140], 'prices' =&gt; [1.06,0.92,0.85,0.77,0.72], 'type' =&gt; "Самосборные", 'sale' =&gt; "0" ],</v>
      </c>
    </row>
    <row r="204" spans="1:17" x14ac:dyDescent="0.4">
      <c r="A204" s="166" t="s">
        <v>896</v>
      </c>
      <c r="B204" s="166">
        <f>Закуп!R204</f>
        <v>354</v>
      </c>
      <c r="C204" s="166">
        <f>Закуп!S204</f>
        <v>184</v>
      </c>
      <c r="D204" s="166">
        <f>Закуп!T204</f>
        <v>65</v>
      </c>
      <c r="E204" s="166" t="s">
        <v>897</v>
      </c>
      <c r="F204" s="167" t="str">
        <f>SUBSTITUTE(INDEX(Calc!$K:$K,(ROW(A203)-1)*5+COLUMN(A203)+1),",",".")</f>
        <v>1.89</v>
      </c>
      <c r="G204" s="167" t="str">
        <f>SUBSTITUTE(INDEX(Calc!$K:$K,(ROW(B203)-1)*5+COLUMN(B203)+1),",",".")</f>
        <v>1.72</v>
      </c>
      <c r="H204" s="167" t="str">
        <f>SUBSTITUTE(INDEX(Calc!$K:$K,(ROW(C203)-1)*5+COLUMN(C203)+1),",",".")</f>
        <v>1.36</v>
      </c>
      <c r="I204" s="167" t="str">
        <f>SUBSTITUTE(INDEX(Calc!$K:$K,(ROW(D203)-1)*5+COLUMN(D203)+1),",",".")</f>
        <v>1.27</v>
      </c>
      <c r="J204" s="167" t="str">
        <f>SUBSTITUTE(INDEX(Calc!$K:$K,(ROW(E203)-1)*5+COLUMN(E203)+1),",",".")</f>
        <v>1.12</v>
      </c>
      <c r="K204" s="166" t="s">
        <v>898</v>
      </c>
      <c r="L204" s="167" t="str">
        <f>Закуп!AA204</f>
        <v>Самосборные</v>
      </c>
      <c r="M204" s="166" t="s">
        <v>899</v>
      </c>
      <c r="N204" s="166">
        <f>IF(Закуп!L204="",0,Закуп!L204)</f>
        <v>0</v>
      </c>
      <c r="O204" s="166" t="s">
        <v>900</v>
      </c>
      <c r="P204" s="144">
        <f>Закуп!N204</f>
        <v>1</v>
      </c>
      <c r="Q204" s="210" t="str">
        <f t="shared" si="3"/>
        <v xml:space="preserve">        [ 'dims' =&gt; [354,184,65], 'prices' =&gt; [1.89,1.72,1.36,1.27,1.12], 'type' =&gt; "Самосборные", 'sale' =&gt; "0" ],</v>
      </c>
    </row>
    <row r="205" spans="1:17" x14ac:dyDescent="0.4">
      <c r="A205" s="166" t="s">
        <v>896</v>
      </c>
      <c r="B205" s="166">
        <f>Закуп!R205</f>
        <v>480</v>
      </c>
      <c r="C205" s="166">
        <f>Закуп!S205</f>
        <v>300</v>
      </c>
      <c r="D205" s="166">
        <f>Закуп!T205</f>
        <v>70</v>
      </c>
      <c r="E205" s="166" t="s">
        <v>897</v>
      </c>
      <c r="F205" s="167" t="str">
        <f>SUBSTITUTE(INDEX(Calc!$K:$K,(ROW(A204)-1)*5+COLUMN(A204)+1),",",".")</f>
        <v>2.78</v>
      </c>
      <c r="G205" s="167" t="str">
        <f>SUBSTITUTE(INDEX(Calc!$K:$K,(ROW(B204)-1)*5+COLUMN(B204)+1),",",".")</f>
        <v>2.43</v>
      </c>
      <c r="H205" s="167" t="str">
        <f>SUBSTITUTE(INDEX(Calc!$K:$K,(ROW(C204)-1)*5+COLUMN(C204)+1),",",".")</f>
        <v>2.21</v>
      </c>
      <c r="I205" s="167" t="str">
        <f>SUBSTITUTE(INDEX(Calc!$K:$K,(ROW(D204)-1)*5+COLUMN(D204)+1),",",".")</f>
        <v>1.97</v>
      </c>
      <c r="J205" s="167" t="str">
        <f>SUBSTITUTE(INDEX(Calc!$K:$K,(ROW(E204)-1)*5+COLUMN(E204)+1),",",".")</f>
        <v>1.88</v>
      </c>
      <c r="K205" s="166" t="s">
        <v>898</v>
      </c>
      <c r="L205" s="167" t="str">
        <f>Закуп!AA205</f>
        <v>Самосборные</v>
      </c>
      <c r="M205" s="166" t="s">
        <v>899</v>
      </c>
      <c r="N205" s="166">
        <f>IF(Закуп!L205="",0,Закуп!L205)</f>
        <v>0</v>
      </c>
      <c r="O205" s="166" t="s">
        <v>900</v>
      </c>
      <c r="P205" s="144">
        <f>Закуп!N205</f>
        <v>1</v>
      </c>
      <c r="Q205" s="210" t="str">
        <f t="shared" si="3"/>
        <v xml:space="preserve">        [ 'dims' =&gt; [480,300,70], 'prices' =&gt; [2.78,2.43,2.21,1.97,1.88], 'type' =&gt; "Самосборные", 'sale' =&gt; "0" ],</v>
      </c>
    </row>
    <row r="206" spans="1:17" x14ac:dyDescent="0.4">
      <c r="A206" s="166" t="s">
        <v>896</v>
      </c>
      <c r="B206" s="166">
        <f>Закуп!R206</f>
        <v>342</v>
      </c>
      <c r="C206" s="166">
        <f>Закуп!S206</f>
        <v>242</v>
      </c>
      <c r="D206" s="166">
        <f>Закуп!T206</f>
        <v>192</v>
      </c>
      <c r="E206" s="166" t="s">
        <v>897</v>
      </c>
      <c r="F206" s="167" t="str">
        <f>SUBSTITUTE(INDEX(Calc!$K:$K,(ROW(A205)-1)*5+COLUMN(A205)+1),",",".")</f>
        <v>3.1</v>
      </c>
      <c r="G206" s="167" t="str">
        <f>SUBSTITUTE(INDEX(Calc!$K:$K,(ROW(B205)-1)*5+COLUMN(B205)+1),",",".")</f>
        <v>2.7</v>
      </c>
      <c r="H206" s="167" t="str">
        <f>SUBSTITUTE(INDEX(Calc!$K:$K,(ROW(C205)-1)*5+COLUMN(C205)+1),",",".")</f>
        <v>2.42</v>
      </c>
      <c r="I206" s="167" t="str">
        <f>SUBSTITUTE(INDEX(Calc!$K:$K,(ROW(D205)-1)*5+COLUMN(D205)+1),",",".")</f>
        <v>2.18</v>
      </c>
      <c r="J206" s="167" t="str">
        <f>SUBSTITUTE(INDEX(Calc!$K:$K,(ROW(E205)-1)*5+COLUMN(E205)+1),",",".")</f>
        <v>2.09</v>
      </c>
      <c r="K206" s="166" t="s">
        <v>898</v>
      </c>
      <c r="L206" s="167" t="str">
        <f>Закуп!AA206</f>
        <v>Четырехклапанные</v>
      </c>
      <c r="M206" s="166" t="s">
        <v>899</v>
      </c>
      <c r="N206" s="166">
        <f>IF(Закуп!L206="",0,Закуп!L206)</f>
        <v>0</v>
      </c>
      <c r="O206" s="166" t="s">
        <v>900</v>
      </c>
      <c r="P206" s="144">
        <f>Закуп!N206</f>
        <v>1</v>
      </c>
      <c r="Q206" s="210" t="str">
        <f t="shared" si="3"/>
        <v xml:space="preserve">        [ 'dims' =&gt; [342,242,192], 'prices' =&gt; [3.1,2.7,2.42,2.18,2.09], 'type' =&gt; "Четырехклапанные", 'sale' =&gt; "0" ],</v>
      </c>
    </row>
    <row r="207" spans="1:17" x14ac:dyDescent="0.4">
      <c r="A207" s="166" t="s">
        <v>896</v>
      </c>
      <c r="B207" s="166">
        <f>Закуп!R207</f>
        <v>429</v>
      </c>
      <c r="C207" s="166">
        <f>Закуп!S207</f>
        <v>357</v>
      </c>
      <c r="D207" s="166">
        <f>Закуп!T207</f>
        <v>175</v>
      </c>
      <c r="E207" s="166" t="s">
        <v>897</v>
      </c>
      <c r="F207" s="167" t="str">
        <f>SUBSTITUTE(INDEX(Calc!$K:$K,(ROW(A206)-1)*5+COLUMN(A206)+1),",",".")</f>
        <v>3.53</v>
      </c>
      <c r="G207" s="167" t="str">
        <f>SUBSTITUTE(INDEX(Calc!$K:$K,(ROW(B206)-1)*5+COLUMN(B206)+1),",",".")</f>
        <v>3.06</v>
      </c>
      <c r="H207" s="167" t="str">
        <f>SUBSTITUTE(INDEX(Calc!$K:$K,(ROW(C206)-1)*5+COLUMN(C206)+1),",",".")</f>
        <v>2.58</v>
      </c>
      <c r="I207" s="167" t="str">
        <f>SUBSTITUTE(INDEX(Calc!$K:$K,(ROW(D206)-1)*5+COLUMN(D206)+1),",",".")</f>
        <v>2.45</v>
      </c>
      <c r="J207" s="167" t="str">
        <f>SUBSTITUTE(INDEX(Calc!$K:$K,(ROW(E206)-1)*5+COLUMN(E206)+1),",",".")</f>
        <v>2.33</v>
      </c>
      <c r="K207" s="166" t="s">
        <v>898</v>
      </c>
      <c r="L207" s="167" t="str">
        <f>Закуп!AA207</f>
        <v>Четырехклапанные</v>
      </c>
      <c r="M207" s="166" t="s">
        <v>899</v>
      </c>
      <c r="N207" s="166">
        <f>IF(Закуп!L207="",0,Закуп!L207)</f>
        <v>0</v>
      </c>
      <c r="O207" s="166" t="s">
        <v>900</v>
      </c>
      <c r="P207" s="144">
        <f>Закуп!N207</f>
        <v>1</v>
      </c>
      <c r="Q207" s="210" t="str">
        <f t="shared" si="3"/>
        <v xml:space="preserve">        [ 'dims' =&gt; [429,357,175], 'prices' =&gt; [3.53,3.06,2.58,2.45,2.33], 'type' =&gt; "Четырехклапанные", 'sale' =&gt; "0" ],</v>
      </c>
    </row>
    <row r="208" spans="1:17" x14ac:dyDescent="0.4">
      <c r="A208" s="166" t="s">
        <v>896</v>
      </c>
      <c r="B208" s="166">
        <f>Закуп!R208</f>
        <v>385</v>
      </c>
      <c r="C208" s="166">
        <f>Закуп!S208</f>
        <v>383</v>
      </c>
      <c r="D208" s="166">
        <f>Закуп!T208</f>
        <v>216</v>
      </c>
      <c r="E208" s="166" t="s">
        <v>897</v>
      </c>
      <c r="F208" s="167" t="str">
        <f>SUBSTITUTE(INDEX(Calc!$K:$K,(ROW(A207)-1)*5+COLUMN(A207)+1),",",".")</f>
        <v>3.85</v>
      </c>
      <c r="G208" s="167" t="str">
        <f>SUBSTITUTE(INDEX(Calc!$K:$K,(ROW(B207)-1)*5+COLUMN(B207)+1),",",".")</f>
        <v>3.33</v>
      </c>
      <c r="H208" s="167" t="str">
        <f>SUBSTITUTE(INDEX(Calc!$K:$K,(ROW(C207)-1)*5+COLUMN(C207)+1),",",".")</f>
        <v>2.8</v>
      </c>
      <c r="I208" s="167" t="str">
        <f>SUBSTITUTE(INDEX(Calc!$K:$K,(ROW(D207)-1)*5+COLUMN(D207)+1),",",".")</f>
        <v>2.65</v>
      </c>
      <c r="J208" s="167" t="str">
        <f>SUBSTITUTE(INDEX(Calc!$K:$K,(ROW(E207)-1)*5+COLUMN(E207)+1),",",".")</f>
        <v>2.57</v>
      </c>
      <c r="K208" s="166" t="s">
        <v>898</v>
      </c>
      <c r="L208" s="167" t="str">
        <f>Закуп!AA208</f>
        <v>Четырехклапанные</v>
      </c>
      <c r="M208" s="166" t="s">
        <v>899</v>
      </c>
      <c r="N208" s="166">
        <f>IF(Закуп!L208="",0,Закуп!L208)</f>
        <v>0</v>
      </c>
      <c r="O208" s="166" t="s">
        <v>900</v>
      </c>
      <c r="P208" s="144">
        <f>Закуп!N208</f>
        <v>1</v>
      </c>
      <c r="Q208" s="210" t="str">
        <f t="shared" si="3"/>
        <v xml:space="preserve">        [ 'dims' =&gt; [385,383,216], 'prices' =&gt; [3.85,3.33,2.8,2.65,2.57], 'type' =&gt; "Четырехклапанные", 'sale' =&gt; "0" ],</v>
      </c>
    </row>
    <row r="209" spans="1:17" x14ac:dyDescent="0.4">
      <c r="A209" s="166" t="s">
        <v>896</v>
      </c>
      <c r="B209" s="166">
        <f>Закуп!R209</f>
        <v>115</v>
      </c>
      <c r="C209" s="166">
        <f>Закуп!S209</f>
        <v>100</v>
      </c>
      <c r="D209" s="166">
        <f>Закуп!T209</f>
        <v>80</v>
      </c>
      <c r="E209" s="166" t="s">
        <v>897</v>
      </c>
      <c r="F209" s="167" t="str">
        <f>SUBSTITUTE(INDEX(Calc!$K:$K,(ROW(A208)-1)*5+COLUMN(A208)+1),",",".")</f>
        <v>1.07</v>
      </c>
      <c r="G209" s="167" t="str">
        <f>SUBSTITUTE(INDEX(Calc!$K:$K,(ROW(B208)-1)*5+COLUMN(B208)+1),",",".")</f>
        <v>0.93</v>
      </c>
      <c r="H209" s="167" t="str">
        <f>SUBSTITUTE(INDEX(Calc!$K:$K,(ROW(C208)-1)*5+COLUMN(C208)+1),",",".")</f>
        <v>0.75</v>
      </c>
      <c r="I209" s="167" t="str">
        <f>SUBSTITUTE(INDEX(Calc!$K:$K,(ROW(D208)-1)*5+COLUMN(D208)+1),",",".")</f>
        <v>0.63</v>
      </c>
      <c r="J209" s="167" t="str">
        <f>SUBSTITUTE(INDEX(Calc!$K:$K,(ROW(E208)-1)*5+COLUMN(E208)+1),",",".")</f>
        <v>0.54</v>
      </c>
      <c r="K209" s="166" t="s">
        <v>898</v>
      </c>
      <c r="L209" s="167" t="str">
        <f>Закуп!AA209</f>
        <v>Крышка-дно</v>
      </c>
      <c r="M209" s="166" t="s">
        <v>899</v>
      </c>
      <c r="N209" s="166">
        <f>IF(Закуп!L209="",0,Закуп!L209)</f>
        <v>0</v>
      </c>
      <c r="O209" s="166" t="s">
        <v>900</v>
      </c>
      <c r="P209" s="144">
        <f>Закуп!N209</f>
        <v>1</v>
      </c>
      <c r="Q209" s="210" t="str">
        <f t="shared" si="3"/>
        <v xml:space="preserve">        [ 'dims' =&gt; [115,100,80], 'prices' =&gt; [1.07,0.93,0.75,0.63,0.54], 'type' =&gt; "Крышка-дно", 'sale' =&gt; "0" ],</v>
      </c>
    </row>
    <row r="210" spans="1:17" x14ac:dyDescent="0.4">
      <c r="A210" s="166" t="s">
        <v>896</v>
      </c>
      <c r="B210" s="166">
        <f>Закуп!R210</f>
        <v>235</v>
      </c>
      <c r="C210" s="166">
        <f>Закуп!S210</f>
        <v>225</v>
      </c>
      <c r="D210" s="166">
        <f>Закуп!T210</f>
        <v>117</v>
      </c>
      <c r="E210" s="166" t="s">
        <v>897</v>
      </c>
      <c r="F210" s="167" t="str">
        <f>SUBSTITUTE(INDEX(Calc!$K:$K,(ROW(A209)-1)*5+COLUMN(A209)+1),",",".")</f>
        <v>2.29</v>
      </c>
      <c r="G210" s="167" t="str">
        <f>SUBSTITUTE(INDEX(Calc!$K:$K,(ROW(B209)-1)*5+COLUMN(B209)+1),",",".")</f>
        <v>2.08</v>
      </c>
      <c r="H210" s="167" t="str">
        <f>SUBSTITUTE(INDEX(Calc!$K:$K,(ROW(C209)-1)*5+COLUMN(C209)+1),",",".")</f>
        <v>1.63</v>
      </c>
      <c r="I210" s="167" t="str">
        <f>SUBSTITUTE(INDEX(Calc!$K:$K,(ROW(D209)-1)*5+COLUMN(D209)+1),",",".")</f>
        <v>1.4</v>
      </c>
      <c r="J210" s="167" t="str">
        <f>SUBSTITUTE(INDEX(Calc!$K:$K,(ROW(E209)-1)*5+COLUMN(E209)+1),",",".")</f>
        <v>1.31</v>
      </c>
      <c r="K210" s="166" t="s">
        <v>898</v>
      </c>
      <c r="L210" s="167" t="str">
        <f>Закуп!AA210</f>
        <v>Крышка-дно</v>
      </c>
      <c r="M210" s="166" t="s">
        <v>899</v>
      </c>
      <c r="N210" s="166">
        <f>IF(Закуп!L210="",0,Закуп!L210)</f>
        <v>0</v>
      </c>
      <c r="O210" s="166" t="s">
        <v>900</v>
      </c>
      <c r="P210" s="144">
        <f>Закуп!N210</f>
        <v>1</v>
      </c>
      <c r="Q210" s="210" t="str">
        <f t="shared" si="3"/>
        <v xml:space="preserve">        [ 'dims' =&gt; [235,225,117], 'prices' =&gt; [2.29,2.08,1.63,1.4,1.31], 'type' =&gt; "Крышка-дно", 'sale' =&gt; "0" ],</v>
      </c>
    </row>
    <row r="211" spans="1:17" x14ac:dyDescent="0.4">
      <c r="A211" s="166" t="s">
        <v>896</v>
      </c>
      <c r="B211" s="166">
        <f>Закуп!R211</f>
        <v>185</v>
      </c>
      <c r="C211" s="166">
        <f>Закуп!S211</f>
        <v>145</v>
      </c>
      <c r="D211" s="166">
        <f>Закуп!T211</f>
        <v>57</v>
      </c>
      <c r="E211" s="166" t="s">
        <v>897</v>
      </c>
      <c r="F211" s="167" t="str">
        <f>SUBSTITUTE(INDEX(Calc!$K:$K,(ROW(A210)-1)*5+COLUMN(A210)+1),",",".")</f>
        <v>1.17</v>
      </c>
      <c r="G211" s="167" t="str">
        <f>SUBSTITUTE(INDEX(Calc!$K:$K,(ROW(B210)-1)*5+COLUMN(B210)+1),",",".")</f>
        <v>0.97</v>
      </c>
      <c r="H211" s="167" t="str">
        <f>SUBSTITUTE(INDEX(Calc!$K:$K,(ROW(C210)-1)*5+COLUMN(C210)+1),",",".")</f>
        <v>0.89</v>
      </c>
      <c r="I211" s="167" t="str">
        <f>SUBSTITUTE(INDEX(Calc!$K:$K,(ROW(D210)-1)*5+COLUMN(D210)+1),",",".")</f>
        <v>0.81</v>
      </c>
      <c r="J211" s="167" t="str">
        <f>SUBSTITUTE(INDEX(Calc!$K:$K,(ROW(E210)-1)*5+COLUMN(E210)+1),",",".")</f>
        <v>0.76</v>
      </c>
      <c r="K211" s="166" t="s">
        <v>898</v>
      </c>
      <c r="L211" s="167" t="str">
        <f>Закуп!AA211</f>
        <v>Самосборные</v>
      </c>
      <c r="M211" s="166" t="s">
        <v>899</v>
      </c>
      <c r="N211" s="166">
        <f>IF(Закуп!L211="",0,Закуп!L211)</f>
        <v>0</v>
      </c>
      <c r="O211" s="166" t="s">
        <v>900</v>
      </c>
      <c r="P211" s="144">
        <f>Закуп!N211</f>
        <v>1</v>
      </c>
      <c r="Q211" s="210" t="str">
        <f t="shared" si="3"/>
        <v xml:space="preserve">        [ 'dims' =&gt; [185,145,57], 'prices' =&gt; [1.17,0.97,0.89,0.81,0.76], 'type' =&gt; "Самосборные", 'sale' =&gt; "0" ],</v>
      </c>
    </row>
    <row r="212" spans="1:17" x14ac:dyDescent="0.4">
      <c r="A212" s="166" t="s">
        <v>896</v>
      </c>
      <c r="B212" s="166">
        <f>Закуп!R212</f>
        <v>280</v>
      </c>
      <c r="C212" s="166">
        <f>Закуп!S212</f>
        <v>190</v>
      </c>
      <c r="D212" s="166">
        <f>Закуп!T212</f>
        <v>55</v>
      </c>
      <c r="E212" s="166" t="s">
        <v>897</v>
      </c>
      <c r="F212" s="167" t="str">
        <f>SUBSTITUTE(INDEX(Calc!$K:$K,(ROW(A211)-1)*5+COLUMN(A211)+1),",",".")</f>
        <v>1.55</v>
      </c>
      <c r="G212" s="167" t="str">
        <f>SUBSTITUTE(INDEX(Calc!$K:$K,(ROW(B211)-1)*5+COLUMN(B211)+1),",",".")</f>
        <v>1.41</v>
      </c>
      <c r="H212" s="167" t="str">
        <f>SUBSTITUTE(INDEX(Calc!$K:$K,(ROW(C211)-1)*5+COLUMN(C211)+1),",",".")</f>
        <v>1.11</v>
      </c>
      <c r="I212" s="167" t="str">
        <f>SUBSTITUTE(INDEX(Calc!$K:$K,(ROW(D211)-1)*5+COLUMN(D211)+1),",",".")</f>
        <v>1.05</v>
      </c>
      <c r="J212" s="167" t="str">
        <f>SUBSTITUTE(INDEX(Calc!$K:$K,(ROW(E211)-1)*5+COLUMN(E211)+1),",",".")</f>
        <v>0.98</v>
      </c>
      <c r="K212" s="166" t="s">
        <v>898</v>
      </c>
      <c r="L212" s="167" t="str">
        <f>Закуп!AA212</f>
        <v>Самосборные</v>
      </c>
      <c r="M212" s="166" t="s">
        <v>899</v>
      </c>
      <c r="N212" s="166">
        <f>IF(Закуп!L212="",0,Закуп!L212)</f>
        <v>0</v>
      </c>
      <c r="O212" s="166" t="s">
        <v>900</v>
      </c>
      <c r="P212" s="144">
        <f>Закуп!N212</f>
        <v>1</v>
      </c>
      <c r="Q212" s="210" t="str">
        <f t="shared" si="3"/>
        <v xml:space="preserve">        [ 'dims' =&gt; [280,190,55], 'prices' =&gt; [1.55,1.41,1.11,1.05,0.98], 'type' =&gt; "Самосборные", 'sale' =&gt; "0" ],</v>
      </c>
    </row>
    <row r="213" spans="1:17" x14ac:dyDescent="0.4">
      <c r="A213" s="166" t="s">
        <v>896</v>
      </c>
      <c r="B213" s="166">
        <f>Закуп!R213</f>
        <v>290</v>
      </c>
      <c r="C213" s="166">
        <f>Закуп!S213</f>
        <v>225</v>
      </c>
      <c r="D213" s="166">
        <f>Закуп!T213</f>
        <v>90</v>
      </c>
      <c r="E213" s="166" t="s">
        <v>897</v>
      </c>
      <c r="F213" s="167" t="str">
        <f>SUBSTITUTE(INDEX(Calc!$K:$K,(ROW(A212)-1)*5+COLUMN(A212)+1),",",".")</f>
        <v>2.48</v>
      </c>
      <c r="G213" s="167" t="str">
        <f>SUBSTITUTE(INDEX(Calc!$K:$K,(ROW(B212)-1)*5+COLUMN(B212)+1),",",".")</f>
        <v>2.26</v>
      </c>
      <c r="H213" s="167" t="str">
        <f>SUBSTITUTE(INDEX(Calc!$K:$K,(ROW(C212)-1)*5+COLUMN(C212)+1),",",".")</f>
        <v>1.77</v>
      </c>
      <c r="I213" s="167" t="str">
        <f>SUBSTITUTE(INDEX(Calc!$K:$K,(ROW(D212)-1)*5+COLUMN(D212)+1),",",".")</f>
        <v>1.53</v>
      </c>
      <c r="J213" s="167" t="str">
        <f>SUBSTITUTE(INDEX(Calc!$K:$K,(ROW(E212)-1)*5+COLUMN(E212)+1),",",".")</f>
        <v>1.42</v>
      </c>
      <c r="K213" s="166" t="s">
        <v>898</v>
      </c>
      <c r="L213" s="167" t="str">
        <f>Закуп!AA213</f>
        <v>Самосборные</v>
      </c>
      <c r="M213" s="166" t="s">
        <v>899</v>
      </c>
      <c r="N213" s="166">
        <f>IF(Закуп!L213="",0,Закуп!L213)</f>
        <v>0</v>
      </c>
      <c r="O213" s="166" t="s">
        <v>900</v>
      </c>
      <c r="P213" s="144">
        <f>Закуп!N213</f>
        <v>1</v>
      </c>
      <c r="Q213" s="210" t="str">
        <f t="shared" si="3"/>
        <v xml:space="preserve">        [ 'dims' =&gt; [290,225,90], 'prices' =&gt; [2.48,2.26,1.77,1.53,1.42], 'type' =&gt; "Самосборные", 'sale' =&gt; "0" ],</v>
      </c>
    </row>
    <row r="214" spans="1:17" x14ac:dyDescent="0.4">
      <c r="A214" s="166" t="s">
        <v>896</v>
      </c>
      <c r="B214" s="166">
        <f>Закуп!R214</f>
        <v>110</v>
      </c>
      <c r="C214" s="166">
        <f>Закуп!S214</f>
        <v>98</v>
      </c>
      <c r="D214" s="166">
        <f>Закуп!T214</f>
        <v>45</v>
      </c>
      <c r="E214" s="166" t="s">
        <v>897</v>
      </c>
      <c r="F214" s="167" t="str">
        <f>SUBSTITUTE(INDEX(Calc!$K:$K,(ROW(A213)-1)*5+COLUMN(A213)+1),",",".")</f>
        <v>1.07</v>
      </c>
      <c r="G214" s="167" t="str">
        <f>SUBSTITUTE(INDEX(Calc!$K:$K,(ROW(B213)-1)*5+COLUMN(B213)+1),",",".")</f>
        <v>0.91</v>
      </c>
      <c r="H214" s="167" t="str">
        <f>SUBSTITUTE(INDEX(Calc!$K:$K,(ROW(C213)-1)*5+COLUMN(C213)+1),",",".")</f>
        <v>0.75</v>
      </c>
      <c r="I214" s="167" t="str">
        <f>SUBSTITUTE(INDEX(Calc!$K:$K,(ROW(D213)-1)*5+COLUMN(D213)+1),",",".")</f>
        <v>0.64</v>
      </c>
      <c r="J214" s="167" t="str">
        <f>SUBSTITUTE(INDEX(Calc!$K:$K,(ROW(E213)-1)*5+COLUMN(E213)+1),",",".")</f>
        <v>0.54</v>
      </c>
      <c r="K214" s="166" t="s">
        <v>898</v>
      </c>
      <c r="L214" s="167" t="str">
        <f>Закуп!AA214</f>
        <v>Самосборные</v>
      </c>
      <c r="M214" s="166" t="s">
        <v>899</v>
      </c>
      <c r="N214" s="166">
        <f>IF(Закуп!L214="",0,Закуп!L214)</f>
        <v>0</v>
      </c>
      <c r="O214" s="166" t="s">
        <v>900</v>
      </c>
      <c r="P214" s="144">
        <f>Закуп!N214</f>
        <v>1</v>
      </c>
      <c r="Q214" s="210" t="str">
        <f t="shared" si="3"/>
        <v xml:space="preserve">        [ 'dims' =&gt; [110,98,45], 'prices' =&gt; [1.07,0.91,0.75,0.64,0.54], 'type' =&gt; "Самосборные", 'sale' =&gt; "0" ],</v>
      </c>
    </row>
    <row r="215" spans="1:17" hidden="1" x14ac:dyDescent="0.4">
      <c r="A215" s="47" t="s">
        <v>896</v>
      </c>
      <c r="B215" s="47">
        <f>Закуп!R215</f>
        <v>95</v>
      </c>
      <c r="C215" s="47">
        <f>Закуп!S215</f>
        <v>95</v>
      </c>
      <c r="D215" s="47">
        <f>Закуп!T215</f>
        <v>275</v>
      </c>
      <c r="E215" s="47" t="s">
        <v>897</v>
      </c>
      <c r="F215" s="100" t="str">
        <f>SUBSTITUTE(INDEX(Calc!$K:$K,(ROW(A214)-1)*5+COLUMN(A214)+1),",",".")</f>
        <v>1.17</v>
      </c>
      <c r="G215" s="100" t="str">
        <f>SUBSTITUTE(INDEX(Calc!$K:$K,(ROW(B214)-1)*5+COLUMN(B214)+1),",",".")</f>
        <v>0.97</v>
      </c>
      <c r="H215" s="100" t="str">
        <f>SUBSTITUTE(INDEX(Calc!$K:$K,(ROW(C214)-1)*5+COLUMN(C214)+1),",",".")</f>
        <v>0.89</v>
      </c>
      <c r="I215" s="100" t="str">
        <f>SUBSTITUTE(INDEX(Calc!$K:$K,(ROW(D214)-1)*5+COLUMN(D214)+1),",",".")</f>
        <v>0.81</v>
      </c>
      <c r="J215" s="100" t="str">
        <f>SUBSTITUTE(INDEX(Calc!$K:$K,(ROW(E214)-1)*5+COLUMN(E214)+1),",",".")</f>
        <v>0.76</v>
      </c>
      <c r="K215" s="47" t="s">
        <v>898</v>
      </c>
      <c r="L215" s="100" t="str">
        <f>Закуп!AA215</f>
        <v>Самосборные</v>
      </c>
      <c r="M215" s="47" t="s">
        <v>899</v>
      </c>
      <c r="N215" s="47">
        <f>IF(Закуп!L215="",0,Закуп!L215)</f>
        <v>0</v>
      </c>
      <c r="O215" s="47" t="s">
        <v>900</v>
      </c>
      <c r="P215" s="165">
        <f>Закуп!N215</f>
        <v>0</v>
      </c>
      <c r="Q215" s="8" t="str">
        <f t="shared" si="3"/>
        <v xml:space="preserve">        [ 'dims' =&gt; [95,95,275], 'prices' =&gt; [1.17,0.97,0.89,0.81,0.76], 'type' =&gt; "Самосборные", 'sale' =&gt; "0" ],</v>
      </c>
    </row>
    <row r="216" spans="1:17" x14ac:dyDescent="0.4">
      <c r="A216" s="166" t="s">
        <v>896</v>
      </c>
      <c r="B216" s="166">
        <f>Закуп!R216</f>
        <v>300</v>
      </c>
      <c r="C216" s="166">
        <f>Закуп!S216</f>
        <v>220</v>
      </c>
      <c r="D216" s="166">
        <f>Закуп!T216</f>
        <v>40</v>
      </c>
      <c r="E216" s="166" t="s">
        <v>897</v>
      </c>
      <c r="F216" s="167" t="str">
        <f>SUBSTITUTE(INDEX(Calc!$K:$K,(ROW(A215)-1)*5+COLUMN(A215)+1),",",".")</f>
        <v>1.89</v>
      </c>
      <c r="G216" s="167" t="str">
        <f>SUBSTITUTE(INDEX(Calc!$K:$K,(ROW(B215)-1)*5+COLUMN(B215)+1),",",".")</f>
        <v>1.72</v>
      </c>
      <c r="H216" s="167" t="str">
        <f>SUBSTITUTE(INDEX(Calc!$K:$K,(ROW(C215)-1)*5+COLUMN(C215)+1),",",".")</f>
        <v>1.36</v>
      </c>
      <c r="I216" s="167" t="str">
        <f>SUBSTITUTE(INDEX(Calc!$K:$K,(ROW(D215)-1)*5+COLUMN(D215)+1),",",".")</f>
        <v>1.27</v>
      </c>
      <c r="J216" s="167" t="str">
        <f>SUBSTITUTE(INDEX(Calc!$K:$K,(ROW(E215)-1)*5+COLUMN(E215)+1),",",".")</f>
        <v>1.12</v>
      </c>
      <c r="K216" s="166" t="s">
        <v>898</v>
      </c>
      <c r="L216" s="167" t="str">
        <f>Закуп!AA216</f>
        <v>Самосборные</v>
      </c>
      <c r="M216" s="166" t="s">
        <v>899</v>
      </c>
      <c r="N216" s="166">
        <f>IF(Закуп!L216="",0,Закуп!L216)</f>
        <v>0</v>
      </c>
      <c r="O216" s="166" t="s">
        <v>900</v>
      </c>
      <c r="P216" s="144">
        <f>Закуп!N216</f>
        <v>1</v>
      </c>
      <c r="Q216" s="210" t="str">
        <f t="shared" si="3"/>
        <v xml:space="preserve">        [ 'dims' =&gt; [300,220,40], 'prices' =&gt; [1.89,1.72,1.36,1.27,1.12], 'type' =&gt; "Самосборные", 'sale' =&gt; "0" ],</v>
      </c>
    </row>
    <row r="217" spans="1:17" hidden="1" x14ac:dyDescent="0.4">
      <c r="A217" s="166" t="s">
        <v>896</v>
      </c>
      <c r="B217" s="166">
        <f>Закуп!R217</f>
        <v>516</v>
      </c>
      <c r="C217" s="166">
        <f>Закуп!S217</f>
        <v>463</v>
      </c>
      <c r="D217" s="166">
        <f>Закуп!T217</f>
        <v>48</v>
      </c>
      <c r="E217" s="166" t="s">
        <v>897</v>
      </c>
      <c r="F217" s="167" t="str">
        <f>SUBSTITUTE(INDEX(Calc!$K:$K,(ROW(A216)-1)*5+COLUMN(A216)+1),",",".")</f>
        <v>2.14</v>
      </c>
      <c r="G217" s="167" t="str">
        <f>SUBSTITUTE(INDEX(Calc!$K:$K,(ROW(B216)-1)*5+COLUMN(B216)+1),",",".")</f>
        <v>2.14</v>
      </c>
      <c r="H217" s="167" t="str">
        <f>SUBSTITUTE(INDEX(Calc!$K:$K,(ROW(C216)-1)*5+COLUMN(C216)+1),",",".")</f>
        <v>2.14</v>
      </c>
      <c r="I217" s="167" t="str">
        <f>SUBSTITUTE(INDEX(Calc!$K:$K,(ROW(D216)-1)*5+COLUMN(D216)+1),",",".")</f>
        <v>2.14</v>
      </c>
      <c r="J217" s="167" t="str">
        <f>SUBSTITUTE(INDEX(Calc!$K:$K,(ROW(E216)-1)*5+COLUMN(E216)+1),",",".")</f>
        <v>2.14</v>
      </c>
      <c r="K217" s="166" t="s">
        <v>898</v>
      </c>
      <c r="L217" s="167" t="str">
        <f>Закуп!AA217</f>
        <v>Самосборные</v>
      </c>
      <c r="M217" s="166" t="s">
        <v>899</v>
      </c>
      <c r="N217" s="166">
        <f>IF(Закуп!L217="",0,Закуп!L217)</f>
        <v>0</v>
      </c>
      <c r="O217" s="166" t="s">
        <v>900</v>
      </c>
      <c r="P217" s="144">
        <f>Закуп!N217</f>
        <v>0</v>
      </c>
      <c r="Q217" s="210" t="str">
        <f t="shared" si="3"/>
        <v xml:space="preserve">        [ 'dims' =&gt; [516,463,48], 'prices' =&gt; [2.14,2.14,2.14,2.14,2.14], 'type' =&gt; "Самосборные", 'sale' =&gt; "0" ],</v>
      </c>
    </row>
    <row r="218" spans="1:17" x14ac:dyDescent="0.4">
      <c r="A218" s="166" t="s">
        <v>896</v>
      </c>
      <c r="B218" s="166">
        <f>Закуп!R218</f>
        <v>120</v>
      </c>
      <c r="C218" s="166">
        <f>Закуп!S218</f>
        <v>120</v>
      </c>
      <c r="D218" s="166">
        <f>Закуп!T218</f>
        <v>180</v>
      </c>
      <c r="E218" s="166" t="s">
        <v>897</v>
      </c>
      <c r="F218" s="167" t="str">
        <f>SUBSTITUTE(INDEX(Calc!$K:$K,(ROW(A217)-1)*5+COLUMN(A217)+1),",",".")</f>
        <v>1.18</v>
      </c>
      <c r="G218" s="167" t="str">
        <f>SUBSTITUTE(INDEX(Calc!$K:$K,(ROW(B217)-1)*5+COLUMN(B217)+1),",",".")</f>
        <v>1.07</v>
      </c>
      <c r="H218" s="167" t="str">
        <f>SUBSTITUTE(INDEX(Calc!$K:$K,(ROW(C217)-1)*5+COLUMN(C217)+1),",",".")</f>
        <v>0.96</v>
      </c>
      <c r="I218" s="167" t="str">
        <f>SUBSTITUTE(INDEX(Calc!$K:$K,(ROW(D217)-1)*5+COLUMN(D217)+1),",",".")</f>
        <v>0.86</v>
      </c>
      <c r="J218" s="167" t="str">
        <f>SUBSTITUTE(INDEX(Calc!$K:$K,(ROW(E217)-1)*5+COLUMN(E217)+1),",",".")</f>
        <v>0.75</v>
      </c>
      <c r="K218" s="166" t="s">
        <v>898</v>
      </c>
      <c r="L218" s="167" t="str">
        <f>Закуп!AA218</f>
        <v>Четырехклапанные</v>
      </c>
      <c r="M218" s="166" t="s">
        <v>899</v>
      </c>
      <c r="N218" s="166">
        <f>IF(Закуп!L218="",0,Закуп!L218)</f>
        <v>0</v>
      </c>
      <c r="O218" s="166" t="s">
        <v>900</v>
      </c>
      <c r="P218" s="144">
        <f>Закуп!N218</f>
        <v>1</v>
      </c>
      <c r="Q218" s="210" t="str">
        <f t="shared" si="3"/>
        <v xml:space="preserve">        [ 'dims' =&gt; [120,120,180], 'prices' =&gt; [1.18,1.07,0.96,0.86,0.75], 'type' =&gt; "Четырехклапанные", 'sale' =&gt; "0" ],</v>
      </c>
    </row>
    <row r="219" spans="1:17" x14ac:dyDescent="0.4">
      <c r="A219" s="166" t="s">
        <v>896</v>
      </c>
      <c r="B219" s="166">
        <f>Закуп!R219</f>
        <v>730</v>
      </c>
      <c r="C219" s="166">
        <f>Закуп!S219</f>
        <v>415</v>
      </c>
      <c r="D219" s="166">
        <f>Закуп!T219</f>
        <v>200</v>
      </c>
      <c r="E219" s="166" t="s">
        <v>897</v>
      </c>
      <c r="F219" s="167" t="str">
        <f>SUBSTITUTE(INDEX(Calc!$K:$K,(ROW(A218)-1)*5+COLUMN(A218)+1),",",".")</f>
        <v>5.34</v>
      </c>
      <c r="G219" s="167" t="str">
        <f>SUBSTITUTE(INDEX(Calc!$K:$K,(ROW(B218)-1)*5+COLUMN(B218)+1),",",".")</f>
        <v>4.94</v>
      </c>
      <c r="H219" s="167" t="str">
        <f>SUBSTITUTE(INDEX(Calc!$K:$K,(ROW(C218)-1)*5+COLUMN(C218)+1),",",".")</f>
        <v>4.21</v>
      </c>
      <c r="I219" s="167" t="str">
        <f>SUBSTITUTE(INDEX(Calc!$K:$K,(ROW(D218)-1)*5+COLUMN(D218)+1),",",".")</f>
        <v>4.08</v>
      </c>
      <c r="J219" s="167" t="str">
        <f>SUBSTITUTE(INDEX(Calc!$K:$K,(ROW(E218)-1)*5+COLUMN(E218)+1),",",".")</f>
        <v>4</v>
      </c>
      <c r="K219" s="166" t="s">
        <v>898</v>
      </c>
      <c r="L219" s="167" t="str">
        <f>Закуп!AA219</f>
        <v>Четырехклапанные</v>
      </c>
      <c r="M219" s="166" t="s">
        <v>899</v>
      </c>
      <c r="N219" s="166">
        <f>IF(Закуп!L219="",0,Закуп!L219)</f>
        <v>0</v>
      </c>
      <c r="O219" s="166" t="s">
        <v>900</v>
      </c>
      <c r="P219" s="144">
        <f>Закуп!N219</f>
        <v>1</v>
      </c>
      <c r="Q219" s="210" t="str">
        <f t="shared" si="3"/>
        <v xml:space="preserve">        [ 'dims' =&gt; [730,415,200], 'prices' =&gt; [5.34,4.94,4.21,4.08,4], 'type' =&gt; "Четырехклапанные", 'sale' =&gt; "0" ],</v>
      </c>
    </row>
    <row r="220" spans="1:17" x14ac:dyDescent="0.4">
      <c r="A220" s="166" t="s">
        <v>896</v>
      </c>
      <c r="B220" s="166">
        <f>Закуп!R220</f>
        <v>50</v>
      </c>
      <c r="C220" s="166">
        <f>Закуп!S220</f>
        <v>50</v>
      </c>
      <c r="D220" s="166">
        <f>Закуп!T220</f>
        <v>210</v>
      </c>
      <c r="E220" s="166" t="s">
        <v>897</v>
      </c>
      <c r="F220" s="167" t="str">
        <f>SUBSTITUTE(INDEX(Calc!$K:$K,(ROW(A219)-1)*5+COLUMN(A219)+1),",",".")</f>
        <v>0.54</v>
      </c>
      <c r="G220" s="167" t="str">
        <f>SUBSTITUTE(INDEX(Calc!$K:$K,(ROW(B219)-1)*5+COLUMN(B219)+1),",",".")</f>
        <v>0.54</v>
      </c>
      <c r="H220" s="167" t="str">
        <f>SUBSTITUTE(INDEX(Calc!$K:$K,(ROW(C219)-1)*5+COLUMN(C219)+1),",",".")</f>
        <v>0.54</v>
      </c>
      <c r="I220" s="167" t="str">
        <f>SUBSTITUTE(INDEX(Calc!$K:$K,(ROW(D219)-1)*5+COLUMN(D219)+1),",",".")</f>
        <v>0.54</v>
      </c>
      <c r="J220" s="167" t="str">
        <f>SUBSTITUTE(INDEX(Calc!$K:$K,(ROW(E219)-1)*5+COLUMN(E219)+1),",",".")</f>
        <v>0.54</v>
      </c>
      <c r="K220" s="166" t="s">
        <v>898</v>
      </c>
      <c r="L220" s="167" t="str">
        <f>Закуп!AA220</f>
        <v>Самосборные</v>
      </c>
      <c r="M220" s="166" t="s">
        <v>899</v>
      </c>
      <c r="N220" s="166" t="str">
        <f>IF(Закуп!L220="",0,Закуп!L220)</f>
        <v>Sale</v>
      </c>
      <c r="O220" s="166" t="s">
        <v>900</v>
      </c>
      <c r="P220" s="144">
        <f>Закуп!N220</f>
        <v>1</v>
      </c>
      <c r="Q220" s="210" t="str">
        <f t="shared" si="3"/>
        <v xml:space="preserve">        [ 'dims' =&gt; [50,50,210], 'prices' =&gt; [0.54,0.54,0.54,0.54,0.54], 'type' =&gt; "Самосборные", 'sale' =&gt; "Sale" ],</v>
      </c>
    </row>
    <row r="221" spans="1:17" x14ac:dyDescent="0.4">
      <c r="A221" s="166" t="s">
        <v>896</v>
      </c>
      <c r="B221" s="166">
        <f>Закуп!R221</f>
        <v>125</v>
      </c>
      <c r="C221" s="166">
        <f>Закуп!S221</f>
        <v>125</v>
      </c>
      <c r="D221" s="166">
        <f>Закуп!T221</f>
        <v>127</v>
      </c>
      <c r="E221" s="166" t="s">
        <v>897</v>
      </c>
      <c r="F221" s="167" t="str">
        <f>SUBSTITUTE(INDEX(Calc!$K:$K,(ROW(A220)-1)*5+COLUMN(A220)+1),",",".")</f>
        <v>1.18</v>
      </c>
      <c r="G221" s="167" t="str">
        <f>SUBSTITUTE(INDEX(Calc!$K:$K,(ROW(B220)-1)*5+COLUMN(B220)+1),",",".")</f>
        <v>1.07</v>
      </c>
      <c r="H221" s="167" t="str">
        <f>SUBSTITUTE(INDEX(Calc!$K:$K,(ROW(C220)-1)*5+COLUMN(C220)+1),",",".")</f>
        <v>0.96</v>
      </c>
      <c r="I221" s="167" t="str">
        <f>SUBSTITUTE(INDEX(Calc!$K:$K,(ROW(D220)-1)*5+COLUMN(D220)+1),",",".")</f>
        <v>0.86</v>
      </c>
      <c r="J221" s="167" t="str">
        <f>SUBSTITUTE(INDEX(Calc!$K:$K,(ROW(E220)-1)*5+COLUMN(E220)+1),",",".")</f>
        <v>0.75</v>
      </c>
      <c r="K221" s="166" t="s">
        <v>898</v>
      </c>
      <c r="L221" s="167" t="str">
        <f>Закуп!AA221</f>
        <v>Четырехклапанные</v>
      </c>
      <c r="M221" s="166" t="s">
        <v>899</v>
      </c>
      <c r="N221" s="166">
        <f>IF(Закуп!L221="",0,Закуп!L221)</f>
        <v>0</v>
      </c>
      <c r="O221" s="166" t="s">
        <v>900</v>
      </c>
      <c r="P221" s="144">
        <f>Закуп!N221</f>
        <v>1</v>
      </c>
      <c r="Q221" s="210" t="str">
        <f t="shared" si="3"/>
        <v xml:space="preserve">        [ 'dims' =&gt; [125,125,127], 'prices' =&gt; [1.18,1.07,0.96,0.86,0.75], 'type' =&gt; "Четырехклапанные", 'sale' =&gt; "0" ],</v>
      </c>
    </row>
    <row r="222" spans="1:17" x14ac:dyDescent="0.4">
      <c r="A222" s="166" t="s">
        <v>896</v>
      </c>
      <c r="B222" s="166">
        <f>Закуп!R222</f>
        <v>550</v>
      </c>
      <c r="C222" s="166">
        <f>Закуп!S222</f>
        <v>260</v>
      </c>
      <c r="D222" s="166">
        <f>Закуп!T222</f>
        <v>25</v>
      </c>
      <c r="E222" s="166" t="s">
        <v>897</v>
      </c>
      <c r="F222" s="167" t="str">
        <f>SUBSTITUTE(INDEX(Calc!$K:$K,(ROW(A221)-1)*5+COLUMN(A221)+1),",",".")</f>
        <v>2.34</v>
      </c>
      <c r="G222" s="167" t="str">
        <f>SUBSTITUTE(INDEX(Calc!$K:$K,(ROW(B221)-1)*5+COLUMN(B221)+1),",",".")</f>
        <v>2.13</v>
      </c>
      <c r="H222" s="167" t="str">
        <f>SUBSTITUTE(INDEX(Calc!$K:$K,(ROW(C221)-1)*5+COLUMN(C221)+1),",",".")</f>
        <v>1.66</v>
      </c>
      <c r="I222" s="167" t="str">
        <f>SUBSTITUTE(INDEX(Calc!$K:$K,(ROW(D221)-1)*5+COLUMN(D221)+1),",",".")</f>
        <v>1.43</v>
      </c>
      <c r="J222" s="167" t="str">
        <f>SUBSTITUTE(INDEX(Calc!$K:$K,(ROW(E221)-1)*5+COLUMN(E221)+1),",",".")</f>
        <v>1.34</v>
      </c>
      <c r="K222" s="166" t="s">
        <v>898</v>
      </c>
      <c r="L222" s="167" t="str">
        <f>Закуп!AA222</f>
        <v>Самосборные</v>
      </c>
      <c r="M222" s="166" t="s">
        <v>899</v>
      </c>
      <c r="N222" s="166">
        <f>IF(Закуп!L222="",0,Закуп!L222)</f>
        <v>0</v>
      </c>
      <c r="O222" s="166" t="s">
        <v>900</v>
      </c>
      <c r="P222" s="144">
        <f>Закуп!N222</f>
        <v>1</v>
      </c>
      <c r="Q222" s="210" t="str">
        <f t="shared" si="3"/>
        <v xml:space="preserve">        [ 'dims' =&gt; [550,260,25], 'prices' =&gt; [2.34,2.13,1.66,1.43,1.34], 'type' =&gt; "Самосборные", 'sale' =&gt; "0" ],</v>
      </c>
    </row>
    <row r="223" spans="1:17" x14ac:dyDescent="0.4">
      <c r="A223" s="166" t="s">
        <v>896</v>
      </c>
      <c r="B223" s="166">
        <f>Закуп!R223</f>
        <v>310</v>
      </c>
      <c r="C223" s="166">
        <f>Закуп!S223</f>
        <v>220</v>
      </c>
      <c r="D223" s="166">
        <f>Закуп!T223</f>
        <v>10</v>
      </c>
      <c r="E223" s="166" t="s">
        <v>897</v>
      </c>
      <c r="F223" s="167" t="str">
        <f>SUBSTITUTE(INDEX(Calc!$K:$K,(ROW(A222)-1)*5+COLUMN(A222)+1),",",".")</f>
        <v>1.33</v>
      </c>
      <c r="G223" s="167" t="str">
        <f>SUBSTITUTE(INDEX(Calc!$K:$K,(ROW(B222)-1)*5+COLUMN(B222)+1),",",".")</f>
        <v>1.16</v>
      </c>
      <c r="H223" s="167" t="str">
        <f>SUBSTITUTE(INDEX(Calc!$K:$K,(ROW(C222)-1)*5+COLUMN(C222)+1),",",".")</f>
        <v>0.98</v>
      </c>
      <c r="I223" s="167" t="str">
        <f>SUBSTITUTE(INDEX(Calc!$K:$K,(ROW(D222)-1)*5+COLUMN(D222)+1),",",".")</f>
        <v>0.92</v>
      </c>
      <c r="J223" s="167" t="str">
        <f>SUBSTITUTE(INDEX(Calc!$K:$K,(ROW(E222)-1)*5+COLUMN(E222)+1),",",".")</f>
        <v>0.86</v>
      </c>
      <c r="K223" s="166" t="s">
        <v>898</v>
      </c>
      <c r="L223" s="167" t="str">
        <f>Закуп!AA223</f>
        <v>Самосборные</v>
      </c>
      <c r="M223" s="166" t="s">
        <v>899</v>
      </c>
      <c r="N223" s="166">
        <f>IF(Закуп!L223="",0,Закуп!L223)</f>
        <v>0</v>
      </c>
      <c r="O223" s="166" t="s">
        <v>900</v>
      </c>
      <c r="P223" s="144">
        <f>Закуп!N223</f>
        <v>1</v>
      </c>
      <c r="Q223" s="210" t="str">
        <f t="shared" si="3"/>
        <v xml:space="preserve">        [ 'dims' =&gt; [310,220,10], 'prices' =&gt; [1.33,1.16,0.98,0.92,0.86], 'type' =&gt; "Самосборные", 'sale' =&gt; "0" ],</v>
      </c>
    </row>
    <row r="224" spans="1:17" x14ac:dyDescent="0.4">
      <c r="A224" s="166" t="s">
        <v>896</v>
      </c>
      <c r="B224" s="166">
        <f>Закуп!R224</f>
        <v>1650</v>
      </c>
      <c r="C224" s="166">
        <f>Закуп!S224</f>
        <v>340</v>
      </c>
      <c r="D224" s="166">
        <f>Закуп!T224</f>
        <v>340</v>
      </c>
      <c r="E224" s="166" t="s">
        <v>897</v>
      </c>
      <c r="F224" s="167" t="str">
        <f>SUBSTITUTE(INDEX(Calc!$K:$K,(ROW(A223)-1)*5+COLUMN(A223)+1),",",".")</f>
        <v>14</v>
      </c>
      <c r="G224" s="167" t="str">
        <f>SUBSTITUTE(INDEX(Calc!$K:$K,(ROW(B223)-1)*5+COLUMN(B223)+1),",",".")</f>
        <v>13.8</v>
      </c>
      <c r="H224" s="167" t="str">
        <f>SUBSTITUTE(INDEX(Calc!$K:$K,(ROW(C223)-1)*5+COLUMN(C223)+1),",",".")</f>
        <v>13.6</v>
      </c>
      <c r="I224" s="167" t="str">
        <f>SUBSTITUTE(INDEX(Calc!$K:$K,(ROW(D223)-1)*5+COLUMN(D223)+1),",",".")</f>
        <v>13.5</v>
      </c>
      <c r="J224" s="167" t="str">
        <f>SUBSTITUTE(INDEX(Calc!$K:$K,(ROW(E223)-1)*5+COLUMN(E223)+1),",",".")</f>
        <v>13.4</v>
      </c>
      <c r="K224" s="166" t="s">
        <v>898</v>
      </c>
      <c r="L224" s="167" t="str">
        <f>Закуп!AA224</f>
        <v>Самосборные</v>
      </c>
      <c r="M224" s="166" t="s">
        <v>899</v>
      </c>
      <c r="N224" s="166">
        <f>IF(Закуп!L224="",0,Закуп!L224)</f>
        <v>0</v>
      </c>
      <c r="O224" s="166" t="s">
        <v>900</v>
      </c>
      <c r="P224" s="144">
        <f>Закуп!N224</f>
        <v>1</v>
      </c>
      <c r="Q224" s="210" t="str">
        <f t="shared" si="3"/>
        <v xml:space="preserve">        [ 'dims' =&gt; [1650,340,340], 'prices' =&gt; [14,13.8,13.6,13.5,13.4], 'type' =&gt; "Самосборные", 'sale' =&gt; "0" ],</v>
      </c>
    </row>
    <row r="225" spans="1:17" x14ac:dyDescent="0.4">
      <c r="A225" s="166" t="s">
        <v>896</v>
      </c>
      <c r="B225" s="166">
        <f>Закуп!R225</f>
        <v>100</v>
      </c>
      <c r="C225" s="166">
        <f>Закуп!S225</f>
        <v>70</v>
      </c>
      <c r="D225" s="166">
        <f>Закуп!T225</f>
        <v>50</v>
      </c>
      <c r="E225" s="166" t="s">
        <v>897</v>
      </c>
      <c r="F225" s="167" t="str">
        <f>SUBSTITUTE(INDEX(Calc!$K:$K,(ROW(A224)-1)*5+COLUMN(A224)+1),",",".")</f>
        <v>0.5</v>
      </c>
      <c r="G225" s="167" t="str">
        <f>SUBSTITUTE(INDEX(Calc!$K:$K,(ROW(B224)-1)*5+COLUMN(B224)+1),",",".")</f>
        <v>0.5</v>
      </c>
      <c r="H225" s="167" t="str">
        <f>SUBSTITUTE(INDEX(Calc!$K:$K,(ROW(C224)-1)*5+COLUMN(C224)+1),",",".")</f>
        <v>0.5</v>
      </c>
      <c r="I225" s="167" t="str">
        <f>SUBSTITUTE(INDEX(Calc!$K:$K,(ROW(D224)-1)*5+COLUMN(D224)+1),",",".")</f>
        <v>0.5</v>
      </c>
      <c r="J225" s="167" t="str">
        <f>SUBSTITUTE(INDEX(Calc!$K:$K,(ROW(E224)-1)*5+COLUMN(E224)+1),",",".")</f>
        <v>0.5</v>
      </c>
      <c r="K225" s="166" t="s">
        <v>898</v>
      </c>
      <c r="L225" s="167" t="str">
        <f>Закуп!AA225</f>
        <v>Самосборные</v>
      </c>
      <c r="M225" s="166" t="s">
        <v>899</v>
      </c>
      <c r="N225" s="166" t="str">
        <f>IF(Закуп!L225="",0,Закуп!L225)</f>
        <v>Sale</v>
      </c>
      <c r="O225" s="166" t="s">
        <v>900</v>
      </c>
      <c r="P225" s="144">
        <f>Закуп!N225</f>
        <v>1</v>
      </c>
      <c r="Q225" s="210" t="str">
        <f t="shared" si="3"/>
        <v xml:space="preserve">        [ 'dims' =&gt; [100,70,50], 'prices' =&gt; [0.5,0.5,0.5,0.5,0.5], 'type' =&gt; "Самосборные", 'sale' =&gt; "Sale" ],</v>
      </c>
    </row>
    <row r="226" spans="1:17" x14ac:dyDescent="0.4">
      <c r="A226" s="166" t="s">
        <v>896</v>
      </c>
      <c r="B226" s="166">
        <f>Закуп!R226</f>
        <v>100</v>
      </c>
      <c r="C226" s="166">
        <f>Закуп!S226</f>
        <v>85</v>
      </c>
      <c r="D226" s="166">
        <f>Закуп!T226</f>
        <v>50</v>
      </c>
      <c r="E226" s="166" t="s">
        <v>897</v>
      </c>
      <c r="F226" s="167" t="str">
        <f>SUBSTITUTE(INDEX(Calc!$K:$K,(ROW(A225)-1)*5+COLUMN(A225)+1),",",".")</f>
        <v>1.07</v>
      </c>
      <c r="G226" s="167" t="str">
        <f>SUBSTITUTE(INDEX(Calc!$K:$K,(ROW(B225)-1)*5+COLUMN(B225)+1),",",".")</f>
        <v>0.91</v>
      </c>
      <c r="H226" s="167" t="str">
        <f>SUBSTITUTE(INDEX(Calc!$K:$K,(ROW(C225)-1)*5+COLUMN(C225)+1),",",".")</f>
        <v>0.75</v>
      </c>
      <c r="I226" s="167" t="str">
        <f>SUBSTITUTE(INDEX(Calc!$K:$K,(ROW(D225)-1)*5+COLUMN(D225)+1),",",".")</f>
        <v>0.64</v>
      </c>
      <c r="J226" s="167" t="str">
        <f>SUBSTITUTE(INDEX(Calc!$K:$K,(ROW(E225)-1)*5+COLUMN(E225)+1),",",".")</f>
        <v>0.54</v>
      </c>
      <c r="K226" s="166" t="s">
        <v>898</v>
      </c>
      <c r="L226" s="167" t="str">
        <f>Закуп!AA226</f>
        <v>Самосборные</v>
      </c>
      <c r="M226" s="166" t="s">
        <v>899</v>
      </c>
      <c r="N226" s="166">
        <f>IF(Закуп!L226="",0,Закуп!L226)</f>
        <v>0</v>
      </c>
      <c r="O226" s="166" t="s">
        <v>900</v>
      </c>
      <c r="P226" s="144">
        <f>Закуп!N226</f>
        <v>1</v>
      </c>
      <c r="Q226" s="210" t="str">
        <f t="shared" si="3"/>
        <v xml:space="preserve">        [ 'dims' =&gt; [100,85,50], 'prices' =&gt; [1.07,0.91,0.75,0.64,0.54], 'type' =&gt; "Самосборные", 'sale' =&gt; "0" ],</v>
      </c>
    </row>
    <row r="227" spans="1:17" x14ac:dyDescent="0.4">
      <c r="A227" s="166" t="s">
        <v>896</v>
      </c>
      <c r="B227" s="166">
        <f>Закуп!R227</f>
        <v>110</v>
      </c>
      <c r="C227" s="166">
        <f>Закуп!S227</f>
        <v>60</v>
      </c>
      <c r="D227" s="166">
        <f>Закуп!T227</f>
        <v>30</v>
      </c>
      <c r="E227" s="166" t="s">
        <v>897</v>
      </c>
      <c r="F227" s="167" t="str">
        <f>SUBSTITUTE(INDEX(Calc!$K:$K,(ROW(A226)-1)*5+COLUMN(A226)+1),",",".")</f>
        <v>0.5</v>
      </c>
      <c r="G227" s="167" t="str">
        <f>SUBSTITUTE(INDEX(Calc!$K:$K,(ROW(B226)-1)*5+COLUMN(B226)+1),",",".")</f>
        <v>0.5</v>
      </c>
      <c r="H227" s="167" t="str">
        <f>SUBSTITUTE(INDEX(Calc!$K:$K,(ROW(C226)-1)*5+COLUMN(C226)+1),",",".")</f>
        <v>0.5</v>
      </c>
      <c r="I227" s="167" t="str">
        <f>SUBSTITUTE(INDEX(Calc!$K:$K,(ROW(D226)-1)*5+COLUMN(D226)+1),",",".")</f>
        <v>0.5</v>
      </c>
      <c r="J227" s="167" t="str">
        <f>SUBSTITUTE(INDEX(Calc!$K:$K,(ROW(E226)-1)*5+COLUMN(E226)+1),",",".")</f>
        <v>0.5</v>
      </c>
      <c r="K227" s="166" t="s">
        <v>898</v>
      </c>
      <c r="L227" s="167" t="str">
        <f>Закуп!AA227</f>
        <v>Самосборные</v>
      </c>
      <c r="M227" s="166" t="s">
        <v>899</v>
      </c>
      <c r="N227" s="166" t="str">
        <f>IF(Закуп!L227="",0,Закуп!L227)</f>
        <v>Sale</v>
      </c>
      <c r="O227" s="166" t="s">
        <v>900</v>
      </c>
      <c r="P227" s="144">
        <f>Закуп!N227</f>
        <v>1</v>
      </c>
      <c r="Q227" s="210" t="str">
        <f t="shared" si="3"/>
        <v xml:space="preserve">        [ 'dims' =&gt; [110,60,30], 'prices' =&gt; [0.5,0.5,0.5,0.5,0.5], 'type' =&gt; "Самосборные", 'sale' =&gt; "Sale" ],</v>
      </c>
    </row>
    <row r="228" spans="1:17" hidden="1" x14ac:dyDescent="0.4">
      <c r="A228" s="166" t="s">
        <v>896</v>
      </c>
      <c r="B228" s="166">
        <f>Закуп!R228</f>
        <v>120</v>
      </c>
      <c r="C228" s="166">
        <f>Закуп!S228</f>
        <v>90</v>
      </c>
      <c r="D228" s="166">
        <f>Закуп!T228</f>
        <v>25</v>
      </c>
      <c r="E228" s="166" t="s">
        <v>897</v>
      </c>
      <c r="F228" s="167" t="str">
        <f>SUBSTITUTE(INDEX(Calc!$K:$K,(ROW(A227)-1)*5+COLUMN(A227)+1),",",".")</f>
        <v>0.5</v>
      </c>
      <c r="G228" s="167" t="str">
        <f>SUBSTITUTE(INDEX(Calc!$K:$K,(ROW(B227)-1)*5+COLUMN(B227)+1),",",".")</f>
        <v>0.5</v>
      </c>
      <c r="H228" s="167" t="str">
        <f>SUBSTITUTE(INDEX(Calc!$K:$K,(ROW(C227)-1)*5+COLUMN(C227)+1),",",".")</f>
        <v>0.5</v>
      </c>
      <c r="I228" s="167" t="str">
        <f>SUBSTITUTE(INDEX(Calc!$K:$K,(ROW(D227)-1)*5+COLUMN(D227)+1),",",".")</f>
        <v>0.5</v>
      </c>
      <c r="J228" s="167" t="str">
        <f>SUBSTITUTE(INDEX(Calc!$K:$K,(ROW(E227)-1)*5+COLUMN(E227)+1),",",".")</f>
        <v>0.5</v>
      </c>
      <c r="K228" s="166" t="s">
        <v>898</v>
      </c>
      <c r="L228" s="167" t="str">
        <f>Закуп!AA228</f>
        <v>Самосборные</v>
      </c>
      <c r="M228" s="166" t="s">
        <v>899</v>
      </c>
      <c r="N228" s="166" t="str">
        <f>IF(Закуп!L228="",0,Закуп!L228)</f>
        <v>Sale</v>
      </c>
      <c r="O228" s="166" t="s">
        <v>900</v>
      </c>
      <c r="P228" s="144">
        <f>Закуп!N228</f>
        <v>0</v>
      </c>
      <c r="Q228" s="210" t="str">
        <f t="shared" si="3"/>
        <v xml:space="preserve">        [ 'dims' =&gt; [120,90,25], 'prices' =&gt; [0.5,0.5,0.5,0.5,0.5], 'type' =&gt; "Самосборные", 'sale' =&gt; "Sale" ],</v>
      </c>
    </row>
    <row r="229" spans="1:17" hidden="1" x14ac:dyDescent="0.4">
      <c r="A229" s="166" t="s">
        <v>896</v>
      </c>
      <c r="B229" s="166">
        <f>Закуп!R229</f>
        <v>180</v>
      </c>
      <c r="C229" s="166">
        <f>Закуп!S229</f>
        <v>125</v>
      </c>
      <c r="D229" s="166">
        <f>Закуп!T229</f>
        <v>125</v>
      </c>
      <c r="E229" s="166" t="s">
        <v>897</v>
      </c>
      <c r="F229" s="167" t="str">
        <f>SUBSTITUTE(INDEX(Calc!$K:$K,(ROW(A228)-1)*5+COLUMN(A228)+1),",",".")</f>
        <v>0.75</v>
      </c>
      <c r="G229" s="167" t="str">
        <f>SUBSTITUTE(INDEX(Calc!$K:$K,(ROW(B228)-1)*5+COLUMN(B228)+1),",",".")</f>
        <v>0.75</v>
      </c>
      <c r="H229" s="167" t="str">
        <f>SUBSTITUTE(INDEX(Calc!$K:$K,(ROW(C228)-1)*5+COLUMN(C228)+1),",",".")</f>
        <v>0.75</v>
      </c>
      <c r="I229" s="167" t="str">
        <f>SUBSTITUTE(INDEX(Calc!$K:$K,(ROW(D228)-1)*5+COLUMN(D228)+1),",",".")</f>
        <v>0.75</v>
      </c>
      <c r="J229" s="167" t="str">
        <f>SUBSTITUTE(INDEX(Calc!$K:$K,(ROW(E228)-1)*5+COLUMN(E228)+1),",",".")</f>
        <v>0.75</v>
      </c>
      <c r="K229" s="166" t="s">
        <v>898</v>
      </c>
      <c r="L229" s="167" t="str">
        <f>Закуп!AA229</f>
        <v>Самосборные</v>
      </c>
      <c r="M229" s="166" t="s">
        <v>899</v>
      </c>
      <c r="N229" s="166" t="str">
        <f>IF(Закуп!L229="",0,Закуп!L229)</f>
        <v>Sale</v>
      </c>
      <c r="O229" s="166" t="s">
        <v>900</v>
      </c>
      <c r="P229" s="144">
        <f>Закуп!N229</f>
        <v>0</v>
      </c>
      <c r="Q229" s="210" t="str">
        <f t="shared" si="3"/>
        <v xml:space="preserve">        [ 'dims' =&gt; [180,125,125], 'prices' =&gt; [0.75,0.75,0.75,0.75,0.75], 'type' =&gt; "Самосборные", 'sale' =&gt; "Sale" ],</v>
      </c>
    </row>
    <row r="230" spans="1:17" x14ac:dyDescent="0.4">
      <c r="A230" s="166" t="s">
        <v>896</v>
      </c>
      <c r="B230" s="166">
        <f>Закуп!R230</f>
        <v>190</v>
      </c>
      <c r="C230" s="166">
        <f>Закуп!S230</f>
        <v>130</v>
      </c>
      <c r="D230" s="166">
        <f>Закуп!T230</f>
        <v>35</v>
      </c>
      <c r="E230" s="166" t="s">
        <v>897</v>
      </c>
      <c r="F230" s="167" t="str">
        <f>SUBSTITUTE(INDEX(Calc!$K:$K,(ROW(A229)-1)*5+COLUMN(A229)+1),",",".")</f>
        <v>1.07</v>
      </c>
      <c r="G230" s="167" t="str">
        <f>SUBSTITUTE(INDEX(Calc!$K:$K,(ROW(B229)-1)*5+COLUMN(B229)+1),",",".")</f>
        <v>0.91</v>
      </c>
      <c r="H230" s="167" t="str">
        <f>SUBSTITUTE(INDEX(Calc!$K:$K,(ROW(C229)-1)*5+COLUMN(C229)+1),",",".")</f>
        <v>0.75</v>
      </c>
      <c r="I230" s="167" t="str">
        <f>SUBSTITUTE(INDEX(Calc!$K:$K,(ROW(D229)-1)*5+COLUMN(D229)+1),",",".")</f>
        <v>0.64</v>
      </c>
      <c r="J230" s="167" t="str">
        <f>SUBSTITUTE(INDEX(Calc!$K:$K,(ROW(E229)-1)*5+COLUMN(E229)+1),",",".")</f>
        <v>0.54</v>
      </c>
      <c r="K230" s="166" t="s">
        <v>898</v>
      </c>
      <c r="L230" s="167" t="str">
        <f>Закуп!AA230</f>
        <v>Самосборные</v>
      </c>
      <c r="M230" s="166" t="s">
        <v>899</v>
      </c>
      <c r="N230" s="166">
        <f>IF(Закуп!L230="",0,Закуп!L230)</f>
        <v>0</v>
      </c>
      <c r="O230" s="166" t="s">
        <v>900</v>
      </c>
      <c r="P230" s="144">
        <f>Закуп!N230</f>
        <v>1</v>
      </c>
      <c r="Q230" s="210" t="str">
        <f t="shared" si="3"/>
        <v xml:space="preserve">        [ 'dims' =&gt; [190,130,35], 'prices' =&gt; [1.07,0.91,0.75,0.64,0.54], 'type' =&gt; "Самосборные", 'sale' =&gt; "0" ],</v>
      </c>
    </row>
    <row r="231" spans="1:17" x14ac:dyDescent="0.4">
      <c r="A231" s="166" t="s">
        <v>896</v>
      </c>
      <c r="B231" s="166">
        <f>Закуп!R231</f>
        <v>200</v>
      </c>
      <c r="C231" s="166">
        <f>Закуп!S231</f>
        <v>150</v>
      </c>
      <c r="D231" s="166">
        <f>Закуп!T231</f>
        <v>65</v>
      </c>
      <c r="E231" s="166" t="s">
        <v>897</v>
      </c>
      <c r="F231" s="167" t="str">
        <f>SUBSTITUTE(INDEX(Calc!$K:$K,(ROW(A230)-1)*5+COLUMN(A230)+1),",",".")</f>
        <v>1.41</v>
      </c>
      <c r="G231" s="167" t="str">
        <f>SUBSTITUTE(INDEX(Calc!$K:$K,(ROW(B230)-1)*5+COLUMN(B230)+1),",",".")</f>
        <v>1.23</v>
      </c>
      <c r="H231" s="167" t="str">
        <f>SUBSTITUTE(INDEX(Calc!$K:$K,(ROW(C230)-1)*5+COLUMN(C230)+1),",",".")</f>
        <v>1.05</v>
      </c>
      <c r="I231" s="167" t="str">
        <f>SUBSTITUTE(INDEX(Calc!$K:$K,(ROW(D230)-1)*5+COLUMN(D230)+1),",",".")</f>
        <v>0.98</v>
      </c>
      <c r="J231" s="167" t="str">
        <f>SUBSTITUTE(INDEX(Calc!$K:$K,(ROW(E230)-1)*5+COLUMN(E230)+1),",",".")</f>
        <v>0.92</v>
      </c>
      <c r="K231" s="166" t="s">
        <v>898</v>
      </c>
      <c r="L231" s="167" t="str">
        <f>Закуп!AA231</f>
        <v>Самосборные</v>
      </c>
      <c r="M231" s="166" t="s">
        <v>899</v>
      </c>
      <c r="N231" s="166">
        <f>IF(Закуп!L231="",0,Закуп!L231)</f>
        <v>0</v>
      </c>
      <c r="O231" s="166" t="s">
        <v>900</v>
      </c>
      <c r="P231" s="144">
        <f>Закуп!N231</f>
        <v>1</v>
      </c>
      <c r="Q231" s="210" t="str">
        <f t="shared" si="3"/>
        <v xml:space="preserve">        [ 'dims' =&gt; [200,150,65], 'prices' =&gt; [1.41,1.23,1.05,0.98,0.92], 'type' =&gt; "Самосборные", 'sale' =&gt; "0" ],</v>
      </c>
    </row>
    <row r="232" spans="1:17" x14ac:dyDescent="0.4">
      <c r="A232" s="166" t="s">
        <v>896</v>
      </c>
      <c r="B232" s="166">
        <f>Закуп!R232</f>
        <v>210</v>
      </c>
      <c r="C232" s="166">
        <f>Закуп!S232</f>
        <v>160</v>
      </c>
      <c r="D232" s="166">
        <f>Закуп!T232</f>
        <v>125</v>
      </c>
      <c r="E232" s="166" t="s">
        <v>897</v>
      </c>
      <c r="F232" s="167" t="str">
        <f>SUBSTITUTE(INDEX(Calc!$K:$K,(ROW(A231)-1)*5+COLUMN(A231)+1),",",".")</f>
        <v>1.3</v>
      </c>
      <c r="G232" s="167" t="str">
        <f>SUBSTITUTE(INDEX(Calc!$K:$K,(ROW(B231)-1)*5+COLUMN(B231)+1),",",".")</f>
        <v>1.3</v>
      </c>
      <c r="H232" s="167" t="str">
        <f>SUBSTITUTE(INDEX(Calc!$K:$K,(ROW(C231)-1)*5+COLUMN(C231)+1),",",".")</f>
        <v>1.3</v>
      </c>
      <c r="I232" s="167" t="str">
        <f>SUBSTITUTE(INDEX(Calc!$K:$K,(ROW(D231)-1)*5+COLUMN(D231)+1),",",".")</f>
        <v>1.3</v>
      </c>
      <c r="J232" s="167" t="str">
        <f>SUBSTITUTE(INDEX(Calc!$K:$K,(ROW(E231)-1)*5+COLUMN(E231)+1),",",".")</f>
        <v>1.3</v>
      </c>
      <c r="K232" s="166" t="s">
        <v>898</v>
      </c>
      <c r="L232" s="167" t="str">
        <f>Закуп!AA232</f>
        <v>Самосборные</v>
      </c>
      <c r="M232" s="166" t="s">
        <v>899</v>
      </c>
      <c r="N232" s="166" t="str">
        <f>IF(Закуп!L232="",0,Закуп!L232)</f>
        <v>Sale</v>
      </c>
      <c r="O232" s="166" t="s">
        <v>900</v>
      </c>
      <c r="P232" s="144">
        <f>Закуп!N232</f>
        <v>1</v>
      </c>
      <c r="Q232" s="210" t="str">
        <f t="shared" si="3"/>
        <v xml:space="preserve">        [ 'dims' =&gt; [210,160,125], 'prices' =&gt; [1.3,1.3,1.3,1.3,1.3], 'type' =&gt; "Самосборные", 'sale' =&gt; "Sale" ],</v>
      </c>
    </row>
    <row r="233" spans="1:17" x14ac:dyDescent="0.4">
      <c r="A233" s="166" t="s">
        <v>896</v>
      </c>
      <c r="B233" s="166">
        <f>Закуп!R233</f>
        <v>214</v>
      </c>
      <c r="C233" s="166">
        <f>Закуп!S233</f>
        <v>186</v>
      </c>
      <c r="D233" s="166">
        <f>Закуп!T233</f>
        <v>175</v>
      </c>
      <c r="E233" s="166" t="s">
        <v>897</v>
      </c>
      <c r="F233" s="167" t="str">
        <f>SUBSTITUTE(INDEX(Calc!$K:$K,(ROW(A232)-1)*5+COLUMN(A232)+1),",",".")</f>
        <v>1.35</v>
      </c>
      <c r="G233" s="167" t="str">
        <f>SUBSTITUTE(INDEX(Calc!$K:$K,(ROW(B232)-1)*5+COLUMN(B232)+1),",",".")</f>
        <v>1.35</v>
      </c>
      <c r="H233" s="167" t="str">
        <f>SUBSTITUTE(INDEX(Calc!$K:$K,(ROW(C232)-1)*5+COLUMN(C232)+1),",",".")</f>
        <v>1.35</v>
      </c>
      <c r="I233" s="167" t="str">
        <f>SUBSTITUTE(INDEX(Calc!$K:$K,(ROW(D232)-1)*5+COLUMN(D232)+1),",",".")</f>
        <v>1.35</v>
      </c>
      <c r="J233" s="167" t="str">
        <f>SUBSTITUTE(INDEX(Calc!$K:$K,(ROW(E232)-1)*5+COLUMN(E232)+1),",",".")</f>
        <v>1.35</v>
      </c>
      <c r="K233" s="166" t="s">
        <v>898</v>
      </c>
      <c r="L233" s="167" t="str">
        <f>Закуп!AA233</f>
        <v>Самосборные</v>
      </c>
      <c r="M233" s="166" t="s">
        <v>899</v>
      </c>
      <c r="N233" s="166" t="str">
        <f>IF(Закуп!L233="",0,Закуп!L233)</f>
        <v>Sale</v>
      </c>
      <c r="O233" s="166" t="s">
        <v>900</v>
      </c>
      <c r="P233" s="144">
        <f>Закуп!N233</f>
        <v>1</v>
      </c>
      <c r="Q233" s="210" t="str">
        <f t="shared" si="3"/>
        <v xml:space="preserve">        [ 'dims' =&gt; [214,186,175], 'prices' =&gt; [1.35,1.35,1.35,1.35,1.35], 'type' =&gt; "Самосборные", 'sale' =&gt; "Sale" ],</v>
      </c>
    </row>
    <row r="234" spans="1:17" hidden="1" x14ac:dyDescent="0.4">
      <c r="A234" s="47" t="s">
        <v>896</v>
      </c>
      <c r="B234" s="47" t="str">
        <f>Закуп!R234</f>
        <v/>
      </c>
      <c r="C234" s="47" t="str">
        <f>Закуп!S234</f>
        <v/>
      </c>
      <c r="D234" s="47" t="str">
        <f>Закуп!T234</f>
        <v/>
      </c>
      <c r="E234" s="47" t="s">
        <v>897</v>
      </c>
      <c r="F234" s="100" t="str">
        <f>SUBSTITUTE(INDEX(Calc!$K:$K,(ROW(A233)-1)*5+COLUMN(A233)+1),",",".")</f>
        <v>0.75</v>
      </c>
      <c r="G234" s="100" t="str">
        <f>SUBSTITUTE(INDEX(Calc!$K:$K,(ROW(B233)-1)*5+COLUMN(B233)+1),",",".")</f>
        <v>0.75</v>
      </c>
      <c r="H234" s="100" t="str">
        <f>SUBSTITUTE(INDEX(Calc!$K:$K,(ROW(C233)-1)*5+COLUMN(C233)+1),",",".")</f>
        <v>0.75</v>
      </c>
      <c r="I234" s="100" t="str">
        <f>SUBSTITUTE(INDEX(Calc!$K:$K,(ROW(D233)-1)*5+COLUMN(D233)+1),",",".")</f>
        <v>0.75</v>
      </c>
      <c r="J234" s="100" t="str">
        <f>SUBSTITUTE(INDEX(Calc!$K:$K,(ROW(E233)-1)*5+COLUMN(E233)+1),",",".")</f>
        <v>0.75</v>
      </c>
      <c r="K234" s="47" t="s">
        <v>898</v>
      </c>
      <c r="L234" s="100" t="str">
        <f>Закуп!AA234</f>
        <v>Самосборные</v>
      </c>
      <c r="M234" s="47" t="s">
        <v>899</v>
      </c>
      <c r="N234" s="47" t="str">
        <f>IF(Закуп!L234="",0,Закуп!L234)</f>
        <v>Sale</v>
      </c>
      <c r="O234" s="47" t="s">
        <v>900</v>
      </c>
      <c r="P234" s="165">
        <f>Закуп!N234</f>
        <v>0</v>
      </c>
      <c r="Q234" s="8" t="str">
        <f t="shared" si="3"/>
        <v xml:space="preserve">        [ 'dims' =&gt; [,,], 'prices' =&gt; [0.75,0.75,0.75,0.75,0.75], 'type' =&gt; "Самосборные", 'sale' =&gt; "Sale" ],</v>
      </c>
    </row>
    <row r="235" spans="1:17" x14ac:dyDescent="0.4">
      <c r="A235" s="166" t="s">
        <v>896</v>
      </c>
      <c r="B235" s="166">
        <f>Закуп!R235</f>
        <v>230</v>
      </c>
      <c r="C235" s="166">
        <f>Закуп!S235</f>
        <v>65</v>
      </c>
      <c r="D235" s="166">
        <f>Закуп!T235</f>
        <v>50</v>
      </c>
      <c r="E235" s="166" t="s">
        <v>897</v>
      </c>
      <c r="F235" s="167" t="str">
        <f>SUBSTITUTE(INDEX(Calc!$K:$K,(ROW(A234)-1)*5+COLUMN(A234)+1),",",".")</f>
        <v>1.07</v>
      </c>
      <c r="G235" s="167" t="str">
        <f>SUBSTITUTE(INDEX(Calc!$K:$K,(ROW(B234)-1)*5+COLUMN(B234)+1),",",".")</f>
        <v>0.91</v>
      </c>
      <c r="H235" s="167" t="str">
        <f>SUBSTITUTE(INDEX(Calc!$K:$K,(ROW(C234)-1)*5+COLUMN(C234)+1),",",".")</f>
        <v>0.75</v>
      </c>
      <c r="I235" s="167" t="str">
        <f>SUBSTITUTE(INDEX(Calc!$K:$K,(ROW(D234)-1)*5+COLUMN(D234)+1),",",".")</f>
        <v>0.64</v>
      </c>
      <c r="J235" s="167" t="str">
        <f>SUBSTITUTE(INDEX(Calc!$K:$K,(ROW(E234)-1)*5+COLUMN(E234)+1),",",".")</f>
        <v>0.57</v>
      </c>
      <c r="K235" s="166" t="s">
        <v>898</v>
      </c>
      <c r="L235" s="167" t="str">
        <f>Закуп!AA235</f>
        <v>Самосборные</v>
      </c>
      <c r="M235" s="166" t="s">
        <v>899</v>
      </c>
      <c r="N235" s="166">
        <f>IF(Закуп!L235="",0,Закуп!L235)</f>
        <v>0</v>
      </c>
      <c r="O235" s="166" t="s">
        <v>900</v>
      </c>
      <c r="P235" s="144">
        <f>Закуп!N235</f>
        <v>1</v>
      </c>
      <c r="Q235" s="210" t="str">
        <f t="shared" si="3"/>
        <v xml:space="preserve">        [ 'dims' =&gt; [230,65,50], 'prices' =&gt; [1.07,0.91,0.75,0.64,0.57], 'type' =&gt; "Самосборные", 'sale' =&gt; "0" ],</v>
      </c>
    </row>
    <row r="236" spans="1:17" x14ac:dyDescent="0.4">
      <c r="A236" s="166" t="s">
        <v>896</v>
      </c>
      <c r="B236" s="166">
        <f>Закуп!R236</f>
        <v>245</v>
      </c>
      <c r="C236" s="166">
        <f>Закуп!S236</f>
        <v>210</v>
      </c>
      <c r="D236" s="166">
        <f>Закуп!T236</f>
        <v>83</v>
      </c>
      <c r="E236" s="166" t="s">
        <v>897</v>
      </c>
      <c r="F236" s="167" t="str">
        <f>SUBSTITUTE(INDEX(Calc!$K:$K,(ROW(A235)-1)*5+COLUMN(A235)+1),",",".")</f>
        <v>1.15</v>
      </c>
      <c r="G236" s="167" t="str">
        <f>SUBSTITUTE(INDEX(Calc!$K:$K,(ROW(B235)-1)*5+COLUMN(B235)+1),",",".")</f>
        <v>1.15</v>
      </c>
      <c r="H236" s="167" t="str">
        <f>SUBSTITUTE(INDEX(Calc!$K:$K,(ROW(C235)-1)*5+COLUMN(C235)+1),",",".")</f>
        <v>1.15</v>
      </c>
      <c r="I236" s="167" t="str">
        <f>SUBSTITUTE(INDEX(Calc!$K:$K,(ROW(D235)-1)*5+COLUMN(D235)+1),",",".")</f>
        <v>1.15</v>
      </c>
      <c r="J236" s="167" t="str">
        <f>SUBSTITUTE(INDEX(Calc!$K:$K,(ROW(E235)-1)*5+COLUMN(E235)+1),",",".")</f>
        <v>1.15</v>
      </c>
      <c r="K236" s="166" t="s">
        <v>898</v>
      </c>
      <c r="L236" s="167" t="str">
        <f>Закуп!AA236</f>
        <v>Самосборные</v>
      </c>
      <c r="M236" s="166" t="s">
        <v>899</v>
      </c>
      <c r="N236" s="166" t="str">
        <f>IF(Закуп!L236="",0,Закуп!L236)</f>
        <v>Sale</v>
      </c>
      <c r="O236" s="166" t="s">
        <v>900</v>
      </c>
      <c r="P236" s="144">
        <f>Закуп!N236</f>
        <v>1</v>
      </c>
      <c r="Q236" s="210" t="str">
        <f t="shared" si="3"/>
        <v xml:space="preserve">        [ 'dims' =&gt; [245,210,83], 'prices' =&gt; [1.15,1.15,1.15,1.15,1.15], 'type' =&gt; "Самосборные", 'sale' =&gt; "Sale" ],</v>
      </c>
    </row>
    <row r="237" spans="1:17" x14ac:dyDescent="0.4">
      <c r="A237" s="166" t="s">
        <v>896</v>
      </c>
      <c r="B237" s="166">
        <f>Закуп!R237</f>
        <v>251</v>
      </c>
      <c r="C237" s="166">
        <f>Закуп!S237</f>
        <v>111</v>
      </c>
      <c r="D237" s="166">
        <f>Закуп!T237</f>
        <v>117</v>
      </c>
      <c r="E237" s="166" t="s">
        <v>897</v>
      </c>
      <c r="F237" s="167" t="str">
        <f>SUBSTITUTE(INDEX(Calc!$K:$K,(ROW(A236)-1)*5+COLUMN(A236)+1),",",".")</f>
        <v>0.8</v>
      </c>
      <c r="G237" s="167" t="str">
        <f>SUBSTITUTE(INDEX(Calc!$K:$K,(ROW(B236)-1)*5+COLUMN(B236)+1),",",".")</f>
        <v>0.8</v>
      </c>
      <c r="H237" s="167" t="str">
        <f>SUBSTITUTE(INDEX(Calc!$K:$K,(ROW(C236)-1)*5+COLUMN(C236)+1),",",".")</f>
        <v>0.8</v>
      </c>
      <c r="I237" s="167" t="str">
        <f>SUBSTITUTE(INDEX(Calc!$K:$K,(ROW(D236)-1)*5+COLUMN(D236)+1),",",".")</f>
        <v>0.8</v>
      </c>
      <c r="J237" s="167" t="str">
        <f>SUBSTITUTE(INDEX(Calc!$K:$K,(ROW(E236)-1)*5+COLUMN(E236)+1),",",".")</f>
        <v>0.8</v>
      </c>
      <c r="K237" s="166" t="s">
        <v>898</v>
      </c>
      <c r="L237" s="167" t="str">
        <f>Закуп!AA237</f>
        <v>Самосборные</v>
      </c>
      <c r="M237" s="166" t="s">
        <v>899</v>
      </c>
      <c r="N237" s="166" t="str">
        <f>IF(Закуп!L237="",0,Закуп!L237)</f>
        <v>Sale</v>
      </c>
      <c r="O237" s="166" t="s">
        <v>900</v>
      </c>
      <c r="P237" s="144">
        <f>Закуп!N237</f>
        <v>1</v>
      </c>
      <c r="Q237" s="210" t="str">
        <f t="shared" si="3"/>
        <v xml:space="preserve">        [ 'dims' =&gt; [251,111,117], 'prices' =&gt; [0.8,0.8,0.8,0.8,0.8], 'type' =&gt; "Самосборные", 'sale' =&gt; "Sale" ],</v>
      </c>
    </row>
    <row r="238" spans="1:17" hidden="1" x14ac:dyDescent="0.4">
      <c r="A238" s="47" t="s">
        <v>896</v>
      </c>
      <c r="B238" s="47" t="str">
        <f>Закуп!R238</f>
        <v/>
      </c>
      <c r="C238" s="47" t="str">
        <f>Закуп!S238</f>
        <v/>
      </c>
      <c r="D238" s="47" t="str">
        <f>Закуп!T238</f>
        <v/>
      </c>
      <c r="E238" s="47" t="s">
        <v>897</v>
      </c>
      <c r="F238" s="100" t="str">
        <f>SUBSTITUTE(INDEX(Calc!$K:$K,(ROW(A237)-1)*5+COLUMN(A237)+1),",",".")</f>
        <v>0.65</v>
      </c>
      <c r="G238" s="100" t="str">
        <f>SUBSTITUTE(INDEX(Calc!$K:$K,(ROW(B237)-1)*5+COLUMN(B237)+1),",",".")</f>
        <v>0.65</v>
      </c>
      <c r="H238" s="100" t="str">
        <f>SUBSTITUTE(INDEX(Calc!$K:$K,(ROW(C237)-1)*5+COLUMN(C237)+1),",",".")</f>
        <v>0.65</v>
      </c>
      <c r="I238" s="100" t="str">
        <f>SUBSTITUTE(INDEX(Calc!$K:$K,(ROW(D237)-1)*5+COLUMN(D237)+1),",",".")</f>
        <v>0.65</v>
      </c>
      <c r="J238" s="100" t="str">
        <f>SUBSTITUTE(INDEX(Calc!$K:$K,(ROW(E237)-1)*5+COLUMN(E237)+1),",",".")</f>
        <v>0.65</v>
      </c>
      <c r="K238" s="47" t="s">
        <v>898</v>
      </c>
      <c r="L238" s="100" t="str">
        <f>Закуп!AA238</f>
        <v>Самосборные</v>
      </c>
      <c r="M238" s="47" t="s">
        <v>899</v>
      </c>
      <c r="N238" s="47" t="str">
        <f>IF(Закуп!L238="",0,Закуп!L238)</f>
        <v>Sale</v>
      </c>
      <c r="O238" s="47" t="s">
        <v>900</v>
      </c>
      <c r="P238" s="165">
        <f>Закуп!N238</f>
        <v>0</v>
      </c>
      <c r="Q238" s="8" t="str">
        <f t="shared" si="3"/>
        <v xml:space="preserve">        [ 'dims' =&gt; [,,], 'prices' =&gt; [0.65,0.65,0.65,0.65,0.65], 'type' =&gt; "Самосборные", 'sale' =&gt; "Sale" ],</v>
      </c>
    </row>
    <row r="239" spans="1:17" x14ac:dyDescent="0.4">
      <c r="A239" s="166" t="s">
        <v>896</v>
      </c>
      <c r="B239" s="166">
        <f>Закуп!R239</f>
        <v>290</v>
      </c>
      <c r="C239" s="166">
        <f>Закуп!S239</f>
        <v>120</v>
      </c>
      <c r="D239" s="166">
        <f>Закуп!T239</f>
        <v>110</v>
      </c>
      <c r="E239" s="166" t="s">
        <v>897</v>
      </c>
      <c r="F239" s="167" t="str">
        <f>SUBSTITUTE(INDEX(Calc!$K:$K,(ROW(A238)-1)*5+COLUMN(A238)+1),",",".")</f>
        <v>0.85</v>
      </c>
      <c r="G239" s="167" t="str">
        <f>SUBSTITUTE(INDEX(Calc!$K:$K,(ROW(B238)-1)*5+COLUMN(B238)+1),",",".")</f>
        <v>0.85</v>
      </c>
      <c r="H239" s="167" t="str">
        <f>SUBSTITUTE(INDEX(Calc!$K:$K,(ROW(C238)-1)*5+COLUMN(C238)+1),",",".")</f>
        <v>0.85</v>
      </c>
      <c r="I239" s="167" t="str">
        <f>SUBSTITUTE(INDEX(Calc!$K:$K,(ROW(D238)-1)*5+COLUMN(D238)+1),",",".")</f>
        <v>0.85</v>
      </c>
      <c r="J239" s="167" t="str">
        <f>SUBSTITUTE(INDEX(Calc!$K:$K,(ROW(E238)-1)*5+COLUMN(E238)+1),",",".")</f>
        <v>0.85</v>
      </c>
      <c r="K239" s="166" t="s">
        <v>898</v>
      </c>
      <c r="L239" s="167" t="str">
        <f>Закуп!AA239</f>
        <v>Самосборные</v>
      </c>
      <c r="M239" s="166" t="s">
        <v>899</v>
      </c>
      <c r="N239" s="166" t="str">
        <f>IF(Закуп!L239="",0,Закуп!L239)</f>
        <v>Sale</v>
      </c>
      <c r="O239" s="166" t="s">
        <v>900</v>
      </c>
      <c r="P239" s="144">
        <f>Закуп!N239</f>
        <v>1</v>
      </c>
      <c r="Q239" s="210" t="str">
        <f t="shared" si="3"/>
        <v xml:space="preserve">        [ 'dims' =&gt; [290,120,110], 'prices' =&gt; [0.85,0.85,0.85,0.85,0.85], 'type' =&gt; "Самосборные", 'sale' =&gt; "Sale" ],</v>
      </c>
    </row>
    <row r="240" spans="1:17" hidden="1" x14ac:dyDescent="0.4">
      <c r="A240" s="166" t="s">
        <v>896</v>
      </c>
      <c r="B240" s="166">
        <f>Закуп!R240</f>
        <v>320</v>
      </c>
      <c r="C240" s="166">
        <f>Закуп!S240</f>
        <v>230</v>
      </c>
      <c r="D240" s="166">
        <f>Закуп!T240</f>
        <v>40</v>
      </c>
      <c r="E240" s="166" t="s">
        <v>897</v>
      </c>
      <c r="F240" s="167" t="str">
        <f>SUBSTITUTE(INDEX(Calc!$K:$K,(ROW(A239)-1)*5+COLUMN(A239)+1),",",".")</f>
        <v>0.7</v>
      </c>
      <c r="G240" s="167" t="str">
        <f>SUBSTITUTE(INDEX(Calc!$K:$K,(ROW(B239)-1)*5+COLUMN(B239)+1),",",".")</f>
        <v>0.7</v>
      </c>
      <c r="H240" s="167" t="str">
        <f>SUBSTITUTE(INDEX(Calc!$K:$K,(ROW(C239)-1)*5+COLUMN(C239)+1),",",".")</f>
        <v>0.7</v>
      </c>
      <c r="I240" s="167" t="str">
        <f>SUBSTITUTE(INDEX(Calc!$K:$K,(ROW(D239)-1)*5+COLUMN(D239)+1),",",".")</f>
        <v>0.7</v>
      </c>
      <c r="J240" s="167" t="str">
        <f>SUBSTITUTE(INDEX(Calc!$K:$K,(ROW(E239)-1)*5+COLUMN(E239)+1),",",".")</f>
        <v>0.7</v>
      </c>
      <c r="K240" s="166" t="s">
        <v>898</v>
      </c>
      <c r="L240" s="167" t="str">
        <f>Закуп!AA240</f>
        <v>Самосборные</v>
      </c>
      <c r="M240" s="166" t="s">
        <v>899</v>
      </c>
      <c r="N240" s="166">
        <f>IF(Закуп!L240="",0,Закуп!L240)</f>
        <v>0</v>
      </c>
      <c r="O240" s="166" t="s">
        <v>900</v>
      </c>
      <c r="P240" s="144">
        <f>Закуп!N240</f>
        <v>0</v>
      </c>
      <c r="Q240" t="str">
        <f t="shared" si="3"/>
        <v xml:space="preserve">        [ 'dims' =&gt; [320,230,40], 'prices' =&gt; [0.7,0.7,0.7,0.7,0.7], 'type' =&gt; "Самосборные", 'sale' =&gt; "0" ],</v>
      </c>
    </row>
    <row r="241" spans="1:17" x14ac:dyDescent="0.4">
      <c r="A241" s="166" t="s">
        <v>896</v>
      </c>
      <c r="B241" s="166">
        <f>Закуп!R241</f>
        <v>100</v>
      </c>
      <c r="C241" s="166">
        <f>Закуп!S241</f>
        <v>100</v>
      </c>
      <c r="D241" s="166">
        <f>Закуп!T241</f>
        <v>55</v>
      </c>
      <c r="E241" s="166" t="s">
        <v>897</v>
      </c>
      <c r="F241" s="167" t="str">
        <f>SUBSTITUTE(INDEX(Calc!$K:$K,(ROW(A240)-1)*5+COLUMN(A240)+1),",",".")</f>
        <v>1.07</v>
      </c>
      <c r="G241" s="167" t="str">
        <f>SUBSTITUTE(INDEX(Calc!$K:$K,(ROW(B240)-1)*5+COLUMN(B240)+1),",",".")</f>
        <v>0.96</v>
      </c>
      <c r="H241" s="167" t="str">
        <f>SUBSTITUTE(INDEX(Calc!$K:$K,(ROW(C240)-1)*5+COLUMN(C240)+1),",",".")</f>
        <v>0.86</v>
      </c>
      <c r="I241" s="167" t="str">
        <f>SUBSTITUTE(INDEX(Calc!$K:$K,(ROW(D240)-1)*5+COLUMN(D240)+1),",",".")</f>
        <v>0.75</v>
      </c>
      <c r="J241" s="167" t="str">
        <f>SUBSTITUTE(INDEX(Calc!$K:$K,(ROW(E240)-1)*5+COLUMN(E240)+1),",",".")</f>
        <v>0.64</v>
      </c>
      <c r="K241" s="166" t="s">
        <v>898</v>
      </c>
      <c r="L241" s="167" t="str">
        <f>Закуп!AA241</f>
        <v>Самосборные</v>
      </c>
      <c r="M241" s="166" t="s">
        <v>899</v>
      </c>
      <c r="N241" s="166">
        <f>IF(Закуп!L241="",0,Закуп!L241)</f>
        <v>0</v>
      </c>
      <c r="O241" s="166" t="s">
        <v>900</v>
      </c>
      <c r="P241" s="144">
        <f>Закуп!N241</f>
        <v>1</v>
      </c>
      <c r="Q241" s="210" t="str">
        <f t="shared" si="3"/>
        <v xml:space="preserve">        [ 'dims' =&gt; [100,100,55], 'prices' =&gt; [1.07,0.96,0.86,0.75,0.64], 'type' =&gt; "Самосборные", 'sale' =&gt; "0" ],</v>
      </c>
    </row>
    <row r="242" spans="1:17" x14ac:dyDescent="0.4">
      <c r="A242" s="166" t="s">
        <v>896</v>
      </c>
      <c r="B242" s="166">
        <f>Закуп!R242</f>
        <v>600</v>
      </c>
      <c r="C242" s="166">
        <f>Закуп!S242</f>
        <v>400</v>
      </c>
      <c r="D242" s="166">
        <f>Закуп!T242</f>
        <v>400</v>
      </c>
      <c r="E242" s="166" t="s">
        <v>897</v>
      </c>
      <c r="F242" s="167" t="str">
        <f>SUBSTITUTE(INDEX(Calc!$K:$K,(ROW(A241)-1)*5+COLUMN(A241)+1),",",".")</f>
        <v>3.2</v>
      </c>
      <c r="G242" s="167" t="str">
        <f>SUBSTITUTE(INDEX(Calc!$K:$K,(ROW(B241)-1)*5+COLUMN(B241)+1),",",".")</f>
        <v>3</v>
      </c>
      <c r="H242" s="167" t="str">
        <f>SUBSTITUTE(INDEX(Calc!$K:$K,(ROW(C241)-1)*5+COLUMN(C241)+1),",",".")</f>
        <v>2.75</v>
      </c>
      <c r="I242" s="167" t="str">
        <f>SUBSTITUTE(INDEX(Calc!$K:$K,(ROW(D241)-1)*5+COLUMN(D241)+1),",",".")</f>
        <v>2.5</v>
      </c>
      <c r="J242" s="167" t="str">
        <f>SUBSTITUTE(INDEX(Calc!$K:$K,(ROW(E241)-1)*5+COLUMN(E241)+1),",",".")</f>
        <v>2.3</v>
      </c>
      <c r="K242" s="166" t="s">
        <v>898</v>
      </c>
      <c r="L242" s="167" t="str">
        <f>Закуп!AA242</f>
        <v>Четырехклапанные</v>
      </c>
      <c r="M242" s="166" t="s">
        <v>899</v>
      </c>
      <c r="N242" s="166" t="str">
        <f>IF(Закуп!L242="",0,Закуп!L242)</f>
        <v>Sale</v>
      </c>
      <c r="O242" s="166" t="s">
        <v>900</v>
      </c>
      <c r="P242" s="144">
        <f>Закуп!N242</f>
        <v>1</v>
      </c>
      <c r="Q242" s="210" t="str">
        <f t="shared" si="3"/>
        <v xml:space="preserve">        [ 'dims' =&gt; [600,400,400], 'prices' =&gt; [3.2,3,2.75,2.5,2.3], 'type' =&gt; "Четырехклапанные", 'sale' =&gt; "Sale" ],</v>
      </c>
    </row>
    <row r="243" spans="1:17" x14ac:dyDescent="0.4">
      <c r="A243" s="166" t="s">
        <v>896</v>
      </c>
      <c r="B243" s="166">
        <f>Закуп!R243</f>
        <v>600</v>
      </c>
      <c r="C243" s="166">
        <f>Закуп!S243</f>
        <v>400</v>
      </c>
      <c r="D243" s="166">
        <f>Закуп!T243</f>
        <v>400</v>
      </c>
      <c r="E243" s="166" t="s">
        <v>897</v>
      </c>
      <c r="F243" s="167" t="str">
        <f>SUBSTITUTE(INDEX(Calc!$K:$K,(ROW(A242)-1)*5+COLUMN(A242)+1),",",".")</f>
        <v>3.65</v>
      </c>
      <c r="G243" s="167" t="str">
        <f>SUBSTITUTE(INDEX(Calc!$K:$K,(ROW(B242)-1)*5+COLUMN(B242)+1),",",".")</f>
        <v>3.4</v>
      </c>
      <c r="H243" s="167" t="str">
        <f>SUBSTITUTE(INDEX(Calc!$K:$K,(ROW(C242)-1)*5+COLUMN(C242)+1),",",".")</f>
        <v>3.1</v>
      </c>
      <c r="I243" s="167" t="str">
        <f>SUBSTITUTE(INDEX(Calc!$K:$K,(ROW(D242)-1)*5+COLUMN(D242)+1),",",".")</f>
        <v>2.9</v>
      </c>
      <c r="J243" s="167" t="str">
        <f>SUBSTITUTE(INDEX(Calc!$K:$K,(ROW(E242)-1)*5+COLUMN(E242)+1),",",".")</f>
        <v>2.7</v>
      </c>
      <c r="K243" s="166" t="s">
        <v>898</v>
      </c>
      <c r="L243" s="167" t="str">
        <f>Закуп!AA243</f>
        <v>Четырехклапанные</v>
      </c>
      <c r="M243" s="166" t="s">
        <v>899</v>
      </c>
      <c r="N243" s="166" t="str">
        <f>IF(Закуп!L243="",0,Закуп!L243)</f>
        <v>Sale</v>
      </c>
      <c r="O243" s="166" t="s">
        <v>900</v>
      </c>
      <c r="P243" s="144">
        <f>Закуп!N243</f>
        <v>1</v>
      </c>
      <c r="Q243" s="210" t="str">
        <f t="shared" si="3"/>
        <v xml:space="preserve">        [ 'dims' =&gt; [600,400,400], 'prices' =&gt; [3.65,3.4,3.1,2.9,2.7], 'type' =&gt; "Четырехклапанные", 'sale' =&gt; "Sale" ],</v>
      </c>
    </row>
    <row r="244" spans="1:17" x14ac:dyDescent="0.4">
      <c r="A244" s="166" t="s">
        <v>896</v>
      </c>
      <c r="B244" s="166">
        <f>Закуп!R244</f>
        <v>600</v>
      </c>
      <c r="C244" s="166">
        <f>Закуп!S244</f>
        <v>400</v>
      </c>
      <c r="D244" s="166">
        <f>Закуп!T244</f>
        <v>400</v>
      </c>
      <c r="E244" s="166" t="s">
        <v>897</v>
      </c>
      <c r="F244" s="167" t="str">
        <f>SUBSTITUTE(INDEX(Calc!$K:$K,(ROW(A243)-1)*5+COLUMN(A243)+1),",",".")</f>
        <v>5</v>
      </c>
      <c r="G244" s="167" t="str">
        <f>SUBSTITUTE(INDEX(Calc!$K:$K,(ROW(B243)-1)*5+COLUMN(B243)+1),",",".")</f>
        <v>4.75</v>
      </c>
      <c r="H244" s="167" t="str">
        <f>SUBSTITUTE(INDEX(Calc!$K:$K,(ROW(C243)-1)*5+COLUMN(C243)+1),",",".")</f>
        <v>4.6</v>
      </c>
      <c r="I244" s="167" t="str">
        <f>SUBSTITUTE(INDEX(Calc!$K:$K,(ROW(D243)-1)*5+COLUMN(D243)+1),",",".")</f>
        <v>4.45</v>
      </c>
      <c r="J244" s="167" t="str">
        <f>SUBSTITUTE(INDEX(Calc!$K:$K,(ROW(E243)-1)*5+COLUMN(E243)+1),",",".")</f>
        <v>4.3</v>
      </c>
      <c r="K244" s="166" t="s">
        <v>898</v>
      </c>
      <c r="L244" s="167" t="str">
        <f>Закуп!AA244</f>
        <v>Четырехклапанные</v>
      </c>
      <c r="M244" s="166" t="s">
        <v>899</v>
      </c>
      <c r="N244" s="166" t="str">
        <f>IF(Закуп!L244="",0,Закуп!L244)</f>
        <v>Sale</v>
      </c>
      <c r="O244" s="166" t="s">
        <v>900</v>
      </c>
      <c r="P244" s="144">
        <f>Закуп!N244</f>
        <v>1</v>
      </c>
      <c r="Q244" s="210" t="str">
        <f t="shared" si="3"/>
        <v xml:space="preserve">        [ 'dims' =&gt; [600,400,400], 'prices' =&gt; [5,4.75,4.6,4.45,4.3], 'type' =&gt; "Четырехклапанные", 'sale' =&gt; "Sale" ],</v>
      </c>
    </row>
    <row r="245" spans="1:17" x14ac:dyDescent="0.4">
      <c r="A245" s="166" t="s">
        <v>896</v>
      </c>
      <c r="B245" s="166">
        <f>Закуп!R245</f>
        <v>600</v>
      </c>
      <c r="C245" s="166">
        <f>Закуп!S245</f>
        <v>400</v>
      </c>
      <c r="D245" s="166">
        <f>Закуп!T245</f>
        <v>220</v>
      </c>
      <c r="E245" s="166" t="s">
        <v>897</v>
      </c>
      <c r="F245" s="167" t="str">
        <f>SUBSTITUTE(INDEX(Calc!$K:$K,(ROW(A244)-1)*5+COLUMN(A244)+1),",",".")</f>
        <v>2.93</v>
      </c>
      <c r="G245" s="167" t="str">
        <f>SUBSTITUTE(INDEX(Calc!$K:$K,(ROW(B244)-1)*5+COLUMN(B244)+1),",",".")</f>
        <v>2.34</v>
      </c>
      <c r="H245" s="167" t="str">
        <f>SUBSTITUTE(INDEX(Calc!$K:$K,(ROW(C244)-1)*5+COLUMN(C244)+1),",",".")</f>
        <v>2.11</v>
      </c>
      <c r="I245" s="167" t="str">
        <f>SUBSTITUTE(INDEX(Calc!$K:$K,(ROW(D244)-1)*5+COLUMN(D244)+1),",",".")</f>
        <v>1.9</v>
      </c>
      <c r="J245" s="167" t="str">
        <f>SUBSTITUTE(INDEX(Calc!$K:$K,(ROW(E244)-1)*5+COLUMN(E244)+1),",",".")</f>
        <v>1.82</v>
      </c>
      <c r="K245" s="166" t="s">
        <v>898</v>
      </c>
      <c r="L245" s="167" t="str">
        <f>Закуп!AA245</f>
        <v>Четырехклапанные</v>
      </c>
      <c r="M245" s="166" t="s">
        <v>899</v>
      </c>
      <c r="N245" s="166">
        <f>IF(Закуп!L245="",0,Закуп!L245)</f>
        <v>0</v>
      </c>
      <c r="O245" s="166" t="s">
        <v>900</v>
      </c>
      <c r="P245" s="144">
        <f>Закуп!N245</f>
        <v>1</v>
      </c>
      <c r="Q245" s="210" t="str">
        <f t="shared" si="3"/>
        <v xml:space="preserve">        [ 'dims' =&gt; [600,400,220], 'prices' =&gt; [2.93,2.34,2.11,1.9,1.82], 'type' =&gt; "Четырехклапанные", 'sale' =&gt; "0" ],</v>
      </c>
    </row>
    <row r="246" spans="1:17" x14ac:dyDescent="0.4">
      <c r="A246" s="166" t="s">
        <v>896</v>
      </c>
      <c r="B246" s="166">
        <f>Закуп!R246</f>
        <v>300</v>
      </c>
      <c r="C246" s="166">
        <f>Закуп!S246</f>
        <v>300</v>
      </c>
      <c r="D246" s="166">
        <f>Закуп!T246</f>
        <v>50</v>
      </c>
      <c r="E246" s="166" t="s">
        <v>897</v>
      </c>
      <c r="F246" s="167" t="str">
        <f>SUBSTITUTE(INDEX(Calc!$K:$K,(ROW(A245)-1)*5+COLUMN(A245)+1),",",".")</f>
        <v>2.26</v>
      </c>
      <c r="G246" s="167" t="str">
        <f>SUBSTITUTE(INDEX(Calc!$K:$K,(ROW(B245)-1)*5+COLUMN(B245)+1),",",".")</f>
        <v>2.05</v>
      </c>
      <c r="H246" s="167" t="str">
        <f>SUBSTITUTE(INDEX(Calc!$K:$K,(ROW(C245)-1)*5+COLUMN(C245)+1),",",".")</f>
        <v>1.61</v>
      </c>
      <c r="I246" s="167" t="str">
        <f>SUBSTITUTE(INDEX(Calc!$K:$K,(ROW(D245)-1)*5+COLUMN(D245)+1),",",".")</f>
        <v>1.39</v>
      </c>
      <c r="J246" s="167" t="str">
        <f>SUBSTITUTE(INDEX(Calc!$K:$K,(ROW(E245)-1)*5+COLUMN(E245)+1),",",".")</f>
        <v>1.29</v>
      </c>
      <c r="K246" s="166" t="s">
        <v>898</v>
      </c>
      <c r="L246" s="167" t="str">
        <f>Закуп!AA246</f>
        <v>Крышка-дно</v>
      </c>
      <c r="M246" s="166" t="s">
        <v>899</v>
      </c>
      <c r="N246" s="166">
        <f>IF(Закуп!L246="",0,Закуп!L246)</f>
        <v>0</v>
      </c>
      <c r="O246" s="166" t="s">
        <v>900</v>
      </c>
      <c r="P246" s="144">
        <f>Закуп!N246</f>
        <v>1</v>
      </c>
      <c r="Q246" s="210" t="str">
        <f t="shared" si="3"/>
        <v xml:space="preserve">        [ 'dims' =&gt; [300,300,50], 'prices' =&gt; [2.26,2.05,1.61,1.39,1.29], 'type' =&gt; "Крышка-дно", 'sale' =&gt; "0" ],</v>
      </c>
    </row>
    <row r="247" spans="1:17" x14ac:dyDescent="0.4">
      <c r="A247" s="166" t="s">
        <v>896</v>
      </c>
      <c r="B247" s="166">
        <f>Закуп!R247</f>
        <v>300</v>
      </c>
      <c r="C247" s="166">
        <f>Закуп!S247</f>
        <v>300</v>
      </c>
      <c r="D247" s="166">
        <f>Закуп!T247</f>
        <v>80</v>
      </c>
      <c r="E247" s="166" t="s">
        <v>897</v>
      </c>
      <c r="F247" s="167" t="str">
        <f>SUBSTITUTE(INDEX(Calc!$K:$K,(ROW(A246)-1)*5+COLUMN(A246)+1),",",".")</f>
        <v>2.97</v>
      </c>
      <c r="G247" s="167" t="str">
        <f>SUBSTITUTE(INDEX(Calc!$K:$K,(ROW(B246)-1)*5+COLUMN(B246)+1),",",".")</f>
        <v>2.39</v>
      </c>
      <c r="H247" s="167" t="str">
        <f>SUBSTITUTE(INDEX(Calc!$K:$K,(ROW(C246)-1)*5+COLUMN(C246)+1),",",".")</f>
        <v>2.17</v>
      </c>
      <c r="I247" s="167" t="str">
        <f>SUBSTITUTE(INDEX(Calc!$K:$K,(ROW(D246)-1)*5+COLUMN(D246)+1),",",".")</f>
        <v>1.94</v>
      </c>
      <c r="J247" s="167" t="str">
        <f>SUBSTITUTE(INDEX(Calc!$K:$K,(ROW(E246)-1)*5+COLUMN(E246)+1),",",".")</f>
        <v>1.85</v>
      </c>
      <c r="K247" s="166" t="s">
        <v>898</v>
      </c>
      <c r="L247" s="167" t="str">
        <f>Закуп!AA247</f>
        <v>Крышка-дно</v>
      </c>
      <c r="M247" s="166" t="s">
        <v>899</v>
      </c>
      <c r="N247" s="166">
        <f>IF(Закуп!L247="",0,Закуп!L247)</f>
        <v>0</v>
      </c>
      <c r="O247" s="166" t="s">
        <v>900</v>
      </c>
      <c r="P247" s="144">
        <f>Закуп!N247</f>
        <v>1</v>
      </c>
      <c r="Q247" s="210" t="str">
        <f t="shared" si="3"/>
        <v xml:space="preserve">        [ 'dims' =&gt; [300,300,80], 'prices' =&gt; [2.97,2.39,2.17,1.94,1.85], 'type' =&gt; "Крышка-дно", 'sale' =&gt; "0" ],</v>
      </c>
    </row>
    <row r="248" spans="1:17" x14ac:dyDescent="0.4">
      <c r="A248" s="166" t="s">
        <v>896</v>
      </c>
      <c r="B248" s="166">
        <f>Закуп!R248</f>
        <v>250</v>
      </c>
      <c r="C248" s="166">
        <f>Закуп!S248</f>
        <v>250</v>
      </c>
      <c r="D248" s="166">
        <f>Закуп!T248</f>
        <v>80</v>
      </c>
      <c r="E248" s="166" t="s">
        <v>897</v>
      </c>
      <c r="F248" s="167" t="str">
        <f>SUBSTITUTE(INDEX(Calc!$K:$K,(ROW(A247)-1)*5+COLUMN(A247)+1),",",".")</f>
        <v>2.35</v>
      </c>
      <c r="G248" s="167" t="str">
        <f>SUBSTITUTE(INDEX(Calc!$K:$K,(ROW(B247)-1)*5+COLUMN(B247)+1),",",".")</f>
        <v>2.03</v>
      </c>
      <c r="H248" s="167" t="str">
        <f>SUBSTITUTE(INDEX(Calc!$K:$K,(ROW(C247)-1)*5+COLUMN(C247)+1),",",".")</f>
        <v>1.82</v>
      </c>
      <c r="I248" s="167" t="str">
        <f>SUBSTITUTE(INDEX(Calc!$K:$K,(ROW(D247)-1)*5+COLUMN(D247)+1),",",".")</f>
        <v>1.71</v>
      </c>
      <c r="J248" s="167" t="str">
        <f>SUBSTITUTE(INDEX(Calc!$K:$K,(ROW(E247)-1)*5+COLUMN(E247)+1),",",".")</f>
        <v>1.61</v>
      </c>
      <c r="K248" s="166" t="s">
        <v>898</v>
      </c>
      <c r="L248" s="167" t="str">
        <f>Закуп!AA248</f>
        <v>Крышка-дно</v>
      </c>
      <c r="M248" s="166" t="s">
        <v>899</v>
      </c>
      <c r="N248" s="166">
        <f>IF(Закуп!L248="",0,Закуп!L248)</f>
        <v>0</v>
      </c>
      <c r="O248" s="166" t="s">
        <v>900</v>
      </c>
      <c r="P248" s="144">
        <f>Закуп!N248</f>
        <v>1</v>
      </c>
      <c r="Q248" s="210" t="str">
        <f t="shared" si="3"/>
        <v xml:space="preserve">        [ 'dims' =&gt; [250,250,80], 'prices' =&gt; [2.35,2.03,1.82,1.71,1.61], 'type' =&gt; "Крышка-дно", 'sale' =&gt; "0" ],</v>
      </c>
    </row>
    <row r="249" spans="1:17" x14ac:dyDescent="0.4">
      <c r="A249" s="166" t="s">
        <v>896</v>
      </c>
      <c r="B249" s="166">
        <f>Закуп!R249</f>
        <v>400</v>
      </c>
      <c r="C249" s="166">
        <f>Закуп!S249</f>
        <v>300</v>
      </c>
      <c r="D249" s="166">
        <f>Закуп!T249</f>
        <v>250</v>
      </c>
      <c r="E249" s="166" t="s">
        <v>897</v>
      </c>
      <c r="F249" s="167" t="str">
        <f>SUBSTITUTE(INDEX(Calc!$K:$K,(ROW(A248)-1)*5+COLUMN(A248)+1),",",".")</f>
        <v>2.7</v>
      </c>
      <c r="G249" s="167" t="str">
        <f>SUBSTITUTE(INDEX(Calc!$K:$K,(ROW(B248)-1)*5+COLUMN(B248)+1),",",".")</f>
        <v>2.57</v>
      </c>
      <c r="H249" s="167" t="str">
        <f>SUBSTITUTE(INDEX(Calc!$K:$K,(ROW(C248)-1)*5+COLUMN(C248)+1),",",".")</f>
        <v>2.35</v>
      </c>
      <c r="I249" s="167" t="str">
        <f>SUBSTITUTE(INDEX(Calc!$K:$K,(ROW(D248)-1)*5+COLUMN(D248)+1),",",".")</f>
        <v>2.25</v>
      </c>
      <c r="J249" s="167" t="str">
        <f>SUBSTITUTE(INDEX(Calc!$K:$K,(ROW(E248)-1)*5+COLUMN(E248)+1),",",".")</f>
        <v>2.14</v>
      </c>
      <c r="K249" s="166" t="s">
        <v>898</v>
      </c>
      <c r="L249" s="167" t="str">
        <f>Закуп!AA249</f>
        <v>Четырехклапанные</v>
      </c>
      <c r="M249" s="166" t="s">
        <v>899</v>
      </c>
      <c r="N249" s="166">
        <f>IF(Закуп!L249="",0,Закуп!L249)</f>
        <v>0</v>
      </c>
      <c r="O249" s="166" t="s">
        <v>900</v>
      </c>
      <c r="P249" s="144">
        <f>Закуп!N249</f>
        <v>1</v>
      </c>
      <c r="Q249" s="210" t="str">
        <f t="shared" si="3"/>
        <v xml:space="preserve">        [ 'dims' =&gt; [400,300,250], 'prices' =&gt; [2.7,2.57,2.35,2.25,2.14], 'type' =&gt; "Четырехклапанные", 'sale' =&gt; "0" ],</v>
      </c>
    </row>
    <row r="250" spans="1:17" s="168" customFormat="1" x14ac:dyDescent="0.4">
      <c r="A250" s="166" t="s">
        <v>896</v>
      </c>
      <c r="B250" s="166">
        <f>Закуп!R250</f>
        <v>100</v>
      </c>
      <c r="C250" s="166">
        <f>Закуп!S250</f>
        <v>100</v>
      </c>
      <c r="D250" s="166">
        <f>Закуп!T250</f>
        <v>20</v>
      </c>
      <c r="E250" s="166" t="s">
        <v>897</v>
      </c>
      <c r="F250" s="167" t="str">
        <f>SUBSTITUTE(INDEX(Calc!$K:$K,(ROW(A249)-1)*5+COLUMN(A249)+1),",",".")</f>
        <v>0.5</v>
      </c>
      <c r="G250" s="167" t="str">
        <f>SUBSTITUTE(INDEX(Calc!$K:$K,(ROW(B249)-1)*5+COLUMN(B249)+1),",",".")</f>
        <v>0.5</v>
      </c>
      <c r="H250" s="167" t="str">
        <f>SUBSTITUTE(INDEX(Calc!$K:$K,(ROW(C249)-1)*5+COLUMN(C249)+1),",",".")</f>
        <v>0.5</v>
      </c>
      <c r="I250" s="167" t="str">
        <f>SUBSTITUTE(INDEX(Calc!$K:$K,(ROW(D249)-1)*5+COLUMN(D249)+1),",",".")</f>
        <v>0.5</v>
      </c>
      <c r="J250" s="167" t="str">
        <f>SUBSTITUTE(INDEX(Calc!$K:$K,(ROW(E249)-1)*5+COLUMN(E249)+1),",",".")</f>
        <v>0.5</v>
      </c>
      <c r="K250" s="166" t="s">
        <v>898</v>
      </c>
      <c r="L250" s="167" t="str">
        <f>Закуп!AA250</f>
        <v>Самосборные</v>
      </c>
      <c r="M250" s="166" t="s">
        <v>899</v>
      </c>
      <c r="N250" s="166" t="str">
        <f>IF(Закуп!L250="",0,Закуп!L250)</f>
        <v>Sale</v>
      </c>
      <c r="O250" s="166" t="s">
        <v>900</v>
      </c>
      <c r="P250" s="144">
        <f>Закуп!N250</f>
        <v>1</v>
      </c>
      <c r="Q250" s="210" t="str">
        <f t="shared" si="3"/>
        <v xml:space="preserve">        [ 'dims' =&gt; [100,100,20], 'prices' =&gt; [0.5,0.5,0.5,0.5,0.5], 'type' =&gt; "Самосборные", 'sale' =&gt; "Sale" ],</v>
      </c>
    </row>
    <row r="251" spans="1:17" x14ac:dyDescent="0.4">
      <c r="A251" s="166" t="s">
        <v>896</v>
      </c>
      <c r="B251" s="166">
        <f>Закуп!R251</f>
        <v>395</v>
      </c>
      <c r="C251" s="166">
        <f>Закуп!S251</f>
        <v>102</v>
      </c>
      <c r="D251" s="166">
        <f>Закуп!T251</f>
        <v>77</v>
      </c>
      <c r="E251" s="166" t="s">
        <v>897</v>
      </c>
      <c r="F251" s="167" t="str">
        <f>SUBSTITUTE(INDEX(Calc!$K:$K,(ROW(A250)-1)*5+COLUMN(A250)+1),",",".")</f>
        <v>1.58</v>
      </c>
      <c r="G251" s="167" t="str">
        <f>SUBSTITUTE(INDEX(Calc!$K:$K,(ROW(B250)-1)*5+COLUMN(B250)+1),",",".")</f>
        <v>1.43</v>
      </c>
      <c r="H251" s="167" t="str">
        <f>SUBSTITUTE(INDEX(Calc!$K:$K,(ROW(C250)-1)*5+COLUMN(C250)+1),",",".")</f>
        <v>1.13</v>
      </c>
      <c r="I251" s="167" t="str">
        <f>SUBSTITUTE(INDEX(Calc!$K:$K,(ROW(D250)-1)*5+COLUMN(D250)+1),",",".")</f>
        <v>1.06</v>
      </c>
      <c r="J251" s="167" t="str">
        <f>SUBSTITUTE(INDEX(Calc!$K:$K,(ROW(E250)-1)*5+COLUMN(E250)+1),",",".")</f>
        <v>1.01</v>
      </c>
      <c r="K251" s="166" t="s">
        <v>898</v>
      </c>
      <c r="L251" s="167" t="str">
        <f>Закуп!AA251</f>
        <v>Самосборные</v>
      </c>
      <c r="M251" s="166" t="s">
        <v>899</v>
      </c>
      <c r="N251" s="166">
        <f>IF(Закуп!L251="",0,Закуп!L251)</f>
        <v>0</v>
      </c>
      <c r="O251" s="166" t="s">
        <v>900</v>
      </c>
      <c r="P251" s="144">
        <f>Закуп!N251</f>
        <v>1</v>
      </c>
      <c r="Q251" s="210" t="str">
        <f t="shared" si="3"/>
        <v xml:space="preserve">        [ 'dims' =&gt; [395,102,77], 'prices' =&gt; [1.58,1.43,1.13,1.06,1.01], 'type' =&gt; "Самосборные", 'sale' =&gt; "0" ],</v>
      </c>
    </row>
    <row r="252" spans="1:17" x14ac:dyDescent="0.4">
      <c r="A252" s="166" t="s">
        <v>896</v>
      </c>
      <c r="B252" s="166">
        <f>Закуп!R252</f>
        <v>420</v>
      </c>
      <c r="C252" s="166">
        <f>Закуп!S252</f>
        <v>142</v>
      </c>
      <c r="D252" s="166">
        <f>Закуп!T252</f>
        <v>82</v>
      </c>
      <c r="E252" s="166" t="s">
        <v>897</v>
      </c>
      <c r="F252" s="167" t="str">
        <f>SUBSTITUTE(INDEX(Calc!$K:$K,(ROW(A251)-1)*5+COLUMN(A251)+1),",",".")</f>
        <v>1.5</v>
      </c>
      <c r="G252" s="167" t="str">
        <f>SUBSTITUTE(INDEX(Calc!$K:$K,(ROW(B251)-1)*5+COLUMN(B251)+1),",",".")</f>
        <v>1.36</v>
      </c>
      <c r="H252" s="167" t="str">
        <f>SUBSTITUTE(INDEX(Calc!$K:$K,(ROW(C251)-1)*5+COLUMN(C251)+1),",",".")</f>
        <v>1.07</v>
      </c>
      <c r="I252" s="167" t="str">
        <f>SUBSTITUTE(INDEX(Calc!$K:$K,(ROW(D251)-1)*5+COLUMN(D251)+1),",",".")</f>
        <v>1.01</v>
      </c>
      <c r="J252" s="167" t="str">
        <f>SUBSTITUTE(INDEX(Calc!$K:$K,(ROW(E251)-1)*5+COLUMN(E251)+1),",",".")</f>
        <v>0.95</v>
      </c>
      <c r="K252" s="166" t="s">
        <v>898</v>
      </c>
      <c r="L252" s="167" t="str">
        <f>Закуп!AA252</f>
        <v>Самосборные</v>
      </c>
      <c r="M252" s="166" t="s">
        <v>899</v>
      </c>
      <c r="N252" s="166">
        <f>IF(Закуп!L252="",0,Закуп!L252)</f>
        <v>0</v>
      </c>
      <c r="O252" s="166" t="s">
        <v>900</v>
      </c>
      <c r="P252" s="144">
        <f>Закуп!N252</f>
        <v>1</v>
      </c>
      <c r="Q252" s="210" t="str">
        <f t="shared" si="3"/>
        <v xml:space="preserve">        [ 'dims' =&gt; [420,142,82], 'prices' =&gt; [1.5,1.36,1.07,1.01,0.95], 'type' =&gt; "Самосборные", 'sale' =&gt; "0" ],</v>
      </c>
    </row>
    <row r="253" spans="1:17" x14ac:dyDescent="0.4">
      <c r="A253" s="166" t="s">
        <v>896</v>
      </c>
      <c r="B253" s="166">
        <f>Закуп!R253</f>
        <v>110</v>
      </c>
      <c r="C253" s="166">
        <f>Закуп!S253</f>
        <v>93</v>
      </c>
      <c r="D253" s="166">
        <f>Закуп!T253</f>
        <v>130</v>
      </c>
      <c r="E253" s="166" t="s">
        <v>897</v>
      </c>
      <c r="F253" s="167" t="str">
        <f>SUBSTITUTE(INDEX(Calc!$K:$K,(ROW(A252)-1)*5+COLUMN(A252)+1),",",".")</f>
        <v>1.18</v>
      </c>
      <c r="G253" s="167" t="str">
        <f>SUBSTITUTE(INDEX(Calc!$K:$K,(ROW(B252)-1)*5+COLUMN(B252)+1),",",".")</f>
        <v>0.96</v>
      </c>
      <c r="H253" s="167" t="str">
        <f>SUBSTITUTE(INDEX(Calc!$K:$K,(ROW(C252)-1)*5+COLUMN(C252)+1),",",".")</f>
        <v>0.8</v>
      </c>
      <c r="I253" s="167" t="str">
        <f>SUBSTITUTE(INDEX(Calc!$K:$K,(ROW(D252)-1)*5+COLUMN(D252)+1),",",".")</f>
        <v>0.7</v>
      </c>
      <c r="J253" s="167" t="str">
        <f>SUBSTITUTE(INDEX(Calc!$K:$K,(ROW(E252)-1)*5+COLUMN(E252)+1),",",".")</f>
        <v>0.59</v>
      </c>
      <c r="K253" s="166" t="s">
        <v>898</v>
      </c>
      <c r="L253" s="167" t="str">
        <f>Закуп!AA253</f>
        <v>Самосборные</v>
      </c>
      <c r="M253" s="166" t="s">
        <v>899</v>
      </c>
      <c r="N253" s="166">
        <f>IF(Закуп!L253="",0,Закуп!L253)</f>
        <v>0</v>
      </c>
      <c r="O253" s="166" t="s">
        <v>900</v>
      </c>
      <c r="P253" s="144">
        <f>Закуп!N253</f>
        <v>1</v>
      </c>
      <c r="Q253" s="210" t="str">
        <f t="shared" si="3"/>
        <v xml:space="preserve">        [ 'dims' =&gt; [110,93,130], 'prices' =&gt; [1.18,0.96,0.8,0.7,0.59], 'type' =&gt; "Самосборные", 'sale' =&gt; "0" ],</v>
      </c>
    </row>
    <row r="254" spans="1:17" x14ac:dyDescent="0.4">
      <c r="A254" s="166" t="s">
        <v>896</v>
      </c>
      <c r="B254" s="166">
        <f>Закуп!R254</f>
        <v>110</v>
      </c>
      <c r="C254" s="166">
        <f>Закуп!S254</f>
        <v>110</v>
      </c>
      <c r="D254" s="166">
        <f>Закуп!T254</f>
        <v>40</v>
      </c>
      <c r="E254" s="166" t="s">
        <v>897</v>
      </c>
      <c r="F254" s="167" t="str">
        <f>SUBSTITUTE(INDEX(Calc!$K:$K,(ROW(A253)-1)*5+COLUMN(A253)+1),",",".")</f>
        <v>1.18</v>
      </c>
      <c r="G254" s="167" t="str">
        <f>SUBSTITUTE(INDEX(Calc!$K:$K,(ROW(B253)-1)*5+COLUMN(B253)+1),",",".")</f>
        <v>0.96</v>
      </c>
      <c r="H254" s="167" t="str">
        <f>SUBSTITUTE(INDEX(Calc!$K:$K,(ROW(C253)-1)*5+COLUMN(C253)+1),",",".")</f>
        <v>0.8</v>
      </c>
      <c r="I254" s="167" t="str">
        <f>SUBSTITUTE(INDEX(Calc!$K:$K,(ROW(D253)-1)*5+COLUMN(D253)+1),",",".")</f>
        <v>0.7</v>
      </c>
      <c r="J254" s="167" t="str">
        <f>SUBSTITUTE(INDEX(Calc!$K:$K,(ROW(E253)-1)*5+COLUMN(E253)+1),",",".")</f>
        <v>0.59</v>
      </c>
      <c r="K254" s="166" t="s">
        <v>898</v>
      </c>
      <c r="L254" s="167" t="str">
        <f>Закуп!AA254</f>
        <v>Самосборные</v>
      </c>
      <c r="M254" s="166" t="s">
        <v>899</v>
      </c>
      <c r="N254" s="166">
        <f>IF(Закуп!L254="",0,Закуп!L254)</f>
        <v>0</v>
      </c>
      <c r="O254" s="166" t="s">
        <v>900</v>
      </c>
      <c r="P254" s="144">
        <f>Закуп!N254</f>
        <v>1</v>
      </c>
      <c r="Q254" s="210" t="str">
        <f t="shared" si="3"/>
        <v xml:space="preserve">        [ 'dims' =&gt; [110,110,40], 'prices' =&gt; [1.18,0.96,0.8,0.7,0.59], 'type' =&gt; "Самосборные", 'sale' =&gt; "0" ],</v>
      </c>
    </row>
    <row r="255" spans="1:17" x14ac:dyDescent="0.4">
      <c r="A255" s="166" t="s">
        <v>896</v>
      </c>
      <c r="B255" s="166">
        <f>Закуп!R255</f>
        <v>250</v>
      </c>
      <c r="C255" s="166">
        <f>Закуп!S255</f>
        <v>175</v>
      </c>
      <c r="D255" s="166">
        <f>Закуп!T255</f>
        <v>35</v>
      </c>
      <c r="E255" s="166" t="s">
        <v>897</v>
      </c>
      <c r="F255" s="167" t="str">
        <f>SUBSTITUTE(INDEX(Calc!$K:$K,(ROW(A254)-1)*5+COLUMN(A254)+1),",",".")</f>
        <v>1</v>
      </c>
      <c r="G255" s="167" t="str">
        <f>SUBSTITUTE(INDEX(Calc!$K:$K,(ROW(B254)-1)*5+COLUMN(B254)+1),",",".")</f>
        <v>0.9</v>
      </c>
      <c r="H255" s="167" t="str">
        <f>SUBSTITUTE(INDEX(Calc!$K:$K,(ROW(C254)-1)*5+COLUMN(C254)+1),",",".")</f>
        <v>0.8</v>
      </c>
      <c r="I255" s="167" t="str">
        <f>SUBSTITUTE(INDEX(Calc!$K:$K,(ROW(D254)-1)*5+COLUMN(D254)+1),",",".")</f>
        <v>0.7</v>
      </c>
      <c r="J255" s="167" t="str">
        <f>SUBSTITUTE(INDEX(Calc!$K:$K,(ROW(E254)-1)*5+COLUMN(E254)+1),",",".")</f>
        <v>0.6</v>
      </c>
      <c r="K255" s="166" t="s">
        <v>898</v>
      </c>
      <c r="L255" s="167" t="str">
        <f>Закуп!AA255</f>
        <v>Самосборные</v>
      </c>
      <c r="M255" s="166" t="s">
        <v>899</v>
      </c>
      <c r="N255" s="166">
        <f>IF(Закуп!L255="",0,Закуп!L255)</f>
        <v>0</v>
      </c>
      <c r="O255" s="166" t="s">
        <v>900</v>
      </c>
      <c r="P255" s="144">
        <f>Закуп!N255</f>
        <v>1</v>
      </c>
      <c r="Q255" s="210" t="str">
        <f t="shared" si="3"/>
        <v xml:space="preserve">        [ 'dims' =&gt; [250,175,35], 'prices' =&gt; [1,0.9,0.8,0.7,0.6], 'type' =&gt; "Самосборные", 'sale' =&gt; "0" ],</v>
      </c>
    </row>
    <row r="256" spans="1:17" hidden="1" x14ac:dyDescent="0.4">
      <c r="A256" s="47" t="s">
        <v>896</v>
      </c>
      <c r="B256" s="47">
        <f>Закуп!R256</f>
        <v>520</v>
      </c>
      <c r="C256" s="47">
        <f>Закуп!S256</f>
        <v>220</v>
      </c>
      <c r="D256" s="47">
        <f>Закуп!T256</f>
        <v>50</v>
      </c>
      <c r="E256" s="47" t="s">
        <v>897</v>
      </c>
      <c r="F256" s="100" t="str">
        <f>SUBSTITUTE(INDEX(Calc!$K:$K,(ROW(A255)-1)*5+COLUMN(A255)+1),",",".")</f>
        <v>1.86</v>
      </c>
      <c r="G256" s="100" t="str">
        <f>SUBSTITUTE(INDEX(Calc!$K:$K,(ROW(B255)-1)*5+COLUMN(B255)+1),",",".")</f>
        <v>1.69</v>
      </c>
      <c r="H256" s="100" t="str">
        <f>SUBSTITUTE(INDEX(Calc!$K:$K,(ROW(C255)-1)*5+COLUMN(C255)+1),",",".")</f>
        <v>1.54</v>
      </c>
      <c r="I256" s="100" t="str">
        <f>SUBSTITUTE(INDEX(Calc!$K:$K,(ROW(D255)-1)*5+COLUMN(D255)+1),",",".")</f>
        <v>1.42</v>
      </c>
      <c r="J256" s="100" t="str">
        <f>SUBSTITUTE(INDEX(Calc!$K:$K,(ROW(E255)-1)*5+COLUMN(E255)+1),",",".")</f>
        <v>1.26</v>
      </c>
      <c r="K256" s="47" t="s">
        <v>898</v>
      </c>
      <c r="L256" s="100" t="str">
        <f>Закуп!AA256</f>
        <v>Самосборные</v>
      </c>
      <c r="M256" s="47" t="s">
        <v>899</v>
      </c>
      <c r="N256" s="47">
        <f>IF(Закуп!L256="",0,Закуп!L256)</f>
        <v>0</v>
      </c>
      <c r="O256" s="47" t="s">
        <v>900</v>
      </c>
      <c r="P256" s="165">
        <f>Закуп!N256</f>
        <v>0</v>
      </c>
      <c r="Q256" s="8" t="str">
        <f t="shared" si="3"/>
        <v xml:space="preserve">        [ 'dims' =&gt; [520,220,50], 'prices' =&gt; [1.86,1.69,1.54,1.42,1.26], 'type' =&gt; "Самосборные", 'sale' =&gt; "0" ],</v>
      </c>
    </row>
    <row r="257" spans="1:17" hidden="1" x14ac:dyDescent="0.4">
      <c r="A257" s="47" t="s">
        <v>896</v>
      </c>
      <c r="B257" s="47">
        <f>Закуп!R257</f>
        <v>500</v>
      </c>
      <c r="C257" s="47">
        <f>Закуп!S257</f>
        <v>200</v>
      </c>
      <c r="D257" s="47">
        <f>Закуп!T257</f>
        <v>40</v>
      </c>
      <c r="E257" s="47" t="s">
        <v>897</v>
      </c>
      <c r="F257" s="100" t="str">
        <f>SUBSTITUTE(INDEX(Calc!$K:$K,(ROW(A256)-1)*5+COLUMN(A256)+1),",",".")</f>
        <v>1.79</v>
      </c>
      <c r="G257" s="100" t="str">
        <f>SUBSTITUTE(INDEX(Calc!$K:$K,(ROW(B256)-1)*5+COLUMN(B256)+1),",",".")</f>
        <v>1.63</v>
      </c>
      <c r="H257" s="100" t="str">
        <f>SUBSTITUTE(INDEX(Calc!$K:$K,(ROW(C256)-1)*5+COLUMN(C256)+1),",",".")</f>
        <v>1.49</v>
      </c>
      <c r="I257" s="100" t="str">
        <f>SUBSTITUTE(INDEX(Calc!$K:$K,(ROW(D256)-1)*5+COLUMN(D256)+1),",",".")</f>
        <v>1.37</v>
      </c>
      <c r="J257" s="100" t="str">
        <f>SUBSTITUTE(INDEX(Calc!$K:$K,(ROW(E256)-1)*5+COLUMN(E256)+1),",",".")</f>
        <v>1.22</v>
      </c>
      <c r="K257" s="47" t="s">
        <v>898</v>
      </c>
      <c r="L257" s="100" t="str">
        <f>Закуп!AA257</f>
        <v>Самосборные</v>
      </c>
      <c r="M257" s="47" t="s">
        <v>899</v>
      </c>
      <c r="N257" s="47">
        <f>IF(Закуп!L257="",0,Закуп!L257)</f>
        <v>0</v>
      </c>
      <c r="O257" s="47" t="s">
        <v>900</v>
      </c>
      <c r="P257" s="165">
        <f>Закуп!N257</f>
        <v>0</v>
      </c>
      <c r="Q257" s="8" t="str">
        <f t="shared" si="3"/>
        <v xml:space="preserve">        [ 'dims' =&gt; [500,200,40], 'prices' =&gt; [1.79,1.63,1.49,1.37,1.22], 'type' =&gt; "Самосборные", 'sale' =&gt; "0" ],</v>
      </c>
    </row>
    <row r="258" spans="1:17" x14ac:dyDescent="0.4">
      <c r="A258" s="166" t="s">
        <v>896</v>
      </c>
      <c r="B258" s="166">
        <f>Закуп!R258</f>
        <v>800</v>
      </c>
      <c r="C258" s="166">
        <f>Закуп!S258</f>
        <v>600</v>
      </c>
      <c r="D258" s="166">
        <f>Закуп!T258</f>
        <v>500</v>
      </c>
      <c r="E258" s="166" t="s">
        <v>897</v>
      </c>
      <c r="F258" s="167" t="str">
        <f>SUBSTITUTE(INDEX(Calc!$K:$K,(ROW(A257)-1)*5+COLUMN(A257)+1),",",".")</f>
        <v>10.3</v>
      </c>
      <c r="G258" s="167" t="str">
        <f>SUBSTITUTE(INDEX(Calc!$K:$K,(ROW(B257)-1)*5+COLUMN(B257)+1),",",".")</f>
        <v>9.05</v>
      </c>
      <c r="H258" s="167" t="str">
        <f>SUBSTITUTE(INDEX(Calc!$K:$K,(ROW(C257)-1)*5+COLUMN(C257)+1),",",".")</f>
        <v>8.49</v>
      </c>
      <c r="I258" s="167" t="str">
        <f>SUBSTITUTE(INDEX(Calc!$K:$K,(ROW(D257)-1)*5+COLUMN(D257)+1),",",".")</f>
        <v>8.35</v>
      </c>
      <c r="J258" s="167" t="str">
        <f>SUBSTITUTE(INDEX(Calc!$K:$K,(ROW(E257)-1)*5+COLUMN(E257)+1),",",".")</f>
        <v>8.21</v>
      </c>
      <c r="K258" s="166" t="s">
        <v>898</v>
      </c>
      <c r="L258" s="167" t="str">
        <f>Закуп!AA258</f>
        <v>Четырехклапанные</v>
      </c>
      <c r="M258" s="166" t="s">
        <v>899</v>
      </c>
      <c r="N258" s="166">
        <f>IF(Закуп!L258="",0,Закуп!L258)</f>
        <v>0</v>
      </c>
      <c r="O258" s="166" t="s">
        <v>900</v>
      </c>
      <c r="P258" s="144">
        <f>Закуп!N258</f>
        <v>1</v>
      </c>
      <c r="Q258" s="210" t="str">
        <f t="shared" ref="Q258:Q321" si="4">CONCATENATE(A258,B258,",",C258,",",D258,E258,F258,",",G258,",",H258,",",I258,",",J258,K258,L258,M258,N258,O258,)</f>
        <v xml:space="preserve">        [ 'dims' =&gt; [800,600,500], 'prices' =&gt; [10.3,9.05,8.49,8.35,8.21], 'type' =&gt; "Четырехклапанные", 'sale' =&gt; "0" ],</v>
      </c>
    </row>
    <row r="259" spans="1:17" x14ac:dyDescent="0.4">
      <c r="A259" s="166" t="s">
        <v>896</v>
      </c>
      <c r="B259" s="166">
        <f>Закуп!R259</f>
        <v>400</v>
      </c>
      <c r="C259" s="166">
        <f>Закуп!S259</f>
        <v>300</v>
      </c>
      <c r="D259" s="166">
        <f>Закуп!T259</f>
        <v>400</v>
      </c>
      <c r="E259" s="166" t="s">
        <v>897</v>
      </c>
      <c r="F259" s="167" t="str">
        <f>SUBSTITUTE(INDEX(Calc!$K:$K,(ROW(A258)-1)*5+COLUMN(A258)+1),",",".")</f>
        <v>3.6</v>
      </c>
      <c r="G259" s="167" t="str">
        <f>SUBSTITUTE(INDEX(Calc!$K:$K,(ROW(B258)-1)*5+COLUMN(B258)+1),",",".")</f>
        <v>2.88</v>
      </c>
      <c r="H259" s="167" t="str">
        <f>SUBSTITUTE(INDEX(Calc!$K:$K,(ROW(C258)-1)*5+COLUMN(C258)+1),",",".")</f>
        <v>2.43</v>
      </c>
      <c r="I259" s="167" t="str">
        <f>SUBSTITUTE(INDEX(Calc!$K:$K,(ROW(D258)-1)*5+COLUMN(D258)+1),",",".")</f>
        <v>2.3</v>
      </c>
      <c r="J259" s="167" t="str">
        <f>SUBSTITUTE(INDEX(Calc!$K:$K,(ROW(E258)-1)*5+COLUMN(E258)+1),",",".")</f>
        <v>2.19</v>
      </c>
      <c r="K259" s="166" t="s">
        <v>898</v>
      </c>
      <c r="L259" s="167" t="str">
        <f>Закуп!AA259</f>
        <v>Четырехклапанные</v>
      </c>
      <c r="M259" s="166" t="s">
        <v>899</v>
      </c>
      <c r="N259" s="166">
        <f>IF(Закуп!L259="",0,Закуп!L259)</f>
        <v>0</v>
      </c>
      <c r="O259" s="166" t="s">
        <v>900</v>
      </c>
      <c r="P259" s="144">
        <f>Закуп!N259</f>
        <v>1</v>
      </c>
      <c r="Q259" s="210" t="str">
        <f t="shared" si="4"/>
        <v xml:space="preserve">        [ 'dims' =&gt; [400,300,400], 'prices' =&gt; [3.6,2.88,2.43,2.3,2.19], 'type' =&gt; "Четырехклапанные", 'sale' =&gt; "0" ],</v>
      </c>
    </row>
    <row r="260" spans="1:17" x14ac:dyDescent="0.4">
      <c r="A260" s="166" t="s">
        <v>896</v>
      </c>
      <c r="B260" s="166">
        <f>Закуп!R260</f>
        <v>300</v>
      </c>
      <c r="C260" s="166">
        <f>Закуп!S260</f>
        <v>200</v>
      </c>
      <c r="D260" s="166">
        <f>Закуп!T260</f>
        <v>300</v>
      </c>
      <c r="E260" s="166" t="s">
        <v>897</v>
      </c>
      <c r="F260" s="167" t="str">
        <f>SUBSTITUTE(INDEX(Calc!$K:$K,(ROW(A259)-1)*5+COLUMN(A259)+1),",",".")</f>
        <v>2.33</v>
      </c>
      <c r="G260" s="167" t="str">
        <f>SUBSTITUTE(INDEX(Calc!$K:$K,(ROW(B259)-1)*5+COLUMN(B259)+1),",",".")</f>
        <v>1.99</v>
      </c>
      <c r="H260" s="167" t="str">
        <f>SUBSTITUTE(INDEX(Calc!$K:$K,(ROW(C259)-1)*5+COLUMN(C259)+1),",",".")</f>
        <v>1.73</v>
      </c>
      <c r="I260" s="167" t="str">
        <f>SUBSTITUTE(INDEX(Calc!$K:$K,(ROW(D259)-1)*5+COLUMN(D259)+1),",",".")</f>
        <v>1.55</v>
      </c>
      <c r="J260" s="167" t="str">
        <f>SUBSTITUTE(INDEX(Calc!$K:$K,(ROW(E259)-1)*5+COLUMN(E259)+1),",",".")</f>
        <v>1.48</v>
      </c>
      <c r="K260" s="166" t="s">
        <v>898</v>
      </c>
      <c r="L260" s="167" t="str">
        <f>Закуп!AA260</f>
        <v>Четырехклапанные</v>
      </c>
      <c r="M260" s="166" t="s">
        <v>899</v>
      </c>
      <c r="N260" s="166">
        <f>IF(Закуп!L260="",0,Закуп!L260)</f>
        <v>0</v>
      </c>
      <c r="O260" s="166" t="s">
        <v>900</v>
      </c>
      <c r="P260" s="144">
        <f>Закуп!N260</f>
        <v>1</v>
      </c>
      <c r="Q260" s="210" t="str">
        <f t="shared" si="4"/>
        <v xml:space="preserve">        [ 'dims' =&gt; [300,200,300], 'prices' =&gt; [2.33,1.99,1.73,1.55,1.48], 'type' =&gt; "Четырехклапанные", 'sale' =&gt; "0" ],</v>
      </c>
    </row>
    <row r="261" spans="1:17" x14ac:dyDescent="0.4">
      <c r="A261" s="166" t="s">
        <v>896</v>
      </c>
      <c r="B261" s="166">
        <f>Закуп!R261</f>
        <v>290</v>
      </c>
      <c r="C261" s="166">
        <f>Закуп!S261</f>
        <v>190</v>
      </c>
      <c r="D261" s="166">
        <f>Закуп!T261</f>
        <v>190</v>
      </c>
      <c r="E261" s="166" t="s">
        <v>897</v>
      </c>
      <c r="F261" s="167" t="str">
        <f>SUBSTITUTE(INDEX(Calc!$K:$K,(ROW(A260)-1)*5+COLUMN(A260)+1),",",".")</f>
        <v>2.03</v>
      </c>
      <c r="G261" s="167" t="str">
        <f>SUBSTITUTE(INDEX(Calc!$K:$K,(ROW(B260)-1)*5+COLUMN(B260)+1),",",".")</f>
        <v>1.82</v>
      </c>
      <c r="H261" s="167" t="str">
        <f>SUBSTITUTE(INDEX(Calc!$K:$K,(ROW(C260)-1)*5+COLUMN(C260)+1),",",".")</f>
        <v>1.61</v>
      </c>
      <c r="I261" s="167" t="str">
        <f>SUBSTITUTE(INDEX(Calc!$K:$K,(ROW(D260)-1)*5+COLUMN(D260)+1),",",".")</f>
        <v>1.5</v>
      </c>
      <c r="J261" s="167" t="str">
        <f>SUBSTITUTE(INDEX(Calc!$K:$K,(ROW(E260)-1)*5+COLUMN(E260)+1),",",".")</f>
        <v>1.39</v>
      </c>
      <c r="K261" s="166" t="s">
        <v>898</v>
      </c>
      <c r="L261" s="167" t="str">
        <f>Закуп!AA261</f>
        <v>Четырехклапанные</v>
      </c>
      <c r="M261" s="166" t="s">
        <v>899</v>
      </c>
      <c r="N261" s="166">
        <f>IF(Закуп!L261="",0,Закуп!L261)</f>
        <v>0</v>
      </c>
      <c r="O261" s="166" t="s">
        <v>900</v>
      </c>
      <c r="P261" s="144">
        <f>Закуп!N261</f>
        <v>1</v>
      </c>
      <c r="Q261" s="210" t="str">
        <f t="shared" si="4"/>
        <v xml:space="preserve">        [ 'dims' =&gt; [290,190,190], 'prices' =&gt; [2.03,1.82,1.61,1.5,1.39], 'type' =&gt; "Четырехклапанные", 'sale' =&gt; "0" ],</v>
      </c>
    </row>
    <row r="262" spans="1:17" x14ac:dyDescent="0.4">
      <c r="A262" s="166" t="s">
        <v>896</v>
      </c>
      <c r="B262" s="166">
        <f>Закуп!R262</f>
        <v>325</v>
      </c>
      <c r="C262" s="166">
        <f>Закуп!S262</f>
        <v>235</v>
      </c>
      <c r="D262" s="166">
        <f>Закуп!T262</f>
        <v>235</v>
      </c>
      <c r="E262" s="166" t="s">
        <v>897</v>
      </c>
      <c r="F262" s="167" t="str">
        <f>SUBSTITUTE(INDEX(Calc!$K:$K,(ROW(A261)-1)*5+COLUMN(A261)+1),",",".")</f>
        <v>3.42</v>
      </c>
      <c r="G262" s="167" t="str">
        <f>SUBSTITUTE(INDEX(Calc!$K:$K,(ROW(B261)-1)*5+COLUMN(B261)+1),",",".")</f>
        <v>3.08</v>
      </c>
      <c r="H262" s="167" t="str">
        <f>SUBSTITUTE(INDEX(Calc!$K:$K,(ROW(C261)-1)*5+COLUMN(C261)+1),",",".")</f>
        <v>2.89</v>
      </c>
      <c r="I262" s="167" t="str">
        <f>SUBSTITUTE(INDEX(Calc!$K:$K,(ROW(D261)-1)*5+COLUMN(D261)+1),",",".")</f>
        <v>2.78</v>
      </c>
      <c r="J262" s="167" t="str">
        <f>SUBSTITUTE(INDEX(Calc!$K:$K,(ROW(E261)-1)*5+COLUMN(E261)+1),",",".")</f>
        <v>2.68</v>
      </c>
      <c r="K262" s="166" t="s">
        <v>898</v>
      </c>
      <c r="L262" s="167" t="str">
        <f>Закуп!AA262</f>
        <v>Архивные</v>
      </c>
      <c r="M262" s="166" t="s">
        <v>899</v>
      </c>
      <c r="N262" s="166">
        <f>IF(Закуп!L262="",0,Закуп!L262)</f>
        <v>0</v>
      </c>
      <c r="O262" s="166" t="s">
        <v>900</v>
      </c>
      <c r="P262" s="144">
        <f>Закуп!N262</f>
        <v>1</v>
      </c>
      <c r="Q262" s="210" t="str">
        <f t="shared" si="4"/>
        <v xml:space="preserve">        [ 'dims' =&gt; [325,235,235], 'prices' =&gt; [3.42,3.08,2.89,2.78,2.68], 'type' =&gt; "Архивные", 'sale' =&gt; "0" ],</v>
      </c>
    </row>
    <row r="263" spans="1:17" x14ac:dyDescent="0.4">
      <c r="A263" s="166" t="s">
        <v>896</v>
      </c>
      <c r="B263" s="166">
        <f>Закуп!R263</f>
        <v>395</v>
      </c>
      <c r="C263" s="166">
        <f>Закуп!S263</f>
        <v>325</v>
      </c>
      <c r="D263" s="166">
        <f>Закуп!T263</f>
        <v>290</v>
      </c>
      <c r="E263" s="166" t="s">
        <v>897</v>
      </c>
      <c r="F263" s="167" t="str">
        <f>SUBSTITUTE(INDEX(Calc!$K:$K,(ROW(A262)-1)*5+COLUMN(A262)+1),",",".")</f>
        <v>5.14</v>
      </c>
      <c r="G263" s="167" t="str">
        <f>SUBSTITUTE(INDEX(Calc!$K:$K,(ROW(B262)-1)*5+COLUMN(B262)+1),",",".")</f>
        <v>4.82</v>
      </c>
      <c r="H263" s="167" t="str">
        <f>SUBSTITUTE(INDEX(Calc!$K:$K,(ROW(C262)-1)*5+COLUMN(C262)+1),",",".")</f>
        <v>4.6</v>
      </c>
      <c r="I263" s="167" t="str">
        <f>SUBSTITUTE(INDEX(Calc!$K:$K,(ROW(D262)-1)*5+COLUMN(D262)+1),",",".")</f>
        <v>4.28</v>
      </c>
      <c r="J263" s="167" t="str">
        <f>SUBSTITUTE(INDEX(Calc!$K:$K,(ROW(E262)-1)*5+COLUMN(E262)+1),",",".")</f>
        <v>3.96</v>
      </c>
      <c r="K263" s="166" t="s">
        <v>898</v>
      </c>
      <c r="L263" s="167" t="str">
        <f>Закуп!AA263</f>
        <v>Архивные</v>
      </c>
      <c r="M263" s="166" t="s">
        <v>899</v>
      </c>
      <c r="N263" s="166">
        <f>IF(Закуп!L263="",0,Закуп!L263)</f>
        <v>0</v>
      </c>
      <c r="O263" s="166" t="s">
        <v>900</v>
      </c>
      <c r="P263" s="144">
        <f>Закуп!N263</f>
        <v>1</v>
      </c>
      <c r="Q263" s="210" t="str">
        <f t="shared" si="4"/>
        <v xml:space="preserve">        [ 'dims' =&gt; [395,325,290], 'prices' =&gt; [5.14,4.82,4.6,4.28,3.96], 'type' =&gt; "Архивные", 'sale' =&gt; "0" ],</v>
      </c>
    </row>
    <row r="264" spans="1:17" x14ac:dyDescent="0.4">
      <c r="A264" s="166" t="s">
        <v>896</v>
      </c>
      <c r="B264" s="166">
        <f>Закуп!R264</f>
        <v>490</v>
      </c>
      <c r="C264" s="166">
        <f>Закуп!S264</f>
        <v>325</v>
      </c>
      <c r="D264" s="166">
        <f>Закуп!T264</f>
        <v>295</v>
      </c>
      <c r="E264" s="166" t="s">
        <v>897</v>
      </c>
      <c r="F264" s="167" t="str">
        <f>SUBSTITUTE(INDEX(Calc!$K:$K,(ROW(A263)-1)*5+COLUMN(A263)+1),",",".")</f>
        <v>5.52</v>
      </c>
      <c r="G264" s="167" t="str">
        <f>SUBSTITUTE(INDEX(Calc!$K:$K,(ROW(B263)-1)*5+COLUMN(B263)+1),",",".")</f>
        <v>5.03</v>
      </c>
      <c r="H264" s="167" t="str">
        <f>SUBSTITUTE(INDEX(Calc!$K:$K,(ROW(C263)-1)*5+COLUMN(C263)+1),",",".")</f>
        <v>4.82</v>
      </c>
      <c r="I264" s="167" t="str">
        <f>SUBSTITUTE(INDEX(Calc!$K:$K,(ROW(D263)-1)*5+COLUMN(D263)+1),",",".")</f>
        <v>4.49</v>
      </c>
      <c r="J264" s="167" t="str">
        <f>SUBSTITUTE(INDEX(Calc!$K:$K,(ROW(E263)-1)*5+COLUMN(E263)+1),",",".")</f>
        <v>4.28</v>
      </c>
      <c r="K264" s="166" t="s">
        <v>898</v>
      </c>
      <c r="L264" s="167" t="str">
        <f>Закуп!AA264</f>
        <v>Архивные</v>
      </c>
      <c r="M264" s="166" t="s">
        <v>899</v>
      </c>
      <c r="N264" s="166">
        <f>IF(Закуп!L264="",0,Закуп!L264)</f>
        <v>0</v>
      </c>
      <c r="O264" s="166" t="s">
        <v>900</v>
      </c>
      <c r="P264" s="144">
        <f>Закуп!N264</f>
        <v>1</v>
      </c>
      <c r="Q264" s="210" t="str">
        <f t="shared" si="4"/>
        <v xml:space="preserve">        [ 'dims' =&gt; [490,325,295], 'prices' =&gt; [5.52,5.03,4.82,4.49,4.28], 'type' =&gt; "Архивные", 'sale' =&gt; "0" ],</v>
      </c>
    </row>
    <row r="265" spans="1:17" x14ac:dyDescent="0.4">
      <c r="A265" s="166" t="s">
        <v>896</v>
      </c>
      <c r="B265" s="166">
        <f>Закуп!R265</f>
        <v>300</v>
      </c>
      <c r="C265" s="166">
        <f>Закуп!S265</f>
        <v>90</v>
      </c>
      <c r="D265" s="166">
        <f>Закуп!T265</f>
        <v>125</v>
      </c>
      <c r="E265" s="166" t="s">
        <v>897</v>
      </c>
      <c r="F265" s="167" t="str">
        <f>SUBSTITUTE(INDEX(Calc!$K:$K,(ROW(A264)-1)*5+COLUMN(A264)+1),",",".")</f>
        <v>1.18</v>
      </c>
      <c r="G265" s="167" t="str">
        <f>SUBSTITUTE(INDEX(Calc!$K:$K,(ROW(B264)-1)*5+COLUMN(B264)+1),",",".")</f>
        <v>1.07</v>
      </c>
      <c r="H265" s="167" t="str">
        <f>SUBSTITUTE(INDEX(Calc!$K:$K,(ROW(C264)-1)*5+COLUMN(C264)+1),",",".")</f>
        <v>0.96</v>
      </c>
      <c r="I265" s="167" t="str">
        <f>SUBSTITUTE(INDEX(Calc!$K:$K,(ROW(D264)-1)*5+COLUMN(D264)+1),",",".")</f>
        <v>0.86</v>
      </c>
      <c r="J265" s="167" t="str">
        <f>SUBSTITUTE(INDEX(Calc!$K:$K,(ROW(E264)-1)*5+COLUMN(E264)+1),",",".")</f>
        <v>0.75</v>
      </c>
      <c r="K265" s="166" t="s">
        <v>898</v>
      </c>
      <c r="L265" s="167" t="str">
        <f>Закуп!AA265</f>
        <v>Четырехклапанные</v>
      </c>
      <c r="M265" s="166" t="s">
        <v>899</v>
      </c>
      <c r="N265" s="166">
        <f>IF(Закуп!L265="",0,Закуп!L265)</f>
        <v>0</v>
      </c>
      <c r="O265" s="166" t="s">
        <v>900</v>
      </c>
      <c r="P265" s="144">
        <f>Закуп!N265</f>
        <v>1</v>
      </c>
      <c r="Q265" s="210" t="str">
        <f t="shared" si="4"/>
        <v xml:space="preserve">        [ 'dims' =&gt; [300,90,125], 'prices' =&gt; [1.18,1.07,0.96,0.86,0.75], 'type' =&gt; "Четырехклапанные", 'sale' =&gt; "0" ],</v>
      </c>
    </row>
    <row r="266" spans="1:17" x14ac:dyDescent="0.4">
      <c r="A266" s="166" t="s">
        <v>896</v>
      </c>
      <c r="B266" s="166">
        <f>Закуп!R266</f>
        <v>115</v>
      </c>
      <c r="C266" s="166">
        <f>Закуп!S266</f>
        <v>65</v>
      </c>
      <c r="D266" s="166">
        <f>Закуп!T266</f>
        <v>65</v>
      </c>
      <c r="E266" s="166" t="s">
        <v>897</v>
      </c>
      <c r="F266" s="167" t="str">
        <f>SUBSTITUTE(INDEX(Calc!$K:$K,(ROW(A265)-1)*5+COLUMN(A265)+1),",",".")</f>
        <v>1.07</v>
      </c>
      <c r="G266" s="167" t="str">
        <f>SUBSTITUTE(INDEX(Calc!$K:$K,(ROW(B265)-1)*5+COLUMN(B265)+1),",",".")</f>
        <v>0.91</v>
      </c>
      <c r="H266" s="167" t="str">
        <f>SUBSTITUTE(INDEX(Calc!$K:$K,(ROW(C265)-1)*5+COLUMN(C265)+1),",",".")</f>
        <v>0.75</v>
      </c>
      <c r="I266" s="167" t="str">
        <f>SUBSTITUTE(INDEX(Calc!$K:$K,(ROW(D265)-1)*5+COLUMN(D265)+1),",",".")</f>
        <v>0.64</v>
      </c>
      <c r="J266" s="167" t="str">
        <f>SUBSTITUTE(INDEX(Calc!$K:$K,(ROW(E265)-1)*5+COLUMN(E265)+1),",",".")</f>
        <v>0.54</v>
      </c>
      <c r="K266" s="166" t="s">
        <v>898</v>
      </c>
      <c r="L266" s="167" t="str">
        <f>Закуп!AA266</f>
        <v>Самосборные</v>
      </c>
      <c r="M266" s="166" t="s">
        <v>899</v>
      </c>
      <c r="N266" s="166">
        <f>IF(Закуп!L266="",0,Закуп!L266)</f>
        <v>0</v>
      </c>
      <c r="O266" s="166" t="s">
        <v>900</v>
      </c>
      <c r="P266" s="144">
        <f>Закуп!N266</f>
        <v>1</v>
      </c>
      <c r="Q266" s="210" t="str">
        <f t="shared" si="4"/>
        <v xml:space="preserve">        [ 'dims' =&gt; [115,65,65], 'prices' =&gt; [1.07,0.91,0.75,0.64,0.54], 'type' =&gt; "Самосборные", 'sale' =&gt; "0" ],</v>
      </c>
    </row>
    <row r="267" spans="1:17" x14ac:dyDescent="0.4">
      <c r="A267" s="166" t="s">
        <v>896</v>
      </c>
      <c r="B267" s="166">
        <f>Закуп!R267</f>
        <v>400</v>
      </c>
      <c r="C267" s="166">
        <f>Закуп!S267</f>
        <v>300</v>
      </c>
      <c r="D267" s="166">
        <f>Закуп!T267</f>
        <v>300</v>
      </c>
      <c r="E267" s="166" t="s">
        <v>897</v>
      </c>
      <c r="F267" s="167" t="str">
        <f>SUBSTITUTE(INDEX(Calc!$K:$K,(ROW(A266)-1)*5+COLUMN(A266)+1),",",".")</f>
        <v>2.46</v>
      </c>
      <c r="G267" s="167" t="str">
        <f>SUBSTITUTE(INDEX(Calc!$K:$K,(ROW(B266)-1)*5+COLUMN(B266)+1),",",".")</f>
        <v>2.25</v>
      </c>
      <c r="H267" s="167" t="str">
        <f>SUBSTITUTE(INDEX(Calc!$K:$K,(ROW(C266)-1)*5+COLUMN(C266)+1),",",".")</f>
        <v>2.09</v>
      </c>
      <c r="I267" s="167" t="str">
        <f>SUBSTITUTE(INDEX(Calc!$K:$K,(ROW(D266)-1)*5+COLUMN(D266)+1),",",".")</f>
        <v>1.98</v>
      </c>
      <c r="J267" s="167" t="str">
        <f>SUBSTITUTE(INDEX(Calc!$K:$K,(ROW(E266)-1)*5+COLUMN(E266)+1),",",".")</f>
        <v>1.82</v>
      </c>
      <c r="K267" s="166" t="s">
        <v>898</v>
      </c>
      <c r="L267" s="167" t="str">
        <f>Закуп!AA267</f>
        <v>Четырехклапанные</v>
      </c>
      <c r="M267" s="166" t="s">
        <v>899</v>
      </c>
      <c r="N267" s="166">
        <f>IF(Закуп!L267="",0,Закуп!L267)</f>
        <v>0</v>
      </c>
      <c r="O267" s="166" t="s">
        <v>900</v>
      </c>
      <c r="P267" s="144">
        <f>Закуп!N267</f>
        <v>1</v>
      </c>
      <c r="Q267" s="210" t="str">
        <f t="shared" si="4"/>
        <v xml:space="preserve">        [ 'dims' =&gt; [400,300,300], 'prices' =&gt; [2.46,2.25,2.09,1.98,1.82], 'type' =&gt; "Четырехклапанные", 'sale' =&gt; "0" ],</v>
      </c>
    </row>
    <row r="268" spans="1:17" x14ac:dyDescent="0.4">
      <c r="A268" s="166" t="s">
        <v>896</v>
      </c>
      <c r="B268" s="166">
        <f>Закуп!R268</f>
        <v>210</v>
      </c>
      <c r="C268" s="166">
        <f>Закуп!S268</f>
        <v>140</v>
      </c>
      <c r="D268" s="166">
        <f>Закуп!T268</f>
        <v>110</v>
      </c>
      <c r="E268" s="166" t="s">
        <v>897</v>
      </c>
      <c r="F268" s="167" t="str">
        <f>SUBSTITUTE(INDEX(Calc!$K:$K,(ROW(A267)-1)*5+COLUMN(A267)+1),",",".")</f>
        <v>1.61</v>
      </c>
      <c r="G268" s="167" t="str">
        <f>SUBSTITUTE(INDEX(Calc!$K:$K,(ROW(B267)-1)*5+COLUMN(B267)+1),",",".")</f>
        <v>1.44</v>
      </c>
      <c r="H268" s="167" t="str">
        <f>SUBSTITUTE(INDEX(Calc!$K:$K,(ROW(C267)-1)*5+COLUMN(C267)+1),",",".")</f>
        <v>1.28</v>
      </c>
      <c r="I268" s="167" t="str">
        <f>SUBSTITUTE(INDEX(Calc!$K:$K,(ROW(D267)-1)*5+COLUMN(D267)+1),",",".")</f>
        <v>1.18</v>
      </c>
      <c r="J268" s="167" t="str">
        <f>SUBSTITUTE(INDEX(Calc!$K:$K,(ROW(E267)-1)*5+COLUMN(E267)+1),",",".")</f>
        <v>1.07</v>
      </c>
      <c r="K268" s="166" t="s">
        <v>898</v>
      </c>
      <c r="L268" s="167" t="str">
        <f>Закуп!AA268</f>
        <v>Четырехклапанные</v>
      </c>
      <c r="M268" s="166" t="s">
        <v>899</v>
      </c>
      <c r="N268" s="166">
        <f>IF(Закуп!L268="",0,Закуп!L268)</f>
        <v>0</v>
      </c>
      <c r="O268" s="166" t="s">
        <v>900</v>
      </c>
      <c r="P268" s="144">
        <f>Закуп!N268</f>
        <v>1</v>
      </c>
      <c r="Q268" s="210" t="str">
        <f t="shared" si="4"/>
        <v xml:space="preserve">        [ 'dims' =&gt; [210,140,110], 'prices' =&gt; [1.61,1.44,1.28,1.18,1.07], 'type' =&gt; "Четырехклапанные", 'sale' =&gt; "0" ],</v>
      </c>
    </row>
    <row r="269" spans="1:17" x14ac:dyDescent="0.4">
      <c r="A269" s="166" t="s">
        <v>896</v>
      </c>
      <c r="B269" s="166">
        <f>Закуп!R269</f>
        <v>195</v>
      </c>
      <c r="C269" s="166">
        <f>Закуп!S269</f>
        <v>70</v>
      </c>
      <c r="D269" s="166">
        <f>Закуп!T269</f>
        <v>35</v>
      </c>
      <c r="E269" s="166" t="s">
        <v>897</v>
      </c>
      <c r="F269" s="167" t="str">
        <f>SUBSTITUTE(INDEX(Calc!$K:$K,(ROW(A268)-1)*5+COLUMN(A268)+1),",",".")</f>
        <v>1.18</v>
      </c>
      <c r="G269" s="167" t="str">
        <f>SUBSTITUTE(INDEX(Calc!$K:$K,(ROW(B268)-1)*5+COLUMN(B268)+1),",",".")</f>
        <v>1.01</v>
      </c>
      <c r="H269" s="167" t="str">
        <f>SUBSTITUTE(INDEX(Calc!$K:$K,(ROW(C268)-1)*5+COLUMN(C268)+1),",",".")</f>
        <v>0.8</v>
      </c>
      <c r="I269" s="167" t="str">
        <f>SUBSTITUTE(INDEX(Calc!$K:$K,(ROW(D268)-1)*5+COLUMN(D268)+1),",",".")</f>
        <v>0.72</v>
      </c>
      <c r="J269" s="167" t="str">
        <f>SUBSTITUTE(INDEX(Calc!$K:$K,(ROW(E268)-1)*5+COLUMN(E268)+1),",",".")</f>
        <v>0.64</v>
      </c>
      <c r="K269" s="166" t="s">
        <v>898</v>
      </c>
      <c r="L269" s="167" t="str">
        <f>Закуп!AA269</f>
        <v>Самосборные</v>
      </c>
      <c r="M269" s="166" t="s">
        <v>899</v>
      </c>
      <c r="N269" s="166">
        <f>IF(Закуп!L269="",0,Закуп!L269)</f>
        <v>0</v>
      </c>
      <c r="O269" s="166" t="s">
        <v>900</v>
      </c>
      <c r="P269" s="144">
        <f>Закуп!N269</f>
        <v>1</v>
      </c>
      <c r="Q269" s="210" t="str">
        <f t="shared" si="4"/>
        <v xml:space="preserve">        [ 'dims' =&gt; [195,70,35], 'prices' =&gt; [1.18,1.01,0.8,0.72,0.64], 'type' =&gt; "Самосборные", 'sale' =&gt; "0" ],</v>
      </c>
    </row>
    <row r="270" spans="1:17" x14ac:dyDescent="0.4">
      <c r="A270" s="166" t="s">
        <v>896</v>
      </c>
      <c r="B270" s="166">
        <f>Закуп!R270</f>
        <v>160</v>
      </c>
      <c r="C270" s="166">
        <f>Закуп!S270</f>
        <v>100</v>
      </c>
      <c r="D270" s="166">
        <f>Закуп!T270</f>
        <v>55</v>
      </c>
      <c r="E270" s="166" t="s">
        <v>897</v>
      </c>
      <c r="F270" s="167" t="str">
        <f>SUBSTITUTE(INDEX(Calc!$K:$K,(ROW(A269)-1)*5+COLUMN(A269)+1),",",".")</f>
        <v>1.18</v>
      </c>
      <c r="G270" s="167" t="str">
        <f>SUBSTITUTE(INDEX(Calc!$K:$K,(ROW(B269)-1)*5+COLUMN(B269)+1),",",".")</f>
        <v>1.02</v>
      </c>
      <c r="H270" s="167" t="str">
        <f>SUBSTITUTE(INDEX(Calc!$K:$K,(ROW(C269)-1)*5+COLUMN(C269)+1),",",".")</f>
        <v>0.86</v>
      </c>
      <c r="I270" s="167" t="str">
        <f>SUBSTITUTE(INDEX(Calc!$K:$K,(ROW(D269)-1)*5+COLUMN(D269)+1),",",".")</f>
        <v>0.75</v>
      </c>
      <c r="J270" s="167" t="str">
        <f>SUBSTITUTE(INDEX(Calc!$K:$K,(ROW(E269)-1)*5+COLUMN(E269)+1),",",".")</f>
        <v>0.64</v>
      </c>
      <c r="K270" s="166" t="s">
        <v>898</v>
      </c>
      <c r="L270" s="167" t="str">
        <f>Закуп!AA270</f>
        <v>Самосборные</v>
      </c>
      <c r="M270" s="166" t="s">
        <v>899</v>
      </c>
      <c r="N270" s="166">
        <f>IF(Закуп!L270="",0,Закуп!L270)</f>
        <v>0</v>
      </c>
      <c r="O270" s="166" t="s">
        <v>900</v>
      </c>
      <c r="P270" s="144">
        <f>Закуп!N270</f>
        <v>1</v>
      </c>
      <c r="Q270" s="210" t="str">
        <f t="shared" si="4"/>
        <v xml:space="preserve">        [ 'dims' =&gt; [160,100,55], 'prices' =&gt; [1.18,1.02,0.86,0.75,0.64], 'type' =&gt; "Самосборные", 'sale' =&gt; "0" ],</v>
      </c>
    </row>
    <row r="271" spans="1:17" x14ac:dyDescent="0.4">
      <c r="A271" s="166" t="s">
        <v>896</v>
      </c>
      <c r="B271" s="166">
        <f>Закуп!R271</f>
        <v>140</v>
      </c>
      <c r="C271" s="166">
        <f>Закуп!S271</f>
        <v>43</v>
      </c>
      <c r="D271" s="166">
        <f>Закуп!T271</f>
        <v>23</v>
      </c>
      <c r="E271" s="166" t="s">
        <v>897</v>
      </c>
      <c r="F271" s="167" t="str">
        <f>SUBSTITUTE(INDEX(Calc!$K:$K,(ROW(A270)-1)*5+COLUMN(A270)+1),",",".")</f>
        <v>1</v>
      </c>
      <c r="G271" s="167" t="str">
        <f>SUBSTITUTE(INDEX(Calc!$K:$K,(ROW(B270)-1)*5+COLUMN(B270)+1),",",".")</f>
        <v>0.85</v>
      </c>
      <c r="H271" s="167" t="str">
        <f>SUBSTITUTE(INDEX(Calc!$K:$K,(ROW(C270)-1)*5+COLUMN(C270)+1),",",".")</f>
        <v>0.7</v>
      </c>
      <c r="I271" s="167" t="str">
        <f>SUBSTITUTE(INDEX(Calc!$K:$K,(ROW(D270)-1)*5+COLUMN(D270)+1),",",".")</f>
        <v>0.6</v>
      </c>
      <c r="J271" s="167" t="str">
        <f>SUBSTITUTE(INDEX(Calc!$K:$K,(ROW(E270)-1)*5+COLUMN(E270)+1),",",".")</f>
        <v>0.5</v>
      </c>
      <c r="K271" s="166" t="s">
        <v>898</v>
      </c>
      <c r="L271" s="167" t="str">
        <f>Закуп!AA271</f>
        <v>Самосборные</v>
      </c>
      <c r="M271" s="166" t="s">
        <v>899</v>
      </c>
      <c r="N271" s="166">
        <f>IF(Закуп!L271="",0,Закуп!L271)</f>
        <v>0</v>
      </c>
      <c r="O271" s="166" t="s">
        <v>900</v>
      </c>
      <c r="P271" s="144">
        <f>Закуп!N271</f>
        <v>1</v>
      </c>
      <c r="Q271" s="210" t="str">
        <f t="shared" si="4"/>
        <v xml:space="preserve">        [ 'dims' =&gt; [140,43,23], 'prices' =&gt; [1,0.85,0.7,0.6,0.5], 'type' =&gt; "Самосборные", 'sale' =&gt; "0" ],</v>
      </c>
    </row>
    <row r="272" spans="1:17" x14ac:dyDescent="0.4">
      <c r="A272" s="166" t="s">
        <v>896</v>
      </c>
      <c r="B272" s="166">
        <f>Закуп!R272</f>
        <v>160</v>
      </c>
      <c r="C272" s="166">
        <f>Закуп!S272</f>
        <v>60</v>
      </c>
      <c r="D272" s="166">
        <f>Закуп!T272</f>
        <v>30</v>
      </c>
      <c r="E272" s="166" t="s">
        <v>897</v>
      </c>
      <c r="F272" s="167" t="str">
        <f>SUBSTITUTE(INDEX(Calc!$K:$K,(ROW(A271)-1)*5+COLUMN(A271)+1),",",".")</f>
        <v>1.12</v>
      </c>
      <c r="G272" s="167" t="str">
        <f>SUBSTITUTE(INDEX(Calc!$K:$K,(ROW(B271)-1)*5+COLUMN(B271)+1),",",".")</f>
        <v>0.96</v>
      </c>
      <c r="H272" s="167" t="str">
        <f>SUBSTITUTE(INDEX(Calc!$K:$K,(ROW(C271)-1)*5+COLUMN(C271)+1),",",".")</f>
        <v>0.8</v>
      </c>
      <c r="I272" s="167" t="str">
        <f>SUBSTITUTE(INDEX(Calc!$K:$K,(ROW(D271)-1)*5+COLUMN(D271)+1),",",".")</f>
        <v>0.7</v>
      </c>
      <c r="J272" s="167" t="str">
        <f>SUBSTITUTE(INDEX(Calc!$K:$K,(ROW(E271)-1)*5+COLUMN(E271)+1),",",".")</f>
        <v>0.59</v>
      </c>
      <c r="K272" s="166" t="s">
        <v>898</v>
      </c>
      <c r="L272" s="167" t="str">
        <f>Закуп!AA272</f>
        <v>Самосборные</v>
      </c>
      <c r="M272" s="166" t="s">
        <v>899</v>
      </c>
      <c r="N272" s="166">
        <f>IF(Закуп!L272="",0,Закуп!L272)</f>
        <v>0</v>
      </c>
      <c r="O272" s="166" t="s">
        <v>900</v>
      </c>
      <c r="P272" s="144">
        <f>Закуп!N272</f>
        <v>1</v>
      </c>
      <c r="Q272" s="210" t="str">
        <f t="shared" si="4"/>
        <v xml:space="preserve">        [ 'dims' =&gt; [160,60,30], 'prices' =&gt; [1.12,0.96,0.8,0.7,0.59], 'type' =&gt; "Самосборные", 'sale' =&gt; "0" ],</v>
      </c>
    </row>
    <row r="273" spans="1:17" x14ac:dyDescent="0.4">
      <c r="A273" s="166" t="s">
        <v>896</v>
      </c>
      <c r="B273" s="166">
        <f>Закуп!R273</f>
        <v>290</v>
      </c>
      <c r="C273" s="166">
        <f>Закуп!S273</f>
        <v>200</v>
      </c>
      <c r="D273" s="166">
        <f>Закуп!T273</f>
        <v>250</v>
      </c>
      <c r="E273" s="166" t="s">
        <v>897</v>
      </c>
      <c r="F273" s="167" t="str">
        <f>SUBSTITUTE(INDEX(Calc!$K:$K,(ROW(A272)-1)*5+COLUMN(A272)+1),",",".")</f>
        <v>2.36</v>
      </c>
      <c r="G273" s="167" t="str">
        <f>SUBSTITUTE(INDEX(Calc!$K:$K,(ROW(B272)-1)*5+COLUMN(B272)+1),",",".")</f>
        <v>2.01</v>
      </c>
      <c r="H273" s="167" t="str">
        <f>SUBSTITUTE(INDEX(Calc!$K:$K,(ROW(C272)-1)*5+COLUMN(C272)+1),",",".")</f>
        <v>1.74</v>
      </c>
      <c r="I273" s="167" t="str">
        <f>SUBSTITUTE(INDEX(Calc!$K:$K,(ROW(D272)-1)*5+COLUMN(D272)+1),",",".")</f>
        <v>1.57</v>
      </c>
      <c r="J273" s="167" t="str">
        <f>SUBSTITUTE(INDEX(Calc!$K:$K,(ROW(E272)-1)*5+COLUMN(E272)+1),",",".")</f>
        <v>1.49</v>
      </c>
      <c r="K273" s="166" t="s">
        <v>898</v>
      </c>
      <c r="L273" s="167" t="str">
        <f>Закуп!AA273</f>
        <v>Четырехклапанные</v>
      </c>
      <c r="M273" s="166" t="s">
        <v>899</v>
      </c>
      <c r="N273" s="166">
        <f>IF(Закуп!L273="",0,Закуп!L273)</f>
        <v>0</v>
      </c>
      <c r="O273" s="166" t="s">
        <v>900</v>
      </c>
      <c r="P273" s="144">
        <f>Закуп!N273</f>
        <v>1</v>
      </c>
      <c r="Q273" s="210" t="str">
        <f t="shared" si="4"/>
        <v xml:space="preserve">        [ 'dims' =&gt; [290,200,250], 'prices' =&gt; [2.36,2.01,1.74,1.57,1.49], 'type' =&gt; "Четырехклапанные", 'sale' =&gt; "0" ],</v>
      </c>
    </row>
    <row r="274" spans="1:17" x14ac:dyDescent="0.4">
      <c r="A274" s="166" t="s">
        <v>896</v>
      </c>
      <c r="B274" s="166">
        <f>Закуп!R274</f>
        <v>270</v>
      </c>
      <c r="C274" s="166">
        <f>Закуп!S274</f>
        <v>160</v>
      </c>
      <c r="D274" s="166">
        <f>Закуп!T274</f>
        <v>270</v>
      </c>
      <c r="E274" s="166" t="s">
        <v>897</v>
      </c>
      <c r="F274" s="167" t="str">
        <f>SUBSTITUTE(INDEX(Calc!$K:$K,(ROW(A273)-1)*5+COLUMN(A273)+1),",",".")</f>
        <v>1.42</v>
      </c>
      <c r="G274" s="167" t="str">
        <f>SUBSTITUTE(INDEX(Calc!$K:$K,(ROW(B273)-1)*5+COLUMN(B273)+1),",",".")</f>
        <v>1.42</v>
      </c>
      <c r="H274" s="167" t="str">
        <f>SUBSTITUTE(INDEX(Calc!$K:$K,(ROW(C273)-1)*5+COLUMN(C273)+1),",",".")</f>
        <v>1.42</v>
      </c>
      <c r="I274" s="167" t="str">
        <f>SUBSTITUTE(INDEX(Calc!$K:$K,(ROW(D273)-1)*5+COLUMN(D273)+1),",",".")</f>
        <v>1.42</v>
      </c>
      <c r="J274" s="167" t="str">
        <f>SUBSTITUTE(INDEX(Calc!$K:$K,(ROW(E273)-1)*5+COLUMN(E273)+1),",",".")</f>
        <v>1.42</v>
      </c>
      <c r="K274" s="166" t="s">
        <v>898</v>
      </c>
      <c r="L274" s="167" t="str">
        <f>Закуп!AA274</f>
        <v>Четырехклапанные</v>
      </c>
      <c r="M274" s="166" t="s">
        <v>899</v>
      </c>
      <c r="N274" s="166" t="str">
        <f>IF(Закуп!L274="",0,Закуп!L274)</f>
        <v>Sale</v>
      </c>
      <c r="O274" s="166" t="s">
        <v>900</v>
      </c>
      <c r="P274" s="144">
        <f>Закуп!N274</f>
        <v>1</v>
      </c>
      <c r="Q274" s="210" t="str">
        <f t="shared" si="4"/>
        <v xml:space="preserve">        [ 'dims' =&gt; [270,160,270], 'prices' =&gt; [1.42,1.42,1.42,1.42,1.42], 'type' =&gt; "Четырехклапанные", 'sale' =&gt; "Sale" ],</v>
      </c>
    </row>
    <row r="275" spans="1:17" x14ac:dyDescent="0.4">
      <c r="A275" s="166" t="s">
        <v>896</v>
      </c>
      <c r="B275" s="166">
        <f>Закуп!R275</f>
        <v>220</v>
      </c>
      <c r="C275" s="166">
        <f>Закуп!S275</f>
        <v>110</v>
      </c>
      <c r="D275" s="166">
        <f>Закуп!T275</f>
        <v>530</v>
      </c>
      <c r="E275" s="166" t="s">
        <v>897</v>
      </c>
      <c r="F275" s="167" t="str">
        <f>SUBSTITUTE(INDEX(Calc!$K:$K,(ROW(A274)-1)*5+COLUMN(A274)+1),",",".")</f>
        <v>2.44</v>
      </c>
      <c r="G275" s="167" t="str">
        <f>SUBSTITUTE(INDEX(Calc!$K:$K,(ROW(B274)-1)*5+COLUMN(B274)+1),",",".")</f>
        <v>2.08</v>
      </c>
      <c r="H275" s="167" t="str">
        <f>SUBSTITUTE(INDEX(Calc!$K:$K,(ROW(C274)-1)*5+COLUMN(C274)+1),",",".")</f>
        <v>1.81</v>
      </c>
      <c r="I275" s="167" t="str">
        <f>SUBSTITUTE(INDEX(Calc!$K:$K,(ROW(D274)-1)*5+COLUMN(D274)+1),",",".")</f>
        <v>1.63</v>
      </c>
      <c r="J275" s="167" t="str">
        <f>SUBSTITUTE(INDEX(Calc!$K:$K,(ROW(E274)-1)*5+COLUMN(E274)+1),",",".")</f>
        <v>1.54</v>
      </c>
      <c r="K275" s="166" t="s">
        <v>898</v>
      </c>
      <c r="L275" s="167" t="str">
        <f>Закуп!AA275</f>
        <v>Четырехклапанные</v>
      </c>
      <c r="M275" s="166" t="s">
        <v>899</v>
      </c>
      <c r="N275" s="166">
        <f>IF(Закуп!L275="",0,Закуп!L275)</f>
        <v>0</v>
      </c>
      <c r="O275" s="166" t="s">
        <v>900</v>
      </c>
      <c r="P275" s="144">
        <f>Закуп!N275</f>
        <v>1</v>
      </c>
      <c r="Q275" s="210" t="str">
        <f t="shared" si="4"/>
        <v xml:space="preserve">        [ 'dims' =&gt; [220,110,530], 'prices' =&gt; [2.44,2.08,1.81,1.63,1.54], 'type' =&gt; "Четырехклапанные", 'sale' =&gt; "0" ],</v>
      </c>
    </row>
    <row r="276" spans="1:17" x14ac:dyDescent="0.4">
      <c r="A276" s="166" t="s">
        <v>896</v>
      </c>
      <c r="B276" s="166">
        <f>Закуп!R276</f>
        <v>220</v>
      </c>
      <c r="C276" s="166">
        <f>Закуп!S276</f>
        <v>130</v>
      </c>
      <c r="D276" s="166">
        <f>Закуп!T276</f>
        <v>90</v>
      </c>
      <c r="E276" s="166" t="s">
        <v>897</v>
      </c>
      <c r="F276" s="167" t="str">
        <f>SUBSTITUTE(INDEX(Calc!$K:$K,(ROW(A275)-1)*5+COLUMN(A275)+1),",",".")</f>
        <v>1.53</v>
      </c>
      <c r="G276" s="167" t="str">
        <f>SUBSTITUTE(INDEX(Calc!$K:$K,(ROW(B275)-1)*5+COLUMN(B275)+1),",",".")</f>
        <v>1.39</v>
      </c>
      <c r="H276" s="167" t="str">
        <f>SUBSTITUTE(INDEX(Calc!$K:$K,(ROW(C275)-1)*5+COLUMN(C275)+1),",",".")</f>
        <v>1.28</v>
      </c>
      <c r="I276" s="167" t="str">
        <f>SUBSTITUTE(INDEX(Calc!$K:$K,(ROW(D275)-1)*5+COLUMN(D275)+1),",",".")</f>
        <v>1.18</v>
      </c>
      <c r="J276" s="167" t="str">
        <f>SUBSTITUTE(INDEX(Calc!$K:$K,(ROW(E275)-1)*5+COLUMN(E275)+1),",",".")</f>
        <v>1.07</v>
      </c>
      <c r="K276" s="166" t="s">
        <v>898</v>
      </c>
      <c r="L276" s="167" t="str">
        <f>Закуп!AA276</f>
        <v>Четырехклапанные</v>
      </c>
      <c r="M276" s="166" t="s">
        <v>899</v>
      </c>
      <c r="N276" s="166">
        <f>IF(Закуп!L276="",0,Закуп!L276)</f>
        <v>0</v>
      </c>
      <c r="O276" s="166" t="s">
        <v>900</v>
      </c>
      <c r="P276" s="144">
        <f>Закуп!N276</f>
        <v>1</v>
      </c>
      <c r="Q276" s="210" t="str">
        <f t="shared" si="4"/>
        <v xml:space="preserve">        [ 'dims' =&gt; [220,130,90], 'prices' =&gt; [1.53,1.39,1.28,1.18,1.07], 'type' =&gt; "Четырехклапанные", 'sale' =&gt; "0" ],</v>
      </c>
    </row>
    <row r="277" spans="1:17" x14ac:dyDescent="0.4">
      <c r="A277" s="166" t="s">
        <v>896</v>
      </c>
      <c r="B277" s="166">
        <f>Закуп!R277</f>
        <v>155</v>
      </c>
      <c r="C277" s="166">
        <f>Закуп!S277</f>
        <v>83</v>
      </c>
      <c r="D277" s="166">
        <f>Закуп!T277</f>
        <v>73</v>
      </c>
      <c r="E277" s="166" t="s">
        <v>897</v>
      </c>
      <c r="F277" s="167" t="str">
        <f>SUBSTITUTE(INDEX(Calc!$K:$K,(ROW(A276)-1)*5+COLUMN(A276)+1),",",".")</f>
        <v>1.18</v>
      </c>
      <c r="G277" s="167" t="str">
        <f>SUBSTITUTE(INDEX(Calc!$K:$K,(ROW(B276)-1)*5+COLUMN(B276)+1),",",".")</f>
        <v>1.07</v>
      </c>
      <c r="H277" s="167" t="str">
        <f>SUBSTITUTE(INDEX(Calc!$K:$K,(ROW(C276)-1)*5+COLUMN(C276)+1),",",".")</f>
        <v>0.91</v>
      </c>
      <c r="I277" s="167" t="str">
        <f>SUBSTITUTE(INDEX(Calc!$K:$K,(ROW(D276)-1)*5+COLUMN(D276)+1),",",".")</f>
        <v>0.75</v>
      </c>
      <c r="J277" s="167" t="str">
        <f>SUBSTITUTE(INDEX(Calc!$K:$K,(ROW(E276)-1)*5+COLUMN(E276)+1),",",".")</f>
        <v>0.59</v>
      </c>
      <c r="K277" s="166" t="s">
        <v>898</v>
      </c>
      <c r="L277" s="167" t="str">
        <f>Закуп!AA277</f>
        <v>Самосборные</v>
      </c>
      <c r="M277" s="166" t="s">
        <v>899</v>
      </c>
      <c r="N277" s="166">
        <f>IF(Закуп!L277="",0,Закуп!L277)</f>
        <v>0</v>
      </c>
      <c r="O277" s="166" t="s">
        <v>900</v>
      </c>
      <c r="P277" s="144">
        <f>Закуп!N277</f>
        <v>1</v>
      </c>
      <c r="Q277" s="210" t="str">
        <f t="shared" si="4"/>
        <v xml:space="preserve">        [ 'dims' =&gt; [155,83,73], 'prices' =&gt; [1.18,1.07,0.91,0.75,0.59], 'type' =&gt; "Самосборные", 'sale' =&gt; "0" ],</v>
      </c>
    </row>
    <row r="278" spans="1:17" x14ac:dyDescent="0.4">
      <c r="A278" s="166" t="s">
        <v>896</v>
      </c>
      <c r="B278" s="166">
        <f>Закуп!R278</f>
        <v>100</v>
      </c>
      <c r="C278" s="166">
        <f>Закуп!S278</f>
        <v>100</v>
      </c>
      <c r="D278" s="166">
        <f>Закуп!T278</f>
        <v>40</v>
      </c>
      <c r="E278" s="166" t="s">
        <v>897</v>
      </c>
      <c r="F278" s="167" t="str">
        <f>SUBSTITUTE(INDEX(Calc!$K:$K,(ROW(A277)-1)*5+COLUMN(A277)+1),",",".")</f>
        <v>1.24</v>
      </c>
      <c r="G278" s="167" t="str">
        <f>SUBSTITUTE(INDEX(Calc!$K:$K,(ROW(B277)-1)*5+COLUMN(B277)+1),",",".")</f>
        <v>1.13</v>
      </c>
      <c r="H278" s="167" t="str">
        <f>SUBSTITUTE(INDEX(Calc!$K:$K,(ROW(C277)-1)*5+COLUMN(C277)+1),",",".")</f>
        <v>0.9</v>
      </c>
      <c r="I278" s="167" t="str">
        <f>SUBSTITUTE(INDEX(Calc!$K:$K,(ROW(D277)-1)*5+COLUMN(D277)+1),",",".")</f>
        <v>0.81</v>
      </c>
      <c r="J278" s="167" t="str">
        <f>SUBSTITUTE(INDEX(Calc!$K:$K,(ROW(E277)-1)*5+COLUMN(E277)+1),",",".")</f>
        <v>0.62</v>
      </c>
      <c r="K278" s="166" t="s">
        <v>898</v>
      </c>
      <c r="L278" s="167" t="str">
        <f>Закуп!AA278</f>
        <v>Самосборные</v>
      </c>
      <c r="M278" s="166" t="s">
        <v>899</v>
      </c>
      <c r="N278" s="166">
        <f>IF(Закуп!L278="",0,Закуп!L278)</f>
        <v>0</v>
      </c>
      <c r="O278" s="166" t="s">
        <v>900</v>
      </c>
      <c r="P278" s="144">
        <f>Закуп!N278</f>
        <v>1</v>
      </c>
      <c r="Q278" s="210" t="str">
        <f t="shared" si="4"/>
        <v xml:space="preserve">        [ 'dims' =&gt; [100,100,40], 'prices' =&gt; [1.24,1.13,0.9,0.81,0.62], 'type' =&gt; "Самосборные", 'sale' =&gt; "0" ],</v>
      </c>
    </row>
    <row r="279" spans="1:17" x14ac:dyDescent="0.4">
      <c r="A279" s="166" t="s">
        <v>896</v>
      </c>
      <c r="B279" s="166">
        <f>Закуп!R279</f>
        <v>350</v>
      </c>
      <c r="C279" s="166">
        <f>Закуп!S279</f>
        <v>45</v>
      </c>
      <c r="D279" s="166">
        <f>Закуп!T279</f>
        <v>235</v>
      </c>
      <c r="E279" s="166" t="s">
        <v>897</v>
      </c>
      <c r="F279" s="167" t="str">
        <f>SUBSTITUTE(INDEX(Calc!$K:$K,(ROW(A278)-1)*5+COLUMN(A278)+1),",",".")</f>
        <v>1.58</v>
      </c>
      <c r="G279" s="167" t="str">
        <f>SUBSTITUTE(INDEX(Calc!$K:$K,(ROW(B278)-1)*5+COLUMN(B278)+1),",",".")</f>
        <v>1.43</v>
      </c>
      <c r="H279" s="167" t="str">
        <f>SUBSTITUTE(INDEX(Calc!$K:$K,(ROW(C278)-1)*5+COLUMN(C278)+1),",",".")</f>
        <v>1.13</v>
      </c>
      <c r="I279" s="167" t="str">
        <f>SUBSTITUTE(INDEX(Calc!$K:$K,(ROW(D278)-1)*5+COLUMN(D278)+1),",",".")</f>
        <v>1.06</v>
      </c>
      <c r="J279" s="167" t="str">
        <f>SUBSTITUTE(INDEX(Calc!$K:$K,(ROW(E278)-1)*5+COLUMN(E278)+1),",",".")</f>
        <v>1.01</v>
      </c>
      <c r="K279" s="166" t="s">
        <v>898</v>
      </c>
      <c r="L279" s="167" t="str">
        <f>Закуп!AA279</f>
        <v>Самосборные</v>
      </c>
      <c r="M279" s="166" t="s">
        <v>899</v>
      </c>
      <c r="N279" s="166">
        <f>IF(Закуп!L279="",0,Закуп!L279)</f>
        <v>0</v>
      </c>
      <c r="O279" s="166" t="s">
        <v>900</v>
      </c>
      <c r="P279" s="144">
        <f>Закуп!N279</f>
        <v>1</v>
      </c>
      <c r="Q279" s="210" t="str">
        <f t="shared" si="4"/>
        <v xml:space="preserve">        [ 'dims' =&gt; [350,45,235], 'prices' =&gt; [1.58,1.43,1.13,1.06,1.01], 'type' =&gt; "Самосборные", 'sale' =&gt; "0" ],</v>
      </c>
    </row>
    <row r="280" spans="1:17" x14ac:dyDescent="0.4">
      <c r="A280" s="166" t="s">
        <v>896</v>
      </c>
      <c r="B280" s="166">
        <f>Закуп!R280</f>
        <v>260</v>
      </c>
      <c r="C280" s="166">
        <f>Закуп!S280</f>
        <v>185</v>
      </c>
      <c r="D280" s="166">
        <f>Закуп!T280</f>
        <v>35</v>
      </c>
      <c r="E280" s="166" t="s">
        <v>897</v>
      </c>
      <c r="F280" s="167" t="str">
        <f>SUBSTITUTE(INDEX(Calc!$K:$K,(ROW(A279)-1)*5+COLUMN(A279)+1),",",".")</f>
        <v>1.15</v>
      </c>
      <c r="G280" s="167" t="str">
        <f>SUBSTITUTE(INDEX(Calc!$K:$K,(ROW(B279)-1)*5+COLUMN(B279)+1),",",".")</f>
        <v>0.95</v>
      </c>
      <c r="H280" s="167" t="str">
        <f>SUBSTITUTE(INDEX(Calc!$K:$K,(ROW(C279)-1)*5+COLUMN(C279)+1),",",".")</f>
        <v>0.85</v>
      </c>
      <c r="I280" s="167" t="str">
        <f>SUBSTITUTE(INDEX(Calc!$K:$K,(ROW(D279)-1)*5+COLUMN(D279)+1),",",".")</f>
        <v>0.75</v>
      </c>
      <c r="J280" s="167" t="str">
        <f>SUBSTITUTE(INDEX(Calc!$K:$K,(ROW(E279)-1)*5+COLUMN(E279)+1),",",".")</f>
        <v>0.65</v>
      </c>
      <c r="K280" s="166" t="s">
        <v>898</v>
      </c>
      <c r="L280" s="167" t="str">
        <f>Закуп!AA280</f>
        <v>Самосборные</v>
      </c>
      <c r="M280" s="166" t="s">
        <v>899</v>
      </c>
      <c r="N280" s="166">
        <f>IF(Закуп!L280="",0,Закуп!L280)</f>
        <v>0</v>
      </c>
      <c r="O280" s="166" t="s">
        <v>900</v>
      </c>
      <c r="P280" s="144">
        <f>Закуп!N280</f>
        <v>1</v>
      </c>
      <c r="Q280" s="210" t="str">
        <f t="shared" si="4"/>
        <v xml:space="preserve">        [ 'dims' =&gt; [260,185,35], 'prices' =&gt; [1.15,0.95,0.85,0.75,0.65], 'type' =&gt; "Самосборные", 'sale' =&gt; "0" ],</v>
      </c>
    </row>
    <row r="281" spans="1:17" x14ac:dyDescent="0.4">
      <c r="A281" s="166" t="s">
        <v>896</v>
      </c>
      <c r="B281" s="166">
        <f>Закуп!R281</f>
        <v>210</v>
      </c>
      <c r="C281" s="166">
        <f>Закуп!S281</f>
        <v>140</v>
      </c>
      <c r="D281" s="166">
        <f>Закуп!T281</f>
        <v>10</v>
      </c>
      <c r="E281" s="166" t="s">
        <v>897</v>
      </c>
      <c r="F281" s="167" t="str">
        <f>SUBSTITUTE(INDEX(Calc!$K:$K,(ROW(A280)-1)*5+COLUMN(A280)+1),",",".")</f>
        <v>1</v>
      </c>
      <c r="G281" s="167" t="str">
        <f>SUBSTITUTE(INDEX(Calc!$K:$K,(ROW(B280)-1)*5+COLUMN(B280)+1),",",".")</f>
        <v>0.85</v>
      </c>
      <c r="H281" s="167" t="str">
        <f>SUBSTITUTE(INDEX(Calc!$K:$K,(ROW(C280)-1)*5+COLUMN(C280)+1),",",".")</f>
        <v>0.7</v>
      </c>
      <c r="I281" s="167" t="str">
        <f>SUBSTITUTE(INDEX(Calc!$K:$K,(ROW(D280)-1)*5+COLUMN(D280)+1),",",".")</f>
        <v>0.6</v>
      </c>
      <c r="J281" s="167" t="str">
        <f>SUBSTITUTE(INDEX(Calc!$K:$K,(ROW(E280)-1)*5+COLUMN(E280)+1),",",".")</f>
        <v>0.5</v>
      </c>
      <c r="K281" s="166" t="s">
        <v>898</v>
      </c>
      <c r="L281" s="167" t="str">
        <f>Закуп!AA281</f>
        <v>Самосборные</v>
      </c>
      <c r="M281" s="166" t="s">
        <v>899</v>
      </c>
      <c r="N281" s="166">
        <f>IF(Закуп!L281="",0,Закуп!L281)</f>
        <v>0</v>
      </c>
      <c r="O281" s="166" t="s">
        <v>900</v>
      </c>
      <c r="P281" s="144">
        <f>Закуп!N281</f>
        <v>1</v>
      </c>
      <c r="Q281" s="210" t="str">
        <f t="shared" si="4"/>
        <v xml:space="preserve">        [ 'dims' =&gt; [210,140,10], 'prices' =&gt; [1,0.85,0.7,0.6,0.5], 'type' =&gt; "Самосборные", 'sale' =&gt; "0" ],</v>
      </c>
    </row>
    <row r="282" spans="1:17" x14ac:dyDescent="0.4">
      <c r="A282" s="166" t="s">
        <v>896</v>
      </c>
      <c r="B282" s="166">
        <f>Закуп!R282</f>
        <v>640</v>
      </c>
      <c r="C282" s="166">
        <f>Закуп!S282</f>
        <v>340</v>
      </c>
      <c r="D282" s="166">
        <f>Закуп!T282</f>
        <v>70</v>
      </c>
      <c r="E282" s="166" t="s">
        <v>897</v>
      </c>
      <c r="F282" s="167" t="str">
        <f>SUBSTITUTE(INDEX(Calc!$K:$K,(ROW(A281)-1)*5+COLUMN(A281)+1),",",".")</f>
        <v>3.4</v>
      </c>
      <c r="G282" s="167" t="str">
        <f>SUBSTITUTE(INDEX(Calc!$K:$K,(ROW(B281)-1)*5+COLUMN(B281)+1),",",".")</f>
        <v>2.9</v>
      </c>
      <c r="H282" s="167" t="str">
        <f>SUBSTITUTE(INDEX(Calc!$K:$K,(ROW(C281)-1)*5+COLUMN(C281)+1),",",".")</f>
        <v>2.55</v>
      </c>
      <c r="I282" s="167" t="str">
        <f>SUBSTITUTE(INDEX(Calc!$K:$K,(ROW(D281)-1)*5+COLUMN(D281)+1),",",".")</f>
        <v>2.42</v>
      </c>
      <c r="J282" s="167" t="str">
        <f>SUBSTITUTE(INDEX(Calc!$K:$K,(ROW(E281)-1)*5+COLUMN(E281)+1),",",".")</f>
        <v>2.3</v>
      </c>
      <c r="K282" s="166" t="s">
        <v>898</v>
      </c>
      <c r="L282" s="167" t="str">
        <f>Закуп!AA282</f>
        <v>Самосборные</v>
      </c>
      <c r="M282" s="166" t="s">
        <v>899</v>
      </c>
      <c r="N282" s="166">
        <f>IF(Закуп!L282="",0,Закуп!L282)</f>
        <v>0</v>
      </c>
      <c r="O282" s="166" t="s">
        <v>900</v>
      </c>
      <c r="P282" s="144">
        <f>Закуп!N282</f>
        <v>1</v>
      </c>
      <c r="Q282" s="210" t="str">
        <f t="shared" si="4"/>
        <v xml:space="preserve">        [ 'dims' =&gt; [640,340,70], 'prices' =&gt; [3.4,2.9,2.55,2.42,2.3], 'type' =&gt; "Самосборные", 'sale' =&gt; "0" ],</v>
      </c>
    </row>
    <row r="283" spans="1:17" x14ac:dyDescent="0.4">
      <c r="A283" s="166" t="s">
        <v>896</v>
      </c>
      <c r="B283" s="166">
        <f>Закуп!R283</f>
        <v>230</v>
      </c>
      <c r="C283" s="166">
        <f>Закуп!S283</f>
        <v>140</v>
      </c>
      <c r="D283" s="166">
        <f>Закуп!T283</f>
        <v>20</v>
      </c>
      <c r="E283" s="166" t="s">
        <v>897</v>
      </c>
      <c r="F283" s="167" t="str">
        <f>SUBSTITUTE(INDEX(Calc!$K:$K,(ROW(A282)-1)*5+COLUMN(A282)+1),",",".")</f>
        <v>1</v>
      </c>
      <c r="G283" s="167" t="str">
        <f>SUBSTITUTE(INDEX(Calc!$K:$K,(ROW(B282)-1)*5+COLUMN(B282)+1),",",".")</f>
        <v>0.85</v>
      </c>
      <c r="H283" s="167" t="str">
        <f>SUBSTITUTE(INDEX(Calc!$K:$K,(ROW(C282)-1)*5+COLUMN(C282)+1),",",".")</f>
        <v>0.7</v>
      </c>
      <c r="I283" s="167" t="str">
        <f>SUBSTITUTE(INDEX(Calc!$K:$K,(ROW(D282)-1)*5+COLUMN(D282)+1),",",".")</f>
        <v>0.6</v>
      </c>
      <c r="J283" s="167" t="str">
        <f>SUBSTITUTE(INDEX(Calc!$K:$K,(ROW(E282)-1)*5+COLUMN(E282)+1),",",".")</f>
        <v>0.5</v>
      </c>
      <c r="K283" s="166" t="s">
        <v>898</v>
      </c>
      <c r="L283" s="167" t="str">
        <f>Закуп!AA283</f>
        <v>Самосборные</v>
      </c>
      <c r="M283" s="166" t="s">
        <v>899</v>
      </c>
      <c r="N283" s="166">
        <f>IF(Закуп!L283="",0,Закуп!L283)</f>
        <v>0</v>
      </c>
      <c r="O283" s="166" t="s">
        <v>900</v>
      </c>
      <c r="P283" s="144">
        <f>Закуп!N283</f>
        <v>1</v>
      </c>
      <c r="Q283" s="210" t="str">
        <f t="shared" si="4"/>
        <v xml:space="preserve">        [ 'dims' =&gt; [230,140,20], 'prices' =&gt; [1,0.85,0.7,0.6,0.5], 'type' =&gt; "Самосборные", 'sale' =&gt; "0" ],</v>
      </c>
    </row>
    <row r="284" spans="1:17" x14ac:dyDescent="0.4">
      <c r="A284" s="166" t="s">
        <v>896</v>
      </c>
      <c r="B284" s="166">
        <f>Закуп!R284</f>
        <v>220</v>
      </c>
      <c r="C284" s="166">
        <f>Закуп!S284</f>
        <v>168</v>
      </c>
      <c r="D284" s="166">
        <f>Закуп!T284</f>
        <v>23</v>
      </c>
      <c r="E284" s="166" t="s">
        <v>897</v>
      </c>
      <c r="F284" s="167" t="str">
        <f>SUBSTITUTE(INDEX(Calc!$K:$K,(ROW(A283)-1)*5+COLUMN(A283)+1),",",".")</f>
        <v>1.07</v>
      </c>
      <c r="G284" s="167" t="str">
        <f>SUBSTITUTE(INDEX(Calc!$K:$K,(ROW(B283)-1)*5+COLUMN(B283)+1),",",".")</f>
        <v>0.91</v>
      </c>
      <c r="H284" s="167" t="str">
        <f>SUBSTITUTE(INDEX(Calc!$K:$K,(ROW(C283)-1)*5+COLUMN(C283)+1),",",".")</f>
        <v>0.75</v>
      </c>
      <c r="I284" s="167" t="str">
        <f>SUBSTITUTE(INDEX(Calc!$K:$K,(ROW(D283)-1)*5+COLUMN(D283)+1),",",".")</f>
        <v>0.64</v>
      </c>
      <c r="J284" s="167" t="str">
        <f>SUBSTITUTE(INDEX(Calc!$K:$K,(ROW(E283)-1)*5+COLUMN(E283)+1),",",".")</f>
        <v>0.54</v>
      </c>
      <c r="K284" s="166" t="s">
        <v>898</v>
      </c>
      <c r="L284" s="167" t="str">
        <f>Закуп!AA284</f>
        <v>Самосборные</v>
      </c>
      <c r="M284" s="166" t="s">
        <v>899</v>
      </c>
      <c r="N284" s="166">
        <f>IF(Закуп!L284="",0,Закуп!L284)</f>
        <v>0</v>
      </c>
      <c r="O284" s="166" t="s">
        <v>900</v>
      </c>
      <c r="P284" s="144">
        <f>Закуп!N284</f>
        <v>1</v>
      </c>
      <c r="Q284" s="210" t="str">
        <f t="shared" si="4"/>
        <v xml:space="preserve">        [ 'dims' =&gt; [220,168,23], 'prices' =&gt; [1.07,0.91,0.75,0.64,0.54], 'type' =&gt; "Самосборные", 'sale' =&gt; "0" ],</v>
      </c>
    </row>
    <row r="285" spans="1:17" x14ac:dyDescent="0.4">
      <c r="A285" s="166" t="s">
        <v>896</v>
      </c>
      <c r="B285" s="166">
        <f>Закуп!R285</f>
        <v>150</v>
      </c>
      <c r="C285" s="166">
        <f>Закуп!S285</f>
        <v>150</v>
      </c>
      <c r="D285" s="166">
        <f>Закуп!T285</f>
        <v>250</v>
      </c>
      <c r="E285" s="166" t="s">
        <v>897</v>
      </c>
      <c r="F285" s="167" t="str">
        <f>SUBSTITUTE(INDEX(Calc!$K:$K,(ROW(A284)-1)*5+COLUMN(A284)+1),",",".")</f>
        <v>1.36</v>
      </c>
      <c r="G285" s="167" t="str">
        <f>SUBSTITUTE(INDEX(Calc!$K:$K,(ROW(B284)-1)*5+COLUMN(B284)+1),",",".")</f>
        <v>1.18</v>
      </c>
      <c r="H285" s="167" t="str">
        <f>SUBSTITUTE(INDEX(Calc!$K:$K,(ROW(C284)-1)*5+COLUMN(C284)+1),",",".")</f>
        <v>1</v>
      </c>
      <c r="I285" s="167" t="str">
        <f>SUBSTITUTE(INDEX(Calc!$K:$K,(ROW(D284)-1)*5+COLUMN(D284)+1),",",".")</f>
        <v>0.95</v>
      </c>
      <c r="J285" s="167" t="str">
        <f>SUBSTITUTE(INDEX(Calc!$K:$K,(ROW(E284)-1)*5+COLUMN(E284)+1),",",".")</f>
        <v>0.88</v>
      </c>
      <c r="K285" s="166" t="s">
        <v>898</v>
      </c>
      <c r="L285" s="167" t="str">
        <f>Закуп!AA285</f>
        <v>Четырехклапанные</v>
      </c>
      <c r="M285" s="166" t="s">
        <v>899</v>
      </c>
      <c r="N285" s="166">
        <f>IF(Закуп!L285="",0,Закуп!L285)</f>
        <v>0</v>
      </c>
      <c r="O285" s="166" t="s">
        <v>900</v>
      </c>
      <c r="P285" s="144">
        <f>Закуп!N285</f>
        <v>1</v>
      </c>
      <c r="Q285" s="210" t="str">
        <f t="shared" si="4"/>
        <v xml:space="preserve">        [ 'dims' =&gt; [150,150,250], 'prices' =&gt; [1.36,1.18,1,0.95,0.88], 'type' =&gt; "Четырехклапанные", 'sale' =&gt; "0" ],</v>
      </c>
    </row>
    <row r="286" spans="1:17" x14ac:dyDescent="0.4">
      <c r="A286" s="166" t="s">
        <v>896</v>
      </c>
      <c r="B286" s="166">
        <f>Закуп!R286</f>
        <v>200</v>
      </c>
      <c r="C286" s="166">
        <f>Закуп!S286</f>
        <v>200</v>
      </c>
      <c r="D286" s="166">
        <f>Закуп!T286</f>
        <v>150</v>
      </c>
      <c r="E286" s="166" t="s">
        <v>897</v>
      </c>
      <c r="F286" s="167" t="str">
        <f>SUBSTITUTE(INDEX(Calc!$K:$K,(ROW(A285)-1)*5+COLUMN(A285)+1),",",".")</f>
        <v>1.5</v>
      </c>
      <c r="G286" s="167" t="str">
        <f>SUBSTITUTE(INDEX(Calc!$K:$K,(ROW(B285)-1)*5+COLUMN(B285)+1),",",".")</f>
        <v>1.36</v>
      </c>
      <c r="H286" s="167" t="str">
        <f>SUBSTITUTE(INDEX(Calc!$K:$K,(ROW(C285)-1)*5+COLUMN(C285)+1),",",".")</f>
        <v>1.08</v>
      </c>
      <c r="I286" s="167" t="str">
        <f>SUBSTITUTE(INDEX(Calc!$K:$K,(ROW(D285)-1)*5+COLUMN(D285)+1),",",".")</f>
        <v>1.01</v>
      </c>
      <c r="J286" s="167" t="str">
        <f>SUBSTITUTE(INDEX(Calc!$K:$K,(ROW(E285)-1)*5+COLUMN(E285)+1),",",".")</f>
        <v>0.95</v>
      </c>
      <c r="K286" s="166" t="s">
        <v>898</v>
      </c>
      <c r="L286" s="167" t="str">
        <f>Закуп!AA286</f>
        <v>Четырехклапанные</v>
      </c>
      <c r="M286" s="166" t="s">
        <v>899</v>
      </c>
      <c r="N286" s="166">
        <f>IF(Закуп!L286="",0,Закуп!L286)</f>
        <v>0</v>
      </c>
      <c r="O286" s="166" t="s">
        <v>900</v>
      </c>
      <c r="P286" s="144">
        <f>Закуп!N286</f>
        <v>1</v>
      </c>
      <c r="Q286" s="210" t="str">
        <f t="shared" si="4"/>
        <v xml:space="preserve">        [ 'dims' =&gt; [200,200,150], 'prices' =&gt; [1.5,1.36,1.08,1.01,0.95], 'type' =&gt; "Четырехклапанные", 'sale' =&gt; "0" ],</v>
      </c>
    </row>
    <row r="287" spans="1:17" x14ac:dyDescent="0.4">
      <c r="A287" s="166" t="s">
        <v>896</v>
      </c>
      <c r="B287" s="166">
        <f>Закуп!R287</f>
        <v>630</v>
      </c>
      <c r="C287" s="166">
        <f>Закуп!S287</f>
        <v>380</v>
      </c>
      <c r="D287" s="166">
        <f>Закуп!T287</f>
        <v>380</v>
      </c>
      <c r="E287" s="166" t="s">
        <v>897</v>
      </c>
      <c r="F287" s="167" t="str">
        <f>SUBSTITUTE(INDEX(Calc!$K:$K,(ROW(A286)-1)*5+COLUMN(A286)+1),",",".")</f>
        <v>3.88</v>
      </c>
      <c r="G287" s="167" t="str">
        <f>SUBSTITUTE(INDEX(Calc!$K:$K,(ROW(B286)-1)*5+COLUMN(B286)+1),",",".")</f>
        <v>3.78</v>
      </c>
      <c r="H287" s="167" t="str">
        <f>SUBSTITUTE(INDEX(Calc!$K:$K,(ROW(C286)-1)*5+COLUMN(C286)+1),",",".")</f>
        <v>3.15</v>
      </c>
      <c r="I287" s="167" t="str">
        <f>SUBSTITUTE(INDEX(Calc!$K:$K,(ROW(D286)-1)*5+COLUMN(D286)+1),",",".")</f>
        <v>3.05</v>
      </c>
      <c r="J287" s="167" t="str">
        <f>SUBSTITUTE(INDEX(Calc!$K:$K,(ROW(E286)-1)*5+COLUMN(E286)+1),",",".")</f>
        <v>2.96</v>
      </c>
      <c r="K287" s="166" t="s">
        <v>898</v>
      </c>
      <c r="L287" s="167" t="str">
        <f>Закуп!AA287</f>
        <v>Четырехклапанные</v>
      </c>
      <c r="M287" s="166" t="s">
        <v>899</v>
      </c>
      <c r="N287" s="166">
        <f>IF(Закуп!L287="",0,Закуп!L287)</f>
        <v>0</v>
      </c>
      <c r="O287" s="166" t="s">
        <v>900</v>
      </c>
      <c r="P287" s="144">
        <f>Закуп!N287</f>
        <v>1</v>
      </c>
      <c r="Q287" s="210" t="str">
        <f t="shared" si="4"/>
        <v xml:space="preserve">        [ 'dims' =&gt; [630,380,380], 'prices' =&gt; [3.88,3.78,3.15,3.05,2.96], 'type' =&gt; "Четырехклапанные", 'sale' =&gt; "0" ],</v>
      </c>
    </row>
    <row r="288" spans="1:17" x14ac:dyDescent="0.4">
      <c r="A288" s="166" t="s">
        <v>896</v>
      </c>
      <c r="B288" s="166">
        <f>Закуп!R288</f>
        <v>400</v>
      </c>
      <c r="C288" s="166">
        <f>Закуп!S288</f>
        <v>400</v>
      </c>
      <c r="D288" s="166">
        <f>Закуп!T288</f>
        <v>70</v>
      </c>
      <c r="E288" s="166" t="s">
        <v>897</v>
      </c>
      <c r="F288" s="167" t="str">
        <f>SUBSTITUTE(INDEX(Calc!$K:$K,(ROW(A287)-1)*5+COLUMN(A287)+1),",",".")</f>
        <v>2.8</v>
      </c>
      <c r="G288" s="167" t="str">
        <f>SUBSTITUTE(INDEX(Calc!$K:$K,(ROW(B287)-1)*5+COLUMN(B287)+1),",",".")</f>
        <v>2.4</v>
      </c>
      <c r="H288" s="167" t="str">
        <f>SUBSTITUTE(INDEX(Calc!$K:$K,(ROW(C287)-1)*5+COLUMN(C287)+1),",",".")</f>
        <v>2.16</v>
      </c>
      <c r="I288" s="167" t="str">
        <f>SUBSTITUTE(INDEX(Calc!$K:$K,(ROW(D287)-1)*5+COLUMN(D287)+1),",",".")</f>
        <v>1.95</v>
      </c>
      <c r="J288" s="167" t="str">
        <f>SUBSTITUTE(INDEX(Calc!$K:$K,(ROW(E287)-1)*5+COLUMN(E287)+1),",",".")</f>
        <v>1.86</v>
      </c>
      <c r="K288" s="166" t="s">
        <v>898</v>
      </c>
      <c r="L288" s="167" t="str">
        <f>Закуп!AA288</f>
        <v>Самосборные</v>
      </c>
      <c r="M288" s="166" t="s">
        <v>899</v>
      </c>
      <c r="N288" s="166">
        <f>IF(Закуп!L288="",0,Закуп!L288)</f>
        <v>0</v>
      </c>
      <c r="O288" s="166" t="s">
        <v>900</v>
      </c>
      <c r="P288" s="144">
        <f>Закуп!N288</f>
        <v>1</v>
      </c>
      <c r="Q288" s="210" t="str">
        <f t="shared" si="4"/>
        <v xml:space="preserve">        [ 'dims' =&gt; [400,400,70], 'prices' =&gt; [2.8,2.4,2.16,1.95,1.86], 'type' =&gt; "Самосборные", 'sale' =&gt; "0" ],</v>
      </c>
    </row>
    <row r="289" spans="1:17" x14ac:dyDescent="0.4">
      <c r="A289" s="166" t="s">
        <v>896</v>
      </c>
      <c r="B289" s="166">
        <f>Закуп!R289</f>
        <v>120</v>
      </c>
      <c r="C289" s="166">
        <f>Закуп!S289</f>
        <v>100</v>
      </c>
      <c r="D289" s="166">
        <f>Закуп!T289</f>
        <v>250</v>
      </c>
      <c r="E289" s="166" t="s">
        <v>897</v>
      </c>
      <c r="F289" s="167" t="str">
        <f>SUBSTITUTE(INDEX(Calc!$K:$K,(ROW(A288)-1)*5+COLUMN(A288)+1),",",".")</f>
        <v>1.1</v>
      </c>
      <c r="G289" s="167" t="str">
        <f>SUBSTITUTE(INDEX(Calc!$K:$K,(ROW(B288)-1)*5+COLUMN(B288)+1),",",".")</f>
        <v>1</v>
      </c>
      <c r="H289" s="167" t="str">
        <f>SUBSTITUTE(INDEX(Calc!$K:$K,(ROW(C288)-1)*5+COLUMN(C288)+1),",",".")</f>
        <v>0.9</v>
      </c>
      <c r="I289" s="167" t="str">
        <f>SUBSTITUTE(INDEX(Calc!$K:$K,(ROW(D288)-1)*5+COLUMN(D288)+1),",",".")</f>
        <v>0.8</v>
      </c>
      <c r="J289" s="167" t="str">
        <f>SUBSTITUTE(INDEX(Calc!$K:$K,(ROW(E288)-1)*5+COLUMN(E288)+1),",",".")</f>
        <v>0.7</v>
      </c>
      <c r="K289" s="166" t="s">
        <v>898</v>
      </c>
      <c r="L289" s="167" t="str">
        <f>Закуп!AA289</f>
        <v>Четырехклапанные</v>
      </c>
      <c r="M289" s="166" t="s">
        <v>899</v>
      </c>
      <c r="N289" s="166">
        <f>IF(Закуп!L289="",0,Закуп!L289)</f>
        <v>0</v>
      </c>
      <c r="O289" s="166" t="s">
        <v>900</v>
      </c>
      <c r="P289" s="144">
        <f>Закуп!N289</f>
        <v>1</v>
      </c>
      <c r="Q289" s="210" t="str">
        <f t="shared" si="4"/>
        <v xml:space="preserve">        [ 'dims' =&gt; [120,100,250], 'prices' =&gt; [1.1,1,0.9,0.8,0.7], 'type' =&gt; "Четырехклапанные", 'sale' =&gt; "0" ],</v>
      </c>
    </row>
    <row r="290" spans="1:17" x14ac:dyDescent="0.4">
      <c r="A290" s="166" t="s">
        <v>896</v>
      </c>
      <c r="B290" s="166">
        <f>Закуп!R290</f>
        <v>370</v>
      </c>
      <c r="C290" s="166">
        <f>Закуп!S290</f>
        <v>255</v>
      </c>
      <c r="D290" s="166">
        <f>Закуп!T290</f>
        <v>95</v>
      </c>
      <c r="E290" s="166" t="s">
        <v>897</v>
      </c>
      <c r="F290" s="167" t="str">
        <f>SUBSTITUTE(INDEX(Calc!$K:$K,(ROW(A289)-1)*5+COLUMN(A289)+1),",",".")</f>
        <v>1.78</v>
      </c>
      <c r="G290" s="167" t="str">
        <f>SUBSTITUTE(INDEX(Calc!$K:$K,(ROW(B289)-1)*5+COLUMN(B289)+1),",",".")</f>
        <v>1.62</v>
      </c>
      <c r="H290" s="167" t="str">
        <f>SUBSTITUTE(INDEX(Calc!$K:$K,(ROW(C289)-1)*5+COLUMN(C289)+1),",",".")</f>
        <v>1.48</v>
      </c>
      <c r="I290" s="167" t="str">
        <f>SUBSTITUTE(INDEX(Calc!$K:$K,(ROW(D289)-1)*5+COLUMN(D289)+1),",",".")</f>
        <v>1.37</v>
      </c>
      <c r="J290" s="167" t="str">
        <f>SUBSTITUTE(INDEX(Calc!$K:$K,(ROW(E289)-1)*5+COLUMN(E289)+1),",",".")</f>
        <v>1.21</v>
      </c>
      <c r="K290" s="166" t="s">
        <v>898</v>
      </c>
      <c r="L290" s="167" t="str">
        <f>Закуп!AA290</f>
        <v>Четырехклапанные</v>
      </c>
      <c r="M290" s="166" t="s">
        <v>899</v>
      </c>
      <c r="N290" s="166">
        <f>IF(Закуп!L290="",0,Закуп!L290)</f>
        <v>0</v>
      </c>
      <c r="O290" s="166" t="s">
        <v>900</v>
      </c>
      <c r="P290" s="144">
        <f>Закуп!N290</f>
        <v>1</v>
      </c>
      <c r="Q290" s="210" t="str">
        <f t="shared" si="4"/>
        <v xml:space="preserve">        [ 'dims' =&gt; [370,255,95], 'prices' =&gt; [1.78,1.62,1.48,1.37,1.21], 'type' =&gt; "Четырехклапанные", 'sale' =&gt; "0" ],</v>
      </c>
    </row>
    <row r="291" spans="1:17" x14ac:dyDescent="0.4">
      <c r="A291" s="166" t="s">
        <v>896</v>
      </c>
      <c r="B291" s="166">
        <f>Закуп!R291</f>
        <v>180</v>
      </c>
      <c r="C291" s="166">
        <f>Закуп!S291</f>
        <v>130</v>
      </c>
      <c r="D291" s="166">
        <f>Закуп!T291</f>
        <v>100</v>
      </c>
      <c r="E291" s="166" t="s">
        <v>897</v>
      </c>
      <c r="F291" s="167" t="str">
        <f>SUBSTITUTE(INDEX(Calc!$K:$K,(ROW(A290)-1)*5+COLUMN(A290)+1),",",".")</f>
        <v>1.06</v>
      </c>
      <c r="G291" s="167" t="str">
        <f>SUBSTITUTE(INDEX(Calc!$K:$K,(ROW(B290)-1)*5+COLUMN(B290)+1),",",".")</f>
        <v>0.91</v>
      </c>
      <c r="H291" s="167" t="str">
        <f>SUBSTITUTE(INDEX(Calc!$K:$K,(ROW(C290)-1)*5+COLUMN(C290)+1),",",".")</f>
        <v>0.73</v>
      </c>
      <c r="I291" s="167" t="str">
        <f>SUBSTITUTE(INDEX(Calc!$K:$K,(ROW(D290)-1)*5+COLUMN(D290)+1),",",".")</f>
        <v>0.67</v>
      </c>
      <c r="J291" s="167" t="str">
        <f>SUBSTITUTE(INDEX(Calc!$K:$K,(ROW(E290)-1)*5+COLUMN(E290)+1),",",".")</f>
        <v>0.57</v>
      </c>
      <c r="K291" s="166" t="s">
        <v>898</v>
      </c>
      <c r="L291" s="167" t="str">
        <f>Закуп!AA291</f>
        <v>Четырехклапанные</v>
      </c>
      <c r="M291" s="166" t="s">
        <v>899</v>
      </c>
      <c r="N291" s="166">
        <f>IF(Закуп!L291="",0,Закуп!L291)</f>
        <v>0</v>
      </c>
      <c r="O291" s="166" t="s">
        <v>900</v>
      </c>
      <c r="P291" s="144">
        <f>Закуп!N291</f>
        <v>1</v>
      </c>
      <c r="Q291" s="210" t="str">
        <f t="shared" si="4"/>
        <v xml:space="preserve">        [ 'dims' =&gt; [180,130,100], 'prices' =&gt; [1.06,0.91,0.73,0.67,0.57], 'type' =&gt; "Четырехклапанные", 'sale' =&gt; "0" ],</v>
      </c>
    </row>
    <row r="292" spans="1:17" x14ac:dyDescent="0.4">
      <c r="A292" s="166" t="s">
        <v>896</v>
      </c>
      <c r="B292" s="166">
        <f>Закуп!R292</f>
        <v>180</v>
      </c>
      <c r="C292" s="166">
        <f>Закуп!S292</f>
        <v>80</v>
      </c>
      <c r="D292" s="166">
        <f>Закуп!T292</f>
        <v>80</v>
      </c>
      <c r="E292" s="166" t="s">
        <v>897</v>
      </c>
      <c r="F292" s="167" t="str">
        <f>SUBSTITUTE(INDEX(Calc!$K:$K,(ROW(A291)-1)*5+COLUMN(A291)+1),",",".")</f>
        <v>1</v>
      </c>
      <c r="G292" s="167" t="str">
        <f>SUBSTITUTE(INDEX(Calc!$K:$K,(ROW(B291)-1)*5+COLUMN(B291)+1),",",".")</f>
        <v>0.9</v>
      </c>
      <c r="H292" s="167" t="str">
        <f>SUBSTITUTE(INDEX(Calc!$K:$K,(ROW(C291)-1)*5+COLUMN(C291)+1),",",".")</f>
        <v>0.8</v>
      </c>
      <c r="I292" s="167" t="str">
        <f>SUBSTITUTE(INDEX(Calc!$K:$K,(ROW(D291)-1)*5+COLUMN(D291)+1),",",".")</f>
        <v>0.7</v>
      </c>
      <c r="J292" s="167" t="str">
        <f>SUBSTITUTE(INDEX(Calc!$K:$K,(ROW(E291)-1)*5+COLUMN(E291)+1),",",".")</f>
        <v>0.6</v>
      </c>
      <c r="K292" s="166" t="s">
        <v>898</v>
      </c>
      <c r="L292" s="167" t="str">
        <f>Закуп!AA292</f>
        <v>Четырехклапанные</v>
      </c>
      <c r="M292" s="166" t="s">
        <v>899</v>
      </c>
      <c r="N292" s="166">
        <f>IF(Закуп!L292="",0,Закуп!L292)</f>
        <v>0</v>
      </c>
      <c r="O292" s="166" t="s">
        <v>900</v>
      </c>
      <c r="P292" s="144">
        <f>Закуп!N292</f>
        <v>1</v>
      </c>
      <c r="Q292" s="210" t="str">
        <f t="shared" si="4"/>
        <v xml:space="preserve">        [ 'dims' =&gt; [180,80,80], 'prices' =&gt; [1,0.9,0.8,0.7,0.6], 'type' =&gt; "Четырехклапанные", 'sale' =&gt; "0" ],</v>
      </c>
    </row>
    <row r="293" spans="1:17" x14ac:dyDescent="0.4">
      <c r="A293" s="166" t="s">
        <v>896</v>
      </c>
      <c r="B293" s="166">
        <f>Закуп!R293</f>
        <v>220</v>
      </c>
      <c r="C293" s="166">
        <f>Закуп!S293</f>
        <v>165</v>
      </c>
      <c r="D293" s="166">
        <f>Закуп!T293</f>
        <v>100</v>
      </c>
      <c r="E293" s="166" t="s">
        <v>897</v>
      </c>
      <c r="F293" s="167" t="str">
        <f>SUBSTITUTE(INDEX(Calc!$K:$K,(ROW(A292)-1)*5+COLUMN(A292)+1),",",".")</f>
        <v>1.74</v>
      </c>
      <c r="G293" s="167" t="str">
        <f>SUBSTITUTE(INDEX(Calc!$K:$K,(ROW(B292)-1)*5+COLUMN(B292)+1),",",".")</f>
        <v>1.58</v>
      </c>
      <c r="H293" s="167" t="str">
        <f>SUBSTITUTE(INDEX(Calc!$K:$K,(ROW(C292)-1)*5+COLUMN(C292)+1),",",".")</f>
        <v>1.25</v>
      </c>
      <c r="I293" s="167" t="str">
        <f>SUBSTITUTE(INDEX(Calc!$K:$K,(ROW(D292)-1)*5+COLUMN(D292)+1),",",".")</f>
        <v>1.17</v>
      </c>
      <c r="J293" s="167" t="str">
        <f>SUBSTITUTE(INDEX(Calc!$K:$K,(ROW(E292)-1)*5+COLUMN(E292)+1),",",".")</f>
        <v>1.03</v>
      </c>
      <c r="K293" s="166" t="s">
        <v>898</v>
      </c>
      <c r="L293" s="167" t="str">
        <f>Закуп!AA293</f>
        <v>Самосборные</v>
      </c>
      <c r="M293" s="166" t="s">
        <v>899</v>
      </c>
      <c r="N293" s="166">
        <f>IF(Закуп!L293="",0,Закуп!L293)</f>
        <v>0</v>
      </c>
      <c r="O293" s="166" t="s">
        <v>900</v>
      </c>
      <c r="P293" s="144">
        <f>Закуп!N293</f>
        <v>1</v>
      </c>
      <c r="Q293" s="210" t="str">
        <f t="shared" si="4"/>
        <v xml:space="preserve">        [ 'dims' =&gt; [220,165,100], 'prices' =&gt; [1.74,1.58,1.25,1.17,1.03], 'type' =&gt; "Самосборные", 'sale' =&gt; "0" ],</v>
      </c>
    </row>
    <row r="294" spans="1:17" x14ac:dyDescent="0.4">
      <c r="A294" s="166" t="s">
        <v>896</v>
      </c>
      <c r="B294" s="166">
        <f>Закуп!R294</f>
        <v>250</v>
      </c>
      <c r="C294" s="166">
        <f>Закуп!S294</f>
        <v>250</v>
      </c>
      <c r="D294" s="166">
        <f>Закуп!T294</f>
        <v>200</v>
      </c>
      <c r="E294" s="166" t="s">
        <v>897</v>
      </c>
      <c r="F294" s="167" t="str">
        <f>SUBSTITUTE(INDEX(Calc!$K:$K,(ROW(A293)-1)*5+COLUMN(A293)+1),",",".")</f>
        <v>2.16</v>
      </c>
      <c r="G294" s="167" t="str">
        <f>SUBSTITUTE(INDEX(Calc!$K:$K,(ROW(B293)-1)*5+COLUMN(B293)+1),",",".")</f>
        <v>1.97</v>
      </c>
      <c r="H294" s="167" t="str">
        <f>SUBSTITUTE(INDEX(Calc!$K:$K,(ROW(C293)-1)*5+COLUMN(C293)+1),",",".")</f>
        <v>1.54</v>
      </c>
      <c r="I294" s="167" t="str">
        <f>SUBSTITUTE(INDEX(Calc!$K:$K,(ROW(D293)-1)*5+COLUMN(D293)+1),",",".")</f>
        <v>1.33</v>
      </c>
      <c r="J294" s="167" t="str">
        <f>SUBSTITUTE(INDEX(Calc!$K:$K,(ROW(E293)-1)*5+COLUMN(E293)+1),",",".")</f>
        <v>1.24</v>
      </c>
      <c r="K294" s="166" t="s">
        <v>898</v>
      </c>
      <c r="L294" s="167" t="str">
        <f>Закуп!AA294</f>
        <v>Четырехклапанные</v>
      </c>
      <c r="M294" s="166" t="s">
        <v>899</v>
      </c>
      <c r="N294" s="166">
        <f>IF(Закуп!L294="",0,Закуп!L294)</f>
        <v>0</v>
      </c>
      <c r="O294" s="166" t="s">
        <v>900</v>
      </c>
      <c r="P294" s="144">
        <f>Закуп!N294</f>
        <v>1</v>
      </c>
      <c r="Q294" s="210" t="str">
        <f t="shared" si="4"/>
        <v xml:space="preserve">        [ 'dims' =&gt; [250,250,200], 'prices' =&gt; [2.16,1.97,1.54,1.33,1.24], 'type' =&gt; "Четырехклапанные", 'sale' =&gt; "0" ],</v>
      </c>
    </row>
    <row r="295" spans="1:17" x14ac:dyDescent="0.4">
      <c r="A295" s="166" t="s">
        <v>896</v>
      </c>
      <c r="B295" s="166">
        <f>Закуп!R295</f>
        <v>203</v>
      </c>
      <c r="C295" s="166">
        <f>Закуп!S295</f>
        <v>203</v>
      </c>
      <c r="D295" s="166">
        <f>Закуп!T295</f>
        <v>25</v>
      </c>
      <c r="E295" s="166" t="s">
        <v>897</v>
      </c>
      <c r="F295" s="167" t="str">
        <f>SUBSTITUTE(INDEX(Calc!$K:$K,(ROW(A294)-1)*5+COLUMN(A294)+1),",",".")</f>
        <v>1.1</v>
      </c>
      <c r="G295" s="167" t="str">
        <f>SUBSTITUTE(INDEX(Calc!$K:$K,(ROW(B294)-1)*5+COLUMN(B294)+1),",",".")</f>
        <v>0.94</v>
      </c>
      <c r="H295" s="167" t="str">
        <f>SUBSTITUTE(INDEX(Calc!$K:$K,(ROW(C294)-1)*5+COLUMN(C294)+1),",",".")</f>
        <v>0.77</v>
      </c>
      <c r="I295" s="167" t="str">
        <f>SUBSTITUTE(INDEX(Calc!$K:$K,(ROW(D294)-1)*5+COLUMN(D294)+1),",",".")</f>
        <v>0.68</v>
      </c>
      <c r="J295" s="167" t="str">
        <f>SUBSTITUTE(INDEX(Calc!$K:$K,(ROW(E294)-1)*5+COLUMN(E294)+1),",",".")</f>
        <v>0.57</v>
      </c>
      <c r="K295" s="166" t="s">
        <v>898</v>
      </c>
      <c r="L295" s="167" t="str">
        <f>Закуп!AA295</f>
        <v>Самосборные</v>
      </c>
      <c r="M295" s="166" t="s">
        <v>899</v>
      </c>
      <c r="N295" s="166">
        <f>IF(Закуп!L295="",0,Закуп!L295)</f>
        <v>0</v>
      </c>
      <c r="O295" s="166" t="s">
        <v>900</v>
      </c>
      <c r="P295" s="144">
        <f>Закуп!N295</f>
        <v>1</v>
      </c>
      <c r="Q295" s="210" t="str">
        <f t="shared" si="4"/>
        <v xml:space="preserve">        [ 'dims' =&gt; [203,203,25], 'prices' =&gt; [1.1,0.94,0.77,0.68,0.57], 'type' =&gt; "Самосборные", 'sale' =&gt; "0" ],</v>
      </c>
    </row>
    <row r="296" spans="1:17" x14ac:dyDescent="0.4">
      <c r="A296" s="166" t="s">
        <v>896</v>
      </c>
      <c r="B296" s="166">
        <f>Закуп!R296</f>
        <v>260</v>
      </c>
      <c r="C296" s="166">
        <f>Закуп!S296</f>
        <v>85</v>
      </c>
      <c r="D296" s="166">
        <f>Закуп!T296</f>
        <v>85</v>
      </c>
      <c r="E296" s="166" t="s">
        <v>897</v>
      </c>
      <c r="F296" s="167" t="str">
        <f>SUBSTITUTE(INDEX(Calc!$K:$K,(ROW(A295)-1)*5+COLUMN(A295)+1),",",".")</f>
        <v>1.06</v>
      </c>
      <c r="G296" s="167" t="str">
        <f>SUBSTITUTE(INDEX(Calc!$K:$K,(ROW(B295)-1)*5+COLUMN(B295)+1),",",".")</f>
        <v>0.91</v>
      </c>
      <c r="H296" s="167" t="str">
        <f>SUBSTITUTE(INDEX(Calc!$K:$K,(ROW(C295)-1)*5+COLUMN(C295)+1),",",".")</f>
        <v>0.73</v>
      </c>
      <c r="I296" s="167" t="str">
        <f>SUBSTITUTE(INDEX(Calc!$K:$K,(ROW(D295)-1)*5+COLUMN(D295)+1),",",".")</f>
        <v>0.67</v>
      </c>
      <c r="J296" s="167" t="str">
        <f>SUBSTITUTE(INDEX(Calc!$K:$K,(ROW(E295)-1)*5+COLUMN(E295)+1),",",".")</f>
        <v>0.57</v>
      </c>
      <c r="K296" s="166" t="s">
        <v>898</v>
      </c>
      <c r="L296" s="167" t="str">
        <f>Закуп!AA296</f>
        <v>Самосборные</v>
      </c>
      <c r="M296" s="166" t="s">
        <v>899</v>
      </c>
      <c r="N296" s="166">
        <f>IF(Закуп!L296="",0,Закуп!L296)</f>
        <v>0</v>
      </c>
      <c r="O296" s="166" t="s">
        <v>900</v>
      </c>
      <c r="P296" s="144">
        <f>Закуп!N296</f>
        <v>1</v>
      </c>
      <c r="Q296" s="210" t="str">
        <f t="shared" si="4"/>
        <v xml:space="preserve">        [ 'dims' =&gt; [260,85,85], 'prices' =&gt; [1.06,0.91,0.73,0.67,0.57], 'type' =&gt; "Самосборные", 'sale' =&gt; "0" ],</v>
      </c>
    </row>
    <row r="297" spans="1:17" x14ac:dyDescent="0.4">
      <c r="A297" s="166" t="s">
        <v>896</v>
      </c>
      <c r="B297" s="166">
        <f>Закуп!R297</f>
        <v>125</v>
      </c>
      <c r="C297" s="166">
        <f>Закуп!S297</f>
        <v>125</v>
      </c>
      <c r="D297" s="166">
        <f>Закуп!T297</f>
        <v>350</v>
      </c>
      <c r="E297" s="166" t="s">
        <v>897</v>
      </c>
      <c r="F297" s="167" t="str">
        <f>SUBSTITUTE(INDEX(Calc!$K:$K,(ROW(A296)-1)*5+COLUMN(A296)+1),",",".")</f>
        <v>1.33</v>
      </c>
      <c r="G297" s="167" t="str">
        <f>SUBSTITUTE(INDEX(Calc!$K:$K,(ROW(B296)-1)*5+COLUMN(B296)+1),",",".")</f>
        <v>1.16</v>
      </c>
      <c r="H297" s="167" t="str">
        <f>SUBSTITUTE(INDEX(Calc!$K:$K,(ROW(C296)-1)*5+COLUMN(C296)+1),",",".")</f>
        <v>0.98</v>
      </c>
      <c r="I297" s="167" t="str">
        <f>SUBSTITUTE(INDEX(Calc!$K:$K,(ROW(D296)-1)*5+COLUMN(D296)+1),",",".")</f>
        <v>0.92</v>
      </c>
      <c r="J297" s="167" t="str">
        <f>SUBSTITUTE(INDEX(Calc!$K:$K,(ROW(E296)-1)*5+COLUMN(E296)+1),",",".")</f>
        <v>0.86</v>
      </c>
      <c r="K297" s="166" t="s">
        <v>898</v>
      </c>
      <c r="L297" s="167" t="str">
        <f>Закуп!AA297</f>
        <v>Четырехклапанные</v>
      </c>
      <c r="M297" s="166" t="s">
        <v>899</v>
      </c>
      <c r="N297" s="166">
        <f>IF(Закуп!L297="",0,Закуп!L297)</f>
        <v>0</v>
      </c>
      <c r="O297" s="166" t="s">
        <v>900</v>
      </c>
      <c r="P297" s="144">
        <f>Закуп!N297</f>
        <v>1</v>
      </c>
      <c r="Q297" s="210" t="str">
        <f t="shared" si="4"/>
        <v xml:space="preserve">        [ 'dims' =&gt; [125,125,350], 'prices' =&gt; [1.33,1.16,0.98,0.92,0.86], 'type' =&gt; "Четырехклапанные", 'sale' =&gt; "0" ],</v>
      </c>
    </row>
    <row r="298" spans="1:17" x14ac:dyDescent="0.4">
      <c r="A298" s="166" t="s">
        <v>896</v>
      </c>
      <c r="B298" s="166">
        <f>Закуп!R298</f>
        <v>125</v>
      </c>
      <c r="C298" s="166">
        <f>Закуп!S298</f>
        <v>125</v>
      </c>
      <c r="D298" s="166">
        <f>Закуп!T298</f>
        <v>400</v>
      </c>
      <c r="E298" s="166" t="s">
        <v>897</v>
      </c>
      <c r="F298" s="167" t="str">
        <f>SUBSTITUTE(INDEX(Calc!$K:$K,(ROW(A297)-1)*5+COLUMN(A297)+1),",",".")</f>
        <v>1.45</v>
      </c>
      <c r="G298" s="167" t="str">
        <f>SUBSTITUTE(INDEX(Calc!$K:$K,(ROW(B297)-1)*5+COLUMN(B297)+1),",",".")</f>
        <v>1.26</v>
      </c>
      <c r="H298" s="167" t="str">
        <f>SUBSTITUTE(INDEX(Calc!$K:$K,(ROW(C297)-1)*5+COLUMN(C297)+1),",",".")</f>
        <v>1.07</v>
      </c>
      <c r="I298" s="167" t="str">
        <f>SUBSTITUTE(INDEX(Calc!$K:$K,(ROW(D297)-1)*5+COLUMN(D297)+1),",",".")</f>
        <v>1.01</v>
      </c>
      <c r="J298" s="167" t="str">
        <f>SUBSTITUTE(INDEX(Calc!$K:$K,(ROW(E297)-1)*5+COLUMN(E297)+1),",",".")</f>
        <v>0.94</v>
      </c>
      <c r="K298" s="166" t="s">
        <v>898</v>
      </c>
      <c r="L298" s="167" t="str">
        <f>Закуп!AA298</f>
        <v>Четырехклапанные</v>
      </c>
      <c r="M298" s="166" t="s">
        <v>899</v>
      </c>
      <c r="N298" s="166">
        <f>IF(Закуп!L298="",0,Закуп!L298)</f>
        <v>0</v>
      </c>
      <c r="O298" s="166" t="s">
        <v>900</v>
      </c>
      <c r="P298" s="144">
        <f>Закуп!N298</f>
        <v>1</v>
      </c>
      <c r="Q298" s="210" t="str">
        <f t="shared" si="4"/>
        <v xml:space="preserve">        [ 'dims' =&gt; [125,125,400], 'prices' =&gt; [1.45,1.26,1.07,1.01,0.94], 'type' =&gt; "Четырехклапанные", 'sale' =&gt; "0" ],</v>
      </c>
    </row>
    <row r="299" spans="1:17" x14ac:dyDescent="0.4">
      <c r="A299" s="47" t="s">
        <v>896</v>
      </c>
      <c r="B299" s="47">
        <f>Закуп!R299</f>
        <v>160</v>
      </c>
      <c r="C299" s="47">
        <f>Закуп!S299</f>
        <v>160</v>
      </c>
      <c r="D299" s="47">
        <f>Закуп!T299</f>
        <v>106</v>
      </c>
      <c r="E299" s="47" t="s">
        <v>897</v>
      </c>
      <c r="F299" s="100" t="str">
        <f>SUBSTITUTE(INDEX(Calc!$K:$K,(ROW(A298)-1)*5+COLUMN(A298)+1),",",".")</f>
        <v>1.2</v>
      </c>
      <c r="G299" s="100" t="str">
        <f>SUBSTITUTE(INDEX(Calc!$K:$K,(ROW(B298)-1)*5+COLUMN(B298)+1),",",".")</f>
        <v>1.05</v>
      </c>
      <c r="H299" s="100" t="str">
        <f>SUBSTITUTE(INDEX(Calc!$K:$K,(ROW(C298)-1)*5+COLUMN(C298)+1),",",".")</f>
        <v>0.95</v>
      </c>
      <c r="I299" s="100" t="str">
        <f>SUBSTITUTE(INDEX(Calc!$K:$K,(ROW(D298)-1)*5+COLUMN(D298)+1),",",".")</f>
        <v>0.85</v>
      </c>
      <c r="J299" s="100" t="str">
        <f>SUBSTITUTE(INDEX(Calc!$K:$K,(ROW(E298)-1)*5+COLUMN(E298)+1),",",".")</f>
        <v>0.75</v>
      </c>
      <c r="K299" s="47" t="s">
        <v>898</v>
      </c>
      <c r="L299" s="100" t="str">
        <f>Закуп!AA299</f>
        <v>Самосборные</v>
      </c>
      <c r="M299" s="47" t="s">
        <v>899</v>
      </c>
      <c r="N299" s="47">
        <f>IF(Закуп!L299="",0,Закуп!L299)</f>
        <v>0</v>
      </c>
      <c r="O299" s="47" t="s">
        <v>900</v>
      </c>
      <c r="P299" s="165">
        <f>Закуп!N299</f>
        <v>1</v>
      </c>
      <c r="Q299" s="210" t="str">
        <f t="shared" si="4"/>
        <v xml:space="preserve">        [ 'dims' =&gt; [160,160,106], 'prices' =&gt; [1.2,1.05,0.95,0.85,0.75], 'type' =&gt; "Самосборные", 'sale' =&gt; "0" ],</v>
      </c>
    </row>
    <row r="300" spans="1:17" x14ac:dyDescent="0.4">
      <c r="A300" s="166" t="s">
        <v>896</v>
      </c>
      <c r="B300" s="166">
        <f>Закуп!R300</f>
        <v>240</v>
      </c>
      <c r="C300" s="166">
        <f>Закуп!S300</f>
        <v>230</v>
      </c>
      <c r="D300" s="166">
        <f>Закуп!T300</f>
        <v>120</v>
      </c>
      <c r="E300" s="166" t="s">
        <v>897</v>
      </c>
      <c r="F300" s="167" t="str">
        <f>SUBSTITUTE(INDEX(Calc!$K:$K,(ROW(A299)-1)*5+COLUMN(A299)+1),",",".")</f>
        <v>1.7</v>
      </c>
      <c r="G300" s="167" t="str">
        <f>SUBSTITUTE(INDEX(Calc!$K:$K,(ROW(B299)-1)*5+COLUMN(B299)+1),",",".")</f>
        <v>1.55</v>
      </c>
      <c r="H300" s="167" t="str">
        <f>SUBSTITUTE(INDEX(Calc!$K:$K,(ROW(C299)-1)*5+COLUMN(C299)+1),",",".")</f>
        <v>1.4</v>
      </c>
      <c r="I300" s="167" t="str">
        <f>SUBSTITUTE(INDEX(Calc!$K:$K,(ROW(D299)-1)*5+COLUMN(D299)+1),",",".")</f>
        <v>1.3</v>
      </c>
      <c r="J300" s="167" t="str">
        <f>SUBSTITUTE(INDEX(Calc!$K:$K,(ROW(E299)-1)*5+COLUMN(E299)+1),",",".")</f>
        <v>1.2</v>
      </c>
      <c r="K300" s="166" t="s">
        <v>898</v>
      </c>
      <c r="L300" s="167" t="str">
        <f>Закуп!AA300</f>
        <v>Самосборные</v>
      </c>
      <c r="M300" s="166" t="s">
        <v>899</v>
      </c>
      <c r="N300" s="166">
        <f>IF(Закуп!L300="",0,Закуп!L300)</f>
        <v>0</v>
      </c>
      <c r="O300" s="166" t="s">
        <v>900</v>
      </c>
      <c r="P300" s="144">
        <f>Закуп!N300</f>
        <v>1</v>
      </c>
      <c r="Q300" s="210" t="str">
        <f t="shared" si="4"/>
        <v xml:space="preserve">        [ 'dims' =&gt; [240,230,120], 'prices' =&gt; [1.7,1.55,1.4,1.3,1.2], 'type' =&gt; "Самосборные", 'sale' =&gt; "0" ],</v>
      </c>
    </row>
    <row r="301" spans="1:17" x14ac:dyDescent="0.4">
      <c r="A301" s="166" t="s">
        <v>896</v>
      </c>
      <c r="B301" s="166">
        <f>Закуп!R301</f>
        <v>250</v>
      </c>
      <c r="C301" s="166">
        <f>Закуп!S301</f>
        <v>225</v>
      </c>
      <c r="D301" s="166">
        <f>Закуп!T301</f>
        <v>95</v>
      </c>
      <c r="E301" s="166" t="s">
        <v>897</v>
      </c>
      <c r="F301" s="167" t="str">
        <f>SUBSTITUTE(INDEX(Calc!$K:$K,(ROW(A300)-1)*5+COLUMN(A300)+1),",",".")</f>
        <v>1.8</v>
      </c>
      <c r="G301" s="167" t="str">
        <f>SUBSTITUTE(INDEX(Calc!$K:$K,(ROW(B300)-1)*5+COLUMN(B300)+1),",",".")</f>
        <v>1.65</v>
      </c>
      <c r="H301" s="167" t="str">
        <f>SUBSTITUTE(INDEX(Calc!$K:$K,(ROW(C300)-1)*5+COLUMN(C300)+1),",",".")</f>
        <v>1.5</v>
      </c>
      <c r="I301" s="167" t="str">
        <f>SUBSTITUTE(INDEX(Calc!$K:$K,(ROW(D300)-1)*5+COLUMN(D300)+1),",",".")</f>
        <v>1.4</v>
      </c>
      <c r="J301" s="167" t="str">
        <f>SUBSTITUTE(INDEX(Calc!$K:$K,(ROW(E300)-1)*5+COLUMN(E300)+1),",",".")</f>
        <v>1.3</v>
      </c>
      <c r="K301" s="166" t="s">
        <v>898</v>
      </c>
      <c r="L301" s="167" t="str">
        <f>Закуп!AA301</f>
        <v>Самосборные</v>
      </c>
      <c r="M301" s="166" t="s">
        <v>899</v>
      </c>
      <c r="N301" s="166">
        <f>IF(Закуп!L301="",0,Закуп!L301)</f>
        <v>0</v>
      </c>
      <c r="O301" s="166" t="s">
        <v>900</v>
      </c>
      <c r="P301" s="144">
        <f>Закуп!N301</f>
        <v>1</v>
      </c>
      <c r="Q301" s="210" t="str">
        <f t="shared" si="4"/>
        <v xml:space="preserve">        [ 'dims' =&gt; [250,225,95], 'prices' =&gt; [1.8,1.65,1.5,1.4,1.3], 'type' =&gt; "Самосборные", 'sale' =&gt; "0" ],</v>
      </c>
    </row>
    <row r="302" spans="1:17" x14ac:dyDescent="0.4">
      <c r="A302" s="166" t="s">
        <v>896</v>
      </c>
      <c r="B302" s="166">
        <f>Закуп!R302</f>
        <v>225</v>
      </c>
      <c r="C302" s="166">
        <f>Закуп!S302</f>
        <v>175</v>
      </c>
      <c r="D302" s="166">
        <f>Закуп!T302</f>
        <v>135</v>
      </c>
      <c r="E302" s="166" t="s">
        <v>897</v>
      </c>
      <c r="F302" s="167" t="str">
        <f>SUBSTITUTE(INDEX(Calc!$K:$K,(ROW(A301)-1)*5+COLUMN(A301)+1),",",".")</f>
        <v>1.45</v>
      </c>
      <c r="G302" s="167" t="str">
        <f>SUBSTITUTE(INDEX(Calc!$K:$K,(ROW(B301)-1)*5+COLUMN(B301)+1),",",".")</f>
        <v>1.3</v>
      </c>
      <c r="H302" s="167" t="str">
        <f>SUBSTITUTE(INDEX(Calc!$K:$K,(ROW(C301)-1)*5+COLUMN(C301)+1),",",".")</f>
        <v>1.15</v>
      </c>
      <c r="I302" s="167" t="str">
        <f>SUBSTITUTE(INDEX(Calc!$K:$K,(ROW(D301)-1)*5+COLUMN(D301)+1),",",".")</f>
        <v>1.05</v>
      </c>
      <c r="J302" s="167" t="str">
        <f>SUBSTITUTE(INDEX(Calc!$K:$K,(ROW(E301)-1)*5+COLUMN(E301)+1),",",".")</f>
        <v>0.95</v>
      </c>
      <c r="K302" s="166" t="s">
        <v>898</v>
      </c>
      <c r="L302" s="167" t="str">
        <f>Закуп!AA302</f>
        <v>Самосборные</v>
      </c>
      <c r="M302" s="166" t="s">
        <v>899</v>
      </c>
      <c r="N302" s="166">
        <f>IF(Закуп!L302="",0,Закуп!L302)</f>
        <v>0</v>
      </c>
      <c r="O302" s="166" t="s">
        <v>900</v>
      </c>
      <c r="P302" s="144">
        <f>Закуп!N302</f>
        <v>1</v>
      </c>
      <c r="Q302" s="210" t="str">
        <f t="shared" si="4"/>
        <v xml:space="preserve">        [ 'dims' =&gt; [225,175,135], 'prices' =&gt; [1.45,1.3,1.15,1.05,0.95], 'type' =&gt; "Самосборные", 'sale' =&gt; "0" ],</v>
      </c>
    </row>
    <row r="303" spans="1:17" x14ac:dyDescent="0.4">
      <c r="A303" s="47" t="s">
        <v>896</v>
      </c>
      <c r="B303" s="47">
        <f>Закуп!R303</f>
        <v>265</v>
      </c>
      <c r="C303" s="47">
        <f>Закуп!S303</f>
        <v>90</v>
      </c>
      <c r="D303" s="47">
        <f>Закуп!T303</f>
        <v>55</v>
      </c>
      <c r="E303" s="47" t="s">
        <v>897</v>
      </c>
      <c r="F303" s="100" t="str">
        <f>SUBSTITUTE(INDEX(Calc!$K:$K,(ROW(A302)-1)*5+COLUMN(A302)+1),",",".")</f>
        <v>1.06</v>
      </c>
      <c r="G303" s="100" t="str">
        <f>SUBSTITUTE(INDEX(Calc!$K:$K,(ROW(B302)-1)*5+COLUMN(B302)+1),",",".")</f>
        <v>0.92</v>
      </c>
      <c r="H303" s="100" t="str">
        <f>SUBSTITUTE(INDEX(Calc!$K:$K,(ROW(C302)-1)*5+COLUMN(C302)+1),",",".")</f>
        <v>0.85</v>
      </c>
      <c r="I303" s="100" t="str">
        <f>SUBSTITUTE(INDEX(Calc!$K:$K,(ROW(D302)-1)*5+COLUMN(D302)+1),",",".")</f>
        <v>0.77</v>
      </c>
      <c r="J303" s="100" t="str">
        <f>SUBSTITUTE(INDEX(Calc!$K:$K,(ROW(E302)-1)*5+COLUMN(E302)+1),",",".")</f>
        <v>0.72</v>
      </c>
      <c r="K303" s="47" t="s">
        <v>898</v>
      </c>
      <c r="L303" s="100" t="str">
        <f>Закуп!AA303</f>
        <v>Самосборные</v>
      </c>
      <c r="M303" s="47" t="s">
        <v>899</v>
      </c>
      <c r="N303" s="47">
        <f>IF(Закуп!L303="",0,Закуп!L303)</f>
        <v>0</v>
      </c>
      <c r="O303" s="47" t="s">
        <v>900</v>
      </c>
      <c r="P303" s="165">
        <f>Закуп!N303</f>
        <v>1</v>
      </c>
      <c r="Q303" s="210" t="str">
        <f t="shared" si="4"/>
        <v xml:space="preserve">        [ 'dims' =&gt; [265,90,55], 'prices' =&gt; [1.06,0.92,0.85,0.77,0.72], 'type' =&gt; "Самосборные", 'sale' =&gt; "0" ],</v>
      </c>
    </row>
    <row r="304" spans="1:17" x14ac:dyDescent="0.4">
      <c r="A304" s="47" t="s">
        <v>896</v>
      </c>
      <c r="B304" s="47">
        <f>Закуп!R304</f>
        <v>150</v>
      </c>
      <c r="C304" s="47">
        <f>Закуп!S304</f>
        <v>105</v>
      </c>
      <c r="D304" s="47">
        <f>Закуп!T304</f>
        <v>70</v>
      </c>
      <c r="E304" s="47" t="s">
        <v>897</v>
      </c>
      <c r="F304" s="100" t="str">
        <f>SUBSTITUTE(INDEX(Calc!$K:$K,(ROW(A303)-1)*5+COLUMN(A303)+1),",",".")</f>
        <v>0.98</v>
      </c>
      <c r="G304" s="100" t="str">
        <f>SUBSTITUTE(INDEX(Calc!$K:$K,(ROW(B303)-1)*5+COLUMN(B303)+1),",",".")</f>
        <v>0.83</v>
      </c>
      <c r="H304" s="100" t="str">
        <f>SUBSTITUTE(INDEX(Calc!$K:$K,(ROW(C303)-1)*5+COLUMN(C303)+1),",",".")</f>
        <v>0.68</v>
      </c>
      <c r="I304" s="100" t="str">
        <f>SUBSTITUTE(INDEX(Calc!$K:$K,(ROW(D303)-1)*5+COLUMN(D303)+1),",",".")</f>
        <v>0.58</v>
      </c>
      <c r="J304" s="100" t="str">
        <f>SUBSTITUTE(INDEX(Calc!$K:$K,(ROW(E303)-1)*5+COLUMN(E303)+1),",",".")</f>
        <v>0.48</v>
      </c>
      <c r="K304" s="47" t="s">
        <v>898</v>
      </c>
      <c r="L304" s="100" t="str">
        <f>Закуп!AA304</f>
        <v>Самосборные</v>
      </c>
      <c r="M304" s="47" t="s">
        <v>899</v>
      </c>
      <c r="N304" s="47">
        <f>IF(Закуп!L304="",0,Закуп!L304)</f>
        <v>0</v>
      </c>
      <c r="O304" s="47" t="s">
        <v>900</v>
      </c>
      <c r="P304" s="165">
        <f>Закуп!N304</f>
        <v>1</v>
      </c>
      <c r="Q304" s="210" t="str">
        <f t="shared" si="4"/>
        <v xml:space="preserve">        [ 'dims' =&gt; [150,105,70], 'prices' =&gt; [0.98,0.83,0.68,0.58,0.48], 'type' =&gt; "Самосборные", 'sale' =&gt; "0" ],</v>
      </c>
    </row>
    <row r="305" spans="1:17" x14ac:dyDescent="0.4">
      <c r="A305" s="47" t="s">
        <v>896</v>
      </c>
      <c r="B305" s="47">
        <f>Закуп!R305</f>
        <v>180</v>
      </c>
      <c r="C305" s="47">
        <f>Закуп!S305</f>
        <v>150</v>
      </c>
      <c r="D305" s="47">
        <f>Закуп!T305</f>
        <v>17</v>
      </c>
      <c r="E305" s="47" t="s">
        <v>897</v>
      </c>
      <c r="F305" s="100" t="str">
        <f>SUBSTITUTE(INDEX(Calc!$K:$K,(ROW(A304)-1)*5+COLUMN(A304)+1),",",".")</f>
        <v>0.98</v>
      </c>
      <c r="G305" s="100" t="str">
        <f>SUBSTITUTE(INDEX(Calc!$K:$K,(ROW(B304)-1)*5+COLUMN(B304)+1),",",".")</f>
        <v>0.83</v>
      </c>
      <c r="H305" s="100" t="str">
        <f>SUBSTITUTE(INDEX(Calc!$K:$K,(ROW(C304)-1)*5+COLUMN(C304)+1),",",".")</f>
        <v>0.68</v>
      </c>
      <c r="I305" s="100" t="str">
        <f>SUBSTITUTE(INDEX(Calc!$K:$K,(ROW(D304)-1)*5+COLUMN(D304)+1),",",".")</f>
        <v>0.58</v>
      </c>
      <c r="J305" s="100" t="str">
        <f>SUBSTITUTE(INDEX(Calc!$K:$K,(ROW(E304)-1)*5+COLUMN(E304)+1),",",".")</f>
        <v>0.48</v>
      </c>
      <c r="K305" s="47" t="s">
        <v>898</v>
      </c>
      <c r="L305" s="100" t="str">
        <f>Закуп!AA305</f>
        <v>Самосборные</v>
      </c>
      <c r="M305" s="47" t="s">
        <v>899</v>
      </c>
      <c r="N305" s="47">
        <f>IF(Закуп!L305="",0,Закуп!L305)</f>
        <v>0</v>
      </c>
      <c r="O305" s="47" t="s">
        <v>900</v>
      </c>
      <c r="P305" s="165">
        <f>Закуп!N305</f>
        <v>1</v>
      </c>
      <c r="Q305" s="210" t="str">
        <f t="shared" si="4"/>
        <v xml:space="preserve">        [ 'dims' =&gt; [180,150,17], 'prices' =&gt; [0.98,0.83,0.68,0.58,0.48], 'type' =&gt; "Самосборные", 'sale' =&gt; "0" ],</v>
      </c>
    </row>
    <row r="306" spans="1:17" x14ac:dyDescent="0.4">
      <c r="A306" s="47" t="s">
        <v>896</v>
      </c>
      <c r="B306" s="47">
        <f>Закуп!R306</f>
        <v>90</v>
      </c>
      <c r="C306" s="47">
        <f>Закуп!S306</f>
        <v>90</v>
      </c>
      <c r="D306" s="47">
        <f>Закуп!T306</f>
        <v>160</v>
      </c>
      <c r="E306" s="47" t="s">
        <v>897</v>
      </c>
      <c r="F306" s="100" t="str">
        <f>SUBSTITUTE(INDEX(Calc!$K:$K,(ROW(A305)-1)*5+COLUMN(A305)+1),",",".")</f>
        <v>0.98</v>
      </c>
      <c r="G306" s="100" t="str">
        <f>SUBSTITUTE(INDEX(Calc!$K:$K,(ROW(B305)-1)*5+COLUMN(B305)+1),",",".")</f>
        <v>0.83</v>
      </c>
      <c r="H306" s="100" t="str">
        <f>SUBSTITUTE(INDEX(Calc!$K:$K,(ROW(C305)-1)*5+COLUMN(C305)+1),",",".")</f>
        <v>0.68</v>
      </c>
      <c r="I306" s="100" t="str">
        <f>SUBSTITUTE(INDEX(Calc!$K:$K,(ROW(D305)-1)*5+COLUMN(D305)+1),",",".")</f>
        <v>0.58</v>
      </c>
      <c r="J306" s="100" t="str">
        <f>SUBSTITUTE(INDEX(Calc!$K:$K,(ROW(E305)-1)*5+COLUMN(E305)+1),",",".")</f>
        <v>0.48</v>
      </c>
      <c r="K306" s="47" t="s">
        <v>898</v>
      </c>
      <c r="L306" s="100" t="str">
        <f>Закуп!AA306</f>
        <v>Самосборные</v>
      </c>
      <c r="M306" s="47" t="s">
        <v>899</v>
      </c>
      <c r="N306" s="47">
        <f>IF(Закуп!L306="",0,Закуп!L306)</f>
        <v>0</v>
      </c>
      <c r="O306" s="47" t="s">
        <v>900</v>
      </c>
      <c r="P306" s="165">
        <f>Закуп!N306</f>
        <v>1</v>
      </c>
      <c r="Q306" s="210" t="str">
        <f t="shared" si="4"/>
        <v xml:space="preserve">        [ 'dims' =&gt; [90,90,160], 'prices' =&gt; [0.98,0.83,0.68,0.58,0.48], 'type' =&gt; "Самосборные", 'sale' =&gt; "0" ],</v>
      </c>
    </row>
    <row r="307" spans="1:17" x14ac:dyDescent="0.4">
      <c r="A307" s="47" t="s">
        <v>896</v>
      </c>
      <c r="B307" s="47">
        <f>Закуп!R307</f>
        <v>150</v>
      </c>
      <c r="C307" s="47">
        <f>Закуп!S307</f>
        <v>150</v>
      </c>
      <c r="D307" s="47">
        <f>Закуп!T307</f>
        <v>100</v>
      </c>
      <c r="E307" s="47" t="s">
        <v>897</v>
      </c>
      <c r="F307" s="100" t="str">
        <f>SUBSTITUTE(INDEX(Calc!$K:$K,(ROW(A306)-1)*5+COLUMN(A306)+1),",",".")</f>
        <v>1.15</v>
      </c>
      <c r="G307" s="100" t="str">
        <f>SUBSTITUTE(INDEX(Calc!$K:$K,(ROW(B306)-1)*5+COLUMN(B306)+1),",",".")</f>
        <v>1</v>
      </c>
      <c r="H307" s="100" t="str">
        <f>SUBSTITUTE(INDEX(Calc!$K:$K,(ROW(C306)-1)*5+COLUMN(C306)+1),",",".")</f>
        <v>0.85</v>
      </c>
      <c r="I307" s="100" t="str">
        <f>SUBSTITUTE(INDEX(Calc!$K:$K,(ROW(D306)-1)*5+COLUMN(D306)+1),",",".")</f>
        <v>0.75</v>
      </c>
      <c r="J307" s="100" t="str">
        <f>SUBSTITUTE(INDEX(Calc!$K:$K,(ROW(E306)-1)*5+COLUMN(E306)+1),",",".")</f>
        <v>0.65</v>
      </c>
      <c r="K307" s="47" t="s">
        <v>898</v>
      </c>
      <c r="L307" s="100" t="str">
        <f>Закуп!AA307</f>
        <v>Самосборные</v>
      </c>
      <c r="M307" s="47" t="s">
        <v>899</v>
      </c>
      <c r="N307" s="47">
        <f>IF(Закуп!L307="",0,Закуп!L307)</f>
        <v>0</v>
      </c>
      <c r="O307" s="47" t="s">
        <v>900</v>
      </c>
      <c r="P307" s="165">
        <f>Закуп!N307</f>
        <v>1</v>
      </c>
      <c r="Q307" s="210" t="str">
        <f t="shared" si="4"/>
        <v xml:space="preserve">        [ 'dims' =&gt; [150,150,100], 'prices' =&gt; [1.15,1,0.85,0.75,0.65], 'type' =&gt; "Самосборные", 'sale' =&gt; "0" ],</v>
      </c>
    </row>
    <row r="308" spans="1:17" x14ac:dyDescent="0.4">
      <c r="A308" s="47" t="s">
        <v>896</v>
      </c>
      <c r="B308" s="47">
        <f>Закуп!R308</f>
        <v>120</v>
      </c>
      <c r="C308" s="47">
        <f>Закуп!S308</f>
        <v>120</v>
      </c>
      <c r="D308" s="47">
        <f>Закуп!T308</f>
        <v>120</v>
      </c>
      <c r="E308" s="47" t="s">
        <v>897</v>
      </c>
      <c r="F308" s="100" t="str">
        <f>SUBSTITUTE(INDEX(Calc!$K:$K,(ROW(A307)-1)*5+COLUMN(A307)+1),",",".")</f>
        <v>1.1</v>
      </c>
      <c r="G308" s="100" t="str">
        <f>SUBSTITUTE(INDEX(Calc!$K:$K,(ROW(B307)-1)*5+COLUMN(B307)+1),",",".")</f>
        <v>1</v>
      </c>
      <c r="H308" s="100" t="str">
        <f>SUBSTITUTE(INDEX(Calc!$K:$K,(ROW(C307)-1)*5+COLUMN(C307)+1),",",".")</f>
        <v>0.9</v>
      </c>
      <c r="I308" s="100" t="str">
        <f>SUBSTITUTE(INDEX(Calc!$K:$K,(ROW(D307)-1)*5+COLUMN(D307)+1),",",".")</f>
        <v>0.8</v>
      </c>
      <c r="J308" s="100" t="str">
        <f>SUBSTITUTE(INDEX(Calc!$K:$K,(ROW(E307)-1)*5+COLUMN(E307)+1),",",".")</f>
        <v>0.7</v>
      </c>
      <c r="K308" s="47" t="s">
        <v>898</v>
      </c>
      <c r="L308" s="100" t="str">
        <f>Закуп!AA308</f>
        <v>Самосборные</v>
      </c>
      <c r="M308" s="47" t="s">
        <v>899</v>
      </c>
      <c r="N308" s="47">
        <f>IF(Закуп!L308="",0,Закуп!L308)</f>
        <v>0</v>
      </c>
      <c r="O308" s="47" t="s">
        <v>900</v>
      </c>
      <c r="P308" s="165">
        <f>Закуп!N308</f>
        <v>1</v>
      </c>
      <c r="Q308" s="210" t="str">
        <f t="shared" si="4"/>
        <v xml:space="preserve">        [ 'dims' =&gt; [120,120,120], 'prices' =&gt; [1.1,1,0.9,0.8,0.7], 'type' =&gt; "Самосборные", 'sale' =&gt; "0" ],</v>
      </c>
    </row>
    <row r="309" spans="1:17" x14ac:dyDescent="0.4">
      <c r="A309" s="47" t="s">
        <v>896</v>
      </c>
      <c r="B309" s="47">
        <f>Закуп!R309</f>
        <v>240</v>
      </c>
      <c r="C309" s="47">
        <f>Закуп!S309</f>
        <v>230</v>
      </c>
      <c r="D309" s="47">
        <f>Закуп!T309</f>
        <v>25</v>
      </c>
      <c r="E309" s="47" t="s">
        <v>897</v>
      </c>
      <c r="F309" s="100" t="str">
        <f>SUBSTITUTE(INDEX(Calc!$K:$K,(ROW(A308)-1)*5+COLUMN(A308)+1),",",".")</f>
        <v>1.15</v>
      </c>
      <c r="G309" s="100" t="str">
        <f>SUBSTITUTE(INDEX(Calc!$K:$K,(ROW(B308)-1)*5+COLUMN(B308)+1),",",".")</f>
        <v>1</v>
      </c>
      <c r="H309" s="100" t="str">
        <f>SUBSTITUTE(INDEX(Calc!$K:$K,(ROW(C308)-1)*5+COLUMN(C308)+1),",",".")</f>
        <v>0.9</v>
      </c>
      <c r="I309" s="100" t="str">
        <f>SUBSTITUTE(INDEX(Calc!$K:$K,(ROW(D308)-1)*5+COLUMN(D308)+1),",",".")</f>
        <v>0.8</v>
      </c>
      <c r="J309" s="100" t="str">
        <f>SUBSTITUTE(INDEX(Calc!$K:$K,(ROW(E308)-1)*5+COLUMN(E308)+1),",",".")</f>
        <v>0.7</v>
      </c>
      <c r="K309" s="47" t="s">
        <v>898</v>
      </c>
      <c r="L309" s="100" t="str">
        <f>Закуп!AA309</f>
        <v>Самосборные</v>
      </c>
      <c r="M309" s="47" t="s">
        <v>899</v>
      </c>
      <c r="N309" s="47">
        <f>IF(Закуп!L309="",0,Закуп!L309)</f>
        <v>0</v>
      </c>
      <c r="O309" s="47" t="s">
        <v>900</v>
      </c>
      <c r="P309" s="165">
        <f>Закуп!N309</f>
        <v>1</v>
      </c>
      <c r="Q309" s="210" t="str">
        <f t="shared" si="4"/>
        <v xml:space="preserve">        [ 'dims' =&gt; [240,230,25], 'prices' =&gt; [1.15,1,0.9,0.8,0.7], 'type' =&gt; "Самосборные", 'sale' =&gt; "0" ],</v>
      </c>
    </row>
    <row r="310" spans="1:17" x14ac:dyDescent="0.4">
      <c r="A310" s="166" t="s">
        <v>896</v>
      </c>
      <c r="B310" s="166">
        <f>Закуп!R310</f>
        <v>40</v>
      </c>
      <c r="C310" s="166">
        <f>Закуп!S310</f>
        <v>40</v>
      </c>
      <c r="D310" s="166">
        <f>Закуп!T310</f>
        <v>150</v>
      </c>
      <c r="E310" s="166" t="s">
        <v>897</v>
      </c>
      <c r="F310" s="167" t="str">
        <f>SUBSTITUTE(INDEX(Calc!$K:$K,(ROW(A309)-1)*5+COLUMN(A309)+1),",",".")</f>
        <v>0.95</v>
      </c>
      <c r="G310" s="167" t="str">
        <f>SUBSTITUTE(INDEX(Calc!$K:$K,(ROW(B309)-1)*5+COLUMN(B309)+1),",",".")</f>
        <v>0.85</v>
      </c>
      <c r="H310" s="167" t="str">
        <f>SUBSTITUTE(INDEX(Calc!$K:$K,(ROW(C309)-1)*5+COLUMN(C309)+1),",",".")</f>
        <v>0.7</v>
      </c>
      <c r="I310" s="167" t="str">
        <f>SUBSTITUTE(INDEX(Calc!$K:$K,(ROW(D309)-1)*5+COLUMN(D309)+1),",",".")</f>
        <v>0.55</v>
      </c>
      <c r="J310" s="167" t="str">
        <f>SUBSTITUTE(INDEX(Calc!$K:$K,(ROW(E309)-1)*5+COLUMN(E309)+1),",",".")</f>
        <v>0.45</v>
      </c>
      <c r="K310" s="166" t="s">
        <v>898</v>
      </c>
      <c r="L310" s="167" t="str">
        <f>Закуп!AA310</f>
        <v>Самосборные</v>
      </c>
      <c r="M310" s="166" t="s">
        <v>899</v>
      </c>
      <c r="N310" s="166">
        <f>IF(Закуп!L310="",0,Закуп!L310)</f>
        <v>0</v>
      </c>
      <c r="O310" s="166" t="s">
        <v>900</v>
      </c>
      <c r="P310" s="144">
        <f>Закуп!N310</f>
        <v>1</v>
      </c>
      <c r="Q310" s="210" t="str">
        <f t="shared" si="4"/>
        <v xml:space="preserve">        [ 'dims' =&gt; [40,40,150], 'prices' =&gt; [0.95,0.85,0.7,0.55,0.45], 'type' =&gt; "Самосборные", 'sale' =&gt; "0" ],</v>
      </c>
    </row>
    <row r="311" spans="1:17" x14ac:dyDescent="0.4">
      <c r="A311" s="166" t="s">
        <v>896</v>
      </c>
      <c r="B311" s="166">
        <f>Закуп!R311</f>
        <v>230</v>
      </c>
      <c r="C311" s="166">
        <f>Закуп!S311</f>
        <v>140</v>
      </c>
      <c r="D311" s="166">
        <f>Закуп!T311</f>
        <v>130</v>
      </c>
      <c r="E311" s="166" t="s">
        <v>897</v>
      </c>
      <c r="F311" s="167" t="str">
        <f>SUBSTITUTE(INDEX(Calc!$K:$K,(ROW(A310)-1)*5+COLUMN(A310)+1),",",".")</f>
        <v>1.05</v>
      </c>
      <c r="G311" s="167" t="str">
        <f>SUBSTITUTE(INDEX(Calc!$K:$K,(ROW(B310)-1)*5+COLUMN(B310)+1),",",".")</f>
        <v>0.92</v>
      </c>
      <c r="H311" s="167" t="str">
        <f>SUBSTITUTE(INDEX(Calc!$K:$K,(ROW(C310)-1)*5+COLUMN(C310)+1),",",".")</f>
        <v>0.82</v>
      </c>
      <c r="I311" s="167" t="str">
        <f>SUBSTITUTE(INDEX(Calc!$K:$K,(ROW(D310)-1)*5+COLUMN(D310)+1),",",".")</f>
        <v>0.72</v>
      </c>
      <c r="J311" s="167" t="str">
        <f>SUBSTITUTE(INDEX(Calc!$K:$K,(ROW(E310)-1)*5+COLUMN(E310)+1),",",".")</f>
        <v>0.62</v>
      </c>
      <c r="K311" s="166" t="s">
        <v>898</v>
      </c>
      <c r="L311" s="167" t="str">
        <f>Закуп!AA311</f>
        <v>Четырехклапанные</v>
      </c>
      <c r="M311" s="166" t="s">
        <v>899</v>
      </c>
      <c r="N311" s="166">
        <f>IF(Закуп!L311="",0,Закуп!L311)</f>
        <v>0</v>
      </c>
      <c r="O311" s="166" t="s">
        <v>900</v>
      </c>
      <c r="P311" s="144">
        <f>Закуп!N311</f>
        <v>1</v>
      </c>
      <c r="Q311" s="210" t="str">
        <f t="shared" si="4"/>
        <v xml:space="preserve">        [ 'dims' =&gt; [230,140,130], 'prices' =&gt; [1.05,0.92,0.82,0.72,0.62], 'type' =&gt; "Четырехклапанные", 'sale' =&gt; "0" ],</v>
      </c>
    </row>
    <row r="312" spans="1:17" hidden="1" x14ac:dyDescent="0.4">
      <c r="A312" s="166" t="s">
        <v>896</v>
      </c>
      <c r="B312" s="166">
        <f>Закуп!R312</f>
        <v>320</v>
      </c>
      <c r="C312" s="166">
        <f>Закуп!S312</f>
        <v>240</v>
      </c>
      <c r="D312" s="166">
        <f>Закуп!T312</f>
        <v>100</v>
      </c>
      <c r="E312" s="166" t="s">
        <v>897</v>
      </c>
      <c r="F312" s="167" t="str">
        <f>SUBSTITUTE(INDEX(Calc!$K:$K,(ROW(A311)-1)*5+COLUMN(A311)+1),",",".")</f>
        <v>1.68</v>
      </c>
      <c r="G312" s="167" t="str">
        <f>SUBSTITUTE(INDEX(Calc!$K:$K,(ROW(B311)-1)*5+COLUMN(B311)+1),",",".")</f>
        <v>1.42</v>
      </c>
      <c r="H312" s="167" t="str">
        <f>SUBSTITUTE(INDEX(Calc!$K:$K,(ROW(C311)-1)*5+COLUMN(C311)+1),",",".")</f>
        <v>1.37</v>
      </c>
      <c r="I312" s="167" t="str">
        <f>SUBSTITUTE(INDEX(Calc!$K:$K,(ROW(D311)-1)*5+COLUMN(D311)+1),",",".")</f>
        <v>1.28</v>
      </c>
      <c r="J312" s="167" t="str">
        <f>SUBSTITUTE(INDEX(Calc!$K:$K,(ROW(E311)-1)*5+COLUMN(E311)+1),",",".")</f>
        <v>1.2</v>
      </c>
      <c r="K312" s="166" t="s">
        <v>898</v>
      </c>
      <c r="L312" s="167" t="str">
        <f>Закуп!AA312</f>
        <v>Четырехклапанные</v>
      </c>
      <c r="M312" s="166" t="s">
        <v>899</v>
      </c>
      <c r="N312" s="166" t="str">
        <f>IF(Закуп!L312="",0,Закуп!L312)</f>
        <v>Sale</v>
      </c>
      <c r="O312" s="166" t="s">
        <v>900</v>
      </c>
      <c r="P312" s="144">
        <f>Закуп!N312</f>
        <v>0</v>
      </c>
      <c r="Q312" s="210" t="str">
        <f t="shared" si="4"/>
        <v xml:space="preserve">        [ 'dims' =&gt; [320,240,100], 'prices' =&gt; [1.68,1.42,1.37,1.28,1.2], 'type' =&gt; "Четырехклапанные", 'sale' =&gt; "Sale" ],</v>
      </c>
    </row>
    <row r="313" spans="1:17" hidden="1" x14ac:dyDescent="0.4">
      <c r="A313" s="166" t="s">
        <v>896</v>
      </c>
      <c r="B313" s="166">
        <f>Закуп!R313</f>
        <v>530</v>
      </c>
      <c r="C313" s="166">
        <f>Закуп!S313</f>
        <v>390</v>
      </c>
      <c r="D313" s="166">
        <f>Закуп!T313</f>
        <v>390</v>
      </c>
      <c r="E313" s="166" t="s">
        <v>897</v>
      </c>
      <c r="F313" s="167" t="str">
        <f>SUBSTITUTE(INDEX(Calc!$K:$K,(ROW(A312)-1)*5+COLUMN(A312)+1),",",".")</f>
        <v>2.05</v>
      </c>
      <c r="G313" s="167" t="str">
        <f>SUBSTITUTE(INDEX(Calc!$K:$K,(ROW(B312)-1)*5+COLUMN(B312)+1),",",".")</f>
        <v>2.05</v>
      </c>
      <c r="H313" s="167" t="str">
        <f>SUBSTITUTE(INDEX(Calc!$K:$K,(ROW(C312)-1)*5+COLUMN(C312)+1),",",".")</f>
        <v>2.05</v>
      </c>
      <c r="I313" s="167" t="str">
        <f>SUBSTITUTE(INDEX(Calc!$K:$K,(ROW(D312)-1)*5+COLUMN(D312)+1),",",".")</f>
        <v>2.05</v>
      </c>
      <c r="J313" s="167" t="str">
        <f>SUBSTITUTE(INDEX(Calc!$K:$K,(ROW(E312)-1)*5+COLUMN(E312)+1),",",".")</f>
        <v>2.05</v>
      </c>
      <c r="K313" s="166" t="s">
        <v>898</v>
      </c>
      <c r="L313" s="167" t="str">
        <f>Закуп!AA313</f>
        <v>Четырехклапанные</v>
      </c>
      <c r="M313" s="166" t="s">
        <v>899</v>
      </c>
      <c r="N313" s="166">
        <f>IF(Закуп!L313="",0,Закуп!L313)</f>
        <v>0</v>
      </c>
      <c r="O313" s="166" t="s">
        <v>900</v>
      </c>
      <c r="P313" s="144">
        <f>Закуп!N313</f>
        <v>0</v>
      </c>
      <c r="Q313" s="210" t="str">
        <f t="shared" si="4"/>
        <v xml:space="preserve">        [ 'dims' =&gt; [530,390,390], 'prices' =&gt; [2.05,2.05,2.05,2.05,2.05], 'type' =&gt; "Четырехклапанные", 'sale' =&gt; "0" ],</v>
      </c>
    </row>
    <row r="314" spans="1:17" hidden="1" x14ac:dyDescent="0.4">
      <c r="A314" s="166" t="s">
        <v>896</v>
      </c>
      <c r="B314" s="166">
        <f>Закуп!R314</f>
        <v>250</v>
      </c>
      <c r="C314" s="166">
        <f>Закуп!S314</f>
        <v>150</v>
      </c>
      <c r="D314" s="166">
        <f>Закуп!T314</f>
        <v>140</v>
      </c>
      <c r="E314" s="166" t="s">
        <v>897</v>
      </c>
      <c r="F314" s="167" t="str">
        <f>SUBSTITUTE(INDEX(Calc!$K:$K,(ROW(A313)-1)*5+COLUMN(A313)+1),",",".")</f>
        <v>0.5</v>
      </c>
      <c r="G314" s="167" t="str">
        <f>SUBSTITUTE(INDEX(Calc!$K:$K,(ROW(B313)-1)*5+COLUMN(B313)+1),",",".")</f>
        <v>0.5</v>
      </c>
      <c r="H314" s="167" t="str">
        <f>SUBSTITUTE(INDEX(Calc!$K:$K,(ROW(C313)-1)*5+COLUMN(C313)+1),",",".")</f>
        <v>0.5</v>
      </c>
      <c r="I314" s="167" t="str">
        <f>SUBSTITUTE(INDEX(Calc!$K:$K,(ROW(D313)-1)*5+COLUMN(D313)+1),",",".")</f>
        <v>0.5</v>
      </c>
      <c r="J314" s="167" t="str">
        <f>SUBSTITUTE(INDEX(Calc!$K:$K,(ROW(E313)-1)*5+COLUMN(E313)+1),",",".")</f>
        <v>0.5</v>
      </c>
      <c r="K314" s="166" t="s">
        <v>898</v>
      </c>
      <c r="L314" s="167" t="str">
        <f>Закуп!AA314</f>
        <v>Четырехклапанные</v>
      </c>
      <c r="M314" s="166" t="s">
        <v>899</v>
      </c>
      <c r="N314" s="166" t="str">
        <f>IF(Закуп!L314="",0,Закуп!L314)</f>
        <v>Sale</v>
      </c>
      <c r="O314" s="166" t="s">
        <v>900</v>
      </c>
      <c r="P314" s="144">
        <f>Закуп!N314</f>
        <v>0</v>
      </c>
      <c r="Q314" s="210" t="str">
        <f t="shared" si="4"/>
        <v xml:space="preserve">        [ 'dims' =&gt; [250,150,140], 'prices' =&gt; [0.5,0.5,0.5,0.5,0.5], 'type' =&gt; "Четырехклапанные", 'sale' =&gt; "Sale" ],</v>
      </c>
    </row>
    <row r="315" spans="1:17" x14ac:dyDescent="0.4">
      <c r="A315" s="166" t="s">
        <v>896</v>
      </c>
      <c r="B315" s="166">
        <f>Закуп!R315</f>
        <v>260</v>
      </c>
      <c r="C315" s="166">
        <f>Закуп!S315</f>
        <v>170</v>
      </c>
      <c r="D315" s="166">
        <f>Закуп!T315</f>
        <v>170</v>
      </c>
      <c r="E315" s="166" t="s">
        <v>897</v>
      </c>
      <c r="F315" s="167" t="str">
        <f>SUBSTITUTE(INDEX(Calc!$K:$K,(ROW(A314)-1)*5+COLUMN(A314)+1),",",".")</f>
        <v>1.1</v>
      </c>
      <c r="G315" s="167" t="str">
        <f>SUBSTITUTE(INDEX(Calc!$K:$K,(ROW(B314)-1)*5+COLUMN(B314)+1),",",".")</f>
        <v>1</v>
      </c>
      <c r="H315" s="167" t="str">
        <f>SUBSTITUTE(INDEX(Calc!$K:$K,(ROW(C314)-1)*5+COLUMN(C314)+1),",",".")</f>
        <v>0.9</v>
      </c>
      <c r="I315" s="167" t="str">
        <f>SUBSTITUTE(INDEX(Calc!$K:$K,(ROW(D314)-1)*5+COLUMN(D314)+1),",",".")</f>
        <v>0.8</v>
      </c>
      <c r="J315" s="167" t="str">
        <f>SUBSTITUTE(INDEX(Calc!$K:$K,(ROW(E314)-1)*5+COLUMN(E314)+1),",",".")</f>
        <v>0.7</v>
      </c>
      <c r="K315" s="166" t="s">
        <v>898</v>
      </c>
      <c r="L315" s="167" t="str">
        <f>Закуп!AA315</f>
        <v>Четырехклапанные</v>
      </c>
      <c r="M315" s="166" t="s">
        <v>899</v>
      </c>
      <c r="N315" s="166">
        <f>IF(Закуп!L315="",0,Закуп!L315)</f>
        <v>0</v>
      </c>
      <c r="O315" s="166" t="s">
        <v>900</v>
      </c>
      <c r="P315" s="144">
        <f>Закуп!N315</f>
        <v>1</v>
      </c>
      <c r="Q315" s="210" t="str">
        <f t="shared" si="4"/>
        <v xml:space="preserve">        [ 'dims' =&gt; [260,170,170], 'prices' =&gt; [1.1,1,0.9,0.8,0.7], 'type' =&gt; "Четырехклапанные", 'sale' =&gt; "0" ],</v>
      </c>
    </row>
    <row r="316" spans="1:17" x14ac:dyDescent="0.4">
      <c r="A316" s="166" t="s">
        <v>896</v>
      </c>
      <c r="B316" s="166">
        <f>Закуп!R316</f>
        <v>147</v>
      </c>
      <c r="C316" s="166">
        <f>Закуп!S316</f>
        <v>127</v>
      </c>
      <c r="D316" s="166">
        <f>Закуп!T316</f>
        <v>257</v>
      </c>
      <c r="E316" s="166" t="s">
        <v>897</v>
      </c>
      <c r="F316" s="167" t="str">
        <f>SUBSTITUTE(INDEX(Calc!$K:$K,(ROW(A315)-1)*5+COLUMN(A315)+1),",",".")</f>
        <v>1.4</v>
      </c>
      <c r="G316" s="167" t="str">
        <f>SUBSTITUTE(INDEX(Calc!$K:$K,(ROW(B315)-1)*5+COLUMN(B315)+1),",",".")</f>
        <v>1.35</v>
      </c>
      <c r="H316" s="167" t="str">
        <f>SUBSTITUTE(INDEX(Calc!$K:$K,(ROW(C315)-1)*5+COLUMN(C315)+1),",",".")</f>
        <v>1.3</v>
      </c>
      <c r="I316" s="167" t="str">
        <f>SUBSTITUTE(INDEX(Calc!$K:$K,(ROW(D315)-1)*5+COLUMN(D315)+1),",",".")</f>
        <v>1.25</v>
      </c>
      <c r="J316" s="167" t="str">
        <f>SUBSTITUTE(INDEX(Calc!$K:$K,(ROW(E315)-1)*5+COLUMN(E315)+1),",",".")</f>
        <v>1.1</v>
      </c>
      <c r="K316" s="166" t="s">
        <v>898</v>
      </c>
      <c r="L316" s="167" t="str">
        <f>Закуп!AA316</f>
        <v>Четырехклапанные</v>
      </c>
      <c r="M316" s="166" t="s">
        <v>899</v>
      </c>
      <c r="N316" s="166">
        <f>IF(Закуп!L316="",0,Закуп!L316)</f>
        <v>0</v>
      </c>
      <c r="O316" s="166" t="s">
        <v>900</v>
      </c>
      <c r="P316" s="144">
        <f>Закуп!N316</f>
        <v>1</v>
      </c>
      <c r="Q316" s="210" t="str">
        <f t="shared" si="4"/>
        <v xml:space="preserve">        [ 'dims' =&gt; [147,127,257], 'prices' =&gt; [1.4,1.35,1.3,1.25,1.1], 'type' =&gt; "Четырехклапанные", 'sale' =&gt; "0" ],</v>
      </c>
    </row>
    <row r="317" spans="1:17" x14ac:dyDescent="0.4">
      <c r="A317" s="166" t="s">
        <v>896</v>
      </c>
      <c r="B317" s="166">
        <f>Закуп!R317</f>
        <v>207</v>
      </c>
      <c r="C317" s="166">
        <f>Закуп!S317</f>
        <v>157</v>
      </c>
      <c r="D317" s="166">
        <f>Закуп!T317</f>
        <v>347</v>
      </c>
      <c r="E317" s="166" t="s">
        <v>897</v>
      </c>
      <c r="F317" s="167" t="str">
        <f>SUBSTITUTE(INDEX(Calc!$K:$K,(ROW(A316)-1)*5+COLUMN(A316)+1),",",".")</f>
        <v>1.7</v>
      </c>
      <c r="G317" s="167" t="str">
        <f>SUBSTITUTE(INDEX(Calc!$K:$K,(ROW(B316)-1)*5+COLUMN(B316)+1),",",".")</f>
        <v>1.62</v>
      </c>
      <c r="H317" s="167" t="str">
        <f>SUBSTITUTE(INDEX(Calc!$K:$K,(ROW(C316)-1)*5+COLUMN(C316)+1),",",".")</f>
        <v>1.55</v>
      </c>
      <c r="I317" s="167" t="str">
        <f>SUBSTITUTE(INDEX(Calc!$K:$K,(ROW(D316)-1)*5+COLUMN(D316)+1),",",".")</f>
        <v>1.49</v>
      </c>
      <c r="J317" s="167" t="str">
        <f>SUBSTITUTE(INDEX(Calc!$K:$K,(ROW(E316)-1)*5+COLUMN(E316)+1),",",".")</f>
        <v>1.32</v>
      </c>
      <c r="K317" s="166" t="s">
        <v>898</v>
      </c>
      <c r="L317" s="167" t="str">
        <f>Закуп!AA317</f>
        <v>Четырехклапанные</v>
      </c>
      <c r="M317" s="166" t="s">
        <v>899</v>
      </c>
      <c r="N317" s="166">
        <f>IF(Закуп!L317="",0,Закуп!L317)</f>
        <v>0</v>
      </c>
      <c r="O317" s="166" t="s">
        <v>900</v>
      </c>
      <c r="P317" s="144">
        <f>Закуп!N317</f>
        <v>1</v>
      </c>
      <c r="Q317" s="210" t="str">
        <f t="shared" si="4"/>
        <v xml:space="preserve">        [ 'dims' =&gt; [207,157,347], 'prices' =&gt; [1.7,1.62,1.55,1.49,1.32], 'type' =&gt; "Четырехклапанные", 'sale' =&gt; "0" ],</v>
      </c>
    </row>
    <row r="318" spans="1:17" x14ac:dyDescent="0.4">
      <c r="A318" s="166" t="s">
        <v>896</v>
      </c>
      <c r="B318" s="166">
        <f>Закуп!R318</f>
        <v>327</v>
      </c>
      <c r="C318" s="166">
        <f>Закуп!S318</f>
        <v>157</v>
      </c>
      <c r="D318" s="166">
        <f>Закуп!T318</f>
        <v>347</v>
      </c>
      <c r="E318" s="166" t="s">
        <v>897</v>
      </c>
      <c r="F318" s="167" t="str">
        <f>SUBSTITUTE(INDEX(Calc!$K:$K,(ROW(A317)-1)*5+COLUMN(A317)+1),",",".")</f>
        <v>1.85</v>
      </c>
      <c r="G318" s="167" t="str">
        <f>SUBSTITUTE(INDEX(Calc!$K:$K,(ROW(B317)-1)*5+COLUMN(B317)+1),",",".")</f>
        <v>1.77</v>
      </c>
      <c r="H318" s="167" t="str">
        <f>SUBSTITUTE(INDEX(Calc!$K:$K,(ROW(C317)-1)*5+COLUMN(C317)+1),",",".")</f>
        <v>1.69</v>
      </c>
      <c r="I318" s="167" t="str">
        <f>SUBSTITUTE(INDEX(Calc!$K:$K,(ROW(D317)-1)*5+COLUMN(D317)+1),",",".")</f>
        <v>1.61</v>
      </c>
      <c r="J318" s="167" t="str">
        <f>SUBSTITUTE(INDEX(Calc!$K:$K,(ROW(E317)-1)*5+COLUMN(E317)+1),",",".")</f>
        <v>1.53</v>
      </c>
      <c r="K318" s="166" t="s">
        <v>898</v>
      </c>
      <c r="L318" s="167" t="str">
        <f>Закуп!AA318</f>
        <v>Четырехклапанные</v>
      </c>
      <c r="M318" s="166" t="s">
        <v>899</v>
      </c>
      <c r="N318" s="166">
        <f>IF(Закуп!L318="",0,Закуп!L318)</f>
        <v>0</v>
      </c>
      <c r="O318" s="166" t="s">
        <v>900</v>
      </c>
      <c r="P318" s="144">
        <f>Закуп!N318</f>
        <v>1</v>
      </c>
      <c r="Q318" s="210" t="str">
        <f t="shared" si="4"/>
        <v xml:space="preserve">        [ 'dims' =&gt; [327,157,347], 'prices' =&gt; [1.85,1.77,1.69,1.61,1.53], 'type' =&gt; "Четырехклапанные", 'sale' =&gt; "0" ],</v>
      </c>
    </row>
    <row r="319" spans="1:17" x14ac:dyDescent="0.4">
      <c r="A319" s="166" t="s">
        <v>896</v>
      </c>
      <c r="B319" s="166">
        <f>Закуп!R319</f>
        <v>127</v>
      </c>
      <c r="C319" s="166">
        <f>Закуп!S319</f>
        <v>67</v>
      </c>
      <c r="D319" s="166">
        <f>Закуп!T319</f>
        <v>257</v>
      </c>
      <c r="E319" s="166" t="s">
        <v>897</v>
      </c>
      <c r="F319" s="167" t="str">
        <f>SUBSTITUTE(INDEX(Calc!$K:$K,(ROW(A318)-1)*5+COLUMN(A318)+1),",",".")</f>
        <v>1.4</v>
      </c>
      <c r="G319" s="167" t="str">
        <f>SUBSTITUTE(INDEX(Calc!$K:$K,(ROW(B318)-1)*5+COLUMN(B318)+1),",",".")</f>
        <v>1.33</v>
      </c>
      <c r="H319" s="167" t="str">
        <f>SUBSTITUTE(INDEX(Calc!$K:$K,(ROW(C318)-1)*5+COLUMN(C318)+1),",",".")</f>
        <v>1.25</v>
      </c>
      <c r="I319" s="167" t="str">
        <f>SUBSTITUTE(INDEX(Calc!$K:$K,(ROW(D318)-1)*5+COLUMN(D318)+1),",",".")</f>
        <v>1.15</v>
      </c>
      <c r="J319" s="167" t="str">
        <f>SUBSTITUTE(INDEX(Calc!$K:$K,(ROW(E318)-1)*5+COLUMN(E318)+1),",",".")</f>
        <v>1</v>
      </c>
      <c r="K319" s="166" t="s">
        <v>898</v>
      </c>
      <c r="L319" s="167" t="str">
        <f>Закуп!AA319</f>
        <v>Четырехклапанные</v>
      </c>
      <c r="M319" s="166" t="s">
        <v>899</v>
      </c>
      <c r="N319" s="166">
        <f>IF(Закуп!L319="",0,Закуп!L319)</f>
        <v>0</v>
      </c>
      <c r="O319" s="166" t="s">
        <v>900</v>
      </c>
      <c r="P319" s="144">
        <f>Закуп!N319</f>
        <v>1</v>
      </c>
      <c r="Q319" s="210" t="str">
        <f t="shared" si="4"/>
        <v xml:space="preserve">        [ 'dims' =&gt; [127,67,257], 'prices' =&gt; [1.4,1.33,1.25,1.15,1], 'type' =&gt; "Четырехклапанные", 'sale' =&gt; "0" ],</v>
      </c>
    </row>
    <row r="320" spans="1:17" x14ac:dyDescent="0.4">
      <c r="A320" s="166" t="s">
        <v>896</v>
      </c>
      <c r="B320" s="166">
        <f>Закуп!R320</f>
        <v>227</v>
      </c>
      <c r="C320" s="166">
        <f>Закуп!S320</f>
        <v>127</v>
      </c>
      <c r="D320" s="166">
        <f>Закуп!T320</f>
        <v>257</v>
      </c>
      <c r="E320" s="166" t="s">
        <v>897</v>
      </c>
      <c r="F320" s="167" t="str">
        <f>SUBSTITUTE(INDEX(Calc!$K:$K,(ROW(A319)-1)*5+COLUMN(A319)+1),",",".")</f>
        <v>1.6</v>
      </c>
      <c r="G320" s="167" t="str">
        <f>SUBSTITUTE(INDEX(Calc!$K:$K,(ROW(B319)-1)*5+COLUMN(B319)+1),",",".")</f>
        <v>1.53</v>
      </c>
      <c r="H320" s="167" t="str">
        <f>SUBSTITUTE(INDEX(Calc!$K:$K,(ROW(C319)-1)*5+COLUMN(C319)+1),",",".")</f>
        <v>1.45</v>
      </c>
      <c r="I320" s="167" t="str">
        <f>SUBSTITUTE(INDEX(Calc!$K:$K,(ROW(D319)-1)*5+COLUMN(D319)+1),",",".")</f>
        <v>1.39</v>
      </c>
      <c r="J320" s="167" t="str">
        <f>SUBSTITUTE(INDEX(Calc!$K:$K,(ROW(E319)-1)*5+COLUMN(E319)+1),",",".")</f>
        <v>1.3</v>
      </c>
      <c r="K320" s="166" t="s">
        <v>898</v>
      </c>
      <c r="L320" s="167" t="str">
        <f>Закуп!AA320</f>
        <v>Четырехклапанные</v>
      </c>
      <c r="M320" s="166" t="s">
        <v>899</v>
      </c>
      <c r="N320" s="166">
        <f>IF(Закуп!L320="",0,Закуп!L320)</f>
        <v>0</v>
      </c>
      <c r="O320" s="166" t="s">
        <v>900</v>
      </c>
      <c r="P320" s="144">
        <f>Закуп!N320</f>
        <v>1</v>
      </c>
      <c r="Q320" s="210" t="str">
        <f t="shared" si="4"/>
        <v xml:space="preserve">        [ 'dims' =&gt; [227,127,257], 'prices' =&gt; [1.6,1.53,1.45,1.39,1.3], 'type' =&gt; "Четырехклапанные", 'sale' =&gt; "0" ],</v>
      </c>
    </row>
    <row r="321" spans="1:17" x14ac:dyDescent="0.4">
      <c r="A321" s="166" t="s">
        <v>896</v>
      </c>
      <c r="B321" s="166">
        <f>Закуп!R321</f>
        <v>365</v>
      </c>
      <c r="C321" s="166">
        <f>Закуп!S321</f>
        <v>245</v>
      </c>
      <c r="D321" s="166">
        <f>Закуп!T321</f>
        <v>145</v>
      </c>
      <c r="E321" s="166" t="s">
        <v>897</v>
      </c>
      <c r="F321" s="167" t="str">
        <f>SUBSTITUTE(INDEX(Calc!$K:$K,(ROW(A320)-1)*5+COLUMN(A320)+1),",",".")</f>
        <v>1.1</v>
      </c>
      <c r="G321" s="167" t="str">
        <f>SUBSTITUTE(INDEX(Calc!$K:$K,(ROW(B320)-1)*5+COLUMN(B320)+1),",",".")</f>
        <v>1.1</v>
      </c>
      <c r="H321" s="167" t="str">
        <f>SUBSTITUTE(INDEX(Calc!$K:$K,(ROW(C320)-1)*5+COLUMN(C320)+1),",",".")</f>
        <v>1.1</v>
      </c>
      <c r="I321" s="167" t="str">
        <f>SUBSTITUTE(INDEX(Calc!$K:$K,(ROW(D320)-1)*5+COLUMN(D320)+1),",",".")</f>
        <v>1.1</v>
      </c>
      <c r="J321" s="167" t="str">
        <f>SUBSTITUTE(INDEX(Calc!$K:$K,(ROW(E320)-1)*5+COLUMN(E320)+1),",",".")</f>
        <v>1.1</v>
      </c>
      <c r="K321" s="166" t="s">
        <v>898</v>
      </c>
      <c r="L321" s="167" t="str">
        <f>Закуп!AA321</f>
        <v>Четырехклапанные</v>
      </c>
      <c r="M321" s="166" t="s">
        <v>899</v>
      </c>
      <c r="N321" s="166" t="str">
        <f>IF(Закуп!L321="",0,Закуп!L321)</f>
        <v>Sale</v>
      </c>
      <c r="O321" s="166" t="s">
        <v>900</v>
      </c>
      <c r="P321" s="144">
        <f>Закуп!N321</f>
        <v>1</v>
      </c>
      <c r="Q321" s="210" t="str">
        <f t="shared" si="4"/>
        <v xml:space="preserve">        [ 'dims' =&gt; [365,245,145], 'prices' =&gt; [1.1,1.1,1.1,1.1,1.1], 'type' =&gt; "Четырехклапанные", 'sale' =&gt; "Sale" ],</v>
      </c>
    </row>
    <row r="322" spans="1:17" x14ac:dyDescent="0.4">
      <c r="A322" s="166" t="s">
        <v>896</v>
      </c>
      <c r="B322" s="166">
        <f>Закуп!R322</f>
        <v>245</v>
      </c>
      <c r="C322" s="166">
        <f>Закуп!S322</f>
        <v>80</v>
      </c>
      <c r="D322" s="166">
        <f>Закуп!T322</f>
        <v>200</v>
      </c>
      <c r="E322" s="166" t="s">
        <v>897</v>
      </c>
      <c r="F322" s="167" t="str">
        <f>SUBSTITUTE(INDEX(Calc!$K:$K,(ROW(A321)-1)*5+COLUMN(A321)+1),",",".")</f>
        <v>0.38</v>
      </c>
      <c r="G322" s="167" t="str">
        <f>SUBSTITUTE(INDEX(Calc!$K:$K,(ROW(B321)-1)*5+COLUMN(B321)+1),",",".")</f>
        <v>0.38</v>
      </c>
      <c r="H322" s="167" t="str">
        <f>SUBSTITUTE(INDEX(Calc!$K:$K,(ROW(C321)-1)*5+COLUMN(C321)+1),",",".")</f>
        <v>0.38</v>
      </c>
      <c r="I322" s="167" t="str">
        <f>SUBSTITUTE(INDEX(Calc!$K:$K,(ROW(D321)-1)*5+COLUMN(D321)+1),",",".")</f>
        <v>0.38</v>
      </c>
      <c r="J322" s="167" t="str">
        <f>SUBSTITUTE(INDEX(Calc!$K:$K,(ROW(E321)-1)*5+COLUMN(E321)+1),",",".")</f>
        <v>0.38</v>
      </c>
      <c r="K322" s="166" t="s">
        <v>898</v>
      </c>
      <c r="L322" s="167" t="str">
        <f>Закуп!AA322</f>
        <v>Четырехклапанные</v>
      </c>
      <c r="M322" s="166" t="s">
        <v>899</v>
      </c>
      <c r="N322" s="166" t="str">
        <f>IF(Закуп!L322="",0,Закуп!L322)</f>
        <v>Sale</v>
      </c>
      <c r="O322" s="166" t="s">
        <v>900</v>
      </c>
      <c r="P322" s="144">
        <f>Закуп!N322</f>
        <v>1</v>
      </c>
      <c r="Q322" s="210" t="str">
        <f t="shared" ref="Q322:Q329" si="5">CONCATENATE(A322,B322,",",C322,",",D322,E322,F322,",",G322,",",H322,",",I322,",",J322,K322,L322,M322,N322,O322,)</f>
        <v xml:space="preserve">        [ 'dims' =&gt; [245,80,200], 'prices' =&gt; [0.38,0.38,0.38,0.38,0.38], 'type' =&gt; "Четырехклапанные", 'sale' =&gt; "Sale" ],</v>
      </c>
    </row>
    <row r="323" spans="1:17" x14ac:dyDescent="0.4">
      <c r="A323" s="166" t="s">
        <v>896</v>
      </c>
      <c r="B323" s="166">
        <f>Закуп!R323</f>
        <v>245</v>
      </c>
      <c r="C323" s="166">
        <f>Закуп!S323</f>
        <v>200</v>
      </c>
      <c r="D323" s="166">
        <f>Закуп!T323</f>
        <v>80</v>
      </c>
      <c r="E323" s="166" t="s">
        <v>897</v>
      </c>
      <c r="F323" s="167" t="str">
        <f>SUBSTITUTE(INDEX(Calc!$K:$K,(ROW(A322)-1)*5+COLUMN(A322)+1),",",".")</f>
        <v>0.5</v>
      </c>
      <c r="G323" s="167" t="str">
        <f>SUBSTITUTE(INDEX(Calc!$K:$K,(ROW(B322)-1)*5+COLUMN(B322)+1),",",".")</f>
        <v>0.5</v>
      </c>
      <c r="H323" s="167" t="str">
        <f>SUBSTITUTE(INDEX(Calc!$K:$K,(ROW(C322)-1)*5+COLUMN(C322)+1),",",".")</f>
        <v>0.5</v>
      </c>
      <c r="I323" s="167" t="str">
        <f>SUBSTITUTE(INDEX(Calc!$K:$K,(ROW(D322)-1)*5+COLUMN(D322)+1),",",".")</f>
        <v>0.5</v>
      </c>
      <c r="J323" s="167" t="str">
        <f>SUBSTITUTE(INDEX(Calc!$K:$K,(ROW(E322)-1)*5+COLUMN(E322)+1),",",".")</f>
        <v>0.5</v>
      </c>
      <c r="K323" s="166" t="s">
        <v>898</v>
      </c>
      <c r="L323" s="167" t="str">
        <f>Закуп!AA323</f>
        <v>Четырехклапанные</v>
      </c>
      <c r="M323" s="166" t="s">
        <v>899</v>
      </c>
      <c r="N323" s="166" t="str">
        <f>IF(Закуп!L323="",0,Закуп!L323)</f>
        <v>Sale</v>
      </c>
      <c r="O323" s="166" t="s">
        <v>900</v>
      </c>
      <c r="P323" s="144">
        <f>Закуп!N323</f>
        <v>1</v>
      </c>
      <c r="Q323" s="210" t="str">
        <f t="shared" si="5"/>
        <v xml:space="preserve">        [ 'dims' =&gt; [245,200,80], 'prices' =&gt; [0.5,0.5,0.5,0.5,0.5], 'type' =&gt; "Четырехклапанные", 'sale' =&gt; "Sale" ],</v>
      </c>
    </row>
    <row r="324" spans="1:17" x14ac:dyDescent="0.4">
      <c r="A324" s="166" t="s">
        <v>896</v>
      </c>
      <c r="B324" s="166">
        <f>Закуп!R324</f>
        <v>287</v>
      </c>
      <c r="C324" s="166">
        <f>Закуп!S324</f>
        <v>207</v>
      </c>
      <c r="D324" s="166">
        <f>Закуп!T324</f>
        <v>347</v>
      </c>
      <c r="E324" s="166" t="s">
        <v>897</v>
      </c>
      <c r="F324" s="167" t="str">
        <f>SUBSTITUTE(INDEX(Calc!$K:$K,(ROW(A323)-1)*5+COLUMN(A323)+1),",",".")</f>
        <v>2</v>
      </c>
      <c r="G324" s="167" t="str">
        <f>SUBSTITUTE(INDEX(Calc!$K:$K,(ROW(B323)-1)*5+COLUMN(B323)+1),",",".")</f>
        <v>1.85</v>
      </c>
      <c r="H324" s="167" t="str">
        <f>SUBSTITUTE(INDEX(Calc!$K:$K,(ROW(C323)-1)*5+COLUMN(C323)+1),",",".")</f>
        <v>1.7</v>
      </c>
      <c r="I324" s="167" t="str">
        <f>SUBSTITUTE(INDEX(Calc!$K:$K,(ROW(D323)-1)*5+COLUMN(D323)+1),",",".")</f>
        <v>1.55</v>
      </c>
      <c r="J324" s="167" t="str">
        <f>SUBSTITUTE(INDEX(Calc!$K:$K,(ROW(E323)-1)*5+COLUMN(E323)+1),",",".")</f>
        <v>1.4</v>
      </c>
      <c r="K324" s="166" t="s">
        <v>898</v>
      </c>
      <c r="L324" s="167" t="str">
        <f>Закуп!AA324</f>
        <v>Четырехклапанные</v>
      </c>
      <c r="M324" s="166" t="s">
        <v>899</v>
      </c>
      <c r="N324" s="166">
        <f>IF(Закуп!L324="",0,Закуп!L324)</f>
        <v>0</v>
      </c>
      <c r="O324" s="166" t="s">
        <v>900</v>
      </c>
      <c r="P324" s="144">
        <f>Закуп!N324</f>
        <v>1</v>
      </c>
      <c r="Q324" s="210" t="str">
        <f t="shared" si="5"/>
        <v xml:space="preserve">        [ 'dims' =&gt; [287,207,347], 'prices' =&gt; [2,1.85,1.7,1.55,1.4], 'type' =&gt; "Четырехклапанные", 'sale' =&gt; "0" ],</v>
      </c>
    </row>
    <row r="325" spans="1:17" x14ac:dyDescent="0.4">
      <c r="A325" s="166" t="s">
        <v>896</v>
      </c>
      <c r="B325" s="166">
        <f>Закуп!R325</f>
        <v>365</v>
      </c>
      <c r="C325" s="166">
        <f>Закуп!S325</f>
        <v>155</v>
      </c>
      <c r="D325" s="166">
        <f>Закуп!T325</f>
        <v>192</v>
      </c>
      <c r="E325" s="166" t="s">
        <v>897</v>
      </c>
      <c r="F325" s="167" t="str">
        <f>SUBSTITUTE(INDEX(Calc!$K:$K,(ROW(A324)-1)*5+COLUMN(A324)+1),",",".")</f>
        <v>1.5</v>
      </c>
      <c r="G325" s="167" t="str">
        <f>SUBSTITUTE(INDEX(Calc!$K:$K,(ROW(B324)-1)*5+COLUMN(B324)+1),",",".")</f>
        <v>1.4</v>
      </c>
      <c r="H325" s="167" t="str">
        <f>SUBSTITUTE(INDEX(Calc!$K:$K,(ROW(C324)-1)*5+COLUMN(C324)+1),",",".")</f>
        <v>1.3</v>
      </c>
      <c r="I325" s="167" t="str">
        <f>SUBSTITUTE(INDEX(Calc!$K:$K,(ROW(D324)-1)*5+COLUMN(D324)+1),",",".")</f>
        <v>1.15</v>
      </c>
      <c r="J325" s="167" t="str">
        <f>SUBSTITUTE(INDEX(Calc!$K:$K,(ROW(E324)-1)*5+COLUMN(E324)+1),",",".")</f>
        <v>1</v>
      </c>
      <c r="K325" s="166" t="s">
        <v>898</v>
      </c>
      <c r="L325" s="167" t="str">
        <f>Закуп!AA325</f>
        <v>Четырехклапанные</v>
      </c>
      <c r="M325" s="166" t="s">
        <v>899</v>
      </c>
      <c r="N325" s="166">
        <f>IF(Закуп!L325="",0,Закуп!L325)</f>
        <v>0</v>
      </c>
      <c r="O325" s="166" t="s">
        <v>900</v>
      </c>
      <c r="P325" s="144">
        <f>Закуп!N325</f>
        <v>1</v>
      </c>
      <c r="Q325" s="210" t="str">
        <f t="shared" si="5"/>
        <v xml:space="preserve">        [ 'dims' =&gt; [365,155,192], 'prices' =&gt; [1.5,1.4,1.3,1.15,1], 'type' =&gt; "Четырехклапанные", 'sale' =&gt; "0" ],</v>
      </c>
    </row>
    <row r="326" spans="1:17" x14ac:dyDescent="0.4">
      <c r="A326" s="47" t="s">
        <v>896</v>
      </c>
      <c r="B326" s="47">
        <f>Закуп!R326</f>
        <v>500</v>
      </c>
      <c r="C326" s="47">
        <f>Закуп!S326</f>
        <v>100</v>
      </c>
      <c r="D326" s="47">
        <f>Закуп!T326</f>
        <v>40</v>
      </c>
      <c r="E326" s="47" t="s">
        <v>897</v>
      </c>
      <c r="F326" s="100" t="str">
        <f>SUBSTITUTE(INDEX(Calc!$K:$K,(ROW(A325)-1)*5+COLUMN(A325)+1),",",".")</f>
        <v>1.4</v>
      </c>
      <c r="G326" s="100" t="str">
        <f>SUBSTITUTE(INDEX(Calc!$K:$K,(ROW(B325)-1)*5+COLUMN(B325)+1),",",".")</f>
        <v>1.3</v>
      </c>
      <c r="H326" s="100" t="str">
        <f>SUBSTITUTE(INDEX(Calc!$K:$K,(ROW(C325)-1)*5+COLUMN(C325)+1),",",".")</f>
        <v>1.15</v>
      </c>
      <c r="I326" s="100" t="str">
        <f>SUBSTITUTE(INDEX(Calc!$K:$K,(ROW(D325)-1)*5+COLUMN(D325)+1),",",".")</f>
        <v>1</v>
      </c>
      <c r="J326" s="100" t="str">
        <f>SUBSTITUTE(INDEX(Calc!$K:$K,(ROW(E325)-1)*5+COLUMN(E325)+1),",",".")</f>
        <v>0.9</v>
      </c>
      <c r="K326" s="47" t="s">
        <v>898</v>
      </c>
      <c r="L326" s="100" t="str">
        <f>Закуп!AA326</f>
        <v>Самосборные</v>
      </c>
      <c r="M326" s="47" t="s">
        <v>899</v>
      </c>
      <c r="N326" s="47">
        <f>IF(Закуп!L326="",0,Закуп!L326)</f>
        <v>0</v>
      </c>
      <c r="O326" s="47" t="s">
        <v>900</v>
      </c>
      <c r="P326" s="165">
        <f>Закуп!N326</f>
        <v>1</v>
      </c>
      <c r="Q326" s="210" t="str">
        <f t="shared" si="5"/>
        <v xml:space="preserve">        [ 'dims' =&gt; [500,100,40], 'prices' =&gt; [1.4,1.3,1.15,1,0.9], 'type' =&gt; "Самосборные", 'sale' =&gt; "0" ],</v>
      </c>
    </row>
    <row r="327" spans="1:17" x14ac:dyDescent="0.4">
      <c r="A327" s="47" t="s">
        <v>896</v>
      </c>
      <c r="B327" s="47">
        <f>Закуп!R327</f>
        <v>150</v>
      </c>
      <c r="C327" s="47">
        <f>Закуп!S327</f>
        <v>150</v>
      </c>
      <c r="D327" s="47">
        <f>Закуп!T327</f>
        <v>170</v>
      </c>
      <c r="E327" s="47" t="s">
        <v>897</v>
      </c>
      <c r="F327" s="100" t="str">
        <f>SUBSTITUTE(INDEX(Calc!$K:$K,(ROW(A326)-1)*5+COLUMN(A326)+1),",",".")</f>
        <v>1.4</v>
      </c>
      <c r="G327" s="100" t="str">
        <f>SUBSTITUTE(INDEX(Calc!$K:$K,(ROW(B326)-1)*5+COLUMN(B326)+1),",",".")</f>
        <v>1.3</v>
      </c>
      <c r="H327" s="100" t="str">
        <f>SUBSTITUTE(INDEX(Calc!$K:$K,(ROW(C326)-1)*5+COLUMN(C326)+1),",",".")</f>
        <v>1.2</v>
      </c>
      <c r="I327" s="100" t="str">
        <f>SUBSTITUTE(INDEX(Calc!$K:$K,(ROW(D326)-1)*5+COLUMN(D326)+1),",",".")</f>
        <v>1.1</v>
      </c>
      <c r="J327" s="100" t="str">
        <f>SUBSTITUTE(INDEX(Calc!$K:$K,(ROW(E326)-1)*5+COLUMN(E326)+1),",",".")</f>
        <v>1</v>
      </c>
      <c r="K327" s="47" t="s">
        <v>898</v>
      </c>
      <c r="L327" s="100" t="str">
        <f>Закуп!AA327</f>
        <v>Четырехклапанные</v>
      </c>
      <c r="M327" s="47" t="s">
        <v>899</v>
      </c>
      <c r="N327" s="47">
        <f>IF(Закуп!L327="",0,Закуп!L327)</f>
        <v>0</v>
      </c>
      <c r="O327" s="47" t="s">
        <v>900</v>
      </c>
      <c r="P327" s="165">
        <f>Закуп!N327</f>
        <v>1</v>
      </c>
      <c r="Q327" s="210" t="str">
        <f t="shared" si="5"/>
        <v xml:space="preserve">        [ 'dims' =&gt; [150,150,170], 'prices' =&gt; [1.4,1.3,1.2,1.1,1], 'type' =&gt; "Четырехклапанные", 'sale' =&gt; "0" ],</v>
      </c>
    </row>
    <row r="328" spans="1:17" x14ac:dyDescent="0.4">
      <c r="A328" s="47" t="s">
        <v>896</v>
      </c>
      <c r="B328" s="47">
        <f>Закуп!R328</f>
        <v>125</v>
      </c>
      <c r="C328" s="47">
        <f>Закуп!S328</f>
        <v>125</v>
      </c>
      <c r="D328" s="47">
        <f>Закуп!T328</f>
        <v>250</v>
      </c>
      <c r="E328" s="47" t="s">
        <v>897</v>
      </c>
      <c r="F328" s="100" t="str">
        <f>SUBSTITUTE(INDEX(Calc!$K:$K,(ROW(A327)-1)*5+COLUMN(A327)+1),",",".")</f>
        <v>1.36</v>
      </c>
      <c r="G328" s="100" t="str">
        <f>SUBSTITUTE(INDEX(Calc!$K:$K,(ROW(B327)-1)*5+COLUMN(B327)+1),",",".")</f>
        <v>1.2</v>
      </c>
      <c r="H328" s="100" t="str">
        <f>SUBSTITUTE(INDEX(Calc!$K:$K,(ROW(C327)-1)*5+COLUMN(C327)+1),",",".")</f>
        <v>1.04</v>
      </c>
      <c r="I328" s="100" t="str">
        <f>SUBSTITUTE(INDEX(Calc!$K:$K,(ROW(D327)-1)*5+COLUMN(D327)+1),",",".")</f>
        <v>0.96</v>
      </c>
      <c r="J328" s="100" t="str">
        <f>SUBSTITUTE(INDEX(Calc!$K:$K,(ROW(E327)-1)*5+COLUMN(E327)+1),",",".")</f>
        <v>0.8</v>
      </c>
      <c r="K328" s="47" t="s">
        <v>898</v>
      </c>
      <c r="L328" s="100" t="str">
        <f>Закуп!AA328</f>
        <v>Четырехклапанные</v>
      </c>
      <c r="M328" s="47" t="s">
        <v>899</v>
      </c>
      <c r="N328" s="47">
        <f>IF(Закуп!L328="",0,Закуп!L328)</f>
        <v>0</v>
      </c>
      <c r="O328" s="47" t="s">
        <v>900</v>
      </c>
      <c r="P328" s="165">
        <f>Закуп!N328</f>
        <v>1</v>
      </c>
      <c r="Q328" s="210" t="str">
        <f t="shared" si="5"/>
        <v xml:space="preserve">        [ 'dims' =&gt; [125,125,250], 'prices' =&gt; [1.36,1.2,1.04,0.96,0.8], 'type' =&gt; "Четырехклапанные", 'sale' =&gt; "0" ],</v>
      </c>
    </row>
    <row r="329" spans="1:17" x14ac:dyDescent="0.4">
      <c r="A329" s="47" t="s">
        <v>896</v>
      </c>
      <c r="B329" s="47">
        <f>Закуп!R329</f>
        <v>270</v>
      </c>
      <c r="C329" s="47">
        <f>Закуп!S329</f>
        <v>225</v>
      </c>
      <c r="D329" s="47">
        <f>Закуп!T329</f>
        <v>140</v>
      </c>
      <c r="E329" s="47" t="s">
        <v>897</v>
      </c>
      <c r="F329" s="100" t="str">
        <f>SUBSTITUTE(INDEX(Calc!$K:$K,(ROW(A328)-1)*5+COLUMN(A328)+1),",",".")</f>
        <v>2.25</v>
      </c>
      <c r="G329" s="100" t="str">
        <f>SUBSTITUTE(INDEX(Calc!$K:$K,(ROW(B328)-1)*5+COLUMN(B328)+1),",",".")</f>
        <v>2.15</v>
      </c>
      <c r="H329" s="100" t="str">
        <f>SUBSTITUTE(INDEX(Calc!$K:$K,(ROW(C328)-1)*5+COLUMN(C328)+1),",",".")</f>
        <v>2.05</v>
      </c>
      <c r="I329" s="100" t="str">
        <f>SUBSTITUTE(INDEX(Calc!$K:$K,(ROW(D328)-1)*5+COLUMN(D328)+1),",",".")</f>
        <v>1.95</v>
      </c>
      <c r="J329" s="100" t="str">
        <f>SUBSTITUTE(INDEX(Calc!$K:$K,(ROW(E328)-1)*5+COLUMN(E328)+1),",",".")</f>
        <v>1.85</v>
      </c>
      <c r="K329" s="47" t="s">
        <v>898</v>
      </c>
      <c r="L329" s="100" t="str">
        <f>Закуп!AA329</f>
        <v>Самосборные</v>
      </c>
      <c r="M329" s="47" t="s">
        <v>899</v>
      </c>
      <c r="N329" s="47">
        <f>IF(Закуп!L329="",0,Закуп!L329)</f>
        <v>0</v>
      </c>
      <c r="O329" s="47" t="s">
        <v>900</v>
      </c>
      <c r="P329" s="165">
        <f>Закуп!N329</f>
        <v>1</v>
      </c>
      <c r="Q329" s="210" t="str">
        <f t="shared" si="5"/>
        <v xml:space="preserve">        [ 'dims' =&gt; [270,225,140], 'prices' =&gt; [2.25,2.15,2.05,1.95,1.85], 'type' =&gt; "Самосборные", 'sale' =&gt; "0" ],</v>
      </c>
    </row>
    <row r="330" spans="1:17" x14ac:dyDescent="0.4">
      <c r="A330" s="47" t="s">
        <v>896</v>
      </c>
      <c r="B330" s="47">
        <f>Закуп!R330</f>
        <v>245</v>
      </c>
      <c r="C330" s="47">
        <f>Закуп!S330</f>
        <v>140</v>
      </c>
      <c r="D330" s="47">
        <f>Закуп!T330</f>
        <v>180</v>
      </c>
      <c r="E330" s="47" t="s">
        <v>897</v>
      </c>
      <c r="F330" s="100" t="str">
        <f>SUBSTITUTE(INDEX(Calc!$K:$K,(ROW(A329)-1)*5+COLUMN(A329)+1),",",".")</f>
        <v>1.4</v>
      </c>
      <c r="G330" s="100" t="str">
        <f>SUBSTITUTE(INDEX(Calc!$K:$K,(ROW(B329)-1)*5+COLUMN(B329)+1),",",".")</f>
        <v>1.3</v>
      </c>
      <c r="H330" s="100" t="str">
        <f>SUBSTITUTE(INDEX(Calc!$K:$K,(ROW(C329)-1)*5+COLUMN(C329)+1),",",".")</f>
        <v>1.2</v>
      </c>
      <c r="I330" s="100" t="str">
        <f>SUBSTITUTE(INDEX(Calc!$K:$K,(ROW(D329)-1)*5+COLUMN(D329)+1),",",".")</f>
        <v>1.1</v>
      </c>
      <c r="J330" s="100" t="str">
        <f>SUBSTITUTE(INDEX(Calc!$K:$K,(ROW(E329)-1)*5+COLUMN(E329)+1),",",".")</f>
        <v>1</v>
      </c>
      <c r="K330" s="47" t="s">
        <v>898</v>
      </c>
      <c r="L330" s="100" t="str">
        <f>Закуп!AA330</f>
        <v>Четырехклапанные</v>
      </c>
      <c r="M330" s="47" t="s">
        <v>899</v>
      </c>
      <c r="N330" s="47">
        <f>IF(Закуп!L330="",0,Закуп!L330)</f>
        <v>0</v>
      </c>
      <c r="O330" s="47" t="s">
        <v>900</v>
      </c>
      <c r="P330" s="165">
        <f>Закуп!N330</f>
        <v>1</v>
      </c>
      <c r="Q330" s="210" t="str">
        <f>CONCATENATE(A330,B330,",",C330,",",D330,E330,F330,",",G330,",",H330,",",I330,",",J330,K330,L330,M330,N330,O330,)</f>
        <v xml:space="preserve">        [ 'dims' =&gt; [245,140,180], 'prices' =&gt; [1.4,1.3,1.2,1.1,1], 'type' =&gt; "Четырехклапанные", 'sale' =&gt; "0" ],</v>
      </c>
    </row>
    <row r="331" spans="1:17" x14ac:dyDescent="0.4">
      <c r="A331" s="47" t="s">
        <v>896</v>
      </c>
      <c r="B331" s="47">
        <f>Закуп!R331</f>
        <v>240</v>
      </c>
      <c r="C331" s="47">
        <f>Закуп!S331</f>
        <v>80</v>
      </c>
      <c r="D331" s="47">
        <f>Закуп!T331</f>
        <v>200</v>
      </c>
      <c r="E331" s="47" t="s">
        <v>897</v>
      </c>
      <c r="F331" s="100" t="str">
        <f>SUBSTITUTE(INDEX(Calc!$K:$K,(ROW(A330)-1)*5+COLUMN(A330)+1),",",".")</f>
        <v>1.06</v>
      </c>
      <c r="G331" s="100" t="str">
        <f>SUBSTITUTE(INDEX(Calc!$K:$K,(ROW(B330)-1)*5+COLUMN(B330)+1),",",".")</f>
        <v>0.89</v>
      </c>
      <c r="H331" s="100" t="str">
        <f>SUBSTITUTE(INDEX(Calc!$K:$K,(ROW(C330)-1)*5+COLUMN(C330)+1),",",".")</f>
        <v>0.86</v>
      </c>
      <c r="I331" s="100" t="str">
        <f>SUBSTITUTE(INDEX(Calc!$K:$K,(ROW(D330)-1)*5+COLUMN(D330)+1),",",".")</f>
        <v>0.81</v>
      </c>
      <c r="J331" s="100" t="str">
        <f>SUBSTITUTE(INDEX(Calc!$K:$K,(ROW(E330)-1)*5+COLUMN(E330)+1),",",".")</f>
        <v>0.76</v>
      </c>
      <c r="K331" s="47" t="s">
        <v>898</v>
      </c>
      <c r="L331" s="100" t="str">
        <f>Закуп!AA331</f>
        <v>Четырехклапанные</v>
      </c>
      <c r="M331" s="47" t="s">
        <v>899</v>
      </c>
      <c r="N331" s="47">
        <f>IF(Закуп!L331="",0,Закуп!L331)</f>
        <v>0</v>
      </c>
      <c r="O331" s="47" t="s">
        <v>900</v>
      </c>
      <c r="P331" s="165">
        <f>Закуп!N331</f>
        <v>1</v>
      </c>
      <c r="Q331" s="210" t="str">
        <f t="shared" ref="Q331:Q334" si="6">CONCATENATE(A331,B331,",",C331,",",D331,E331,F331,",",G331,",",H331,",",I331,",",J331,K331,L331,M331,N331,O331,)</f>
        <v xml:space="preserve">        [ 'dims' =&gt; [240,80,200], 'prices' =&gt; [1.06,0.89,0.86,0.81,0.76], 'type' =&gt; "Четырехклапанные", 'sale' =&gt; "0" ],</v>
      </c>
    </row>
    <row r="332" spans="1:17" x14ac:dyDescent="0.4">
      <c r="A332" s="47" t="s">
        <v>896</v>
      </c>
      <c r="B332" s="47">
        <f>Закуп!R332</f>
        <v>240</v>
      </c>
      <c r="C332" s="47">
        <f>Закуп!S332</f>
        <v>200</v>
      </c>
      <c r="D332" s="47">
        <f>Закуп!T332</f>
        <v>80</v>
      </c>
      <c r="E332" s="47" t="s">
        <v>897</v>
      </c>
      <c r="F332" s="100" t="str">
        <f>SUBSTITUTE(INDEX(Calc!$K:$K,(ROW(A331)-1)*5+COLUMN(A331)+1),",",".")</f>
        <v>1.39</v>
      </c>
      <c r="G332" s="100" t="str">
        <f>SUBSTITUTE(INDEX(Calc!$K:$K,(ROW(B331)-1)*5+COLUMN(B331)+1),",",".")</f>
        <v>1.17</v>
      </c>
      <c r="H332" s="100" t="str">
        <f>SUBSTITUTE(INDEX(Calc!$K:$K,(ROW(C331)-1)*5+COLUMN(C331)+1),",",".")</f>
        <v>1.13</v>
      </c>
      <c r="I332" s="100" t="str">
        <f>SUBSTITUTE(INDEX(Calc!$K:$K,(ROW(D331)-1)*5+COLUMN(D331)+1),",",".")</f>
        <v>1.05</v>
      </c>
      <c r="J332" s="100" t="str">
        <f>SUBSTITUTE(INDEX(Calc!$K:$K,(ROW(E331)-1)*5+COLUMN(E331)+1),",",".")</f>
        <v>0.99</v>
      </c>
      <c r="K332" s="47" t="s">
        <v>898</v>
      </c>
      <c r="L332" s="100" t="str">
        <f>Закуп!AA332</f>
        <v>Четырехклапанные</v>
      </c>
      <c r="M332" s="47" t="s">
        <v>899</v>
      </c>
      <c r="N332" s="47">
        <f>IF(Закуп!L332="",0,Закуп!L332)</f>
        <v>0</v>
      </c>
      <c r="O332" s="47" t="s">
        <v>900</v>
      </c>
      <c r="P332" s="165">
        <f>Закуп!N332</f>
        <v>1</v>
      </c>
      <c r="Q332" s="210" t="str">
        <f t="shared" si="6"/>
        <v xml:space="preserve">        [ 'dims' =&gt; [240,200,80], 'prices' =&gt; [1.39,1.17,1.13,1.05,0.99], 'type' =&gt; "Четырехклапанные", 'sale' =&gt; "0" ],</v>
      </c>
    </row>
    <row r="333" spans="1:17" x14ac:dyDescent="0.4">
      <c r="A333" s="47" t="s">
        <v>896</v>
      </c>
      <c r="B333" s="47">
        <f>Закуп!R333</f>
        <v>245</v>
      </c>
      <c r="C333" s="47">
        <f>Закуп!S333</f>
        <v>80</v>
      </c>
      <c r="D333" s="47">
        <f>Закуп!T333</f>
        <v>240</v>
      </c>
      <c r="E333" s="47" t="s">
        <v>897</v>
      </c>
      <c r="F333" s="100" t="str">
        <f>SUBSTITUTE(INDEX(Calc!$K:$K,(ROW(A332)-1)*5+COLUMN(A332)+1),",",".")</f>
        <v>1.3</v>
      </c>
      <c r="G333" s="100" t="str">
        <f>SUBSTITUTE(INDEX(Calc!$K:$K,(ROW(B332)-1)*5+COLUMN(B332)+1),",",".")</f>
        <v>1.12</v>
      </c>
      <c r="H333" s="100" t="str">
        <f>SUBSTITUTE(INDEX(Calc!$K:$K,(ROW(C332)-1)*5+COLUMN(C332)+1),",",".")</f>
        <v>1.01</v>
      </c>
      <c r="I333" s="100" t="str">
        <f>SUBSTITUTE(INDEX(Calc!$K:$K,(ROW(D332)-1)*5+COLUMN(D332)+1),",",".")</f>
        <v>0.92</v>
      </c>
      <c r="J333" s="100" t="str">
        <f>SUBSTITUTE(INDEX(Calc!$K:$K,(ROW(E332)-1)*5+COLUMN(E332)+1),",",".")</f>
        <v>0.9</v>
      </c>
      <c r="K333" s="47" t="s">
        <v>898</v>
      </c>
      <c r="L333" s="100" t="str">
        <f>Закуп!AA333</f>
        <v>Четырехклапанные</v>
      </c>
      <c r="M333" s="47" t="s">
        <v>899</v>
      </c>
      <c r="N333" s="47">
        <f>IF(Закуп!L333="",0,Закуп!L333)</f>
        <v>0</v>
      </c>
      <c r="O333" s="47" t="s">
        <v>900</v>
      </c>
      <c r="P333" s="165">
        <f>Закуп!N333</f>
        <v>1</v>
      </c>
      <c r="Q333" s="210" t="str">
        <f t="shared" si="6"/>
        <v xml:space="preserve">        [ 'dims' =&gt; [245,80,240], 'prices' =&gt; [1.3,1.12,1.01,0.92,0.9], 'type' =&gt; "Четырехклапанные", 'sale' =&gt; "0" ],</v>
      </c>
    </row>
    <row r="334" spans="1:17" x14ac:dyDescent="0.4">
      <c r="A334" s="47" t="s">
        <v>896</v>
      </c>
      <c r="B334" s="47">
        <f>Закуп!R334</f>
        <v>350</v>
      </c>
      <c r="C334" s="47">
        <f>Закуп!S334</f>
        <v>160</v>
      </c>
      <c r="D334" s="47">
        <f>Закуп!T334</f>
        <v>85</v>
      </c>
      <c r="E334" s="47" t="s">
        <v>897</v>
      </c>
      <c r="F334" s="100" t="str">
        <f>SUBSTITUTE(INDEX(Calc!$K:$K,(ROW(A333)-1)*5+COLUMN(A333)+1),",",".")</f>
        <v>1.64</v>
      </c>
      <c r="G334" s="100" t="str">
        <f>SUBSTITUTE(INDEX(Calc!$K:$K,(ROW(B333)-1)*5+COLUMN(B333)+1),",",".")</f>
        <v>1.45</v>
      </c>
      <c r="H334" s="100" t="str">
        <f>SUBSTITUTE(INDEX(Calc!$K:$K,(ROW(C333)-1)*5+COLUMN(C333)+1),",",".")</f>
        <v>1.25</v>
      </c>
      <c r="I334" s="100" t="str">
        <f>SUBSTITUTE(INDEX(Calc!$K:$K,(ROW(D333)-1)*5+COLUMN(D333)+1),",",".")</f>
        <v>1.16</v>
      </c>
      <c r="J334" s="100" t="str">
        <f>SUBSTITUTE(INDEX(Calc!$K:$K,(ROW(E333)-1)*5+COLUMN(E333)+1),",",".")</f>
        <v>0.96</v>
      </c>
      <c r="K334" s="47" t="s">
        <v>898</v>
      </c>
      <c r="L334" s="100" t="str">
        <f>Закуп!AA334</f>
        <v>Четырехклапанные</v>
      </c>
      <c r="M334" s="47" t="s">
        <v>899</v>
      </c>
      <c r="N334" s="47">
        <f>IF(Закуп!L334="",0,Закуп!L334)</f>
        <v>0</v>
      </c>
      <c r="O334" s="47" t="s">
        <v>900</v>
      </c>
      <c r="P334" s="165">
        <f>Закуп!N334</f>
        <v>1</v>
      </c>
      <c r="Q334" s="210" t="str">
        <f t="shared" si="6"/>
        <v xml:space="preserve">        [ 'dims' =&gt; [350,160,85], 'prices' =&gt; [1.64,1.45,1.25,1.16,0.96], 'type' =&gt; "Четырехклапанные", 'sale' =&gt; "0" ],</v>
      </c>
    </row>
    <row r="335" spans="1:17" x14ac:dyDescent="0.4">
      <c r="A335" s="47" t="s">
        <v>896</v>
      </c>
      <c r="B335" s="47">
        <f>Закуп!R335</f>
        <v>560</v>
      </c>
      <c r="C335" s="47">
        <f>Закуп!S335</f>
        <v>360</v>
      </c>
      <c r="D335" s="47">
        <f>Закуп!T335</f>
        <v>390</v>
      </c>
      <c r="E335" s="47" t="s">
        <v>897</v>
      </c>
      <c r="F335" s="100" t="str">
        <f>SUBSTITUTE(INDEX(Calc!$K:$K,(ROW(A334)-1)*5+COLUMN(A334)+1),",",".")</f>
        <v>2.6</v>
      </c>
      <c r="G335" s="100" t="str">
        <f>SUBSTITUTE(INDEX(Calc!$K:$K,(ROW(B334)-1)*5+COLUMN(B334)+1),",",".")</f>
        <v>2.6</v>
      </c>
      <c r="H335" s="100" t="str">
        <f>SUBSTITUTE(INDEX(Calc!$K:$K,(ROW(C334)-1)*5+COLUMN(C334)+1),",",".")</f>
        <v>2.6</v>
      </c>
      <c r="I335" s="100" t="str">
        <f>SUBSTITUTE(INDEX(Calc!$K:$K,(ROW(D334)-1)*5+COLUMN(D334)+1),",",".")</f>
        <v>2.6</v>
      </c>
      <c r="J335" s="100" t="str">
        <f>SUBSTITUTE(INDEX(Calc!$K:$K,(ROW(E334)-1)*5+COLUMN(E334)+1),",",".")</f>
        <v>2.6</v>
      </c>
      <c r="K335" s="47" t="s">
        <v>898</v>
      </c>
      <c r="L335" s="100" t="str">
        <f>Закуп!AA335</f>
        <v>Четырехклапанные</v>
      </c>
      <c r="M335" s="47" t="s">
        <v>899</v>
      </c>
      <c r="N335" s="47" t="str">
        <f>IF(Закуп!L335="",0,Закуп!L335)</f>
        <v>Sale</v>
      </c>
      <c r="O335" s="47" t="s">
        <v>900</v>
      </c>
      <c r="P335" s="165">
        <f>Закуп!N335</f>
        <v>1</v>
      </c>
      <c r="Q335" s="210" t="str">
        <f t="shared" ref="Q335:Q398" si="7">CONCATENATE(A335,B335,",",C335,",",D335,E335,F335,",",G335,",",H335,",",I335,",",J335,K335,L335,M335,N335,O335,)</f>
        <v xml:space="preserve">        [ 'dims' =&gt; [560,360,390], 'prices' =&gt; [2.6,2.6,2.6,2.6,2.6], 'type' =&gt; "Четырехклапанные", 'sale' =&gt; "Sale" ],</v>
      </c>
    </row>
    <row r="336" spans="1:17" x14ac:dyDescent="0.4">
      <c r="A336" s="47" t="s">
        <v>896</v>
      </c>
      <c r="B336" s="47">
        <f>Закуп!R336</f>
        <v>165</v>
      </c>
      <c r="C336" s="47">
        <f>Закуп!S336</f>
        <v>120</v>
      </c>
      <c r="D336" s="47">
        <f>Закуп!T336</f>
        <v>86</v>
      </c>
      <c r="E336" s="47" t="s">
        <v>897</v>
      </c>
      <c r="F336" s="100" t="str">
        <f>SUBSTITUTE(INDEX(Calc!$K:$K,(ROW(A335)-1)*5+COLUMN(A335)+1),",",".")</f>
        <v>1.15</v>
      </c>
      <c r="G336" s="100" t="str">
        <f>SUBSTITUTE(INDEX(Calc!$K:$K,(ROW(B335)-1)*5+COLUMN(B335)+1),",",".")</f>
        <v>1.05</v>
      </c>
      <c r="H336" s="100" t="str">
        <f>SUBSTITUTE(INDEX(Calc!$K:$K,(ROW(C335)-1)*5+COLUMN(C335)+1),",",".")</f>
        <v>0.95</v>
      </c>
      <c r="I336" s="100" t="str">
        <f>SUBSTITUTE(INDEX(Calc!$K:$K,(ROW(D335)-1)*5+COLUMN(D335)+1),",",".")</f>
        <v>0.85</v>
      </c>
      <c r="J336" s="100" t="str">
        <f>SUBSTITUTE(INDEX(Calc!$K:$K,(ROW(E335)-1)*5+COLUMN(E335)+1),",",".")</f>
        <v>0.75</v>
      </c>
      <c r="K336" s="47" t="s">
        <v>898</v>
      </c>
      <c r="L336" s="100" t="str">
        <f>Закуп!AA336</f>
        <v>Самосборные</v>
      </c>
      <c r="M336" s="47" t="s">
        <v>899</v>
      </c>
      <c r="N336" s="47">
        <f>IF(Закуп!L336="",0,Закуп!L336)</f>
        <v>0</v>
      </c>
      <c r="O336" s="47" t="s">
        <v>900</v>
      </c>
      <c r="P336" s="165">
        <f>Закуп!N336</f>
        <v>1</v>
      </c>
      <c r="Q336" s="210" t="str">
        <f t="shared" si="7"/>
        <v xml:space="preserve">        [ 'dims' =&gt; [165,120,86], 'prices' =&gt; [1.15,1.05,0.95,0.85,0.75], 'type' =&gt; "Самосборные", 'sale' =&gt; "0" ],</v>
      </c>
    </row>
    <row r="337" spans="1:17" x14ac:dyDescent="0.4">
      <c r="A337" s="47" t="s">
        <v>896</v>
      </c>
      <c r="B337" s="47">
        <f>Закуп!R337</f>
        <v>170</v>
      </c>
      <c r="C337" s="47">
        <f>Закуп!S337</f>
        <v>70</v>
      </c>
      <c r="D337" s="47">
        <f>Закуп!T337</f>
        <v>180</v>
      </c>
      <c r="E337" s="47" t="s">
        <v>897</v>
      </c>
      <c r="F337" s="100" t="str">
        <f>SUBSTITUTE(INDEX(Calc!$K:$K,(ROW(A336)-1)*5+COLUMN(A336)+1),",",".")</f>
        <v>1</v>
      </c>
      <c r="G337" s="100" t="str">
        <f>SUBSTITUTE(INDEX(Calc!$K:$K,(ROW(B336)-1)*5+COLUMN(B336)+1),",",".")</f>
        <v>0.9</v>
      </c>
      <c r="H337" s="100" t="str">
        <f>SUBSTITUTE(INDEX(Calc!$K:$K,(ROW(C336)-1)*5+COLUMN(C336)+1),",",".")</f>
        <v>0.8</v>
      </c>
      <c r="I337" s="100" t="str">
        <f>SUBSTITUTE(INDEX(Calc!$K:$K,(ROW(D336)-1)*5+COLUMN(D336)+1),",",".")</f>
        <v>0.7</v>
      </c>
      <c r="J337" s="100" t="str">
        <f>SUBSTITUTE(INDEX(Calc!$K:$K,(ROW(E336)-1)*5+COLUMN(E336)+1),",",".")</f>
        <v>0.6</v>
      </c>
      <c r="K337" s="47" t="s">
        <v>898</v>
      </c>
      <c r="L337" s="100" t="str">
        <f>Закуп!AA337</f>
        <v>Четырехклапанные</v>
      </c>
      <c r="M337" s="47" t="s">
        <v>899</v>
      </c>
      <c r="N337" s="47">
        <f>IF(Закуп!L337="",0,Закуп!L337)</f>
        <v>0</v>
      </c>
      <c r="O337" s="47" t="s">
        <v>900</v>
      </c>
      <c r="P337" s="165">
        <f>Закуп!N337</f>
        <v>1</v>
      </c>
      <c r="Q337" s="210" t="str">
        <f t="shared" si="7"/>
        <v xml:space="preserve">        [ 'dims' =&gt; [170,70,180], 'prices' =&gt; [1,0.9,0.8,0.7,0.6], 'type' =&gt; "Четырехклапанные", 'sale' =&gt; "0" ],</v>
      </c>
    </row>
    <row r="338" spans="1:17" x14ac:dyDescent="0.4">
      <c r="A338" s="47" t="s">
        <v>896</v>
      </c>
      <c r="B338" s="47">
        <f>Закуп!R338</f>
        <v>210</v>
      </c>
      <c r="C338" s="47">
        <f>Закуп!S338</f>
        <v>80</v>
      </c>
      <c r="D338" s="47">
        <f>Закуп!T338</f>
        <v>230</v>
      </c>
      <c r="E338" s="47" t="s">
        <v>897</v>
      </c>
      <c r="F338" s="100" t="str">
        <f>SUBSTITUTE(INDEX(Calc!$K:$K,(ROW(A337)-1)*5+COLUMN(A337)+1),",",".")</f>
        <v>1.1</v>
      </c>
      <c r="G338" s="100" t="str">
        <f>SUBSTITUTE(INDEX(Calc!$K:$K,(ROW(B337)-1)*5+COLUMN(B337)+1),",",".")</f>
        <v>1</v>
      </c>
      <c r="H338" s="100" t="str">
        <f>SUBSTITUTE(INDEX(Calc!$K:$K,(ROW(C337)-1)*5+COLUMN(C337)+1),",",".")</f>
        <v>0.9</v>
      </c>
      <c r="I338" s="100" t="str">
        <f>SUBSTITUTE(INDEX(Calc!$K:$K,(ROW(D337)-1)*5+COLUMN(D337)+1),",",".")</f>
        <v>0.8</v>
      </c>
      <c r="J338" s="100" t="str">
        <f>SUBSTITUTE(INDEX(Calc!$K:$K,(ROW(E337)-1)*5+COLUMN(E337)+1),",",".")</f>
        <v>0.7</v>
      </c>
      <c r="K338" s="47" t="s">
        <v>898</v>
      </c>
      <c r="L338" s="100" t="str">
        <f>Закуп!AA338</f>
        <v>Четырехклапанные</v>
      </c>
      <c r="M338" s="47" t="s">
        <v>899</v>
      </c>
      <c r="N338" s="47">
        <f>IF(Закуп!L338="",0,Закуп!L338)</f>
        <v>0</v>
      </c>
      <c r="O338" s="47" t="s">
        <v>900</v>
      </c>
      <c r="P338" s="165">
        <f>Закуп!N338</f>
        <v>1</v>
      </c>
      <c r="Q338" s="210" t="str">
        <f t="shared" si="7"/>
        <v xml:space="preserve">        [ 'dims' =&gt; [210,80,230], 'prices' =&gt; [1.1,1,0.9,0.8,0.7], 'type' =&gt; "Четырехклапанные", 'sale' =&gt; "0" ],</v>
      </c>
    </row>
    <row r="339" spans="1:17" x14ac:dyDescent="0.4">
      <c r="A339" s="47" t="s">
        <v>896</v>
      </c>
      <c r="B339" s="47">
        <f>Закуп!R339</f>
        <v>160</v>
      </c>
      <c r="C339" s="47">
        <f>Закуп!S339</f>
        <v>120</v>
      </c>
      <c r="D339" s="47">
        <f>Закуп!T339</f>
        <v>85</v>
      </c>
      <c r="E339" s="47" t="s">
        <v>897</v>
      </c>
      <c r="F339" s="100" t="str">
        <f>SUBSTITUTE(INDEX(Calc!$K:$K,(ROW(A338)-1)*5+COLUMN(A338)+1),",",".")</f>
        <v>1.17</v>
      </c>
      <c r="G339" s="100" t="str">
        <f>SUBSTITUTE(INDEX(Calc!$K:$K,(ROW(B338)-1)*5+COLUMN(B338)+1),",",".")</f>
        <v>1.07</v>
      </c>
      <c r="H339" s="100" t="str">
        <f>SUBSTITUTE(INDEX(Calc!$K:$K,(ROW(C338)-1)*5+COLUMN(C338)+1),",",".")</f>
        <v>0.97</v>
      </c>
      <c r="I339" s="100" t="str">
        <f>SUBSTITUTE(INDEX(Calc!$K:$K,(ROW(D338)-1)*5+COLUMN(D338)+1),",",".")</f>
        <v>0.87</v>
      </c>
      <c r="J339" s="100" t="str">
        <f>SUBSTITUTE(INDEX(Calc!$K:$K,(ROW(E338)-1)*5+COLUMN(E338)+1),",",".")</f>
        <v>0.77</v>
      </c>
      <c r="K339" s="47" t="s">
        <v>898</v>
      </c>
      <c r="L339" s="100" t="str">
        <f>Закуп!AA339</f>
        <v>Самосборные</v>
      </c>
      <c r="M339" s="47" t="s">
        <v>899</v>
      </c>
      <c r="N339" s="47">
        <f>IF(Закуп!L339="",0,Закуп!L339)</f>
        <v>0</v>
      </c>
      <c r="O339" s="47" t="s">
        <v>900</v>
      </c>
      <c r="P339" s="165">
        <f>Закуп!N339</f>
        <v>1</v>
      </c>
      <c r="Q339" s="210" t="str">
        <f t="shared" si="7"/>
        <v xml:space="preserve">        [ 'dims' =&gt; [160,120,85], 'prices' =&gt; [1.17,1.07,0.97,0.87,0.77], 'type' =&gt; "Самосборные", 'sale' =&gt; "0" ],</v>
      </c>
    </row>
    <row r="340" spans="1:17" x14ac:dyDescent="0.4">
      <c r="A340" s="47" t="s">
        <v>896</v>
      </c>
      <c r="B340" s="47">
        <f>Закуп!R340</f>
        <v>370</v>
      </c>
      <c r="C340" s="47">
        <f>Закуп!S340</f>
        <v>225</v>
      </c>
      <c r="D340" s="47">
        <f>Закуп!T340</f>
        <v>95</v>
      </c>
      <c r="E340" s="47" t="s">
        <v>897</v>
      </c>
      <c r="F340" s="100" t="str">
        <f>SUBSTITUTE(INDEX(Calc!$K:$K,(ROW(A339)-1)*5+COLUMN(A339)+1),",",".")</f>
        <v>1.75</v>
      </c>
      <c r="G340" s="100" t="str">
        <f>SUBSTITUTE(INDEX(Calc!$K:$K,(ROW(B339)-1)*5+COLUMN(B339)+1),",",".")</f>
        <v>1.58</v>
      </c>
      <c r="H340" s="100" t="str">
        <f>SUBSTITUTE(INDEX(Calc!$K:$K,(ROW(C339)-1)*5+COLUMN(C339)+1),",",".")</f>
        <v>1.43</v>
      </c>
      <c r="I340" s="100" t="str">
        <f>SUBSTITUTE(INDEX(Calc!$K:$K,(ROW(D339)-1)*5+COLUMN(D339)+1),",",".")</f>
        <v>1.32</v>
      </c>
      <c r="J340" s="100" t="str">
        <f>SUBSTITUTE(INDEX(Calc!$K:$K,(ROW(E339)-1)*5+COLUMN(E339)+1),",",".")</f>
        <v>1.15</v>
      </c>
      <c r="K340" s="47" t="s">
        <v>898</v>
      </c>
      <c r="L340" s="100" t="str">
        <f>Закуп!AA340</f>
        <v>Четырехклапанные</v>
      </c>
      <c r="M340" s="47" t="s">
        <v>899</v>
      </c>
      <c r="N340" s="47">
        <f>IF(Закуп!L340="",0,Закуп!L340)</f>
        <v>0</v>
      </c>
      <c r="O340" s="47" t="s">
        <v>900</v>
      </c>
      <c r="P340" s="165">
        <f>Закуп!N340</f>
        <v>1</v>
      </c>
      <c r="Q340" s="210" t="str">
        <f t="shared" si="7"/>
        <v xml:space="preserve">        [ 'dims' =&gt; [370,225,95], 'prices' =&gt; [1.75,1.58,1.43,1.32,1.15], 'type' =&gt; "Четырехклапанные", 'sale' =&gt; "0" ],</v>
      </c>
    </row>
    <row r="341" spans="1:17" x14ac:dyDescent="0.4">
      <c r="A341" s="47" t="s">
        <v>896</v>
      </c>
      <c r="B341" s="47">
        <f>Закуп!R341</f>
        <v>370</v>
      </c>
      <c r="C341" s="47">
        <f>Закуп!S341</f>
        <v>275</v>
      </c>
      <c r="D341" s="47">
        <f>Закуп!T341</f>
        <v>95</v>
      </c>
      <c r="E341" s="47" t="s">
        <v>897</v>
      </c>
      <c r="F341" s="100" t="str">
        <f>SUBSTITUTE(INDEX(Calc!$K:$K,(ROW(A340)-1)*5+COLUMN(A340)+1),",",".")</f>
        <v>2.02</v>
      </c>
      <c r="G341" s="100" t="str">
        <f>SUBSTITUTE(INDEX(Calc!$K:$K,(ROW(B340)-1)*5+COLUMN(B340)+1),",",".")</f>
        <v>1.7</v>
      </c>
      <c r="H341" s="100" t="str">
        <f>SUBSTITUTE(INDEX(Calc!$K:$K,(ROW(C340)-1)*5+COLUMN(C340)+1),",",".")</f>
        <v>1.65</v>
      </c>
      <c r="I341" s="100" t="str">
        <f>SUBSTITUTE(INDEX(Calc!$K:$K,(ROW(D340)-1)*5+COLUMN(D340)+1),",",".")</f>
        <v>1.54</v>
      </c>
      <c r="J341" s="100" t="str">
        <f>SUBSTITUTE(INDEX(Calc!$K:$K,(ROW(E340)-1)*5+COLUMN(E340)+1),",",".")</f>
        <v>1.45</v>
      </c>
      <c r="K341" s="47" t="s">
        <v>898</v>
      </c>
      <c r="L341" s="100" t="str">
        <f>Закуп!AA341</f>
        <v>Четырехклапанные</v>
      </c>
      <c r="M341" s="47" t="s">
        <v>899</v>
      </c>
      <c r="N341" s="47">
        <f>IF(Закуп!L341="",0,Закуп!L341)</f>
        <v>0</v>
      </c>
      <c r="O341" s="47" t="s">
        <v>900</v>
      </c>
      <c r="P341" s="165">
        <f>Закуп!N341</f>
        <v>1</v>
      </c>
      <c r="Q341" s="210" t="str">
        <f t="shared" si="7"/>
        <v xml:space="preserve">        [ 'dims' =&gt; [370,275,95], 'prices' =&gt; [2.02,1.7,1.65,1.54,1.45], 'type' =&gt; "Четырехклапанные", 'sale' =&gt; "0" ],</v>
      </c>
    </row>
    <row r="342" spans="1:17" hidden="1" x14ac:dyDescent="0.4">
      <c r="A342" s="47" t="s">
        <v>896</v>
      </c>
      <c r="B342" s="47">
        <f>Закуп!R342</f>
        <v>0</v>
      </c>
      <c r="C342" s="47">
        <f>Закуп!S342</f>
        <v>0</v>
      </c>
      <c r="D342" s="47">
        <f>Закуп!T342</f>
        <v>0</v>
      </c>
      <c r="E342" s="47" t="s">
        <v>897</v>
      </c>
      <c r="F342" s="100" t="str">
        <f>SUBSTITUTE(INDEX(Calc!$K:$K,(ROW(A341)-1)*5+COLUMN(A341)+1),",",".")</f>
        <v/>
      </c>
      <c r="G342" s="100" t="str">
        <f>SUBSTITUTE(INDEX(Calc!$K:$K,(ROW(B341)-1)*5+COLUMN(B341)+1),",",".")</f>
        <v/>
      </c>
      <c r="H342" s="100" t="str">
        <f>SUBSTITUTE(INDEX(Calc!$K:$K,(ROW(C341)-1)*5+COLUMN(C341)+1),",",".")</f>
        <v/>
      </c>
      <c r="I342" s="100" t="str">
        <f>SUBSTITUTE(INDEX(Calc!$K:$K,(ROW(D341)-1)*5+COLUMN(D341)+1),",",".")</f>
        <v/>
      </c>
      <c r="J342" s="100" t="str">
        <f>SUBSTITUTE(INDEX(Calc!$K:$K,(ROW(E341)-1)*5+COLUMN(E341)+1),",",".")</f>
        <v/>
      </c>
      <c r="K342" s="47" t="s">
        <v>898</v>
      </c>
      <c r="L342" s="100" t="str">
        <f>Закуп!AA342</f>
        <v/>
      </c>
      <c r="M342" s="47" t="s">
        <v>899</v>
      </c>
      <c r="N342" s="47">
        <f>IF(Закуп!L342="",0,Закуп!L342)</f>
        <v>0</v>
      </c>
      <c r="O342" s="47" t="s">
        <v>900</v>
      </c>
      <c r="P342" s="165" t="str">
        <f>Закуп!N342</f>
        <v/>
      </c>
      <c r="Q342" s="210" t="str">
        <f t="shared" si="7"/>
        <v xml:space="preserve">        [ 'dims' =&gt; [0,0,0], 'prices' =&gt; [,,,,], 'type' =&gt; "", 'sale' =&gt; "0" ],</v>
      </c>
    </row>
    <row r="343" spans="1:17" hidden="1" x14ac:dyDescent="0.4">
      <c r="A343" s="47" t="s">
        <v>896</v>
      </c>
      <c r="B343" s="47">
        <f>Закуп!R343</f>
        <v>0</v>
      </c>
      <c r="C343" s="47">
        <f>Закуп!S343</f>
        <v>0</v>
      </c>
      <c r="D343" s="47">
        <f>Закуп!T343</f>
        <v>0</v>
      </c>
      <c r="E343" s="47" t="s">
        <v>897</v>
      </c>
      <c r="F343" s="100" t="str">
        <f>SUBSTITUTE(INDEX(Calc!$K:$K,(ROW(A342)-1)*5+COLUMN(A342)+1),",",".")</f>
        <v/>
      </c>
      <c r="G343" s="100" t="str">
        <f>SUBSTITUTE(INDEX(Calc!$K:$K,(ROW(B342)-1)*5+COLUMN(B342)+1),",",".")</f>
        <v/>
      </c>
      <c r="H343" s="100" t="str">
        <f>SUBSTITUTE(INDEX(Calc!$K:$K,(ROW(C342)-1)*5+COLUMN(C342)+1),",",".")</f>
        <v/>
      </c>
      <c r="I343" s="100" t="str">
        <f>SUBSTITUTE(INDEX(Calc!$K:$K,(ROW(D342)-1)*5+COLUMN(D342)+1),",",".")</f>
        <v/>
      </c>
      <c r="J343" s="100" t="str">
        <f>SUBSTITUTE(INDEX(Calc!$K:$K,(ROW(E342)-1)*5+COLUMN(E342)+1),",",".")</f>
        <v/>
      </c>
      <c r="K343" s="47" t="s">
        <v>898</v>
      </c>
      <c r="L343" s="100" t="str">
        <f>Закуп!AA343</f>
        <v/>
      </c>
      <c r="M343" s="47" t="s">
        <v>899</v>
      </c>
      <c r="N343" s="47">
        <f>IF(Закуп!L343="",0,Закуп!L343)</f>
        <v>0</v>
      </c>
      <c r="O343" s="47" t="s">
        <v>900</v>
      </c>
      <c r="P343" s="165" t="str">
        <f>Закуп!N343</f>
        <v/>
      </c>
      <c r="Q343" s="210" t="str">
        <f t="shared" si="7"/>
        <v xml:space="preserve">        [ 'dims' =&gt; [0,0,0], 'prices' =&gt; [,,,,], 'type' =&gt; "", 'sale' =&gt; "0" ],</v>
      </c>
    </row>
    <row r="344" spans="1:17" hidden="1" x14ac:dyDescent="0.4">
      <c r="A344" s="47" t="s">
        <v>896</v>
      </c>
      <c r="B344" s="47">
        <f>Закуп!R344</f>
        <v>0</v>
      </c>
      <c r="C344" s="47">
        <f>Закуп!S344</f>
        <v>0</v>
      </c>
      <c r="D344" s="47">
        <f>Закуп!T344</f>
        <v>0</v>
      </c>
      <c r="E344" s="47" t="s">
        <v>897</v>
      </c>
      <c r="F344" s="100" t="str">
        <f>SUBSTITUTE(INDEX(Calc!$K:$K,(ROW(A343)-1)*5+COLUMN(A343)+1),",",".")</f>
        <v/>
      </c>
      <c r="G344" s="100" t="str">
        <f>SUBSTITUTE(INDEX(Calc!$K:$K,(ROW(B343)-1)*5+COLUMN(B343)+1),",",".")</f>
        <v/>
      </c>
      <c r="H344" s="100" t="str">
        <f>SUBSTITUTE(INDEX(Calc!$K:$K,(ROW(C343)-1)*5+COLUMN(C343)+1),",",".")</f>
        <v/>
      </c>
      <c r="I344" s="100" t="str">
        <f>SUBSTITUTE(INDEX(Calc!$K:$K,(ROW(D343)-1)*5+COLUMN(D343)+1),",",".")</f>
        <v/>
      </c>
      <c r="J344" s="100" t="str">
        <f>SUBSTITUTE(INDEX(Calc!$K:$K,(ROW(E343)-1)*5+COLUMN(E343)+1),",",".")</f>
        <v/>
      </c>
      <c r="K344" s="47" t="s">
        <v>898</v>
      </c>
      <c r="L344" s="100" t="str">
        <f>Закуп!AA344</f>
        <v/>
      </c>
      <c r="M344" s="47" t="s">
        <v>899</v>
      </c>
      <c r="N344" s="47">
        <f>IF(Закуп!L344="",0,Закуп!L344)</f>
        <v>0</v>
      </c>
      <c r="O344" s="47" t="s">
        <v>900</v>
      </c>
      <c r="P344" s="165" t="str">
        <f>Закуп!N344</f>
        <v/>
      </c>
      <c r="Q344" s="210" t="str">
        <f t="shared" si="7"/>
        <v xml:space="preserve">        [ 'dims' =&gt; [0,0,0], 'prices' =&gt; [,,,,], 'type' =&gt; "", 'sale' =&gt; "0" ],</v>
      </c>
    </row>
    <row r="345" spans="1:17" hidden="1" x14ac:dyDescent="0.4">
      <c r="A345" s="47" t="s">
        <v>896</v>
      </c>
      <c r="B345" s="47">
        <f>Закуп!R345</f>
        <v>0</v>
      </c>
      <c r="C345" s="47">
        <f>Закуп!S345</f>
        <v>0</v>
      </c>
      <c r="D345" s="47">
        <f>Закуп!T345</f>
        <v>0</v>
      </c>
      <c r="E345" s="47" t="s">
        <v>897</v>
      </c>
      <c r="F345" s="100" t="str">
        <f>SUBSTITUTE(INDEX(Calc!$K:$K,(ROW(A344)-1)*5+COLUMN(A344)+1),",",".")</f>
        <v/>
      </c>
      <c r="G345" s="100" t="str">
        <f>SUBSTITUTE(INDEX(Calc!$K:$K,(ROW(B344)-1)*5+COLUMN(B344)+1),",",".")</f>
        <v/>
      </c>
      <c r="H345" s="100" t="str">
        <f>SUBSTITUTE(INDEX(Calc!$K:$K,(ROW(C344)-1)*5+COLUMN(C344)+1),",",".")</f>
        <v/>
      </c>
      <c r="I345" s="100" t="str">
        <f>SUBSTITUTE(INDEX(Calc!$K:$K,(ROW(D344)-1)*5+COLUMN(D344)+1),",",".")</f>
        <v/>
      </c>
      <c r="J345" s="100" t="str">
        <f>SUBSTITUTE(INDEX(Calc!$K:$K,(ROW(E344)-1)*5+COLUMN(E344)+1),",",".")</f>
        <v/>
      </c>
      <c r="K345" s="47" t="s">
        <v>898</v>
      </c>
      <c r="L345" s="100" t="str">
        <f>Закуп!AA345</f>
        <v/>
      </c>
      <c r="M345" s="47" t="s">
        <v>899</v>
      </c>
      <c r="N345" s="47">
        <f>IF(Закуп!L345="",0,Закуп!L345)</f>
        <v>0</v>
      </c>
      <c r="O345" s="47" t="s">
        <v>900</v>
      </c>
      <c r="P345" s="165" t="str">
        <f>Закуп!N345</f>
        <v/>
      </c>
      <c r="Q345" s="210" t="str">
        <f t="shared" si="7"/>
        <v xml:space="preserve">        [ 'dims' =&gt; [0,0,0], 'prices' =&gt; [,,,,], 'type' =&gt; "", 'sale' =&gt; "0" ],</v>
      </c>
    </row>
    <row r="346" spans="1:17" hidden="1" x14ac:dyDescent="0.4">
      <c r="A346" s="47" t="s">
        <v>896</v>
      </c>
      <c r="B346" s="47">
        <f>Закуп!R346</f>
        <v>0</v>
      </c>
      <c r="C346" s="47">
        <f>Закуп!S346</f>
        <v>0</v>
      </c>
      <c r="D346" s="47">
        <f>Закуп!T346</f>
        <v>0</v>
      </c>
      <c r="E346" s="47" t="s">
        <v>897</v>
      </c>
      <c r="F346" s="100" t="str">
        <f>SUBSTITUTE(INDEX(Calc!$K:$K,(ROW(A345)-1)*5+COLUMN(A345)+1),",",".")</f>
        <v/>
      </c>
      <c r="G346" s="100" t="str">
        <f>SUBSTITUTE(INDEX(Calc!$K:$K,(ROW(B345)-1)*5+COLUMN(B345)+1),",",".")</f>
        <v/>
      </c>
      <c r="H346" s="100" t="str">
        <f>SUBSTITUTE(INDEX(Calc!$K:$K,(ROW(C345)-1)*5+COLUMN(C345)+1),",",".")</f>
        <v/>
      </c>
      <c r="I346" s="100" t="str">
        <f>SUBSTITUTE(INDEX(Calc!$K:$K,(ROW(D345)-1)*5+COLUMN(D345)+1),",",".")</f>
        <v/>
      </c>
      <c r="J346" s="100" t="str">
        <f>SUBSTITUTE(INDEX(Calc!$K:$K,(ROW(E345)-1)*5+COLUMN(E345)+1),",",".")</f>
        <v/>
      </c>
      <c r="K346" s="47" t="s">
        <v>898</v>
      </c>
      <c r="L346" s="100" t="str">
        <f>Закуп!AA346</f>
        <v/>
      </c>
      <c r="M346" s="47" t="s">
        <v>899</v>
      </c>
      <c r="N346" s="47">
        <f>IF(Закуп!L346="",0,Закуп!L346)</f>
        <v>0</v>
      </c>
      <c r="O346" s="47" t="s">
        <v>900</v>
      </c>
      <c r="P346" s="165">
        <f>Закуп!N346</f>
        <v>0</v>
      </c>
      <c r="Q346" s="210" t="str">
        <f t="shared" si="7"/>
        <v xml:space="preserve">        [ 'dims' =&gt; [0,0,0], 'prices' =&gt; [,,,,], 'type' =&gt; "", 'sale' =&gt; "0" ],</v>
      </c>
    </row>
    <row r="347" spans="1:17" hidden="1" x14ac:dyDescent="0.4">
      <c r="A347" s="47" t="s">
        <v>896</v>
      </c>
      <c r="B347" s="47">
        <f>Закуп!R347</f>
        <v>0</v>
      </c>
      <c r="C347" s="47">
        <f>Закуп!S347</f>
        <v>0</v>
      </c>
      <c r="D347" s="47">
        <f>Закуп!T347</f>
        <v>0</v>
      </c>
      <c r="E347" s="47" t="s">
        <v>897</v>
      </c>
      <c r="F347" s="100" t="str">
        <f>SUBSTITUTE(INDEX(Calc!$K:$K,(ROW(A346)-1)*5+COLUMN(A346)+1),",",".")</f>
        <v/>
      </c>
      <c r="G347" s="100" t="str">
        <f>SUBSTITUTE(INDEX(Calc!$K:$K,(ROW(B346)-1)*5+COLUMN(B346)+1),",",".")</f>
        <v/>
      </c>
      <c r="H347" s="100" t="str">
        <f>SUBSTITUTE(INDEX(Calc!$K:$K,(ROW(C346)-1)*5+COLUMN(C346)+1),",",".")</f>
        <v/>
      </c>
      <c r="I347" s="100" t="str">
        <f>SUBSTITUTE(INDEX(Calc!$K:$K,(ROW(D346)-1)*5+COLUMN(D346)+1),",",".")</f>
        <v/>
      </c>
      <c r="J347" s="100" t="str">
        <f>SUBSTITUTE(INDEX(Calc!$K:$K,(ROW(E346)-1)*5+COLUMN(E346)+1),",",".")</f>
        <v/>
      </c>
      <c r="K347" s="47" t="s">
        <v>898</v>
      </c>
      <c r="L347" s="100" t="str">
        <f>Закуп!AA347</f>
        <v/>
      </c>
      <c r="M347" s="47" t="s">
        <v>899</v>
      </c>
      <c r="N347" s="47">
        <f>IF(Закуп!L347="",0,Закуп!L347)</f>
        <v>0</v>
      </c>
      <c r="O347" s="47" t="s">
        <v>900</v>
      </c>
      <c r="P347" s="165">
        <f>Закуп!N347</f>
        <v>0</v>
      </c>
      <c r="Q347" s="210" t="str">
        <f t="shared" si="7"/>
        <v xml:space="preserve">        [ 'dims' =&gt; [0,0,0], 'prices' =&gt; [,,,,], 'type' =&gt; "", 'sale' =&gt; "0" ],</v>
      </c>
    </row>
    <row r="348" spans="1:17" hidden="1" x14ac:dyDescent="0.4">
      <c r="A348" s="47" t="s">
        <v>896</v>
      </c>
      <c r="B348" s="47">
        <f>Закуп!R348</f>
        <v>0</v>
      </c>
      <c r="C348" s="47">
        <f>Закуп!S348</f>
        <v>0</v>
      </c>
      <c r="D348" s="47">
        <f>Закуп!T348</f>
        <v>0</v>
      </c>
      <c r="E348" s="47" t="s">
        <v>897</v>
      </c>
      <c r="F348" s="100" t="str">
        <f>SUBSTITUTE(INDEX(Calc!$K:$K,(ROW(A347)-1)*5+COLUMN(A347)+1),",",".")</f>
        <v/>
      </c>
      <c r="G348" s="100" t="str">
        <f>SUBSTITUTE(INDEX(Calc!$K:$K,(ROW(B347)-1)*5+COLUMN(B347)+1),",",".")</f>
        <v/>
      </c>
      <c r="H348" s="100" t="str">
        <f>SUBSTITUTE(INDEX(Calc!$K:$K,(ROW(C347)-1)*5+COLUMN(C347)+1),",",".")</f>
        <v/>
      </c>
      <c r="I348" s="100" t="str">
        <f>SUBSTITUTE(INDEX(Calc!$K:$K,(ROW(D347)-1)*5+COLUMN(D347)+1),",",".")</f>
        <v/>
      </c>
      <c r="J348" s="100" t="str">
        <f>SUBSTITUTE(INDEX(Calc!$K:$K,(ROW(E347)-1)*5+COLUMN(E347)+1),",",".")</f>
        <v/>
      </c>
      <c r="K348" s="47" t="s">
        <v>898</v>
      </c>
      <c r="L348" s="100">
        <f>Закуп!AA348</f>
        <v>0</v>
      </c>
      <c r="M348" s="47" t="s">
        <v>899</v>
      </c>
      <c r="N348" s="47">
        <f>IF(Закуп!L348="",0,Закуп!L348)</f>
        <v>0</v>
      </c>
      <c r="O348" s="47" t="s">
        <v>900</v>
      </c>
      <c r="P348" s="165">
        <f>Закуп!N348</f>
        <v>0</v>
      </c>
      <c r="Q348" s="210" t="str">
        <f t="shared" si="7"/>
        <v xml:space="preserve">        [ 'dims' =&gt; [0,0,0], 'prices' =&gt; [,,,,], 'type' =&gt; "0", 'sale' =&gt; "0" ],</v>
      </c>
    </row>
    <row r="349" spans="1:17" hidden="1" x14ac:dyDescent="0.4">
      <c r="A349" s="47" t="s">
        <v>896</v>
      </c>
      <c r="B349" s="47">
        <f>Закуп!R349</f>
        <v>0</v>
      </c>
      <c r="C349" s="47">
        <f>Закуп!S349</f>
        <v>0</v>
      </c>
      <c r="D349" s="47">
        <f>Закуп!T349</f>
        <v>0</v>
      </c>
      <c r="E349" s="47" t="s">
        <v>897</v>
      </c>
      <c r="F349" s="100" t="str">
        <f>SUBSTITUTE(INDEX(Calc!$K:$K,(ROW(A348)-1)*5+COLUMN(A348)+1),",",".")</f>
        <v/>
      </c>
      <c r="G349" s="100" t="str">
        <f>SUBSTITUTE(INDEX(Calc!$K:$K,(ROW(B348)-1)*5+COLUMN(B348)+1),",",".")</f>
        <v/>
      </c>
      <c r="H349" s="100" t="str">
        <f>SUBSTITUTE(INDEX(Calc!$K:$K,(ROW(C348)-1)*5+COLUMN(C348)+1),",",".")</f>
        <v/>
      </c>
      <c r="I349" s="100" t="str">
        <f>SUBSTITUTE(INDEX(Calc!$K:$K,(ROW(D348)-1)*5+COLUMN(D348)+1),",",".")</f>
        <v/>
      </c>
      <c r="J349" s="100" t="str">
        <f>SUBSTITUTE(INDEX(Calc!$K:$K,(ROW(E348)-1)*5+COLUMN(E348)+1),",",".")</f>
        <v/>
      </c>
      <c r="K349" s="47" t="s">
        <v>898</v>
      </c>
      <c r="L349" s="100">
        <f>Закуп!AA349</f>
        <v>0</v>
      </c>
      <c r="M349" s="47" t="s">
        <v>899</v>
      </c>
      <c r="N349" s="47">
        <f>IF(Закуп!L349="",0,Закуп!L349)</f>
        <v>0</v>
      </c>
      <c r="O349" s="47" t="s">
        <v>900</v>
      </c>
      <c r="P349" s="165">
        <f>Закуп!N349</f>
        <v>0</v>
      </c>
      <c r="Q349" s="210" t="str">
        <f t="shared" si="7"/>
        <v xml:space="preserve">        [ 'dims' =&gt; [0,0,0], 'prices' =&gt; [,,,,], 'type' =&gt; "0", 'sale' =&gt; "0" ],</v>
      </c>
    </row>
    <row r="350" spans="1:17" hidden="1" x14ac:dyDescent="0.4">
      <c r="A350" s="47" t="s">
        <v>896</v>
      </c>
      <c r="B350" s="47">
        <f>Закуп!R350</f>
        <v>0</v>
      </c>
      <c r="C350" s="47">
        <f>Закуп!S350</f>
        <v>0</v>
      </c>
      <c r="D350" s="47">
        <f>Закуп!T350</f>
        <v>0</v>
      </c>
      <c r="E350" s="47" t="s">
        <v>897</v>
      </c>
      <c r="F350" s="100" t="str">
        <f>SUBSTITUTE(INDEX(Calc!$K:$K,(ROW(A349)-1)*5+COLUMN(A349)+1),",",".")</f>
        <v/>
      </c>
      <c r="G350" s="100" t="str">
        <f>SUBSTITUTE(INDEX(Calc!$K:$K,(ROW(B349)-1)*5+COLUMN(B349)+1),",",".")</f>
        <v/>
      </c>
      <c r="H350" s="100" t="str">
        <f>SUBSTITUTE(INDEX(Calc!$K:$K,(ROW(C349)-1)*5+COLUMN(C349)+1),",",".")</f>
        <v/>
      </c>
      <c r="I350" s="100" t="str">
        <f>SUBSTITUTE(INDEX(Calc!$K:$K,(ROW(D349)-1)*5+COLUMN(D349)+1),",",".")</f>
        <v/>
      </c>
      <c r="J350" s="100" t="str">
        <f>SUBSTITUTE(INDEX(Calc!$K:$K,(ROW(E349)-1)*5+COLUMN(E349)+1),",",".")</f>
        <v/>
      </c>
      <c r="K350" s="47" t="s">
        <v>898</v>
      </c>
      <c r="L350" s="100">
        <f>Закуп!AA350</f>
        <v>0</v>
      </c>
      <c r="M350" s="47" t="s">
        <v>899</v>
      </c>
      <c r="N350" s="47">
        <f>IF(Закуп!L350="",0,Закуп!L350)</f>
        <v>0</v>
      </c>
      <c r="O350" s="47" t="s">
        <v>900</v>
      </c>
      <c r="P350" s="165">
        <f>Закуп!N350</f>
        <v>0</v>
      </c>
      <c r="Q350" s="210" t="str">
        <f t="shared" si="7"/>
        <v xml:space="preserve">        [ 'dims' =&gt; [0,0,0], 'prices' =&gt; [,,,,], 'type' =&gt; "0", 'sale' =&gt; "0" ],</v>
      </c>
    </row>
    <row r="351" spans="1:17" hidden="1" x14ac:dyDescent="0.4">
      <c r="A351" s="47" t="s">
        <v>896</v>
      </c>
      <c r="B351" s="47">
        <f>Закуп!R351</f>
        <v>0</v>
      </c>
      <c r="C351" s="47">
        <f>Закуп!S351</f>
        <v>0</v>
      </c>
      <c r="D351" s="47">
        <f>Закуп!T351</f>
        <v>0</v>
      </c>
      <c r="E351" s="47" t="s">
        <v>897</v>
      </c>
      <c r="F351" s="100" t="str">
        <f>SUBSTITUTE(INDEX(Calc!$K:$K,(ROW(A350)-1)*5+COLUMN(A350)+1),",",".")</f>
        <v/>
      </c>
      <c r="G351" s="100" t="str">
        <f>SUBSTITUTE(INDEX(Calc!$K:$K,(ROW(B350)-1)*5+COLUMN(B350)+1),",",".")</f>
        <v/>
      </c>
      <c r="H351" s="100" t="str">
        <f>SUBSTITUTE(INDEX(Calc!$K:$K,(ROW(C350)-1)*5+COLUMN(C350)+1),",",".")</f>
        <v/>
      </c>
      <c r="I351" s="100" t="str">
        <f>SUBSTITUTE(INDEX(Calc!$K:$K,(ROW(D350)-1)*5+COLUMN(D350)+1),",",".")</f>
        <v/>
      </c>
      <c r="J351" s="100" t="str">
        <f>SUBSTITUTE(INDEX(Calc!$K:$K,(ROW(E350)-1)*5+COLUMN(E350)+1),",",".")</f>
        <v/>
      </c>
      <c r="K351" s="47" t="s">
        <v>898</v>
      </c>
      <c r="L351" s="100">
        <f>Закуп!AA351</f>
        <v>0</v>
      </c>
      <c r="M351" s="47" t="s">
        <v>899</v>
      </c>
      <c r="N351" s="47">
        <f>IF(Закуп!L351="",0,Закуп!L351)</f>
        <v>0</v>
      </c>
      <c r="O351" s="47" t="s">
        <v>900</v>
      </c>
      <c r="P351" s="165">
        <f>Закуп!N351</f>
        <v>0</v>
      </c>
      <c r="Q351" s="210" t="str">
        <f t="shared" si="7"/>
        <v xml:space="preserve">        [ 'dims' =&gt; [0,0,0], 'prices' =&gt; [,,,,], 'type' =&gt; "0", 'sale' =&gt; "0" ],</v>
      </c>
    </row>
    <row r="352" spans="1:17" hidden="1" x14ac:dyDescent="0.4">
      <c r="A352" s="47" t="s">
        <v>896</v>
      </c>
      <c r="B352" s="47">
        <f>Закуп!R352</f>
        <v>0</v>
      </c>
      <c r="C352" s="47">
        <f>Закуп!S352</f>
        <v>0</v>
      </c>
      <c r="D352" s="47">
        <f>Закуп!T352</f>
        <v>0</v>
      </c>
      <c r="E352" s="47" t="s">
        <v>897</v>
      </c>
      <c r="F352" s="100" t="str">
        <f>SUBSTITUTE(INDEX(Calc!$K:$K,(ROW(A351)-1)*5+COLUMN(A351)+1),",",".")</f>
        <v/>
      </c>
      <c r="G352" s="100" t="str">
        <f>SUBSTITUTE(INDEX(Calc!$K:$K,(ROW(B351)-1)*5+COLUMN(B351)+1),",",".")</f>
        <v/>
      </c>
      <c r="H352" s="100" t="str">
        <f>SUBSTITUTE(INDEX(Calc!$K:$K,(ROW(C351)-1)*5+COLUMN(C351)+1),",",".")</f>
        <v/>
      </c>
      <c r="I352" s="100" t="str">
        <f>SUBSTITUTE(INDEX(Calc!$K:$K,(ROW(D351)-1)*5+COLUMN(D351)+1),",",".")</f>
        <v/>
      </c>
      <c r="J352" s="100" t="str">
        <f>SUBSTITUTE(INDEX(Calc!$K:$K,(ROW(E351)-1)*5+COLUMN(E351)+1),",",".")</f>
        <v/>
      </c>
      <c r="K352" s="47" t="s">
        <v>898</v>
      </c>
      <c r="L352" s="100">
        <f>Закуп!AA352</f>
        <v>0</v>
      </c>
      <c r="M352" s="47" t="s">
        <v>899</v>
      </c>
      <c r="N352" s="47">
        <f>IF(Закуп!L352="",0,Закуп!L352)</f>
        <v>0</v>
      </c>
      <c r="O352" s="47" t="s">
        <v>900</v>
      </c>
      <c r="P352" s="165">
        <f>Закуп!N352</f>
        <v>0</v>
      </c>
      <c r="Q352" s="210" t="str">
        <f t="shared" si="7"/>
        <v xml:space="preserve">        [ 'dims' =&gt; [0,0,0], 'prices' =&gt; [,,,,], 'type' =&gt; "0", 'sale' =&gt; "0" ],</v>
      </c>
    </row>
    <row r="353" spans="1:17" hidden="1" x14ac:dyDescent="0.4">
      <c r="A353" s="47" t="s">
        <v>896</v>
      </c>
      <c r="B353" s="47">
        <f>Закуп!R353</f>
        <v>0</v>
      </c>
      <c r="C353" s="47">
        <f>Закуп!S353</f>
        <v>0</v>
      </c>
      <c r="D353" s="47">
        <f>Закуп!T353</f>
        <v>0</v>
      </c>
      <c r="E353" s="47" t="s">
        <v>897</v>
      </c>
      <c r="F353" s="100" t="str">
        <f>SUBSTITUTE(INDEX(Calc!$K:$K,(ROW(A352)-1)*5+COLUMN(A352)+1),",",".")</f>
        <v/>
      </c>
      <c r="G353" s="100" t="str">
        <f>SUBSTITUTE(INDEX(Calc!$K:$K,(ROW(B352)-1)*5+COLUMN(B352)+1),",",".")</f>
        <v/>
      </c>
      <c r="H353" s="100" t="str">
        <f>SUBSTITUTE(INDEX(Calc!$K:$K,(ROW(C352)-1)*5+COLUMN(C352)+1),",",".")</f>
        <v/>
      </c>
      <c r="I353" s="100" t="str">
        <f>SUBSTITUTE(INDEX(Calc!$K:$K,(ROW(D352)-1)*5+COLUMN(D352)+1),",",".")</f>
        <v/>
      </c>
      <c r="J353" s="100" t="str">
        <f>SUBSTITUTE(INDEX(Calc!$K:$K,(ROW(E352)-1)*5+COLUMN(E352)+1),",",".")</f>
        <v/>
      </c>
      <c r="K353" s="47" t="s">
        <v>898</v>
      </c>
      <c r="L353" s="100">
        <f>Закуп!AA353</f>
        <v>0</v>
      </c>
      <c r="M353" s="47" t="s">
        <v>899</v>
      </c>
      <c r="N353" s="47">
        <f>IF(Закуп!L353="",0,Закуп!L353)</f>
        <v>0</v>
      </c>
      <c r="O353" s="47" t="s">
        <v>900</v>
      </c>
      <c r="P353" s="165">
        <f>Закуп!N353</f>
        <v>0</v>
      </c>
      <c r="Q353" s="210" t="str">
        <f t="shared" si="7"/>
        <v xml:space="preserve">        [ 'dims' =&gt; [0,0,0], 'prices' =&gt; [,,,,], 'type' =&gt; "0", 'sale' =&gt; "0" ],</v>
      </c>
    </row>
    <row r="354" spans="1:17" hidden="1" x14ac:dyDescent="0.4">
      <c r="A354" s="47" t="s">
        <v>896</v>
      </c>
      <c r="B354" s="47">
        <f>Закуп!R354</f>
        <v>0</v>
      </c>
      <c r="C354" s="47">
        <f>Закуп!S354</f>
        <v>0</v>
      </c>
      <c r="D354" s="47">
        <f>Закуп!T354</f>
        <v>0</v>
      </c>
      <c r="E354" s="47" t="s">
        <v>897</v>
      </c>
      <c r="F354" s="100" t="str">
        <f>SUBSTITUTE(INDEX(Calc!$K:$K,(ROW(A353)-1)*5+COLUMN(A353)+1),",",".")</f>
        <v/>
      </c>
      <c r="G354" s="100" t="str">
        <f>SUBSTITUTE(INDEX(Calc!$K:$K,(ROW(B353)-1)*5+COLUMN(B353)+1),",",".")</f>
        <v/>
      </c>
      <c r="H354" s="100" t="str">
        <f>SUBSTITUTE(INDEX(Calc!$K:$K,(ROW(C353)-1)*5+COLUMN(C353)+1),",",".")</f>
        <v/>
      </c>
      <c r="I354" s="100" t="str">
        <f>SUBSTITUTE(INDEX(Calc!$K:$K,(ROW(D353)-1)*5+COLUMN(D353)+1),",",".")</f>
        <v/>
      </c>
      <c r="J354" s="100" t="str">
        <f>SUBSTITUTE(INDEX(Calc!$K:$K,(ROW(E353)-1)*5+COLUMN(E353)+1),",",".")</f>
        <v/>
      </c>
      <c r="K354" s="47" t="s">
        <v>898</v>
      </c>
      <c r="L354" s="100">
        <f>Закуп!AA354</f>
        <v>0</v>
      </c>
      <c r="M354" s="47" t="s">
        <v>899</v>
      </c>
      <c r="N354" s="47">
        <f>IF(Закуп!L354="",0,Закуп!L354)</f>
        <v>0</v>
      </c>
      <c r="O354" s="47" t="s">
        <v>900</v>
      </c>
      <c r="P354" s="165">
        <f>Закуп!N354</f>
        <v>0</v>
      </c>
      <c r="Q354" s="210" t="str">
        <f t="shared" si="7"/>
        <v xml:space="preserve">        [ 'dims' =&gt; [0,0,0], 'prices' =&gt; [,,,,], 'type' =&gt; "0", 'sale' =&gt; "0" ],</v>
      </c>
    </row>
    <row r="355" spans="1:17" hidden="1" x14ac:dyDescent="0.4">
      <c r="A355" s="47" t="s">
        <v>896</v>
      </c>
      <c r="B355" s="47">
        <f>Закуп!R355</f>
        <v>0</v>
      </c>
      <c r="C355" s="47">
        <f>Закуп!S355</f>
        <v>0</v>
      </c>
      <c r="D355" s="47">
        <f>Закуп!T355</f>
        <v>0</v>
      </c>
      <c r="E355" s="47" t="s">
        <v>897</v>
      </c>
      <c r="F355" s="100" t="str">
        <f>SUBSTITUTE(INDEX(Calc!$K:$K,(ROW(A354)-1)*5+COLUMN(A354)+1),",",".")</f>
        <v/>
      </c>
      <c r="G355" s="100" t="str">
        <f>SUBSTITUTE(INDEX(Calc!$K:$K,(ROW(B354)-1)*5+COLUMN(B354)+1),",",".")</f>
        <v/>
      </c>
      <c r="H355" s="100" t="str">
        <f>SUBSTITUTE(INDEX(Calc!$K:$K,(ROW(C354)-1)*5+COLUMN(C354)+1),",",".")</f>
        <v/>
      </c>
      <c r="I355" s="100" t="str">
        <f>SUBSTITUTE(INDEX(Calc!$K:$K,(ROW(D354)-1)*5+COLUMN(D354)+1),",",".")</f>
        <v/>
      </c>
      <c r="J355" s="100" t="str">
        <f>SUBSTITUTE(INDEX(Calc!$K:$K,(ROW(E354)-1)*5+COLUMN(E354)+1),",",".")</f>
        <v/>
      </c>
      <c r="K355" s="47" t="s">
        <v>898</v>
      </c>
      <c r="L355" s="100">
        <f>Закуп!AA355</f>
        <v>0</v>
      </c>
      <c r="M355" s="47" t="s">
        <v>899</v>
      </c>
      <c r="N355" s="47">
        <f>IF(Закуп!L355="",0,Закуп!L355)</f>
        <v>0</v>
      </c>
      <c r="O355" s="47" t="s">
        <v>900</v>
      </c>
      <c r="P355" s="165">
        <f>Закуп!N355</f>
        <v>0</v>
      </c>
      <c r="Q355" s="210" t="str">
        <f t="shared" si="7"/>
        <v xml:space="preserve">        [ 'dims' =&gt; [0,0,0], 'prices' =&gt; [,,,,], 'type' =&gt; "0", 'sale' =&gt; "0" ],</v>
      </c>
    </row>
    <row r="356" spans="1:17" hidden="1" x14ac:dyDescent="0.4">
      <c r="A356" s="47" t="s">
        <v>896</v>
      </c>
      <c r="B356" s="47">
        <f>Закуп!R356</f>
        <v>0</v>
      </c>
      <c r="C356" s="47">
        <f>Закуп!S356</f>
        <v>0</v>
      </c>
      <c r="D356" s="47">
        <f>Закуп!T356</f>
        <v>0</v>
      </c>
      <c r="E356" s="47" t="s">
        <v>897</v>
      </c>
      <c r="F356" s="100" t="str">
        <f>SUBSTITUTE(INDEX(Calc!$K:$K,(ROW(A355)-1)*5+COLUMN(A355)+1),",",".")</f>
        <v/>
      </c>
      <c r="G356" s="100" t="str">
        <f>SUBSTITUTE(INDEX(Calc!$K:$K,(ROW(B355)-1)*5+COLUMN(B355)+1),",",".")</f>
        <v/>
      </c>
      <c r="H356" s="100" t="str">
        <f>SUBSTITUTE(INDEX(Calc!$K:$K,(ROW(C355)-1)*5+COLUMN(C355)+1),",",".")</f>
        <v/>
      </c>
      <c r="I356" s="100" t="str">
        <f>SUBSTITUTE(INDEX(Calc!$K:$K,(ROW(D355)-1)*5+COLUMN(D355)+1),",",".")</f>
        <v/>
      </c>
      <c r="J356" s="100" t="str">
        <f>SUBSTITUTE(INDEX(Calc!$K:$K,(ROW(E355)-1)*5+COLUMN(E355)+1),",",".")</f>
        <v/>
      </c>
      <c r="K356" s="47" t="s">
        <v>898</v>
      </c>
      <c r="L356" s="100">
        <f>Закуп!AA356</f>
        <v>0</v>
      </c>
      <c r="M356" s="47" t="s">
        <v>899</v>
      </c>
      <c r="N356" s="47">
        <f>IF(Закуп!L356="",0,Закуп!L356)</f>
        <v>0</v>
      </c>
      <c r="O356" s="47" t="s">
        <v>900</v>
      </c>
      <c r="P356" s="165">
        <f>Закуп!N356</f>
        <v>0</v>
      </c>
      <c r="Q356" s="210" t="str">
        <f t="shared" si="7"/>
        <v xml:space="preserve">        [ 'dims' =&gt; [0,0,0], 'prices' =&gt; [,,,,], 'type' =&gt; "0", 'sale' =&gt; "0" ],</v>
      </c>
    </row>
    <row r="357" spans="1:17" hidden="1" x14ac:dyDescent="0.4">
      <c r="A357" s="47" t="s">
        <v>896</v>
      </c>
      <c r="B357" s="47">
        <f>Закуп!R357</f>
        <v>0</v>
      </c>
      <c r="C357" s="47">
        <f>Закуп!S357</f>
        <v>0</v>
      </c>
      <c r="D357" s="47">
        <f>Закуп!T357</f>
        <v>0</v>
      </c>
      <c r="E357" s="47" t="s">
        <v>897</v>
      </c>
      <c r="F357" s="100" t="str">
        <f>SUBSTITUTE(INDEX(Calc!$K:$K,(ROW(A356)-1)*5+COLUMN(A356)+1),",",".")</f>
        <v/>
      </c>
      <c r="G357" s="100" t="str">
        <f>SUBSTITUTE(INDEX(Calc!$K:$K,(ROW(B356)-1)*5+COLUMN(B356)+1),",",".")</f>
        <v/>
      </c>
      <c r="H357" s="100" t="str">
        <f>SUBSTITUTE(INDEX(Calc!$K:$K,(ROW(C356)-1)*5+COLUMN(C356)+1),",",".")</f>
        <v/>
      </c>
      <c r="I357" s="100" t="str">
        <f>SUBSTITUTE(INDEX(Calc!$K:$K,(ROW(D356)-1)*5+COLUMN(D356)+1),",",".")</f>
        <v/>
      </c>
      <c r="J357" s="100" t="str">
        <f>SUBSTITUTE(INDEX(Calc!$K:$K,(ROW(E356)-1)*5+COLUMN(E356)+1),",",".")</f>
        <v/>
      </c>
      <c r="K357" s="47" t="s">
        <v>898</v>
      </c>
      <c r="L357" s="100">
        <f>Закуп!AA357</f>
        <v>0</v>
      </c>
      <c r="M357" s="47" t="s">
        <v>899</v>
      </c>
      <c r="N357" s="47">
        <f>IF(Закуп!L357="",0,Закуп!L357)</f>
        <v>0</v>
      </c>
      <c r="O357" s="47" t="s">
        <v>900</v>
      </c>
      <c r="P357" s="165">
        <f>Закуп!N357</f>
        <v>0</v>
      </c>
      <c r="Q357" s="210" t="str">
        <f t="shared" si="7"/>
        <v xml:space="preserve">        [ 'dims' =&gt; [0,0,0], 'prices' =&gt; [,,,,], 'type' =&gt; "0", 'sale' =&gt; "0" ],</v>
      </c>
    </row>
    <row r="358" spans="1:17" hidden="1" x14ac:dyDescent="0.4">
      <c r="A358" s="47" t="s">
        <v>896</v>
      </c>
      <c r="B358" s="47">
        <f>Закуп!R358</f>
        <v>0</v>
      </c>
      <c r="C358" s="47">
        <f>Закуп!S358</f>
        <v>0</v>
      </c>
      <c r="D358" s="47">
        <f>Закуп!T358</f>
        <v>0</v>
      </c>
      <c r="E358" s="47" t="s">
        <v>897</v>
      </c>
      <c r="F358" s="100" t="str">
        <f>SUBSTITUTE(INDEX(Calc!$K:$K,(ROW(A357)-1)*5+COLUMN(A357)+1),",",".")</f>
        <v/>
      </c>
      <c r="G358" s="100" t="str">
        <f>SUBSTITUTE(INDEX(Calc!$K:$K,(ROW(B357)-1)*5+COLUMN(B357)+1),",",".")</f>
        <v/>
      </c>
      <c r="H358" s="100" t="str">
        <f>SUBSTITUTE(INDEX(Calc!$K:$K,(ROW(C357)-1)*5+COLUMN(C357)+1),",",".")</f>
        <v/>
      </c>
      <c r="I358" s="100" t="str">
        <f>SUBSTITUTE(INDEX(Calc!$K:$K,(ROW(D357)-1)*5+COLUMN(D357)+1),",",".")</f>
        <v/>
      </c>
      <c r="J358" s="100" t="str">
        <f>SUBSTITUTE(INDEX(Calc!$K:$K,(ROW(E357)-1)*5+COLUMN(E357)+1),",",".")</f>
        <v/>
      </c>
      <c r="K358" s="47" t="s">
        <v>898</v>
      </c>
      <c r="L358" s="100">
        <f>Закуп!AA358</f>
        <v>0</v>
      </c>
      <c r="M358" s="47" t="s">
        <v>899</v>
      </c>
      <c r="N358" s="47">
        <f>IF(Закуп!L358="",0,Закуп!L358)</f>
        <v>0</v>
      </c>
      <c r="O358" s="47" t="s">
        <v>900</v>
      </c>
      <c r="P358" s="165">
        <f>Закуп!N358</f>
        <v>0</v>
      </c>
      <c r="Q358" s="210" t="str">
        <f t="shared" si="7"/>
        <v xml:space="preserve">        [ 'dims' =&gt; [0,0,0], 'prices' =&gt; [,,,,], 'type' =&gt; "0", 'sale' =&gt; "0" ],</v>
      </c>
    </row>
    <row r="359" spans="1:17" hidden="1" x14ac:dyDescent="0.4">
      <c r="A359" s="47" t="s">
        <v>896</v>
      </c>
      <c r="B359" s="47">
        <f>Закуп!R359</f>
        <v>0</v>
      </c>
      <c r="C359" s="47">
        <f>Закуп!S359</f>
        <v>0</v>
      </c>
      <c r="D359" s="47">
        <f>Закуп!T359</f>
        <v>0</v>
      </c>
      <c r="E359" s="47" t="s">
        <v>897</v>
      </c>
      <c r="F359" s="100" t="str">
        <f>SUBSTITUTE(INDEX(Calc!$K:$K,(ROW(A358)-1)*5+COLUMN(A358)+1),",",".")</f>
        <v/>
      </c>
      <c r="G359" s="100" t="str">
        <f>SUBSTITUTE(INDEX(Calc!$K:$K,(ROW(B358)-1)*5+COLUMN(B358)+1),",",".")</f>
        <v/>
      </c>
      <c r="H359" s="100" t="str">
        <f>SUBSTITUTE(INDEX(Calc!$K:$K,(ROW(C358)-1)*5+COLUMN(C358)+1),",",".")</f>
        <v/>
      </c>
      <c r="I359" s="100" t="str">
        <f>SUBSTITUTE(INDEX(Calc!$K:$K,(ROW(D358)-1)*5+COLUMN(D358)+1),",",".")</f>
        <v/>
      </c>
      <c r="J359" s="100" t="str">
        <f>SUBSTITUTE(INDEX(Calc!$K:$K,(ROW(E358)-1)*5+COLUMN(E358)+1),",",".")</f>
        <v/>
      </c>
      <c r="K359" s="47" t="s">
        <v>898</v>
      </c>
      <c r="L359" s="100">
        <f>Закуп!AA359</f>
        <v>0</v>
      </c>
      <c r="M359" s="47" t="s">
        <v>899</v>
      </c>
      <c r="N359" s="47">
        <f>IF(Закуп!L359="",0,Закуп!L359)</f>
        <v>0</v>
      </c>
      <c r="O359" s="47" t="s">
        <v>900</v>
      </c>
      <c r="P359" s="165">
        <f>Закуп!N359</f>
        <v>0</v>
      </c>
      <c r="Q359" s="210" t="str">
        <f t="shared" si="7"/>
        <v xml:space="preserve">        [ 'dims' =&gt; [0,0,0], 'prices' =&gt; [,,,,], 'type' =&gt; "0", 'sale' =&gt; "0" ],</v>
      </c>
    </row>
    <row r="360" spans="1:17" hidden="1" x14ac:dyDescent="0.4">
      <c r="A360" s="47" t="s">
        <v>896</v>
      </c>
      <c r="B360" s="47">
        <f>Закуп!R360</f>
        <v>0</v>
      </c>
      <c r="C360" s="47">
        <f>Закуп!S360</f>
        <v>0</v>
      </c>
      <c r="D360" s="47">
        <f>Закуп!T360</f>
        <v>0</v>
      </c>
      <c r="E360" s="47" t="s">
        <v>897</v>
      </c>
      <c r="F360" s="100" t="str">
        <f>SUBSTITUTE(INDEX(Calc!$K:$K,(ROW(A359)-1)*5+COLUMN(A359)+1),",",".")</f>
        <v/>
      </c>
      <c r="G360" s="100" t="str">
        <f>SUBSTITUTE(INDEX(Calc!$K:$K,(ROW(B359)-1)*5+COLUMN(B359)+1),",",".")</f>
        <v/>
      </c>
      <c r="H360" s="100" t="str">
        <f>SUBSTITUTE(INDEX(Calc!$K:$K,(ROW(C359)-1)*5+COLUMN(C359)+1),",",".")</f>
        <v/>
      </c>
      <c r="I360" s="100" t="str">
        <f>SUBSTITUTE(INDEX(Calc!$K:$K,(ROW(D359)-1)*5+COLUMN(D359)+1),",",".")</f>
        <v/>
      </c>
      <c r="J360" s="100" t="str">
        <f>SUBSTITUTE(INDEX(Calc!$K:$K,(ROW(E359)-1)*5+COLUMN(E359)+1),",",".")</f>
        <v/>
      </c>
      <c r="K360" s="47" t="s">
        <v>898</v>
      </c>
      <c r="L360" s="100">
        <f>Закуп!AA360</f>
        <v>0</v>
      </c>
      <c r="M360" s="47" t="s">
        <v>899</v>
      </c>
      <c r="N360" s="47">
        <f>IF(Закуп!L360="",0,Закуп!L360)</f>
        <v>0</v>
      </c>
      <c r="O360" s="47" t="s">
        <v>900</v>
      </c>
      <c r="P360" s="165">
        <f>Закуп!N360</f>
        <v>0</v>
      </c>
      <c r="Q360" s="210" t="str">
        <f t="shared" si="7"/>
        <v xml:space="preserve">        [ 'dims' =&gt; [0,0,0], 'prices' =&gt; [,,,,], 'type' =&gt; "0", 'sale' =&gt; "0" ],</v>
      </c>
    </row>
    <row r="361" spans="1:17" hidden="1" x14ac:dyDescent="0.4">
      <c r="A361" s="47" t="s">
        <v>896</v>
      </c>
      <c r="B361" s="47">
        <f>Закуп!R361</f>
        <v>0</v>
      </c>
      <c r="C361" s="47">
        <f>Закуп!S361</f>
        <v>0</v>
      </c>
      <c r="D361" s="47">
        <f>Закуп!T361</f>
        <v>0</v>
      </c>
      <c r="E361" s="47" t="s">
        <v>897</v>
      </c>
      <c r="F361" s="100" t="str">
        <f>SUBSTITUTE(INDEX(Calc!$K:$K,(ROW(A360)-1)*5+COLUMN(A360)+1),",",".")</f>
        <v/>
      </c>
      <c r="G361" s="100" t="str">
        <f>SUBSTITUTE(INDEX(Calc!$K:$K,(ROW(B360)-1)*5+COLUMN(B360)+1),",",".")</f>
        <v/>
      </c>
      <c r="H361" s="100" t="str">
        <f>SUBSTITUTE(INDEX(Calc!$K:$K,(ROW(C360)-1)*5+COLUMN(C360)+1),",",".")</f>
        <v/>
      </c>
      <c r="I361" s="100" t="str">
        <f>SUBSTITUTE(INDEX(Calc!$K:$K,(ROW(D360)-1)*5+COLUMN(D360)+1),",",".")</f>
        <v/>
      </c>
      <c r="J361" s="100" t="str">
        <f>SUBSTITUTE(INDEX(Calc!$K:$K,(ROW(E360)-1)*5+COLUMN(E360)+1),",",".")</f>
        <v/>
      </c>
      <c r="K361" s="47" t="s">
        <v>898</v>
      </c>
      <c r="L361" s="100">
        <f>Закуп!AA361</f>
        <v>0</v>
      </c>
      <c r="M361" s="47" t="s">
        <v>899</v>
      </c>
      <c r="N361" s="47">
        <f>IF(Закуп!L361="",0,Закуп!L361)</f>
        <v>0</v>
      </c>
      <c r="O361" s="47" t="s">
        <v>900</v>
      </c>
      <c r="P361" s="165">
        <f>Закуп!N361</f>
        <v>0</v>
      </c>
      <c r="Q361" s="210" t="str">
        <f t="shared" si="7"/>
        <v xml:space="preserve">        [ 'dims' =&gt; [0,0,0], 'prices' =&gt; [,,,,], 'type' =&gt; "0", 'sale' =&gt; "0" ],</v>
      </c>
    </row>
    <row r="362" spans="1:17" hidden="1" x14ac:dyDescent="0.4">
      <c r="A362" s="47" t="s">
        <v>896</v>
      </c>
      <c r="B362" s="47">
        <f>Закуп!R362</f>
        <v>0</v>
      </c>
      <c r="C362" s="47">
        <f>Закуп!S362</f>
        <v>0</v>
      </c>
      <c r="D362" s="47">
        <f>Закуп!T362</f>
        <v>0</v>
      </c>
      <c r="E362" s="47" t="s">
        <v>897</v>
      </c>
      <c r="F362" s="100" t="str">
        <f>SUBSTITUTE(INDEX(Calc!$K:$K,(ROW(A361)-1)*5+COLUMN(A361)+1),",",".")</f>
        <v/>
      </c>
      <c r="G362" s="100" t="str">
        <f>SUBSTITUTE(INDEX(Calc!$K:$K,(ROW(B361)-1)*5+COLUMN(B361)+1),",",".")</f>
        <v/>
      </c>
      <c r="H362" s="100" t="str">
        <f>SUBSTITUTE(INDEX(Calc!$K:$K,(ROW(C361)-1)*5+COLUMN(C361)+1),",",".")</f>
        <v/>
      </c>
      <c r="I362" s="100" t="str">
        <f>SUBSTITUTE(INDEX(Calc!$K:$K,(ROW(D361)-1)*5+COLUMN(D361)+1),",",".")</f>
        <v/>
      </c>
      <c r="J362" s="100" t="str">
        <f>SUBSTITUTE(INDEX(Calc!$K:$K,(ROW(E361)-1)*5+COLUMN(E361)+1),",",".")</f>
        <v/>
      </c>
      <c r="K362" s="47" t="s">
        <v>898</v>
      </c>
      <c r="L362" s="100">
        <f>Закуп!AA362</f>
        <v>0</v>
      </c>
      <c r="M362" s="47" t="s">
        <v>899</v>
      </c>
      <c r="N362" s="47">
        <f>IF(Закуп!L362="",0,Закуп!L362)</f>
        <v>0</v>
      </c>
      <c r="O362" s="47" t="s">
        <v>900</v>
      </c>
      <c r="P362" s="165">
        <f>Закуп!N362</f>
        <v>0</v>
      </c>
      <c r="Q362" s="210" t="str">
        <f t="shared" si="7"/>
        <v xml:space="preserve">        [ 'dims' =&gt; [0,0,0], 'prices' =&gt; [,,,,], 'type' =&gt; "0", 'sale' =&gt; "0" ],</v>
      </c>
    </row>
    <row r="363" spans="1:17" hidden="1" x14ac:dyDescent="0.4">
      <c r="A363" s="47" t="s">
        <v>896</v>
      </c>
      <c r="B363" s="47">
        <f>Закуп!R363</f>
        <v>0</v>
      </c>
      <c r="C363" s="47">
        <f>Закуп!S363</f>
        <v>0</v>
      </c>
      <c r="D363" s="47">
        <f>Закуп!T363</f>
        <v>0</v>
      </c>
      <c r="E363" s="47" t="s">
        <v>897</v>
      </c>
      <c r="F363" s="100" t="str">
        <f>SUBSTITUTE(INDEX(Calc!$K:$K,(ROW(A362)-1)*5+COLUMN(A362)+1),",",".")</f>
        <v/>
      </c>
      <c r="G363" s="100" t="str">
        <f>SUBSTITUTE(INDEX(Calc!$K:$K,(ROW(B362)-1)*5+COLUMN(B362)+1),",",".")</f>
        <v/>
      </c>
      <c r="H363" s="100" t="str">
        <f>SUBSTITUTE(INDEX(Calc!$K:$K,(ROW(C362)-1)*5+COLUMN(C362)+1),",",".")</f>
        <v/>
      </c>
      <c r="I363" s="100" t="str">
        <f>SUBSTITUTE(INDEX(Calc!$K:$K,(ROW(D362)-1)*5+COLUMN(D362)+1),",",".")</f>
        <v/>
      </c>
      <c r="J363" s="100" t="str">
        <f>SUBSTITUTE(INDEX(Calc!$K:$K,(ROW(E362)-1)*5+COLUMN(E362)+1),",",".")</f>
        <v/>
      </c>
      <c r="K363" s="47" t="s">
        <v>898</v>
      </c>
      <c r="L363" s="100">
        <f>Закуп!AA363</f>
        <v>0</v>
      </c>
      <c r="M363" s="47" t="s">
        <v>899</v>
      </c>
      <c r="N363" s="47">
        <f>IF(Закуп!L363="",0,Закуп!L363)</f>
        <v>0</v>
      </c>
      <c r="O363" s="47" t="s">
        <v>900</v>
      </c>
      <c r="P363" s="165">
        <f>Закуп!N363</f>
        <v>0</v>
      </c>
      <c r="Q363" s="210" t="str">
        <f t="shared" si="7"/>
        <v xml:space="preserve">        [ 'dims' =&gt; [0,0,0], 'prices' =&gt; [,,,,], 'type' =&gt; "0", 'sale' =&gt; "0" ],</v>
      </c>
    </row>
    <row r="364" spans="1:17" hidden="1" x14ac:dyDescent="0.4">
      <c r="A364" s="47" t="s">
        <v>896</v>
      </c>
      <c r="B364" s="47">
        <f>Закуп!R364</f>
        <v>0</v>
      </c>
      <c r="C364" s="47">
        <f>Закуп!S364</f>
        <v>0</v>
      </c>
      <c r="D364" s="47">
        <f>Закуп!T364</f>
        <v>0</v>
      </c>
      <c r="E364" s="47" t="s">
        <v>897</v>
      </c>
      <c r="F364" s="100" t="str">
        <f>SUBSTITUTE(INDEX(Calc!$K:$K,(ROW(A363)-1)*5+COLUMN(A363)+1),",",".")</f>
        <v/>
      </c>
      <c r="G364" s="100" t="str">
        <f>SUBSTITUTE(INDEX(Calc!$K:$K,(ROW(B363)-1)*5+COLUMN(B363)+1),",",".")</f>
        <v/>
      </c>
      <c r="H364" s="100" t="str">
        <f>SUBSTITUTE(INDEX(Calc!$K:$K,(ROW(C363)-1)*5+COLUMN(C363)+1),",",".")</f>
        <v/>
      </c>
      <c r="I364" s="100" t="str">
        <f>SUBSTITUTE(INDEX(Calc!$K:$K,(ROW(D363)-1)*5+COLUMN(D363)+1),",",".")</f>
        <v/>
      </c>
      <c r="J364" s="100" t="str">
        <f>SUBSTITUTE(INDEX(Calc!$K:$K,(ROW(E363)-1)*5+COLUMN(E363)+1),",",".")</f>
        <v/>
      </c>
      <c r="K364" s="47" t="s">
        <v>898</v>
      </c>
      <c r="L364" s="100">
        <f>Закуп!AA364</f>
        <v>0</v>
      </c>
      <c r="M364" s="47" t="s">
        <v>899</v>
      </c>
      <c r="N364" s="47">
        <f>IF(Закуп!L364="",0,Закуп!L364)</f>
        <v>0</v>
      </c>
      <c r="O364" s="47" t="s">
        <v>900</v>
      </c>
      <c r="P364" s="165">
        <f>Закуп!N364</f>
        <v>0</v>
      </c>
      <c r="Q364" s="210" t="str">
        <f t="shared" si="7"/>
        <v xml:space="preserve">        [ 'dims' =&gt; [0,0,0], 'prices' =&gt; [,,,,], 'type' =&gt; "0", 'sale' =&gt; "0" ],</v>
      </c>
    </row>
    <row r="365" spans="1:17" hidden="1" x14ac:dyDescent="0.4">
      <c r="A365" s="47" t="s">
        <v>896</v>
      </c>
      <c r="B365" s="47">
        <f>Закуп!R365</f>
        <v>0</v>
      </c>
      <c r="C365" s="47">
        <f>Закуп!S365</f>
        <v>0</v>
      </c>
      <c r="D365" s="47">
        <f>Закуп!T365</f>
        <v>0</v>
      </c>
      <c r="E365" s="47" t="s">
        <v>897</v>
      </c>
      <c r="F365" s="100" t="str">
        <f>SUBSTITUTE(INDEX(Calc!$K:$K,(ROW(A364)-1)*5+COLUMN(A364)+1),",",".")</f>
        <v/>
      </c>
      <c r="G365" s="100" t="str">
        <f>SUBSTITUTE(INDEX(Calc!$K:$K,(ROW(B364)-1)*5+COLUMN(B364)+1),",",".")</f>
        <v/>
      </c>
      <c r="H365" s="100" t="str">
        <f>SUBSTITUTE(INDEX(Calc!$K:$K,(ROW(C364)-1)*5+COLUMN(C364)+1),",",".")</f>
        <v/>
      </c>
      <c r="I365" s="100" t="str">
        <f>SUBSTITUTE(INDEX(Calc!$K:$K,(ROW(D364)-1)*5+COLUMN(D364)+1),",",".")</f>
        <v/>
      </c>
      <c r="J365" s="100" t="str">
        <f>SUBSTITUTE(INDEX(Calc!$K:$K,(ROW(E364)-1)*5+COLUMN(E364)+1),",",".")</f>
        <v/>
      </c>
      <c r="K365" s="47" t="s">
        <v>898</v>
      </c>
      <c r="L365" s="100">
        <f>Закуп!AA365</f>
        <v>0</v>
      </c>
      <c r="M365" s="47" t="s">
        <v>899</v>
      </c>
      <c r="N365" s="47">
        <f>IF(Закуп!L365="",0,Закуп!L365)</f>
        <v>0</v>
      </c>
      <c r="O365" s="47" t="s">
        <v>900</v>
      </c>
      <c r="P365" s="165">
        <f>Закуп!N365</f>
        <v>0</v>
      </c>
      <c r="Q365" s="210" t="str">
        <f t="shared" si="7"/>
        <v xml:space="preserve">        [ 'dims' =&gt; [0,0,0], 'prices' =&gt; [,,,,], 'type' =&gt; "0", 'sale' =&gt; "0" ],</v>
      </c>
    </row>
    <row r="366" spans="1:17" hidden="1" x14ac:dyDescent="0.4">
      <c r="A366" s="47" t="s">
        <v>896</v>
      </c>
      <c r="B366" s="47">
        <f>Закуп!R366</f>
        <v>0</v>
      </c>
      <c r="C366" s="47">
        <f>Закуп!S366</f>
        <v>0</v>
      </c>
      <c r="D366" s="47">
        <f>Закуп!T366</f>
        <v>0</v>
      </c>
      <c r="E366" s="47" t="s">
        <v>897</v>
      </c>
      <c r="F366" s="100" t="str">
        <f>SUBSTITUTE(INDEX(Calc!$K:$K,(ROW(A365)-1)*5+COLUMN(A365)+1),",",".")</f>
        <v/>
      </c>
      <c r="G366" s="100" t="str">
        <f>SUBSTITUTE(INDEX(Calc!$K:$K,(ROW(B365)-1)*5+COLUMN(B365)+1),",",".")</f>
        <v/>
      </c>
      <c r="H366" s="100" t="str">
        <f>SUBSTITUTE(INDEX(Calc!$K:$K,(ROW(C365)-1)*5+COLUMN(C365)+1),",",".")</f>
        <v/>
      </c>
      <c r="I366" s="100" t="str">
        <f>SUBSTITUTE(INDEX(Calc!$K:$K,(ROW(D365)-1)*5+COLUMN(D365)+1),",",".")</f>
        <v/>
      </c>
      <c r="J366" s="100" t="str">
        <f>SUBSTITUTE(INDEX(Calc!$K:$K,(ROW(E365)-1)*5+COLUMN(E365)+1),",",".")</f>
        <v/>
      </c>
      <c r="K366" s="47" t="s">
        <v>898</v>
      </c>
      <c r="L366" s="100">
        <f>Закуп!AA366</f>
        <v>0</v>
      </c>
      <c r="M366" s="47" t="s">
        <v>899</v>
      </c>
      <c r="N366" s="47">
        <f>IF(Закуп!L366="",0,Закуп!L366)</f>
        <v>0</v>
      </c>
      <c r="O366" s="47" t="s">
        <v>900</v>
      </c>
      <c r="P366" s="165">
        <f>Закуп!N366</f>
        <v>0</v>
      </c>
      <c r="Q366" s="210" t="str">
        <f t="shared" si="7"/>
        <v xml:space="preserve">        [ 'dims' =&gt; [0,0,0], 'prices' =&gt; [,,,,], 'type' =&gt; "0", 'sale' =&gt; "0" ],</v>
      </c>
    </row>
    <row r="367" spans="1:17" hidden="1" x14ac:dyDescent="0.4">
      <c r="A367" s="47" t="s">
        <v>896</v>
      </c>
      <c r="B367" s="47">
        <f>Закуп!R367</f>
        <v>0</v>
      </c>
      <c r="C367" s="47">
        <f>Закуп!S367</f>
        <v>0</v>
      </c>
      <c r="D367" s="47">
        <f>Закуп!T367</f>
        <v>0</v>
      </c>
      <c r="E367" s="47" t="s">
        <v>897</v>
      </c>
      <c r="F367" s="100" t="str">
        <f>SUBSTITUTE(INDEX(Calc!$K:$K,(ROW(A366)-1)*5+COLUMN(A366)+1),",",".")</f>
        <v/>
      </c>
      <c r="G367" s="100" t="str">
        <f>SUBSTITUTE(INDEX(Calc!$K:$K,(ROW(B366)-1)*5+COLUMN(B366)+1),",",".")</f>
        <v/>
      </c>
      <c r="H367" s="100" t="str">
        <f>SUBSTITUTE(INDEX(Calc!$K:$K,(ROW(C366)-1)*5+COLUMN(C366)+1),",",".")</f>
        <v/>
      </c>
      <c r="I367" s="100" t="str">
        <f>SUBSTITUTE(INDEX(Calc!$K:$K,(ROW(D366)-1)*5+COLUMN(D366)+1),",",".")</f>
        <v/>
      </c>
      <c r="J367" s="100" t="str">
        <f>SUBSTITUTE(INDEX(Calc!$K:$K,(ROW(E366)-1)*5+COLUMN(E366)+1),",",".")</f>
        <v/>
      </c>
      <c r="K367" s="47" t="s">
        <v>898</v>
      </c>
      <c r="L367" s="100">
        <f>Закуп!AA367</f>
        <v>0</v>
      </c>
      <c r="M367" s="47" t="s">
        <v>899</v>
      </c>
      <c r="N367" s="47">
        <f>IF(Закуп!L367="",0,Закуп!L367)</f>
        <v>0</v>
      </c>
      <c r="O367" s="47" t="s">
        <v>900</v>
      </c>
      <c r="P367" s="165">
        <f>Закуп!N367</f>
        <v>0</v>
      </c>
      <c r="Q367" s="210" t="str">
        <f t="shared" si="7"/>
        <v xml:space="preserve">        [ 'dims' =&gt; [0,0,0], 'prices' =&gt; [,,,,], 'type' =&gt; "0", 'sale' =&gt; "0" ],</v>
      </c>
    </row>
    <row r="368" spans="1:17" hidden="1" x14ac:dyDescent="0.4">
      <c r="A368" s="47" t="s">
        <v>896</v>
      </c>
      <c r="B368" s="47">
        <f>Закуп!R368</f>
        <v>0</v>
      </c>
      <c r="C368" s="47">
        <f>Закуп!S368</f>
        <v>0</v>
      </c>
      <c r="D368" s="47">
        <f>Закуп!T368</f>
        <v>0</v>
      </c>
      <c r="E368" s="47" t="s">
        <v>897</v>
      </c>
      <c r="F368" s="100" t="str">
        <f>SUBSTITUTE(INDEX(Calc!$K:$K,(ROW(A367)-1)*5+COLUMN(A367)+1),",",".")</f>
        <v/>
      </c>
      <c r="G368" s="100" t="str">
        <f>SUBSTITUTE(INDEX(Calc!$K:$K,(ROW(B367)-1)*5+COLUMN(B367)+1),",",".")</f>
        <v/>
      </c>
      <c r="H368" s="100" t="str">
        <f>SUBSTITUTE(INDEX(Calc!$K:$K,(ROW(C367)-1)*5+COLUMN(C367)+1),",",".")</f>
        <v/>
      </c>
      <c r="I368" s="100" t="str">
        <f>SUBSTITUTE(INDEX(Calc!$K:$K,(ROW(D367)-1)*5+COLUMN(D367)+1),",",".")</f>
        <v/>
      </c>
      <c r="J368" s="100" t="str">
        <f>SUBSTITUTE(INDEX(Calc!$K:$K,(ROW(E367)-1)*5+COLUMN(E367)+1),",",".")</f>
        <v/>
      </c>
      <c r="K368" s="47" t="s">
        <v>898</v>
      </c>
      <c r="L368" s="100">
        <f>Закуп!AA368</f>
        <v>0</v>
      </c>
      <c r="M368" s="47" t="s">
        <v>899</v>
      </c>
      <c r="N368" s="47">
        <f>IF(Закуп!L368="",0,Закуп!L368)</f>
        <v>0</v>
      </c>
      <c r="O368" s="47" t="s">
        <v>900</v>
      </c>
      <c r="P368" s="165">
        <f>Закуп!N368</f>
        <v>0</v>
      </c>
      <c r="Q368" s="210" t="str">
        <f t="shared" si="7"/>
        <v xml:space="preserve">        [ 'dims' =&gt; [0,0,0], 'prices' =&gt; [,,,,], 'type' =&gt; "0", 'sale' =&gt; "0" ],</v>
      </c>
    </row>
    <row r="369" spans="1:17" hidden="1" x14ac:dyDescent="0.4">
      <c r="A369" s="47" t="s">
        <v>896</v>
      </c>
      <c r="B369" s="47">
        <f>Закуп!R369</f>
        <v>0</v>
      </c>
      <c r="C369" s="47">
        <f>Закуп!S369</f>
        <v>0</v>
      </c>
      <c r="D369" s="47">
        <f>Закуп!T369</f>
        <v>0</v>
      </c>
      <c r="E369" s="47" t="s">
        <v>897</v>
      </c>
      <c r="F369" s="100" t="str">
        <f>SUBSTITUTE(INDEX(Calc!$K:$K,(ROW(A368)-1)*5+COLUMN(A368)+1),",",".")</f>
        <v/>
      </c>
      <c r="G369" s="100" t="str">
        <f>SUBSTITUTE(INDEX(Calc!$K:$K,(ROW(B368)-1)*5+COLUMN(B368)+1),",",".")</f>
        <v/>
      </c>
      <c r="H369" s="100" t="str">
        <f>SUBSTITUTE(INDEX(Calc!$K:$K,(ROW(C368)-1)*5+COLUMN(C368)+1),",",".")</f>
        <v/>
      </c>
      <c r="I369" s="100" t="str">
        <f>SUBSTITUTE(INDEX(Calc!$K:$K,(ROW(D368)-1)*5+COLUMN(D368)+1),",",".")</f>
        <v/>
      </c>
      <c r="J369" s="100" t="str">
        <f>SUBSTITUTE(INDEX(Calc!$K:$K,(ROW(E368)-1)*5+COLUMN(E368)+1),",",".")</f>
        <v/>
      </c>
      <c r="K369" s="47" t="s">
        <v>898</v>
      </c>
      <c r="L369" s="100">
        <f>Закуп!AA369</f>
        <v>0</v>
      </c>
      <c r="M369" s="47" t="s">
        <v>899</v>
      </c>
      <c r="N369" s="47">
        <f>IF(Закуп!L369="",0,Закуп!L369)</f>
        <v>0</v>
      </c>
      <c r="O369" s="47" t="s">
        <v>900</v>
      </c>
      <c r="P369" s="165">
        <f>Закуп!N369</f>
        <v>0</v>
      </c>
      <c r="Q369" s="210" t="str">
        <f t="shared" si="7"/>
        <v xml:space="preserve">        [ 'dims' =&gt; [0,0,0], 'prices' =&gt; [,,,,], 'type' =&gt; "0", 'sale' =&gt; "0" ],</v>
      </c>
    </row>
    <row r="370" spans="1:17" hidden="1" x14ac:dyDescent="0.4">
      <c r="A370" s="47" t="s">
        <v>896</v>
      </c>
      <c r="B370" s="47">
        <f>Закуп!R370</f>
        <v>0</v>
      </c>
      <c r="C370" s="47">
        <f>Закуп!S370</f>
        <v>0</v>
      </c>
      <c r="D370" s="47">
        <f>Закуп!T370</f>
        <v>0</v>
      </c>
      <c r="E370" s="47" t="s">
        <v>897</v>
      </c>
      <c r="F370" s="100" t="str">
        <f>SUBSTITUTE(INDEX(Calc!$K:$K,(ROW(A369)-1)*5+COLUMN(A369)+1),",",".")</f>
        <v/>
      </c>
      <c r="G370" s="100" t="str">
        <f>SUBSTITUTE(INDEX(Calc!$K:$K,(ROW(B369)-1)*5+COLUMN(B369)+1),",",".")</f>
        <v/>
      </c>
      <c r="H370" s="100" t="str">
        <f>SUBSTITUTE(INDEX(Calc!$K:$K,(ROW(C369)-1)*5+COLUMN(C369)+1),",",".")</f>
        <v/>
      </c>
      <c r="I370" s="100" t="str">
        <f>SUBSTITUTE(INDEX(Calc!$K:$K,(ROW(D369)-1)*5+COLUMN(D369)+1),",",".")</f>
        <v/>
      </c>
      <c r="J370" s="100" t="str">
        <f>SUBSTITUTE(INDEX(Calc!$K:$K,(ROW(E369)-1)*5+COLUMN(E369)+1),",",".")</f>
        <v/>
      </c>
      <c r="K370" s="47" t="s">
        <v>898</v>
      </c>
      <c r="L370" s="100">
        <f>Закуп!AA370</f>
        <v>0</v>
      </c>
      <c r="M370" s="47" t="s">
        <v>899</v>
      </c>
      <c r="N370" s="47">
        <f>IF(Закуп!L370="",0,Закуп!L370)</f>
        <v>0</v>
      </c>
      <c r="O370" s="47" t="s">
        <v>900</v>
      </c>
      <c r="P370" s="165">
        <f>Закуп!N370</f>
        <v>0</v>
      </c>
      <c r="Q370" s="210" t="str">
        <f t="shared" si="7"/>
        <v xml:space="preserve">        [ 'dims' =&gt; [0,0,0], 'prices' =&gt; [,,,,], 'type' =&gt; "0", 'sale' =&gt; "0" ],</v>
      </c>
    </row>
    <row r="371" spans="1:17" hidden="1" x14ac:dyDescent="0.4">
      <c r="A371" s="47" t="s">
        <v>896</v>
      </c>
      <c r="B371" s="47">
        <f>Закуп!R371</f>
        <v>0</v>
      </c>
      <c r="C371" s="47">
        <f>Закуп!S371</f>
        <v>0</v>
      </c>
      <c r="D371" s="47">
        <f>Закуп!T371</f>
        <v>0</v>
      </c>
      <c r="E371" s="47" t="s">
        <v>897</v>
      </c>
      <c r="F371" s="100" t="str">
        <f>SUBSTITUTE(INDEX(Calc!$K:$K,(ROW(A370)-1)*5+COLUMN(A370)+1),",",".")</f>
        <v/>
      </c>
      <c r="G371" s="100" t="str">
        <f>SUBSTITUTE(INDEX(Calc!$K:$K,(ROW(B370)-1)*5+COLUMN(B370)+1),",",".")</f>
        <v/>
      </c>
      <c r="H371" s="100" t="str">
        <f>SUBSTITUTE(INDEX(Calc!$K:$K,(ROW(C370)-1)*5+COLUMN(C370)+1),",",".")</f>
        <v/>
      </c>
      <c r="I371" s="100" t="str">
        <f>SUBSTITUTE(INDEX(Calc!$K:$K,(ROW(D370)-1)*5+COLUMN(D370)+1),",",".")</f>
        <v/>
      </c>
      <c r="J371" s="100" t="str">
        <f>SUBSTITUTE(INDEX(Calc!$K:$K,(ROW(E370)-1)*5+COLUMN(E370)+1),",",".")</f>
        <v/>
      </c>
      <c r="K371" s="47" t="s">
        <v>898</v>
      </c>
      <c r="L371" s="100">
        <f>Закуп!AA371</f>
        <v>0</v>
      </c>
      <c r="M371" s="47" t="s">
        <v>899</v>
      </c>
      <c r="N371" s="47">
        <f>IF(Закуп!L371="",0,Закуп!L371)</f>
        <v>0</v>
      </c>
      <c r="O371" s="47" t="s">
        <v>900</v>
      </c>
      <c r="P371" s="165">
        <f>Закуп!N371</f>
        <v>0</v>
      </c>
      <c r="Q371" s="210" t="str">
        <f t="shared" si="7"/>
        <v xml:space="preserve">        [ 'dims' =&gt; [0,0,0], 'prices' =&gt; [,,,,], 'type' =&gt; "0", 'sale' =&gt; "0" ],</v>
      </c>
    </row>
    <row r="372" spans="1:17" hidden="1" x14ac:dyDescent="0.4">
      <c r="A372" s="47" t="s">
        <v>896</v>
      </c>
      <c r="B372" s="47">
        <f>Закуп!R372</f>
        <v>0</v>
      </c>
      <c r="C372" s="47">
        <f>Закуп!S372</f>
        <v>0</v>
      </c>
      <c r="D372" s="47">
        <f>Закуп!T372</f>
        <v>0</v>
      </c>
      <c r="E372" s="47" t="s">
        <v>897</v>
      </c>
      <c r="F372" s="100" t="str">
        <f>SUBSTITUTE(INDEX(Calc!$K:$K,(ROW(A371)-1)*5+COLUMN(A371)+1),",",".")</f>
        <v/>
      </c>
      <c r="G372" s="100" t="str">
        <f>SUBSTITUTE(INDEX(Calc!$K:$K,(ROW(B371)-1)*5+COLUMN(B371)+1),",",".")</f>
        <v/>
      </c>
      <c r="H372" s="100" t="str">
        <f>SUBSTITUTE(INDEX(Calc!$K:$K,(ROW(C371)-1)*5+COLUMN(C371)+1),",",".")</f>
        <v/>
      </c>
      <c r="I372" s="100" t="str">
        <f>SUBSTITUTE(INDEX(Calc!$K:$K,(ROW(D371)-1)*5+COLUMN(D371)+1),",",".")</f>
        <v/>
      </c>
      <c r="J372" s="100" t="str">
        <f>SUBSTITUTE(INDEX(Calc!$K:$K,(ROW(E371)-1)*5+COLUMN(E371)+1),",",".")</f>
        <v/>
      </c>
      <c r="K372" s="47" t="s">
        <v>898</v>
      </c>
      <c r="L372" s="100">
        <f>Закуп!AA372</f>
        <v>0</v>
      </c>
      <c r="M372" s="47" t="s">
        <v>899</v>
      </c>
      <c r="N372" s="47">
        <f>IF(Закуп!L372="",0,Закуп!L372)</f>
        <v>0</v>
      </c>
      <c r="O372" s="47" t="s">
        <v>900</v>
      </c>
      <c r="P372" s="165">
        <f>Закуп!N372</f>
        <v>0</v>
      </c>
      <c r="Q372" s="210" t="str">
        <f t="shared" si="7"/>
        <v xml:space="preserve">        [ 'dims' =&gt; [0,0,0], 'prices' =&gt; [,,,,], 'type' =&gt; "0", 'sale' =&gt; "0" ],</v>
      </c>
    </row>
    <row r="373" spans="1:17" hidden="1" x14ac:dyDescent="0.4">
      <c r="A373" s="47" t="s">
        <v>896</v>
      </c>
      <c r="B373" s="47">
        <f>Закуп!R373</f>
        <v>0</v>
      </c>
      <c r="C373" s="47">
        <f>Закуп!S373</f>
        <v>0</v>
      </c>
      <c r="D373" s="47">
        <f>Закуп!T373</f>
        <v>0</v>
      </c>
      <c r="E373" s="47" t="s">
        <v>897</v>
      </c>
      <c r="F373" s="100" t="str">
        <f>SUBSTITUTE(INDEX(Calc!$K:$K,(ROW(A372)-1)*5+COLUMN(A372)+1),",",".")</f>
        <v/>
      </c>
      <c r="G373" s="100" t="str">
        <f>SUBSTITUTE(INDEX(Calc!$K:$K,(ROW(B372)-1)*5+COLUMN(B372)+1),",",".")</f>
        <v/>
      </c>
      <c r="H373" s="100" t="str">
        <f>SUBSTITUTE(INDEX(Calc!$K:$K,(ROW(C372)-1)*5+COLUMN(C372)+1),",",".")</f>
        <v/>
      </c>
      <c r="I373" s="100" t="str">
        <f>SUBSTITUTE(INDEX(Calc!$K:$K,(ROW(D372)-1)*5+COLUMN(D372)+1),",",".")</f>
        <v/>
      </c>
      <c r="J373" s="100" t="str">
        <f>SUBSTITUTE(INDEX(Calc!$K:$K,(ROW(E372)-1)*5+COLUMN(E372)+1),",",".")</f>
        <v/>
      </c>
      <c r="K373" s="47" t="s">
        <v>898</v>
      </c>
      <c r="L373" s="100">
        <f>Закуп!AA373</f>
        <v>0</v>
      </c>
      <c r="M373" s="47" t="s">
        <v>899</v>
      </c>
      <c r="N373" s="47">
        <f>IF(Закуп!L373="",0,Закуп!L373)</f>
        <v>0</v>
      </c>
      <c r="O373" s="47" t="s">
        <v>900</v>
      </c>
      <c r="P373" s="165">
        <f>Закуп!N373</f>
        <v>0</v>
      </c>
      <c r="Q373" s="210" t="str">
        <f t="shared" si="7"/>
        <v xml:space="preserve">        [ 'dims' =&gt; [0,0,0], 'prices' =&gt; [,,,,], 'type' =&gt; "0", 'sale' =&gt; "0" ],</v>
      </c>
    </row>
    <row r="374" spans="1:17" hidden="1" x14ac:dyDescent="0.4">
      <c r="A374" s="47" t="s">
        <v>896</v>
      </c>
      <c r="B374" s="47">
        <f>Закуп!R374</f>
        <v>0</v>
      </c>
      <c r="C374" s="47">
        <f>Закуп!S374</f>
        <v>0</v>
      </c>
      <c r="D374" s="47">
        <f>Закуп!T374</f>
        <v>0</v>
      </c>
      <c r="E374" s="47" t="s">
        <v>897</v>
      </c>
      <c r="F374" s="100" t="str">
        <f>SUBSTITUTE(INDEX(Calc!$K:$K,(ROW(A373)-1)*5+COLUMN(A373)+1),",",".")</f>
        <v/>
      </c>
      <c r="G374" s="100" t="str">
        <f>SUBSTITUTE(INDEX(Calc!$K:$K,(ROW(B373)-1)*5+COLUMN(B373)+1),",",".")</f>
        <v/>
      </c>
      <c r="H374" s="100" t="str">
        <f>SUBSTITUTE(INDEX(Calc!$K:$K,(ROW(C373)-1)*5+COLUMN(C373)+1),",",".")</f>
        <v/>
      </c>
      <c r="I374" s="100" t="str">
        <f>SUBSTITUTE(INDEX(Calc!$K:$K,(ROW(D373)-1)*5+COLUMN(D373)+1),",",".")</f>
        <v/>
      </c>
      <c r="J374" s="100" t="str">
        <f>SUBSTITUTE(INDEX(Calc!$K:$K,(ROW(E373)-1)*5+COLUMN(E373)+1),",",".")</f>
        <v/>
      </c>
      <c r="K374" s="47" t="s">
        <v>898</v>
      </c>
      <c r="L374" s="100">
        <f>Закуп!AA374</f>
        <v>0</v>
      </c>
      <c r="M374" s="47" t="s">
        <v>899</v>
      </c>
      <c r="N374" s="47">
        <f>IF(Закуп!L374="",0,Закуп!L374)</f>
        <v>0</v>
      </c>
      <c r="O374" s="47" t="s">
        <v>900</v>
      </c>
      <c r="P374" s="165">
        <f>Закуп!N374</f>
        <v>0</v>
      </c>
      <c r="Q374" s="210" t="str">
        <f t="shared" si="7"/>
        <v xml:space="preserve">        [ 'dims' =&gt; [0,0,0], 'prices' =&gt; [,,,,], 'type' =&gt; "0", 'sale' =&gt; "0" ],</v>
      </c>
    </row>
    <row r="375" spans="1:17" hidden="1" x14ac:dyDescent="0.4">
      <c r="A375" s="47" t="s">
        <v>896</v>
      </c>
      <c r="B375" s="47">
        <f>Закуп!R375</f>
        <v>0</v>
      </c>
      <c r="C375" s="47">
        <f>Закуп!S375</f>
        <v>0</v>
      </c>
      <c r="D375" s="47">
        <f>Закуп!T375</f>
        <v>0</v>
      </c>
      <c r="E375" s="47" t="s">
        <v>897</v>
      </c>
      <c r="F375" s="100" t="str">
        <f>SUBSTITUTE(INDEX(Calc!$K:$K,(ROW(A374)-1)*5+COLUMN(A374)+1),",",".")</f>
        <v/>
      </c>
      <c r="G375" s="100" t="str">
        <f>SUBSTITUTE(INDEX(Calc!$K:$K,(ROW(B374)-1)*5+COLUMN(B374)+1),",",".")</f>
        <v/>
      </c>
      <c r="H375" s="100" t="str">
        <f>SUBSTITUTE(INDEX(Calc!$K:$K,(ROW(C374)-1)*5+COLUMN(C374)+1),",",".")</f>
        <v/>
      </c>
      <c r="I375" s="100" t="str">
        <f>SUBSTITUTE(INDEX(Calc!$K:$K,(ROW(D374)-1)*5+COLUMN(D374)+1),",",".")</f>
        <v/>
      </c>
      <c r="J375" s="100" t="str">
        <f>SUBSTITUTE(INDEX(Calc!$K:$K,(ROW(E374)-1)*5+COLUMN(E374)+1),",",".")</f>
        <v/>
      </c>
      <c r="K375" s="47" t="s">
        <v>898</v>
      </c>
      <c r="L375" s="100">
        <f>Закуп!AA375</f>
        <v>0</v>
      </c>
      <c r="M375" s="47" t="s">
        <v>899</v>
      </c>
      <c r="N375" s="47">
        <f>IF(Закуп!L375="",0,Закуп!L375)</f>
        <v>0</v>
      </c>
      <c r="O375" s="47" t="s">
        <v>900</v>
      </c>
      <c r="P375" s="165">
        <f>Закуп!N375</f>
        <v>0</v>
      </c>
      <c r="Q375" s="210" t="str">
        <f t="shared" si="7"/>
        <v xml:space="preserve">        [ 'dims' =&gt; [0,0,0], 'prices' =&gt; [,,,,], 'type' =&gt; "0", 'sale' =&gt; "0" ],</v>
      </c>
    </row>
    <row r="376" spans="1:17" hidden="1" x14ac:dyDescent="0.4">
      <c r="A376" s="47" t="s">
        <v>896</v>
      </c>
      <c r="B376" s="47">
        <f>Закуп!R376</f>
        <v>0</v>
      </c>
      <c r="C376" s="47">
        <f>Закуп!S376</f>
        <v>0</v>
      </c>
      <c r="D376" s="47">
        <f>Закуп!T376</f>
        <v>0</v>
      </c>
      <c r="E376" s="47" t="s">
        <v>897</v>
      </c>
      <c r="F376" s="100" t="str">
        <f>SUBSTITUTE(INDEX(Calc!$K:$K,(ROW(A375)-1)*5+COLUMN(A375)+1),",",".")</f>
        <v/>
      </c>
      <c r="G376" s="100" t="str">
        <f>SUBSTITUTE(INDEX(Calc!$K:$K,(ROW(B375)-1)*5+COLUMN(B375)+1),",",".")</f>
        <v/>
      </c>
      <c r="H376" s="100" t="str">
        <f>SUBSTITUTE(INDEX(Calc!$K:$K,(ROW(C375)-1)*5+COLUMN(C375)+1),",",".")</f>
        <v/>
      </c>
      <c r="I376" s="100" t="str">
        <f>SUBSTITUTE(INDEX(Calc!$K:$K,(ROW(D375)-1)*5+COLUMN(D375)+1),",",".")</f>
        <v/>
      </c>
      <c r="J376" s="100" t="str">
        <f>SUBSTITUTE(INDEX(Calc!$K:$K,(ROW(E375)-1)*5+COLUMN(E375)+1),",",".")</f>
        <v/>
      </c>
      <c r="K376" s="47" t="s">
        <v>898</v>
      </c>
      <c r="L376" s="100">
        <f>Закуп!AA376</f>
        <v>0</v>
      </c>
      <c r="M376" s="47" t="s">
        <v>899</v>
      </c>
      <c r="N376" s="47">
        <f>IF(Закуп!L376="",0,Закуп!L376)</f>
        <v>0</v>
      </c>
      <c r="O376" s="47" t="s">
        <v>900</v>
      </c>
      <c r="P376" s="165">
        <f>Закуп!N376</f>
        <v>0</v>
      </c>
      <c r="Q376" s="210" t="str">
        <f t="shared" si="7"/>
        <v xml:space="preserve">        [ 'dims' =&gt; [0,0,0], 'prices' =&gt; [,,,,], 'type' =&gt; "0", 'sale' =&gt; "0" ],</v>
      </c>
    </row>
    <row r="377" spans="1:17" hidden="1" x14ac:dyDescent="0.4">
      <c r="A377" s="47" t="s">
        <v>896</v>
      </c>
      <c r="B377" s="47">
        <f>Закуп!R377</f>
        <v>0</v>
      </c>
      <c r="C377" s="47">
        <f>Закуп!S377</f>
        <v>0</v>
      </c>
      <c r="D377" s="47">
        <f>Закуп!T377</f>
        <v>0</v>
      </c>
      <c r="E377" s="47" t="s">
        <v>897</v>
      </c>
      <c r="F377" s="100" t="str">
        <f>SUBSTITUTE(INDEX(Calc!$K:$K,(ROW(A376)-1)*5+COLUMN(A376)+1),",",".")</f>
        <v/>
      </c>
      <c r="G377" s="100" t="str">
        <f>SUBSTITUTE(INDEX(Calc!$K:$K,(ROW(B376)-1)*5+COLUMN(B376)+1),",",".")</f>
        <v/>
      </c>
      <c r="H377" s="100" t="str">
        <f>SUBSTITUTE(INDEX(Calc!$K:$K,(ROW(C376)-1)*5+COLUMN(C376)+1),",",".")</f>
        <v/>
      </c>
      <c r="I377" s="100" t="str">
        <f>SUBSTITUTE(INDEX(Calc!$K:$K,(ROW(D376)-1)*5+COLUMN(D376)+1),",",".")</f>
        <v/>
      </c>
      <c r="J377" s="100" t="str">
        <f>SUBSTITUTE(INDEX(Calc!$K:$K,(ROW(E376)-1)*5+COLUMN(E376)+1),",",".")</f>
        <v/>
      </c>
      <c r="K377" s="47" t="s">
        <v>898</v>
      </c>
      <c r="L377" s="100">
        <f>Закуп!AA377</f>
        <v>0</v>
      </c>
      <c r="M377" s="47" t="s">
        <v>899</v>
      </c>
      <c r="N377" s="47">
        <f>IF(Закуп!L377="",0,Закуп!L377)</f>
        <v>0</v>
      </c>
      <c r="O377" s="47" t="s">
        <v>900</v>
      </c>
      <c r="P377" s="165">
        <f>Закуп!N377</f>
        <v>0</v>
      </c>
      <c r="Q377" s="210" t="str">
        <f t="shared" si="7"/>
        <v xml:space="preserve">        [ 'dims' =&gt; [0,0,0], 'prices' =&gt; [,,,,], 'type' =&gt; "0", 'sale' =&gt; "0" ],</v>
      </c>
    </row>
    <row r="378" spans="1:17" hidden="1" x14ac:dyDescent="0.4">
      <c r="A378" s="47" t="s">
        <v>896</v>
      </c>
      <c r="B378" s="47">
        <f>Закуп!R378</f>
        <v>0</v>
      </c>
      <c r="C378" s="47">
        <f>Закуп!S378</f>
        <v>0</v>
      </c>
      <c r="D378" s="47">
        <f>Закуп!T378</f>
        <v>0</v>
      </c>
      <c r="E378" s="47" t="s">
        <v>897</v>
      </c>
      <c r="F378" s="100" t="str">
        <f>SUBSTITUTE(INDEX(Calc!$K:$K,(ROW(A377)-1)*5+COLUMN(A377)+1),",",".")</f>
        <v/>
      </c>
      <c r="G378" s="100" t="str">
        <f>SUBSTITUTE(INDEX(Calc!$K:$K,(ROW(B377)-1)*5+COLUMN(B377)+1),",",".")</f>
        <v/>
      </c>
      <c r="H378" s="100" t="str">
        <f>SUBSTITUTE(INDEX(Calc!$K:$K,(ROW(C377)-1)*5+COLUMN(C377)+1),",",".")</f>
        <v/>
      </c>
      <c r="I378" s="100" t="str">
        <f>SUBSTITUTE(INDEX(Calc!$K:$K,(ROW(D377)-1)*5+COLUMN(D377)+1),",",".")</f>
        <v/>
      </c>
      <c r="J378" s="100" t="str">
        <f>SUBSTITUTE(INDEX(Calc!$K:$K,(ROW(E377)-1)*5+COLUMN(E377)+1),",",".")</f>
        <v/>
      </c>
      <c r="K378" s="47" t="s">
        <v>898</v>
      </c>
      <c r="L378" s="100">
        <f>Закуп!AA378</f>
        <v>0</v>
      </c>
      <c r="M378" s="47" t="s">
        <v>899</v>
      </c>
      <c r="N378" s="47">
        <f>IF(Закуп!L378="",0,Закуп!L378)</f>
        <v>0</v>
      </c>
      <c r="O378" s="47" t="s">
        <v>900</v>
      </c>
      <c r="P378" s="165">
        <f>Закуп!N378</f>
        <v>0</v>
      </c>
      <c r="Q378" s="210" t="str">
        <f t="shared" si="7"/>
        <v xml:space="preserve">        [ 'dims' =&gt; [0,0,0], 'prices' =&gt; [,,,,], 'type' =&gt; "0", 'sale' =&gt; "0" ],</v>
      </c>
    </row>
    <row r="379" spans="1:17" hidden="1" x14ac:dyDescent="0.4">
      <c r="A379" s="47" t="s">
        <v>896</v>
      </c>
      <c r="B379" s="47">
        <f>Закуп!R379</f>
        <v>0</v>
      </c>
      <c r="C379" s="47">
        <f>Закуп!S379</f>
        <v>0</v>
      </c>
      <c r="D379" s="47">
        <f>Закуп!T379</f>
        <v>0</v>
      </c>
      <c r="E379" s="47" t="s">
        <v>897</v>
      </c>
      <c r="F379" s="100" t="str">
        <f>SUBSTITUTE(INDEX(Calc!$K:$K,(ROW(A378)-1)*5+COLUMN(A378)+1),",",".")</f>
        <v/>
      </c>
      <c r="G379" s="100" t="str">
        <f>SUBSTITUTE(INDEX(Calc!$K:$K,(ROW(B378)-1)*5+COLUMN(B378)+1),",",".")</f>
        <v/>
      </c>
      <c r="H379" s="100" t="str">
        <f>SUBSTITUTE(INDEX(Calc!$K:$K,(ROW(C378)-1)*5+COLUMN(C378)+1),",",".")</f>
        <v/>
      </c>
      <c r="I379" s="100" t="str">
        <f>SUBSTITUTE(INDEX(Calc!$K:$K,(ROW(D378)-1)*5+COLUMN(D378)+1),",",".")</f>
        <v/>
      </c>
      <c r="J379" s="100" t="str">
        <f>SUBSTITUTE(INDEX(Calc!$K:$K,(ROW(E378)-1)*5+COLUMN(E378)+1),",",".")</f>
        <v/>
      </c>
      <c r="K379" s="47" t="s">
        <v>898</v>
      </c>
      <c r="L379" s="100">
        <f>Закуп!AA379</f>
        <v>0</v>
      </c>
      <c r="M379" s="47" t="s">
        <v>899</v>
      </c>
      <c r="N379" s="47">
        <f>IF(Закуп!L379="",0,Закуп!L379)</f>
        <v>0</v>
      </c>
      <c r="O379" s="47" t="s">
        <v>900</v>
      </c>
      <c r="P379" s="165">
        <f>Закуп!N379</f>
        <v>0</v>
      </c>
      <c r="Q379" s="210" t="str">
        <f t="shared" si="7"/>
        <v xml:space="preserve">        [ 'dims' =&gt; [0,0,0], 'prices' =&gt; [,,,,], 'type' =&gt; "0", 'sale' =&gt; "0" ],</v>
      </c>
    </row>
    <row r="380" spans="1:17" hidden="1" x14ac:dyDescent="0.4">
      <c r="A380" s="47" t="s">
        <v>896</v>
      </c>
      <c r="B380" s="47">
        <f>Закуп!R380</f>
        <v>0</v>
      </c>
      <c r="C380" s="47">
        <f>Закуп!S380</f>
        <v>0</v>
      </c>
      <c r="D380" s="47">
        <f>Закуп!T380</f>
        <v>0</v>
      </c>
      <c r="E380" s="47" t="s">
        <v>897</v>
      </c>
      <c r="F380" s="100" t="str">
        <f>SUBSTITUTE(INDEX(Calc!$K:$K,(ROW(A379)-1)*5+COLUMN(A379)+1),",",".")</f>
        <v/>
      </c>
      <c r="G380" s="100" t="str">
        <f>SUBSTITUTE(INDEX(Calc!$K:$K,(ROW(B379)-1)*5+COLUMN(B379)+1),",",".")</f>
        <v/>
      </c>
      <c r="H380" s="100" t="str">
        <f>SUBSTITUTE(INDEX(Calc!$K:$K,(ROW(C379)-1)*5+COLUMN(C379)+1),",",".")</f>
        <v/>
      </c>
      <c r="I380" s="100" t="str">
        <f>SUBSTITUTE(INDEX(Calc!$K:$K,(ROW(D379)-1)*5+COLUMN(D379)+1),",",".")</f>
        <v/>
      </c>
      <c r="J380" s="100" t="str">
        <f>SUBSTITUTE(INDEX(Calc!$K:$K,(ROW(E379)-1)*5+COLUMN(E379)+1),",",".")</f>
        <v/>
      </c>
      <c r="K380" s="47" t="s">
        <v>898</v>
      </c>
      <c r="L380" s="100">
        <f>Закуп!AA380</f>
        <v>0</v>
      </c>
      <c r="M380" s="47" t="s">
        <v>899</v>
      </c>
      <c r="N380" s="47">
        <f>IF(Закуп!L380="",0,Закуп!L380)</f>
        <v>0</v>
      </c>
      <c r="O380" s="47" t="s">
        <v>900</v>
      </c>
      <c r="P380" s="165">
        <f>Закуп!N380</f>
        <v>0</v>
      </c>
      <c r="Q380" s="210" t="str">
        <f t="shared" si="7"/>
        <v xml:space="preserve">        [ 'dims' =&gt; [0,0,0], 'prices' =&gt; [,,,,], 'type' =&gt; "0", 'sale' =&gt; "0" ],</v>
      </c>
    </row>
    <row r="381" spans="1:17" hidden="1" x14ac:dyDescent="0.4">
      <c r="A381" s="47" t="s">
        <v>896</v>
      </c>
      <c r="B381" s="47">
        <f>Закуп!R381</f>
        <v>0</v>
      </c>
      <c r="C381" s="47">
        <f>Закуп!S381</f>
        <v>0</v>
      </c>
      <c r="D381" s="47">
        <f>Закуп!T381</f>
        <v>0</v>
      </c>
      <c r="E381" s="47" t="s">
        <v>897</v>
      </c>
      <c r="F381" s="100" t="str">
        <f>SUBSTITUTE(INDEX(Calc!$K:$K,(ROW(A380)-1)*5+COLUMN(A380)+1),",",".")</f>
        <v/>
      </c>
      <c r="G381" s="100" t="str">
        <f>SUBSTITUTE(INDEX(Calc!$K:$K,(ROW(B380)-1)*5+COLUMN(B380)+1),",",".")</f>
        <v/>
      </c>
      <c r="H381" s="100" t="str">
        <f>SUBSTITUTE(INDEX(Calc!$K:$K,(ROW(C380)-1)*5+COLUMN(C380)+1),",",".")</f>
        <v/>
      </c>
      <c r="I381" s="100" t="str">
        <f>SUBSTITUTE(INDEX(Calc!$K:$K,(ROW(D380)-1)*5+COLUMN(D380)+1),",",".")</f>
        <v/>
      </c>
      <c r="J381" s="100" t="str">
        <f>SUBSTITUTE(INDEX(Calc!$K:$K,(ROW(E380)-1)*5+COLUMN(E380)+1),",",".")</f>
        <v/>
      </c>
      <c r="K381" s="47" t="s">
        <v>898</v>
      </c>
      <c r="L381" s="100">
        <f>Закуп!AA381</f>
        <v>0</v>
      </c>
      <c r="M381" s="47" t="s">
        <v>899</v>
      </c>
      <c r="N381" s="47">
        <f>IF(Закуп!L381="",0,Закуп!L381)</f>
        <v>0</v>
      </c>
      <c r="O381" s="47" t="s">
        <v>900</v>
      </c>
      <c r="P381" s="165">
        <f>Закуп!N381</f>
        <v>0</v>
      </c>
      <c r="Q381" s="210" t="str">
        <f t="shared" si="7"/>
        <v xml:space="preserve">        [ 'dims' =&gt; [0,0,0], 'prices' =&gt; [,,,,], 'type' =&gt; "0", 'sale' =&gt; "0" ],</v>
      </c>
    </row>
    <row r="382" spans="1:17" hidden="1" x14ac:dyDescent="0.4">
      <c r="A382" s="47" t="s">
        <v>896</v>
      </c>
      <c r="B382" s="47">
        <f>Закуп!R382</f>
        <v>0</v>
      </c>
      <c r="C382" s="47">
        <f>Закуп!S382</f>
        <v>0</v>
      </c>
      <c r="D382" s="47">
        <f>Закуп!T382</f>
        <v>0</v>
      </c>
      <c r="E382" s="47" t="s">
        <v>897</v>
      </c>
      <c r="F382" s="100" t="str">
        <f>SUBSTITUTE(INDEX(Calc!$K:$K,(ROW(A381)-1)*5+COLUMN(A381)+1),",",".")</f>
        <v/>
      </c>
      <c r="G382" s="100" t="str">
        <f>SUBSTITUTE(INDEX(Calc!$K:$K,(ROW(B381)-1)*5+COLUMN(B381)+1),",",".")</f>
        <v/>
      </c>
      <c r="H382" s="100" t="str">
        <f>SUBSTITUTE(INDEX(Calc!$K:$K,(ROW(C381)-1)*5+COLUMN(C381)+1),",",".")</f>
        <v/>
      </c>
      <c r="I382" s="100" t="str">
        <f>SUBSTITUTE(INDEX(Calc!$K:$K,(ROW(D381)-1)*5+COLUMN(D381)+1),",",".")</f>
        <v/>
      </c>
      <c r="J382" s="100" t="str">
        <f>SUBSTITUTE(INDEX(Calc!$K:$K,(ROW(E381)-1)*5+COLUMN(E381)+1),",",".")</f>
        <v/>
      </c>
      <c r="K382" s="47" t="s">
        <v>898</v>
      </c>
      <c r="L382" s="100">
        <f>Закуп!AA382</f>
        <v>0</v>
      </c>
      <c r="M382" s="47" t="s">
        <v>899</v>
      </c>
      <c r="N382" s="47">
        <f>IF(Закуп!L382="",0,Закуп!L382)</f>
        <v>0</v>
      </c>
      <c r="O382" s="47" t="s">
        <v>900</v>
      </c>
      <c r="P382" s="165">
        <f>Закуп!N382</f>
        <v>0</v>
      </c>
      <c r="Q382" s="210" t="str">
        <f t="shared" si="7"/>
        <v xml:space="preserve">        [ 'dims' =&gt; [0,0,0], 'prices' =&gt; [,,,,], 'type' =&gt; "0", 'sale' =&gt; "0" ],</v>
      </c>
    </row>
    <row r="383" spans="1:17" hidden="1" x14ac:dyDescent="0.4">
      <c r="A383" s="47" t="s">
        <v>896</v>
      </c>
      <c r="B383" s="47">
        <f>Закуп!R383</f>
        <v>0</v>
      </c>
      <c r="C383" s="47">
        <f>Закуп!S383</f>
        <v>0</v>
      </c>
      <c r="D383" s="47">
        <f>Закуп!T383</f>
        <v>0</v>
      </c>
      <c r="E383" s="47" t="s">
        <v>897</v>
      </c>
      <c r="F383" s="100" t="str">
        <f>SUBSTITUTE(INDEX(Calc!$K:$K,(ROW(A382)-1)*5+COLUMN(A382)+1),",",".")</f>
        <v/>
      </c>
      <c r="G383" s="100" t="str">
        <f>SUBSTITUTE(INDEX(Calc!$K:$K,(ROW(B382)-1)*5+COLUMN(B382)+1),",",".")</f>
        <v/>
      </c>
      <c r="H383" s="100" t="str">
        <f>SUBSTITUTE(INDEX(Calc!$K:$K,(ROW(C382)-1)*5+COLUMN(C382)+1),",",".")</f>
        <v/>
      </c>
      <c r="I383" s="100" t="str">
        <f>SUBSTITUTE(INDEX(Calc!$K:$K,(ROW(D382)-1)*5+COLUMN(D382)+1),",",".")</f>
        <v/>
      </c>
      <c r="J383" s="100" t="str">
        <f>SUBSTITUTE(INDEX(Calc!$K:$K,(ROW(E382)-1)*5+COLUMN(E382)+1),",",".")</f>
        <v/>
      </c>
      <c r="K383" s="47" t="s">
        <v>898</v>
      </c>
      <c r="L383" s="100">
        <f>Закуп!AA383</f>
        <v>0</v>
      </c>
      <c r="M383" s="47" t="s">
        <v>899</v>
      </c>
      <c r="N383" s="47">
        <f>IF(Закуп!L383="",0,Закуп!L383)</f>
        <v>0</v>
      </c>
      <c r="O383" s="47" t="s">
        <v>900</v>
      </c>
      <c r="P383" s="165">
        <f>Закуп!N383</f>
        <v>0</v>
      </c>
      <c r="Q383" s="210" t="str">
        <f t="shared" si="7"/>
        <v xml:space="preserve">        [ 'dims' =&gt; [0,0,0], 'prices' =&gt; [,,,,], 'type' =&gt; "0", 'sale' =&gt; "0" ],</v>
      </c>
    </row>
    <row r="384" spans="1:17" hidden="1" x14ac:dyDescent="0.4">
      <c r="A384" s="47" t="s">
        <v>896</v>
      </c>
      <c r="B384" s="47">
        <f>Закуп!R384</f>
        <v>0</v>
      </c>
      <c r="C384" s="47">
        <f>Закуп!S384</f>
        <v>0</v>
      </c>
      <c r="D384" s="47">
        <f>Закуп!T384</f>
        <v>0</v>
      </c>
      <c r="E384" s="47" t="s">
        <v>897</v>
      </c>
      <c r="F384" s="100" t="str">
        <f>SUBSTITUTE(INDEX(Calc!$K:$K,(ROW(A383)-1)*5+COLUMN(A383)+1),",",".")</f>
        <v/>
      </c>
      <c r="G384" s="100" t="str">
        <f>SUBSTITUTE(INDEX(Calc!$K:$K,(ROW(B383)-1)*5+COLUMN(B383)+1),",",".")</f>
        <v/>
      </c>
      <c r="H384" s="100" t="str">
        <f>SUBSTITUTE(INDEX(Calc!$K:$K,(ROW(C383)-1)*5+COLUMN(C383)+1),",",".")</f>
        <v/>
      </c>
      <c r="I384" s="100" t="str">
        <f>SUBSTITUTE(INDEX(Calc!$K:$K,(ROW(D383)-1)*5+COLUMN(D383)+1),",",".")</f>
        <v/>
      </c>
      <c r="J384" s="100" t="str">
        <f>SUBSTITUTE(INDEX(Calc!$K:$K,(ROW(E383)-1)*5+COLUMN(E383)+1),",",".")</f>
        <v/>
      </c>
      <c r="K384" s="47" t="s">
        <v>898</v>
      </c>
      <c r="L384" s="100">
        <f>Закуп!AA384</f>
        <v>0</v>
      </c>
      <c r="M384" s="47" t="s">
        <v>899</v>
      </c>
      <c r="N384" s="47">
        <f>IF(Закуп!L384="",0,Закуп!L384)</f>
        <v>0</v>
      </c>
      <c r="O384" s="47" t="s">
        <v>900</v>
      </c>
      <c r="P384" s="165">
        <f>Закуп!N384</f>
        <v>0</v>
      </c>
      <c r="Q384" s="210" t="str">
        <f t="shared" si="7"/>
        <v xml:space="preserve">        [ 'dims' =&gt; [0,0,0], 'prices' =&gt; [,,,,], 'type' =&gt; "0", 'sale' =&gt; "0" ],</v>
      </c>
    </row>
    <row r="385" spans="1:17" hidden="1" x14ac:dyDescent="0.4">
      <c r="A385" s="47" t="s">
        <v>896</v>
      </c>
      <c r="B385" s="47">
        <f>Закуп!R385</f>
        <v>0</v>
      </c>
      <c r="C385" s="47">
        <f>Закуп!S385</f>
        <v>0</v>
      </c>
      <c r="D385" s="47">
        <f>Закуп!T385</f>
        <v>0</v>
      </c>
      <c r="E385" s="47" t="s">
        <v>897</v>
      </c>
      <c r="F385" s="100" t="str">
        <f>SUBSTITUTE(INDEX(Calc!$K:$K,(ROW(A384)-1)*5+COLUMN(A384)+1),",",".")</f>
        <v/>
      </c>
      <c r="G385" s="100" t="str">
        <f>SUBSTITUTE(INDEX(Calc!$K:$K,(ROW(B384)-1)*5+COLUMN(B384)+1),",",".")</f>
        <v/>
      </c>
      <c r="H385" s="100" t="str">
        <f>SUBSTITUTE(INDEX(Calc!$K:$K,(ROW(C384)-1)*5+COLUMN(C384)+1),",",".")</f>
        <v/>
      </c>
      <c r="I385" s="100" t="str">
        <f>SUBSTITUTE(INDEX(Calc!$K:$K,(ROW(D384)-1)*5+COLUMN(D384)+1),",",".")</f>
        <v/>
      </c>
      <c r="J385" s="100" t="str">
        <f>SUBSTITUTE(INDEX(Calc!$K:$K,(ROW(E384)-1)*5+COLUMN(E384)+1),",",".")</f>
        <v/>
      </c>
      <c r="K385" s="47" t="s">
        <v>898</v>
      </c>
      <c r="L385" s="100">
        <f>Закуп!AA385</f>
        <v>0</v>
      </c>
      <c r="M385" s="47" t="s">
        <v>899</v>
      </c>
      <c r="N385" s="47">
        <f>IF(Закуп!L385="",0,Закуп!L385)</f>
        <v>0</v>
      </c>
      <c r="O385" s="47" t="s">
        <v>900</v>
      </c>
      <c r="P385" s="165">
        <f>Закуп!N385</f>
        <v>0</v>
      </c>
      <c r="Q385" s="210" t="str">
        <f t="shared" si="7"/>
        <v xml:space="preserve">        [ 'dims' =&gt; [0,0,0], 'prices' =&gt; [,,,,], 'type' =&gt; "0", 'sale' =&gt; "0" ],</v>
      </c>
    </row>
    <row r="386" spans="1:17" hidden="1" x14ac:dyDescent="0.4">
      <c r="A386" s="47" t="s">
        <v>896</v>
      </c>
      <c r="B386" s="47">
        <f>Закуп!R386</f>
        <v>0</v>
      </c>
      <c r="C386" s="47">
        <f>Закуп!S386</f>
        <v>0</v>
      </c>
      <c r="D386" s="47">
        <f>Закуп!T386</f>
        <v>0</v>
      </c>
      <c r="E386" s="47" t="s">
        <v>897</v>
      </c>
      <c r="F386" s="100" t="str">
        <f>SUBSTITUTE(INDEX(Calc!$K:$K,(ROW(A385)-1)*5+COLUMN(A385)+1),",",".")</f>
        <v/>
      </c>
      <c r="G386" s="100" t="str">
        <f>SUBSTITUTE(INDEX(Calc!$K:$K,(ROW(B385)-1)*5+COLUMN(B385)+1),",",".")</f>
        <v/>
      </c>
      <c r="H386" s="100" t="str">
        <f>SUBSTITUTE(INDEX(Calc!$K:$K,(ROW(C385)-1)*5+COLUMN(C385)+1),",",".")</f>
        <v/>
      </c>
      <c r="I386" s="100" t="str">
        <f>SUBSTITUTE(INDEX(Calc!$K:$K,(ROW(D385)-1)*5+COLUMN(D385)+1),",",".")</f>
        <v/>
      </c>
      <c r="J386" s="100" t="str">
        <f>SUBSTITUTE(INDEX(Calc!$K:$K,(ROW(E385)-1)*5+COLUMN(E385)+1),",",".")</f>
        <v/>
      </c>
      <c r="K386" s="47" t="s">
        <v>898</v>
      </c>
      <c r="L386" s="100">
        <f>Закуп!AA386</f>
        <v>0</v>
      </c>
      <c r="M386" s="47" t="s">
        <v>899</v>
      </c>
      <c r="N386" s="47">
        <f>IF(Закуп!L386="",0,Закуп!L386)</f>
        <v>0</v>
      </c>
      <c r="O386" s="47" t="s">
        <v>900</v>
      </c>
      <c r="P386" s="165">
        <f>Закуп!N386</f>
        <v>0</v>
      </c>
      <c r="Q386" s="210" t="str">
        <f t="shared" si="7"/>
        <v xml:space="preserve">        [ 'dims' =&gt; [0,0,0], 'prices' =&gt; [,,,,], 'type' =&gt; "0", 'sale' =&gt; "0" ],</v>
      </c>
    </row>
    <row r="387" spans="1:17" hidden="1" x14ac:dyDescent="0.4">
      <c r="A387" s="47" t="s">
        <v>896</v>
      </c>
      <c r="B387" s="47">
        <f>Закуп!R387</f>
        <v>0</v>
      </c>
      <c r="C387" s="47">
        <f>Закуп!S387</f>
        <v>0</v>
      </c>
      <c r="D387" s="47">
        <f>Закуп!T387</f>
        <v>0</v>
      </c>
      <c r="E387" s="47" t="s">
        <v>897</v>
      </c>
      <c r="F387" s="100" t="str">
        <f>SUBSTITUTE(INDEX(Calc!$K:$K,(ROW(A386)-1)*5+COLUMN(A386)+1),",",".")</f>
        <v/>
      </c>
      <c r="G387" s="100" t="str">
        <f>SUBSTITUTE(INDEX(Calc!$K:$K,(ROW(B386)-1)*5+COLUMN(B386)+1),",",".")</f>
        <v/>
      </c>
      <c r="H387" s="100" t="str">
        <f>SUBSTITUTE(INDEX(Calc!$K:$K,(ROW(C386)-1)*5+COLUMN(C386)+1),",",".")</f>
        <v/>
      </c>
      <c r="I387" s="100" t="str">
        <f>SUBSTITUTE(INDEX(Calc!$K:$K,(ROW(D386)-1)*5+COLUMN(D386)+1),",",".")</f>
        <v/>
      </c>
      <c r="J387" s="100" t="str">
        <f>SUBSTITUTE(INDEX(Calc!$K:$K,(ROW(E386)-1)*5+COLUMN(E386)+1),",",".")</f>
        <v/>
      </c>
      <c r="K387" s="47" t="s">
        <v>898</v>
      </c>
      <c r="L387" s="100">
        <f>Закуп!AA387</f>
        <v>0</v>
      </c>
      <c r="M387" s="47" t="s">
        <v>899</v>
      </c>
      <c r="N387" s="47">
        <f>IF(Закуп!L387="",0,Закуп!L387)</f>
        <v>0</v>
      </c>
      <c r="O387" s="47" t="s">
        <v>900</v>
      </c>
      <c r="P387" s="165">
        <f>Закуп!N387</f>
        <v>0</v>
      </c>
      <c r="Q387" s="210" t="str">
        <f t="shared" si="7"/>
        <v xml:space="preserve">        [ 'dims' =&gt; [0,0,0], 'prices' =&gt; [,,,,], 'type' =&gt; "0", 'sale' =&gt; "0" ],</v>
      </c>
    </row>
    <row r="388" spans="1:17" hidden="1" x14ac:dyDescent="0.4">
      <c r="A388" s="47" t="s">
        <v>896</v>
      </c>
      <c r="B388" s="47">
        <f>Закуп!R388</f>
        <v>0</v>
      </c>
      <c r="C388" s="47">
        <f>Закуп!S388</f>
        <v>0</v>
      </c>
      <c r="D388" s="47">
        <f>Закуп!T388</f>
        <v>0</v>
      </c>
      <c r="E388" s="47" t="s">
        <v>897</v>
      </c>
      <c r="F388" s="100" t="str">
        <f>SUBSTITUTE(INDEX(Calc!$K:$K,(ROW(A387)-1)*5+COLUMN(A387)+1),",",".")</f>
        <v/>
      </c>
      <c r="G388" s="100" t="str">
        <f>SUBSTITUTE(INDEX(Calc!$K:$K,(ROW(B387)-1)*5+COLUMN(B387)+1),",",".")</f>
        <v/>
      </c>
      <c r="H388" s="100" t="str">
        <f>SUBSTITUTE(INDEX(Calc!$K:$K,(ROW(C387)-1)*5+COLUMN(C387)+1),",",".")</f>
        <v/>
      </c>
      <c r="I388" s="100" t="str">
        <f>SUBSTITUTE(INDEX(Calc!$K:$K,(ROW(D387)-1)*5+COLUMN(D387)+1),",",".")</f>
        <v/>
      </c>
      <c r="J388" s="100" t="str">
        <f>SUBSTITUTE(INDEX(Calc!$K:$K,(ROW(E387)-1)*5+COLUMN(E387)+1),",",".")</f>
        <v/>
      </c>
      <c r="K388" s="47" t="s">
        <v>898</v>
      </c>
      <c r="L388" s="100">
        <f>Закуп!AA388</f>
        <v>0</v>
      </c>
      <c r="M388" s="47" t="s">
        <v>899</v>
      </c>
      <c r="N388" s="47">
        <f>IF(Закуп!L388="",0,Закуп!L388)</f>
        <v>0</v>
      </c>
      <c r="O388" s="47" t="s">
        <v>900</v>
      </c>
      <c r="P388" s="165">
        <f>Закуп!N388</f>
        <v>0</v>
      </c>
      <c r="Q388" s="210" t="str">
        <f t="shared" si="7"/>
        <v xml:space="preserve">        [ 'dims' =&gt; [0,0,0], 'prices' =&gt; [,,,,], 'type' =&gt; "0", 'sale' =&gt; "0" ],</v>
      </c>
    </row>
    <row r="389" spans="1:17" hidden="1" x14ac:dyDescent="0.4">
      <c r="A389" s="47" t="s">
        <v>896</v>
      </c>
      <c r="B389" s="47">
        <f>Закуп!R389</f>
        <v>0</v>
      </c>
      <c r="C389" s="47">
        <f>Закуп!S389</f>
        <v>0</v>
      </c>
      <c r="D389" s="47">
        <f>Закуп!T389</f>
        <v>0</v>
      </c>
      <c r="E389" s="47" t="s">
        <v>897</v>
      </c>
      <c r="F389" s="100" t="str">
        <f>SUBSTITUTE(INDEX(Calc!$K:$K,(ROW(A388)-1)*5+COLUMN(A388)+1),",",".")</f>
        <v/>
      </c>
      <c r="G389" s="100" t="str">
        <f>SUBSTITUTE(INDEX(Calc!$K:$K,(ROW(B388)-1)*5+COLUMN(B388)+1),",",".")</f>
        <v/>
      </c>
      <c r="H389" s="100" t="str">
        <f>SUBSTITUTE(INDEX(Calc!$K:$K,(ROW(C388)-1)*5+COLUMN(C388)+1),",",".")</f>
        <v/>
      </c>
      <c r="I389" s="100" t="str">
        <f>SUBSTITUTE(INDEX(Calc!$K:$K,(ROW(D388)-1)*5+COLUMN(D388)+1),",",".")</f>
        <v/>
      </c>
      <c r="J389" s="100" t="str">
        <f>SUBSTITUTE(INDEX(Calc!$K:$K,(ROW(E388)-1)*5+COLUMN(E388)+1),",",".")</f>
        <v/>
      </c>
      <c r="K389" s="47" t="s">
        <v>898</v>
      </c>
      <c r="L389" s="100">
        <f>Закуп!AA389</f>
        <v>0</v>
      </c>
      <c r="M389" s="47" t="s">
        <v>899</v>
      </c>
      <c r="N389" s="47">
        <f>IF(Закуп!L389="",0,Закуп!L389)</f>
        <v>0</v>
      </c>
      <c r="O389" s="47" t="s">
        <v>900</v>
      </c>
      <c r="P389" s="165">
        <f>Закуп!N389</f>
        <v>0</v>
      </c>
      <c r="Q389" s="210" t="str">
        <f t="shared" si="7"/>
        <v xml:space="preserve">        [ 'dims' =&gt; [0,0,0], 'prices' =&gt; [,,,,], 'type' =&gt; "0", 'sale' =&gt; "0" ],</v>
      </c>
    </row>
    <row r="390" spans="1:17" hidden="1" x14ac:dyDescent="0.4">
      <c r="A390" s="47" t="s">
        <v>896</v>
      </c>
      <c r="B390" s="47">
        <f>Закуп!R390</f>
        <v>0</v>
      </c>
      <c r="C390" s="47">
        <f>Закуп!S390</f>
        <v>0</v>
      </c>
      <c r="D390" s="47">
        <f>Закуп!T390</f>
        <v>0</v>
      </c>
      <c r="E390" s="47" t="s">
        <v>897</v>
      </c>
      <c r="F390" s="100" t="str">
        <f>SUBSTITUTE(INDEX(Calc!$K:$K,(ROW(A389)-1)*5+COLUMN(A389)+1),",",".")</f>
        <v/>
      </c>
      <c r="G390" s="100" t="str">
        <f>SUBSTITUTE(INDEX(Calc!$K:$K,(ROW(B389)-1)*5+COLUMN(B389)+1),",",".")</f>
        <v/>
      </c>
      <c r="H390" s="100" t="str">
        <f>SUBSTITUTE(INDEX(Calc!$K:$K,(ROW(C389)-1)*5+COLUMN(C389)+1),",",".")</f>
        <v/>
      </c>
      <c r="I390" s="100" t="str">
        <f>SUBSTITUTE(INDEX(Calc!$K:$K,(ROW(D389)-1)*5+COLUMN(D389)+1),",",".")</f>
        <v/>
      </c>
      <c r="J390" s="100" t="str">
        <f>SUBSTITUTE(INDEX(Calc!$K:$K,(ROW(E389)-1)*5+COLUMN(E389)+1),",",".")</f>
        <v/>
      </c>
      <c r="K390" s="47" t="s">
        <v>898</v>
      </c>
      <c r="L390" s="100">
        <f>Закуп!AA390</f>
        <v>0</v>
      </c>
      <c r="M390" s="47" t="s">
        <v>899</v>
      </c>
      <c r="N390" s="47">
        <f>IF(Закуп!L390="",0,Закуп!L390)</f>
        <v>0</v>
      </c>
      <c r="O390" s="47" t="s">
        <v>900</v>
      </c>
      <c r="P390" s="165">
        <f>Закуп!N390</f>
        <v>0</v>
      </c>
      <c r="Q390" s="210" t="str">
        <f t="shared" si="7"/>
        <v xml:space="preserve">        [ 'dims' =&gt; [0,0,0], 'prices' =&gt; [,,,,], 'type' =&gt; "0", 'sale' =&gt; "0" ],</v>
      </c>
    </row>
    <row r="391" spans="1:17" hidden="1" x14ac:dyDescent="0.4">
      <c r="A391" s="47" t="s">
        <v>896</v>
      </c>
      <c r="B391" s="47">
        <f>Закуп!R391</f>
        <v>0</v>
      </c>
      <c r="C391" s="47">
        <f>Закуп!S391</f>
        <v>0</v>
      </c>
      <c r="D391" s="47">
        <f>Закуп!T391</f>
        <v>0</v>
      </c>
      <c r="E391" s="47" t="s">
        <v>897</v>
      </c>
      <c r="F391" s="100" t="str">
        <f>SUBSTITUTE(INDEX(Calc!$K:$K,(ROW(A390)-1)*5+COLUMN(A390)+1),",",".")</f>
        <v/>
      </c>
      <c r="G391" s="100" t="str">
        <f>SUBSTITUTE(INDEX(Calc!$K:$K,(ROW(B390)-1)*5+COLUMN(B390)+1),",",".")</f>
        <v/>
      </c>
      <c r="H391" s="100" t="str">
        <f>SUBSTITUTE(INDEX(Calc!$K:$K,(ROW(C390)-1)*5+COLUMN(C390)+1),",",".")</f>
        <v/>
      </c>
      <c r="I391" s="100" t="str">
        <f>SUBSTITUTE(INDEX(Calc!$K:$K,(ROW(D390)-1)*5+COLUMN(D390)+1),",",".")</f>
        <v/>
      </c>
      <c r="J391" s="100" t="str">
        <f>SUBSTITUTE(INDEX(Calc!$K:$K,(ROW(E390)-1)*5+COLUMN(E390)+1),",",".")</f>
        <v/>
      </c>
      <c r="K391" s="47" t="s">
        <v>898</v>
      </c>
      <c r="L391" s="100">
        <f>Закуп!AA391</f>
        <v>0</v>
      </c>
      <c r="M391" s="47" t="s">
        <v>899</v>
      </c>
      <c r="N391" s="47">
        <f>IF(Закуп!L391="",0,Закуп!L391)</f>
        <v>0</v>
      </c>
      <c r="O391" s="47" t="s">
        <v>900</v>
      </c>
      <c r="P391" s="165">
        <f>Закуп!N391</f>
        <v>0</v>
      </c>
      <c r="Q391" s="210" t="str">
        <f t="shared" si="7"/>
        <v xml:space="preserve">        [ 'dims' =&gt; [0,0,0], 'prices' =&gt; [,,,,], 'type' =&gt; "0", 'sale' =&gt; "0" ],</v>
      </c>
    </row>
    <row r="392" spans="1:17" hidden="1" x14ac:dyDescent="0.4">
      <c r="A392" s="47" t="s">
        <v>896</v>
      </c>
      <c r="B392" s="47">
        <f>Закуп!R392</f>
        <v>0</v>
      </c>
      <c r="C392" s="47">
        <f>Закуп!S392</f>
        <v>0</v>
      </c>
      <c r="D392" s="47">
        <f>Закуп!T392</f>
        <v>0</v>
      </c>
      <c r="E392" s="47" t="s">
        <v>897</v>
      </c>
      <c r="F392" s="100" t="str">
        <f>SUBSTITUTE(INDEX(Calc!$K:$K,(ROW(A391)-1)*5+COLUMN(A391)+1),",",".")</f>
        <v/>
      </c>
      <c r="G392" s="100" t="str">
        <f>SUBSTITUTE(INDEX(Calc!$K:$K,(ROW(B391)-1)*5+COLUMN(B391)+1),",",".")</f>
        <v/>
      </c>
      <c r="H392" s="100" t="str">
        <f>SUBSTITUTE(INDEX(Calc!$K:$K,(ROW(C391)-1)*5+COLUMN(C391)+1),",",".")</f>
        <v/>
      </c>
      <c r="I392" s="100" t="str">
        <f>SUBSTITUTE(INDEX(Calc!$K:$K,(ROW(D391)-1)*5+COLUMN(D391)+1),",",".")</f>
        <v/>
      </c>
      <c r="J392" s="100" t="str">
        <f>SUBSTITUTE(INDEX(Calc!$K:$K,(ROW(E391)-1)*5+COLUMN(E391)+1),",",".")</f>
        <v/>
      </c>
      <c r="K392" s="47" t="s">
        <v>898</v>
      </c>
      <c r="L392" s="100">
        <f>Закуп!AA392</f>
        <v>0</v>
      </c>
      <c r="M392" s="47" t="s">
        <v>899</v>
      </c>
      <c r="N392" s="47">
        <f>IF(Закуп!L392="",0,Закуп!L392)</f>
        <v>0</v>
      </c>
      <c r="O392" s="47" t="s">
        <v>900</v>
      </c>
      <c r="P392" s="165">
        <f>Закуп!N392</f>
        <v>0</v>
      </c>
      <c r="Q392" s="210" t="str">
        <f t="shared" si="7"/>
        <v xml:space="preserve">        [ 'dims' =&gt; [0,0,0], 'prices' =&gt; [,,,,], 'type' =&gt; "0", 'sale' =&gt; "0" ],</v>
      </c>
    </row>
    <row r="393" spans="1:17" hidden="1" x14ac:dyDescent="0.4">
      <c r="A393" s="47" t="s">
        <v>896</v>
      </c>
      <c r="B393" s="47">
        <f>Закуп!R393</f>
        <v>0</v>
      </c>
      <c r="C393" s="47">
        <f>Закуп!S393</f>
        <v>0</v>
      </c>
      <c r="D393" s="47">
        <f>Закуп!T393</f>
        <v>0</v>
      </c>
      <c r="E393" s="47" t="s">
        <v>897</v>
      </c>
      <c r="F393" s="100" t="str">
        <f>SUBSTITUTE(INDEX(Calc!$K:$K,(ROW(A392)-1)*5+COLUMN(A392)+1),",",".")</f>
        <v/>
      </c>
      <c r="G393" s="100" t="str">
        <f>SUBSTITUTE(INDEX(Calc!$K:$K,(ROW(B392)-1)*5+COLUMN(B392)+1),",",".")</f>
        <v/>
      </c>
      <c r="H393" s="100" t="str">
        <f>SUBSTITUTE(INDEX(Calc!$K:$K,(ROW(C392)-1)*5+COLUMN(C392)+1),",",".")</f>
        <v/>
      </c>
      <c r="I393" s="100" t="str">
        <f>SUBSTITUTE(INDEX(Calc!$K:$K,(ROW(D392)-1)*5+COLUMN(D392)+1),",",".")</f>
        <v/>
      </c>
      <c r="J393" s="100" t="str">
        <f>SUBSTITUTE(INDEX(Calc!$K:$K,(ROW(E392)-1)*5+COLUMN(E392)+1),",",".")</f>
        <v/>
      </c>
      <c r="K393" s="47" t="s">
        <v>898</v>
      </c>
      <c r="L393" s="100">
        <f>Закуп!AA393</f>
        <v>0</v>
      </c>
      <c r="M393" s="47" t="s">
        <v>899</v>
      </c>
      <c r="N393" s="47">
        <f>IF(Закуп!L393="",0,Закуп!L393)</f>
        <v>0</v>
      </c>
      <c r="O393" s="47" t="s">
        <v>900</v>
      </c>
      <c r="P393" s="165">
        <f>Закуп!N393</f>
        <v>0</v>
      </c>
      <c r="Q393" s="210" t="str">
        <f t="shared" si="7"/>
        <v xml:space="preserve">        [ 'dims' =&gt; [0,0,0], 'prices' =&gt; [,,,,], 'type' =&gt; "0", 'sale' =&gt; "0" ],</v>
      </c>
    </row>
    <row r="394" spans="1:17" hidden="1" x14ac:dyDescent="0.4">
      <c r="A394" s="47" t="s">
        <v>896</v>
      </c>
      <c r="B394" s="47">
        <f>Закуп!R394</f>
        <v>0</v>
      </c>
      <c r="C394" s="47">
        <f>Закуп!S394</f>
        <v>0</v>
      </c>
      <c r="D394" s="47">
        <f>Закуп!T394</f>
        <v>0</v>
      </c>
      <c r="E394" s="47" t="s">
        <v>897</v>
      </c>
      <c r="F394" s="100" t="str">
        <f>SUBSTITUTE(INDEX(Calc!$K:$K,(ROW(A393)-1)*5+COLUMN(A393)+1),",",".")</f>
        <v/>
      </c>
      <c r="G394" s="100" t="str">
        <f>SUBSTITUTE(INDEX(Calc!$K:$K,(ROW(B393)-1)*5+COLUMN(B393)+1),",",".")</f>
        <v/>
      </c>
      <c r="H394" s="100" t="str">
        <f>SUBSTITUTE(INDEX(Calc!$K:$K,(ROW(C393)-1)*5+COLUMN(C393)+1),",",".")</f>
        <v/>
      </c>
      <c r="I394" s="100" t="str">
        <f>SUBSTITUTE(INDEX(Calc!$K:$K,(ROW(D393)-1)*5+COLUMN(D393)+1),",",".")</f>
        <v/>
      </c>
      <c r="J394" s="100" t="str">
        <f>SUBSTITUTE(INDEX(Calc!$K:$K,(ROW(E393)-1)*5+COLUMN(E393)+1),",",".")</f>
        <v/>
      </c>
      <c r="K394" s="47" t="s">
        <v>898</v>
      </c>
      <c r="L394" s="100">
        <f>Закуп!AA394</f>
        <v>0</v>
      </c>
      <c r="M394" s="47" t="s">
        <v>899</v>
      </c>
      <c r="N394" s="47">
        <f>IF(Закуп!L394="",0,Закуп!L394)</f>
        <v>0</v>
      </c>
      <c r="O394" s="47" t="s">
        <v>900</v>
      </c>
      <c r="P394" s="165">
        <f>Закуп!N394</f>
        <v>0</v>
      </c>
      <c r="Q394" s="210" t="str">
        <f t="shared" si="7"/>
        <v xml:space="preserve">        [ 'dims' =&gt; [0,0,0], 'prices' =&gt; [,,,,], 'type' =&gt; "0", 'sale' =&gt; "0" ],</v>
      </c>
    </row>
    <row r="395" spans="1:17" hidden="1" x14ac:dyDescent="0.4">
      <c r="A395" s="47" t="s">
        <v>896</v>
      </c>
      <c r="B395" s="47">
        <f>Закуп!R395</f>
        <v>0</v>
      </c>
      <c r="C395" s="47">
        <f>Закуп!S395</f>
        <v>0</v>
      </c>
      <c r="D395" s="47">
        <f>Закуп!T395</f>
        <v>0</v>
      </c>
      <c r="E395" s="47" t="s">
        <v>897</v>
      </c>
      <c r="F395" s="100" t="str">
        <f>SUBSTITUTE(INDEX(Calc!$K:$K,(ROW(A394)-1)*5+COLUMN(A394)+1),",",".")</f>
        <v/>
      </c>
      <c r="G395" s="100" t="str">
        <f>SUBSTITUTE(INDEX(Calc!$K:$K,(ROW(B394)-1)*5+COLUMN(B394)+1),",",".")</f>
        <v/>
      </c>
      <c r="H395" s="100" t="str">
        <f>SUBSTITUTE(INDEX(Calc!$K:$K,(ROW(C394)-1)*5+COLUMN(C394)+1),",",".")</f>
        <v/>
      </c>
      <c r="I395" s="100" t="str">
        <f>SUBSTITUTE(INDEX(Calc!$K:$K,(ROW(D394)-1)*5+COLUMN(D394)+1),",",".")</f>
        <v/>
      </c>
      <c r="J395" s="100" t="str">
        <f>SUBSTITUTE(INDEX(Calc!$K:$K,(ROW(E394)-1)*5+COLUMN(E394)+1),",",".")</f>
        <v/>
      </c>
      <c r="K395" s="47" t="s">
        <v>898</v>
      </c>
      <c r="L395" s="100">
        <f>Закуп!AA395</f>
        <v>0</v>
      </c>
      <c r="M395" s="47" t="s">
        <v>899</v>
      </c>
      <c r="N395" s="47">
        <f>IF(Закуп!L395="",0,Закуп!L395)</f>
        <v>0</v>
      </c>
      <c r="O395" s="47" t="s">
        <v>900</v>
      </c>
      <c r="P395" s="165">
        <f>Закуп!N395</f>
        <v>0</v>
      </c>
      <c r="Q395" s="210" t="str">
        <f t="shared" si="7"/>
        <v xml:space="preserve">        [ 'dims' =&gt; [0,0,0], 'prices' =&gt; [,,,,], 'type' =&gt; "0", 'sale' =&gt; "0" ],</v>
      </c>
    </row>
    <row r="396" spans="1:17" hidden="1" x14ac:dyDescent="0.4">
      <c r="A396" s="47" t="s">
        <v>896</v>
      </c>
      <c r="B396" s="47">
        <f>Закуп!R396</f>
        <v>0</v>
      </c>
      <c r="C396" s="47">
        <f>Закуп!S396</f>
        <v>0</v>
      </c>
      <c r="D396" s="47">
        <f>Закуп!T396</f>
        <v>0</v>
      </c>
      <c r="E396" s="47" t="s">
        <v>897</v>
      </c>
      <c r="F396" s="100" t="str">
        <f>SUBSTITUTE(INDEX(Calc!$K:$K,(ROW(A395)-1)*5+COLUMN(A395)+1),",",".")</f>
        <v/>
      </c>
      <c r="G396" s="100" t="str">
        <f>SUBSTITUTE(INDEX(Calc!$K:$K,(ROW(B395)-1)*5+COLUMN(B395)+1),",",".")</f>
        <v/>
      </c>
      <c r="H396" s="100" t="str">
        <f>SUBSTITUTE(INDEX(Calc!$K:$K,(ROW(C395)-1)*5+COLUMN(C395)+1),",",".")</f>
        <v/>
      </c>
      <c r="I396" s="100" t="str">
        <f>SUBSTITUTE(INDEX(Calc!$K:$K,(ROW(D395)-1)*5+COLUMN(D395)+1),",",".")</f>
        <v/>
      </c>
      <c r="J396" s="100" t="str">
        <f>SUBSTITUTE(INDEX(Calc!$K:$K,(ROW(E395)-1)*5+COLUMN(E395)+1),",",".")</f>
        <v/>
      </c>
      <c r="K396" s="47" t="s">
        <v>898</v>
      </c>
      <c r="L396" s="100">
        <f>Закуп!AA396</f>
        <v>0</v>
      </c>
      <c r="M396" s="47" t="s">
        <v>899</v>
      </c>
      <c r="N396" s="47">
        <f>IF(Закуп!L396="",0,Закуп!L396)</f>
        <v>0</v>
      </c>
      <c r="O396" s="47" t="s">
        <v>900</v>
      </c>
      <c r="P396" s="165">
        <f>Закуп!N396</f>
        <v>0</v>
      </c>
      <c r="Q396" s="210" t="str">
        <f t="shared" si="7"/>
        <v xml:space="preserve">        [ 'dims' =&gt; [0,0,0], 'prices' =&gt; [,,,,], 'type' =&gt; "0", 'sale' =&gt; "0" ],</v>
      </c>
    </row>
    <row r="397" spans="1:17" hidden="1" x14ac:dyDescent="0.4">
      <c r="A397" s="47" t="s">
        <v>896</v>
      </c>
      <c r="B397" s="47">
        <f>Закуп!R397</f>
        <v>0</v>
      </c>
      <c r="C397" s="47">
        <f>Закуп!S397</f>
        <v>0</v>
      </c>
      <c r="D397" s="47">
        <f>Закуп!T397</f>
        <v>0</v>
      </c>
      <c r="E397" s="47" t="s">
        <v>897</v>
      </c>
      <c r="F397" s="100" t="str">
        <f>SUBSTITUTE(INDEX(Calc!$K:$K,(ROW(A396)-1)*5+COLUMN(A396)+1),",",".")</f>
        <v/>
      </c>
      <c r="G397" s="100" t="str">
        <f>SUBSTITUTE(INDEX(Calc!$K:$K,(ROW(B396)-1)*5+COLUMN(B396)+1),",",".")</f>
        <v/>
      </c>
      <c r="H397" s="100" t="str">
        <f>SUBSTITUTE(INDEX(Calc!$K:$K,(ROW(C396)-1)*5+COLUMN(C396)+1),",",".")</f>
        <v/>
      </c>
      <c r="I397" s="100" t="str">
        <f>SUBSTITUTE(INDEX(Calc!$K:$K,(ROW(D396)-1)*5+COLUMN(D396)+1),",",".")</f>
        <v/>
      </c>
      <c r="J397" s="100" t="str">
        <f>SUBSTITUTE(INDEX(Calc!$K:$K,(ROW(E396)-1)*5+COLUMN(E396)+1),",",".")</f>
        <v/>
      </c>
      <c r="K397" s="47" t="s">
        <v>898</v>
      </c>
      <c r="L397" s="100">
        <f>Закуп!AA397</f>
        <v>0</v>
      </c>
      <c r="M397" s="47" t="s">
        <v>899</v>
      </c>
      <c r="N397" s="47">
        <f>IF(Закуп!L397="",0,Закуп!L397)</f>
        <v>0</v>
      </c>
      <c r="O397" s="47" t="s">
        <v>900</v>
      </c>
      <c r="P397" s="165">
        <f>Закуп!N397</f>
        <v>0</v>
      </c>
      <c r="Q397" s="210" t="str">
        <f t="shared" si="7"/>
        <v xml:space="preserve">        [ 'dims' =&gt; [0,0,0], 'prices' =&gt; [,,,,], 'type' =&gt; "0", 'sale' =&gt; "0" ],</v>
      </c>
    </row>
    <row r="398" spans="1:17" hidden="1" x14ac:dyDescent="0.4">
      <c r="A398" s="47" t="s">
        <v>896</v>
      </c>
      <c r="B398" s="47">
        <f>Закуп!R398</f>
        <v>0</v>
      </c>
      <c r="C398" s="47">
        <f>Закуп!S398</f>
        <v>0</v>
      </c>
      <c r="D398" s="47">
        <f>Закуп!T398</f>
        <v>0</v>
      </c>
      <c r="E398" s="47" t="s">
        <v>897</v>
      </c>
      <c r="F398" s="100" t="str">
        <f>SUBSTITUTE(INDEX(Calc!$K:$K,(ROW(A397)-1)*5+COLUMN(A397)+1),",",".")</f>
        <v/>
      </c>
      <c r="G398" s="100" t="str">
        <f>SUBSTITUTE(INDEX(Calc!$K:$K,(ROW(B397)-1)*5+COLUMN(B397)+1),",",".")</f>
        <v/>
      </c>
      <c r="H398" s="100" t="str">
        <f>SUBSTITUTE(INDEX(Calc!$K:$K,(ROW(C397)-1)*5+COLUMN(C397)+1),",",".")</f>
        <v/>
      </c>
      <c r="I398" s="100" t="str">
        <f>SUBSTITUTE(INDEX(Calc!$K:$K,(ROW(D397)-1)*5+COLUMN(D397)+1),",",".")</f>
        <v/>
      </c>
      <c r="J398" s="100" t="str">
        <f>SUBSTITUTE(INDEX(Calc!$K:$K,(ROW(E397)-1)*5+COLUMN(E397)+1),",",".")</f>
        <v/>
      </c>
      <c r="K398" s="47" t="s">
        <v>898</v>
      </c>
      <c r="L398" s="100">
        <f>Закуп!AA398</f>
        <v>0</v>
      </c>
      <c r="M398" s="47" t="s">
        <v>899</v>
      </c>
      <c r="N398" s="47">
        <f>IF(Закуп!L398="",0,Закуп!L398)</f>
        <v>0</v>
      </c>
      <c r="O398" s="47" t="s">
        <v>900</v>
      </c>
      <c r="P398" s="165">
        <f>Закуп!N398</f>
        <v>0</v>
      </c>
      <c r="Q398" s="210" t="str">
        <f t="shared" si="7"/>
        <v xml:space="preserve">        [ 'dims' =&gt; [0,0,0], 'prices' =&gt; [,,,,], 'type' =&gt; "0", 'sale' =&gt; "0" ],</v>
      </c>
    </row>
    <row r="399" spans="1:17" hidden="1" x14ac:dyDescent="0.4">
      <c r="A399" s="47" t="s">
        <v>896</v>
      </c>
      <c r="B399" s="47">
        <f>Закуп!R399</f>
        <v>0</v>
      </c>
      <c r="C399" s="47">
        <f>Закуп!S399</f>
        <v>0</v>
      </c>
      <c r="D399" s="47">
        <f>Закуп!T399</f>
        <v>0</v>
      </c>
      <c r="E399" s="47" t="s">
        <v>897</v>
      </c>
      <c r="F399" s="100" t="str">
        <f>SUBSTITUTE(INDEX(Calc!$K:$K,(ROW(A398)-1)*5+COLUMN(A398)+1),",",".")</f>
        <v/>
      </c>
      <c r="G399" s="100" t="str">
        <f>SUBSTITUTE(INDEX(Calc!$K:$K,(ROW(B398)-1)*5+COLUMN(B398)+1),",",".")</f>
        <v/>
      </c>
      <c r="H399" s="100" t="str">
        <f>SUBSTITUTE(INDEX(Calc!$K:$K,(ROW(C398)-1)*5+COLUMN(C398)+1),",",".")</f>
        <v/>
      </c>
      <c r="I399" s="100" t="str">
        <f>SUBSTITUTE(INDEX(Calc!$K:$K,(ROW(D398)-1)*5+COLUMN(D398)+1),",",".")</f>
        <v/>
      </c>
      <c r="J399" s="100" t="str">
        <f>SUBSTITUTE(INDEX(Calc!$K:$K,(ROW(E398)-1)*5+COLUMN(E398)+1),",",".")</f>
        <v/>
      </c>
      <c r="K399" s="47" t="s">
        <v>898</v>
      </c>
      <c r="L399" s="100">
        <f>Закуп!AA399</f>
        <v>0</v>
      </c>
      <c r="M399" s="47" t="s">
        <v>899</v>
      </c>
      <c r="N399" s="47">
        <f>IF(Закуп!L399="",0,Закуп!L399)</f>
        <v>0</v>
      </c>
      <c r="O399" s="47" t="s">
        <v>900</v>
      </c>
      <c r="P399" s="165">
        <f>Закуп!N399</f>
        <v>0</v>
      </c>
      <c r="Q399" s="210" t="str">
        <f t="shared" ref="Q399:Q462" si="8">CONCATENATE(A399,B399,",",C399,",",D399,E399,F399,",",G399,",",H399,",",I399,",",J399,K399,L399,M399,N399,O399,)</f>
        <v xml:space="preserve">        [ 'dims' =&gt; [0,0,0], 'prices' =&gt; [,,,,], 'type' =&gt; "0", 'sale' =&gt; "0" ],</v>
      </c>
    </row>
    <row r="400" spans="1:17" hidden="1" x14ac:dyDescent="0.4">
      <c r="A400" s="47" t="s">
        <v>896</v>
      </c>
      <c r="B400" s="47">
        <f>Закуп!R400</f>
        <v>0</v>
      </c>
      <c r="C400" s="47">
        <f>Закуп!S400</f>
        <v>0</v>
      </c>
      <c r="D400" s="47">
        <f>Закуп!T400</f>
        <v>0</v>
      </c>
      <c r="E400" s="47" t="s">
        <v>897</v>
      </c>
      <c r="F400" s="100" t="str">
        <f>SUBSTITUTE(INDEX(Calc!$K:$K,(ROW(A399)-1)*5+COLUMN(A399)+1),",",".")</f>
        <v/>
      </c>
      <c r="G400" s="100" t="str">
        <f>SUBSTITUTE(INDEX(Calc!$K:$K,(ROW(B399)-1)*5+COLUMN(B399)+1),",",".")</f>
        <v/>
      </c>
      <c r="H400" s="100" t="str">
        <f>SUBSTITUTE(INDEX(Calc!$K:$K,(ROW(C399)-1)*5+COLUMN(C399)+1),",",".")</f>
        <v/>
      </c>
      <c r="I400" s="100" t="str">
        <f>SUBSTITUTE(INDEX(Calc!$K:$K,(ROW(D399)-1)*5+COLUMN(D399)+1),",",".")</f>
        <v/>
      </c>
      <c r="J400" s="100" t="str">
        <f>SUBSTITUTE(INDEX(Calc!$K:$K,(ROW(E399)-1)*5+COLUMN(E399)+1),",",".")</f>
        <v/>
      </c>
      <c r="K400" s="47" t="s">
        <v>898</v>
      </c>
      <c r="L400" s="100">
        <f>Закуп!AA400</f>
        <v>0</v>
      </c>
      <c r="M400" s="47" t="s">
        <v>899</v>
      </c>
      <c r="N400" s="47">
        <f>IF(Закуп!L400="",0,Закуп!L400)</f>
        <v>0</v>
      </c>
      <c r="O400" s="47" t="s">
        <v>900</v>
      </c>
      <c r="P400" s="165">
        <f>Закуп!N400</f>
        <v>0</v>
      </c>
      <c r="Q400" s="210" t="str">
        <f t="shared" si="8"/>
        <v xml:space="preserve">        [ 'dims' =&gt; [0,0,0], 'prices' =&gt; [,,,,], 'type' =&gt; "0", 'sale' =&gt; "0" ],</v>
      </c>
    </row>
    <row r="401" spans="1:17" hidden="1" x14ac:dyDescent="0.4">
      <c r="A401" s="47" t="s">
        <v>896</v>
      </c>
      <c r="B401" s="47">
        <f>Закуп!R401</f>
        <v>0</v>
      </c>
      <c r="C401" s="47">
        <f>Закуп!S401</f>
        <v>0</v>
      </c>
      <c r="D401" s="47">
        <f>Закуп!T401</f>
        <v>0</v>
      </c>
      <c r="E401" s="47" t="s">
        <v>897</v>
      </c>
      <c r="F401" s="100" t="str">
        <f>SUBSTITUTE(INDEX(Calc!$K:$K,(ROW(A400)-1)*5+COLUMN(A400)+1),",",".")</f>
        <v/>
      </c>
      <c r="G401" s="100" t="str">
        <f>SUBSTITUTE(INDEX(Calc!$K:$K,(ROW(B400)-1)*5+COLUMN(B400)+1),",",".")</f>
        <v/>
      </c>
      <c r="H401" s="100" t="str">
        <f>SUBSTITUTE(INDEX(Calc!$K:$K,(ROW(C400)-1)*5+COLUMN(C400)+1),",",".")</f>
        <v/>
      </c>
      <c r="I401" s="100" t="str">
        <f>SUBSTITUTE(INDEX(Calc!$K:$K,(ROW(D400)-1)*5+COLUMN(D400)+1),",",".")</f>
        <v/>
      </c>
      <c r="J401" s="100" t="str">
        <f>SUBSTITUTE(INDEX(Calc!$K:$K,(ROW(E400)-1)*5+COLUMN(E400)+1),",",".")</f>
        <v/>
      </c>
      <c r="K401" s="47" t="s">
        <v>898</v>
      </c>
      <c r="L401" s="100">
        <f>Закуп!AA401</f>
        <v>0</v>
      </c>
      <c r="M401" s="47" t="s">
        <v>899</v>
      </c>
      <c r="N401" s="47">
        <f>IF(Закуп!L401="",0,Закуп!L401)</f>
        <v>0</v>
      </c>
      <c r="O401" s="47" t="s">
        <v>900</v>
      </c>
      <c r="P401" s="165">
        <f>Закуп!N401</f>
        <v>0</v>
      </c>
      <c r="Q401" s="210" t="str">
        <f t="shared" si="8"/>
        <v xml:space="preserve">        [ 'dims' =&gt; [0,0,0], 'prices' =&gt; [,,,,], 'type' =&gt; "0", 'sale' =&gt; "0" ],</v>
      </c>
    </row>
    <row r="402" spans="1:17" hidden="1" x14ac:dyDescent="0.4">
      <c r="A402" s="47" t="s">
        <v>896</v>
      </c>
      <c r="B402" s="47">
        <f>Закуп!R402</f>
        <v>0</v>
      </c>
      <c r="C402" s="47">
        <f>Закуп!S402</f>
        <v>0</v>
      </c>
      <c r="D402" s="47">
        <f>Закуп!T402</f>
        <v>0</v>
      </c>
      <c r="E402" s="47" t="s">
        <v>897</v>
      </c>
      <c r="F402" s="100" t="str">
        <f>SUBSTITUTE(INDEX(Calc!$K:$K,(ROW(A401)-1)*5+COLUMN(A401)+1),",",".")</f>
        <v/>
      </c>
      <c r="G402" s="100" t="str">
        <f>SUBSTITUTE(INDEX(Calc!$K:$K,(ROW(B401)-1)*5+COLUMN(B401)+1),",",".")</f>
        <v/>
      </c>
      <c r="H402" s="100" t="str">
        <f>SUBSTITUTE(INDEX(Calc!$K:$K,(ROW(C401)-1)*5+COLUMN(C401)+1),",",".")</f>
        <v/>
      </c>
      <c r="I402" s="100" t="str">
        <f>SUBSTITUTE(INDEX(Calc!$K:$K,(ROW(D401)-1)*5+COLUMN(D401)+1),",",".")</f>
        <v/>
      </c>
      <c r="J402" s="100" t="str">
        <f>SUBSTITUTE(INDEX(Calc!$K:$K,(ROW(E401)-1)*5+COLUMN(E401)+1),",",".")</f>
        <v/>
      </c>
      <c r="K402" s="47" t="s">
        <v>898</v>
      </c>
      <c r="L402" s="100">
        <f>Закуп!AA402</f>
        <v>0</v>
      </c>
      <c r="M402" s="47" t="s">
        <v>899</v>
      </c>
      <c r="N402" s="47">
        <f>IF(Закуп!L402="",0,Закуп!L402)</f>
        <v>0</v>
      </c>
      <c r="O402" s="47" t="s">
        <v>900</v>
      </c>
      <c r="P402" s="165">
        <f>Закуп!N402</f>
        <v>0</v>
      </c>
      <c r="Q402" s="210" t="str">
        <f t="shared" si="8"/>
        <v xml:space="preserve">        [ 'dims' =&gt; [0,0,0], 'prices' =&gt; [,,,,], 'type' =&gt; "0", 'sale' =&gt; "0" ],</v>
      </c>
    </row>
    <row r="403" spans="1:17" hidden="1" x14ac:dyDescent="0.4">
      <c r="A403" s="47" t="s">
        <v>896</v>
      </c>
      <c r="B403" s="47">
        <f>Закуп!R403</f>
        <v>0</v>
      </c>
      <c r="C403" s="47">
        <f>Закуп!S403</f>
        <v>0</v>
      </c>
      <c r="D403" s="47">
        <f>Закуп!T403</f>
        <v>0</v>
      </c>
      <c r="E403" s="47" t="s">
        <v>897</v>
      </c>
      <c r="F403" s="100" t="str">
        <f>SUBSTITUTE(INDEX(Calc!$K:$K,(ROW(A402)-1)*5+COLUMN(A402)+1),",",".")</f>
        <v/>
      </c>
      <c r="G403" s="100" t="str">
        <f>SUBSTITUTE(INDEX(Calc!$K:$K,(ROW(B402)-1)*5+COLUMN(B402)+1),",",".")</f>
        <v/>
      </c>
      <c r="H403" s="100" t="str">
        <f>SUBSTITUTE(INDEX(Calc!$K:$K,(ROW(C402)-1)*5+COLUMN(C402)+1),",",".")</f>
        <v/>
      </c>
      <c r="I403" s="100" t="str">
        <f>SUBSTITUTE(INDEX(Calc!$K:$K,(ROW(D402)-1)*5+COLUMN(D402)+1),",",".")</f>
        <v/>
      </c>
      <c r="J403" s="100" t="str">
        <f>SUBSTITUTE(INDEX(Calc!$K:$K,(ROW(E402)-1)*5+COLUMN(E402)+1),",",".")</f>
        <v/>
      </c>
      <c r="K403" s="47" t="s">
        <v>898</v>
      </c>
      <c r="L403" s="100">
        <f>Закуп!AA403</f>
        <v>0</v>
      </c>
      <c r="M403" s="47" t="s">
        <v>899</v>
      </c>
      <c r="N403" s="47">
        <f>IF(Закуп!L403="",0,Закуп!L403)</f>
        <v>0</v>
      </c>
      <c r="O403" s="47" t="s">
        <v>900</v>
      </c>
      <c r="P403" s="165">
        <f>Закуп!N403</f>
        <v>0</v>
      </c>
      <c r="Q403" s="210" t="str">
        <f t="shared" si="8"/>
        <v xml:space="preserve">        [ 'dims' =&gt; [0,0,0], 'prices' =&gt; [,,,,], 'type' =&gt; "0", 'sale' =&gt; "0" ],</v>
      </c>
    </row>
    <row r="404" spans="1:17" hidden="1" x14ac:dyDescent="0.4">
      <c r="A404" s="47" t="s">
        <v>896</v>
      </c>
      <c r="B404" s="47">
        <f>Закуп!R404</f>
        <v>0</v>
      </c>
      <c r="C404" s="47">
        <f>Закуп!S404</f>
        <v>0</v>
      </c>
      <c r="D404" s="47">
        <f>Закуп!T404</f>
        <v>0</v>
      </c>
      <c r="E404" s="47" t="s">
        <v>897</v>
      </c>
      <c r="F404" s="100" t="str">
        <f>SUBSTITUTE(INDEX(Calc!$K:$K,(ROW(A403)-1)*5+COLUMN(A403)+1),",",".")</f>
        <v/>
      </c>
      <c r="G404" s="100" t="str">
        <f>SUBSTITUTE(INDEX(Calc!$K:$K,(ROW(B403)-1)*5+COLUMN(B403)+1),",",".")</f>
        <v/>
      </c>
      <c r="H404" s="100" t="str">
        <f>SUBSTITUTE(INDEX(Calc!$K:$K,(ROW(C403)-1)*5+COLUMN(C403)+1),",",".")</f>
        <v/>
      </c>
      <c r="I404" s="100" t="str">
        <f>SUBSTITUTE(INDEX(Calc!$K:$K,(ROW(D403)-1)*5+COLUMN(D403)+1),",",".")</f>
        <v/>
      </c>
      <c r="J404" s="100" t="str">
        <f>SUBSTITUTE(INDEX(Calc!$K:$K,(ROW(E403)-1)*5+COLUMN(E403)+1),",",".")</f>
        <v/>
      </c>
      <c r="K404" s="47" t="s">
        <v>898</v>
      </c>
      <c r="L404" s="100">
        <f>Закуп!AA404</f>
        <v>0</v>
      </c>
      <c r="M404" s="47" t="s">
        <v>899</v>
      </c>
      <c r="N404" s="47">
        <f>IF(Закуп!L404="",0,Закуп!L404)</f>
        <v>0</v>
      </c>
      <c r="O404" s="47" t="s">
        <v>900</v>
      </c>
      <c r="P404" s="165">
        <f>Закуп!N404</f>
        <v>0</v>
      </c>
      <c r="Q404" s="210" t="str">
        <f t="shared" si="8"/>
        <v xml:space="preserve">        [ 'dims' =&gt; [0,0,0], 'prices' =&gt; [,,,,], 'type' =&gt; "0", 'sale' =&gt; "0" ],</v>
      </c>
    </row>
    <row r="405" spans="1:17" hidden="1" x14ac:dyDescent="0.4">
      <c r="A405" s="47" t="s">
        <v>896</v>
      </c>
      <c r="B405" s="47">
        <f>Закуп!R405</f>
        <v>0</v>
      </c>
      <c r="C405" s="47">
        <f>Закуп!S405</f>
        <v>0</v>
      </c>
      <c r="D405" s="47">
        <f>Закуп!T405</f>
        <v>0</v>
      </c>
      <c r="E405" s="47" t="s">
        <v>897</v>
      </c>
      <c r="F405" s="100" t="str">
        <f>SUBSTITUTE(INDEX(Calc!$K:$K,(ROW(A404)-1)*5+COLUMN(A404)+1),",",".")</f>
        <v/>
      </c>
      <c r="G405" s="100" t="str">
        <f>SUBSTITUTE(INDEX(Calc!$K:$K,(ROW(B404)-1)*5+COLUMN(B404)+1),",",".")</f>
        <v/>
      </c>
      <c r="H405" s="100" t="str">
        <f>SUBSTITUTE(INDEX(Calc!$K:$K,(ROW(C404)-1)*5+COLUMN(C404)+1),",",".")</f>
        <v/>
      </c>
      <c r="I405" s="100" t="str">
        <f>SUBSTITUTE(INDEX(Calc!$K:$K,(ROW(D404)-1)*5+COLUMN(D404)+1),",",".")</f>
        <v/>
      </c>
      <c r="J405" s="100" t="str">
        <f>SUBSTITUTE(INDEX(Calc!$K:$K,(ROW(E404)-1)*5+COLUMN(E404)+1),",",".")</f>
        <v/>
      </c>
      <c r="K405" s="47" t="s">
        <v>898</v>
      </c>
      <c r="L405" s="100">
        <f>Закуп!AA405</f>
        <v>0</v>
      </c>
      <c r="M405" s="47" t="s">
        <v>899</v>
      </c>
      <c r="N405" s="47">
        <f>IF(Закуп!L405="",0,Закуп!L405)</f>
        <v>0</v>
      </c>
      <c r="O405" s="47" t="s">
        <v>900</v>
      </c>
      <c r="P405" s="165">
        <f>Закуп!N405</f>
        <v>0</v>
      </c>
      <c r="Q405" s="210" t="str">
        <f t="shared" si="8"/>
        <v xml:space="preserve">        [ 'dims' =&gt; [0,0,0], 'prices' =&gt; [,,,,], 'type' =&gt; "0", 'sale' =&gt; "0" ],</v>
      </c>
    </row>
    <row r="406" spans="1:17" hidden="1" x14ac:dyDescent="0.4">
      <c r="A406" s="47" t="s">
        <v>896</v>
      </c>
      <c r="B406" s="47">
        <f>Закуп!R406</f>
        <v>0</v>
      </c>
      <c r="C406" s="47">
        <f>Закуп!S406</f>
        <v>0</v>
      </c>
      <c r="D406" s="47">
        <f>Закуп!T406</f>
        <v>0</v>
      </c>
      <c r="E406" s="47" t="s">
        <v>897</v>
      </c>
      <c r="F406" s="100" t="str">
        <f>SUBSTITUTE(INDEX(Calc!$K:$K,(ROW(A405)-1)*5+COLUMN(A405)+1),",",".")</f>
        <v/>
      </c>
      <c r="G406" s="100" t="str">
        <f>SUBSTITUTE(INDEX(Calc!$K:$K,(ROW(B405)-1)*5+COLUMN(B405)+1),",",".")</f>
        <v/>
      </c>
      <c r="H406" s="100" t="str">
        <f>SUBSTITUTE(INDEX(Calc!$K:$K,(ROW(C405)-1)*5+COLUMN(C405)+1),",",".")</f>
        <v/>
      </c>
      <c r="I406" s="100" t="str">
        <f>SUBSTITUTE(INDEX(Calc!$K:$K,(ROW(D405)-1)*5+COLUMN(D405)+1),",",".")</f>
        <v/>
      </c>
      <c r="J406" s="100" t="str">
        <f>SUBSTITUTE(INDEX(Calc!$K:$K,(ROW(E405)-1)*5+COLUMN(E405)+1),",",".")</f>
        <v/>
      </c>
      <c r="K406" s="47" t="s">
        <v>898</v>
      </c>
      <c r="L406" s="100">
        <f>Закуп!AA406</f>
        <v>0</v>
      </c>
      <c r="M406" s="47" t="s">
        <v>899</v>
      </c>
      <c r="N406" s="47">
        <f>IF(Закуп!L406="",0,Закуп!L406)</f>
        <v>0</v>
      </c>
      <c r="O406" s="47" t="s">
        <v>900</v>
      </c>
      <c r="P406" s="165">
        <f>Закуп!N406</f>
        <v>0</v>
      </c>
      <c r="Q406" s="210" t="str">
        <f t="shared" si="8"/>
        <v xml:space="preserve">        [ 'dims' =&gt; [0,0,0], 'prices' =&gt; [,,,,], 'type' =&gt; "0", 'sale' =&gt; "0" ],</v>
      </c>
    </row>
    <row r="407" spans="1:17" hidden="1" x14ac:dyDescent="0.4">
      <c r="A407" s="47" t="s">
        <v>896</v>
      </c>
      <c r="B407" s="47">
        <f>Закуп!R407</f>
        <v>0</v>
      </c>
      <c r="C407" s="47">
        <f>Закуп!S407</f>
        <v>0</v>
      </c>
      <c r="D407" s="47">
        <f>Закуп!T407</f>
        <v>0</v>
      </c>
      <c r="E407" s="47" t="s">
        <v>897</v>
      </c>
      <c r="F407" s="100" t="str">
        <f>SUBSTITUTE(INDEX(Calc!$K:$K,(ROW(A406)-1)*5+COLUMN(A406)+1),",",".")</f>
        <v/>
      </c>
      <c r="G407" s="100" t="str">
        <f>SUBSTITUTE(INDEX(Calc!$K:$K,(ROW(B406)-1)*5+COLUMN(B406)+1),",",".")</f>
        <v/>
      </c>
      <c r="H407" s="100" t="str">
        <f>SUBSTITUTE(INDEX(Calc!$K:$K,(ROW(C406)-1)*5+COLUMN(C406)+1),",",".")</f>
        <v/>
      </c>
      <c r="I407" s="100" t="str">
        <f>SUBSTITUTE(INDEX(Calc!$K:$K,(ROW(D406)-1)*5+COLUMN(D406)+1),",",".")</f>
        <v/>
      </c>
      <c r="J407" s="100" t="str">
        <f>SUBSTITUTE(INDEX(Calc!$K:$K,(ROW(E406)-1)*5+COLUMN(E406)+1),",",".")</f>
        <v/>
      </c>
      <c r="K407" s="47" t="s">
        <v>898</v>
      </c>
      <c r="L407" s="100">
        <f>Закуп!AA407</f>
        <v>0</v>
      </c>
      <c r="M407" s="47" t="s">
        <v>899</v>
      </c>
      <c r="N407" s="47">
        <f>IF(Закуп!L407="",0,Закуп!L407)</f>
        <v>0</v>
      </c>
      <c r="O407" s="47" t="s">
        <v>900</v>
      </c>
      <c r="P407" s="165">
        <f>Закуп!N407</f>
        <v>0</v>
      </c>
      <c r="Q407" s="210" t="str">
        <f t="shared" si="8"/>
        <v xml:space="preserve">        [ 'dims' =&gt; [0,0,0], 'prices' =&gt; [,,,,], 'type' =&gt; "0", 'sale' =&gt; "0" ],</v>
      </c>
    </row>
    <row r="408" spans="1:17" hidden="1" x14ac:dyDescent="0.4">
      <c r="A408" s="47" t="s">
        <v>896</v>
      </c>
      <c r="B408" s="47">
        <f>Закуп!R408</f>
        <v>0</v>
      </c>
      <c r="C408" s="47">
        <f>Закуп!S408</f>
        <v>0</v>
      </c>
      <c r="D408" s="47">
        <f>Закуп!T408</f>
        <v>0</v>
      </c>
      <c r="E408" s="47" t="s">
        <v>897</v>
      </c>
      <c r="F408" s="100" t="str">
        <f>SUBSTITUTE(INDEX(Calc!$K:$K,(ROW(A407)-1)*5+COLUMN(A407)+1),",",".")</f>
        <v/>
      </c>
      <c r="G408" s="100" t="str">
        <f>SUBSTITUTE(INDEX(Calc!$K:$K,(ROW(B407)-1)*5+COLUMN(B407)+1),",",".")</f>
        <v/>
      </c>
      <c r="H408" s="100" t="str">
        <f>SUBSTITUTE(INDEX(Calc!$K:$K,(ROW(C407)-1)*5+COLUMN(C407)+1),",",".")</f>
        <v/>
      </c>
      <c r="I408" s="100" t="str">
        <f>SUBSTITUTE(INDEX(Calc!$K:$K,(ROW(D407)-1)*5+COLUMN(D407)+1),",",".")</f>
        <v/>
      </c>
      <c r="J408" s="100" t="str">
        <f>SUBSTITUTE(INDEX(Calc!$K:$K,(ROW(E407)-1)*5+COLUMN(E407)+1),",",".")</f>
        <v/>
      </c>
      <c r="K408" s="47" t="s">
        <v>898</v>
      </c>
      <c r="L408" s="100">
        <f>Закуп!AA408</f>
        <v>0</v>
      </c>
      <c r="M408" s="47" t="s">
        <v>899</v>
      </c>
      <c r="N408" s="47">
        <f>IF(Закуп!L408="",0,Закуп!L408)</f>
        <v>0</v>
      </c>
      <c r="O408" s="47" t="s">
        <v>900</v>
      </c>
      <c r="P408" s="165">
        <f>Закуп!N408</f>
        <v>0</v>
      </c>
      <c r="Q408" s="210" t="str">
        <f t="shared" si="8"/>
        <v xml:space="preserve">        [ 'dims' =&gt; [0,0,0], 'prices' =&gt; [,,,,], 'type' =&gt; "0", 'sale' =&gt; "0" ],</v>
      </c>
    </row>
    <row r="409" spans="1:17" hidden="1" x14ac:dyDescent="0.4">
      <c r="A409" s="47" t="s">
        <v>896</v>
      </c>
      <c r="B409" s="47">
        <f>Закуп!R409</f>
        <v>0</v>
      </c>
      <c r="C409" s="47">
        <f>Закуп!S409</f>
        <v>0</v>
      </c>
      <c r="D409" s="47">
        <f>Закуп!T409</f>
        <v>0</v>
      </c>
      <c r="E409" s="47" t="s">
        <v>897</v>
      </c>
      <c r="F409" s="100" t="str">
        <f>SUBSTITUTE(INDEX(Calc!$K:$K,(ROW(A408)-1)*5+COLUMN(A408)+1),",",".")</f>
        <v/>
      </c>
      <c r="G409" s="100" t="str">
        <f>SUBSTITUTE(INDEX(Calc!$K:$K,(ROW(B408)-1)*5+COLUMN(B408)+1),",",".")</f>
        <v/>
      </c>
      <c r="H409" s="100" t="str">
        <f>SUBSTITUTE(INDEX(Calc!$K:$K,(ROW(C408)-1)*5+COLUMN(C408)+1),",",".")</f>
        <v/>
      </c>
      <c r="I409" s="100" t="str">
        <f>SUBSTITUTE(INDEX(Calc!$K:$K,(ROW(D408)-1)*5+COLUMN(D408)+1),",",".")</f>
        <v/>
      </c>
      <c r="J409" s="100" t="str">
        <f>SUBSTITUTE(INDEX(Calc!$K:$K,(ROW(E408)-1)*5+COLUMN(E408)+1),",",".")</f>
        <v/>
      </c>
      <c r="K409" s="47" t="s">
        <v>898</v>
      </c>
      <c r="L409" s="100">
        <f>Закуп!AA409</f>
        <v>0</v>
      </c>
      <c r="M409" s="47" t="s">
        <v>899</v>
      </c>
      <c r="N409" s="47">
        <f>IF(Закуп!L409="",0,Закуп!L409)</f>
        <v>0</v>
      </c>
      <c r="O409" s="47" t="s">
        <v>900</v>
      </c>
      <c r="P409" s="165">
        <f>Закуп!N409</f>
        <v>0</v>
      </c>
      <c r="Q409" s="210" t="str">
        <f t="shared" si="8"/>
        <v xml:space="preserve">        [ 'dims' =&gt; [0,0,0], 'prices' =&gt; [,,,,], 'type' =&gt; "0", 'sale' =&gt; "0" ],</v>
      </c>
    </row>
    <row r="410" spans="1:17" hidden="1" x14ac:dyDescent="0.4">
      <c r="A410" s="47" t="s">
        <v>896</v>
      </c>
      <c r="B410" s="47">
        <f>Закуп!R410</f>
        <v>0</v>
      </c>
      <c r="C410" s="47">
        <f>Закуп!S410</f>
        <v>0</v>
      </c>
      <c r="D410" s="47">
        <f>Закуп!T410</f>
        <v>0</v>
      </c>
      <c r="E410" s="47" t="s">
        <v>897</v>
      </c>
      <c r="F410" s="100" t="str">
        <f>SUBSTITUTE(INDEX(Calc!$K:$K,(ROW(A409)-1)*5+COLUMN(A409)+1),",",".")</f>
        <v/>
      </c>
      <c r="G410" s="100" t="str">
        <f>SUBSTITUTE(INDEX(Calc!$K:$K,(ROW(B409)-1)*5+COLUMN(B409)+1),",",".")</f>
        <v/>
      </c>
      <c r="H410" s="100" t="str">
        <f>SUBSTITUTE(INDEX(Calc!$K:$K,(ROW(C409)-1)*5+COLUMN(C409)+1),",",".")</f>
        <v/>
      </c>
      <c r="I410" s="100" t="str">
        <f>SUBSTITUTE(INDEX(Calc!$K:$K,(ROW(D409)-1)*5+COLUMN(D409)+1),",",".")</f>
        <v/>
      </c>
      <c r="J410" s="100" t="str">
        <f>SUBSTITUTE(INDEX(Calc!$K:$K,(ROW(E409)-1)*5+COLUMN(E409)+1),",",".")</f>
        <v/>
      </c>
      <c r="K410" s="47" t="s">
        <v>898</v>
      </c>
      <c r="L410" s="100">
        <f>Закуп!AA410</f>
        <v>0</v>
      </c>
      <c r="M410" s="47" t="s">
        <v>899</v>
      </c>
      <c r="N410" s="47">
        <f>IF(Закуп!L410="",0,Закуп!L410)</f>
        <v>0</v>
      </c>
      <c r="O410" s="47" t="s">
        <v>900</v>
      </c>
      <c r="P410" s="165">
        <f>Закуп!N410</f>
        <v>0</v>
      </c>
      <c r="Q410" s="210" t="str">
        <f t="shared" si="8"/>
        <v xml:space="preserve">        [ 'dims' =&gt; [0,0,0], 'prices' =&gt; [,,,,], 'type' =&gt; "0", 'sale' =&gt; "0" ],</v>
      </c>
    </row>
    <row r="411" spans="1:17" hidden="1" x14ac:dyDescent="0.4">
      <c r="A411" s="47" t="s">
        <v>896</v>
      </c>
      <c r="B411" s="47">
        <f>Закуп!R411</f>
        <v>0</v>
      </c>
      <c r="C411" s="47">
        <f>Закуп!S411</f>
        <v>0</v>
      </c>
      <c r="D411" s="47">
        <f>Закуп!T411</f>
        <v>0</v>
      </c>
      <c r="E411" s="47" t="s">
        <v>897</v>
      </c>
      <c r="F411" s="100" t="str">
        <f>SUBSTITUTE(INDEX(Calc!$K:$K,(ROW(A410)-1)*5+COLUMN(A410)+1),",",".")</f>
        <v/>
      </c>
      <c r="G411" s="100" t="str">
        <f>SUBSTITUTE(INDEX(Calc!$K:$K,(ROW(B410)-1)*5+COLUMN(B410)+1),",",".")</f>
        <v/>
      </c>
      <c r="H411" s="100" t="str">
        <f>SUBSTITUTE(INDEX(Calc!$K:$K,(ROW(C410)-1)*5+COLUMN(C410)+1),",",".")</f>
        <v/>
      </c>
      <c r="I411" s="100" t="str">
        <f>SUBSTITUTE(INDEX(Calc!$K:$K,(ROW(D410)-1)*5+COLUMN(D410)+1),",",".")</f>
        <v/>
      </c>
      <c r="J411" s="100" t="str">
        <f>SUBSTITUTE(INDEX(Calc!$K:$K,(ROW(E410)-1)*5+COLUMN(E410)+1),",",".")</f>
        <v/>
      </c>
      <c r="K411" s="47" t="s">
        <v>898</v>
      </c>
      <c r="L411" s="100">
        <f>Закуп!AA411</f>
        <v>0</v>
      </c>
      <c r="M411" s="47" t="s">
        <v>899</v>
      </c>
      <c r="N411" s="47">
        <f>IF(Закуп!L411="",0,Закуп!L411)</f>
        <v>0</v>
      </c>
      <c r="O411" s="47" t="s">
        <v>900</v>
      </c>
      <c r="P411" s="165">
        <f>Закуп!N411</f>
        <v>0</v>
      </c>
      <c r="Q411" s="210" t="str">
        <f t="shared" si="8"/>
        <v xml:space="preserve">        [ 'dims' =&gt; [0,0,0], 'prices' =&gt; [,,,,], 'type' =&gt; "0", 'sale' =&gt; "0" ],</v>
      </c>
    </row>
    <row r="412" spans="1:17" hidden="1" x14ac:dyDescent="0.4">
      <c r="A412" s="47" t="s">
        <v>896</v>
      </c>
      <c r="B412" s="47">
        <f>Закуп!R412</f>
        <v>0</v>
      </c>
      <c r="C412" s="47">
        <f>Закуп!S412</f>
        <v>0</v>
      </c>
      <c r="D412" s="47">
        <f>Закуп!T412</f>
        <v>0</v>
      </c>
      <c r="E412" s="47" t="s">
        <v>897</v>
      </c>
      <c r="F412" s="100" t="str">
        <f>SUBSTITUTE(INDEX(Calc!$K:$K,(ROW(A411)-1)*5+COLUMN(A411)+1),",",".")</f>
        <v/>
      </c>
      <c r="G412" s="100" t="str">
        <f>SUBSTITUTE(INDEX(Calc!$K:$K,(ROW(B411)-1)*5+COLUMN(B411)+1),",",".")</f>
        <v/>
      </c>
      <c r="H412" s="100" t="str">
        <f>SUBSTITUTE(INDEX(Calc!$K:$K,(ROW(C411)-1)*5+COLUMN(C411)+1),",",".")</f>
        <v/>
      </c>
      <c r="I412" s="100" t="str">
        <f>SUBSTITUTE(INDEX(Calc!$K:$K,(ROW(D411)-1)*5+COLUMN(D411)+1),",",".")</f>
        <v/>
      </c>
      <c r="J412" s="100" t="str">
        <f>SUBSTITUTE(INDEX(Calc!$K:$K,(ROW(E411)-1)*5+COLUMN(E411)+1),",",".")</f>
        <v/>
      </c>
      <c r="K412" s="47" t="s">
        <v>898</v>
      </c>
      <c r="L412" s="100">
        <f>Закуп!AA412</f>
        <v>0</v>
      </c>
      <c r="M412" s="47" t="s">
        <v>899</v>
      </c>
      <c r="N412" s="47">
        <f>IF(Закуп!L412="",0,Закуп!L412)</f>
        <v>0</v>
      </c>
      <c r="O412" s="47" t="s">
        <v>900</v>
      </c>
      <c r="P412" s="165">
        <f>Закуп!N412</f>
        <v>0</v>
      </c>
      <c r="Q412" s="210" t="str">
        <f t="shared" si="8"/>
        <v xml:space="preserve">        [ 'dims' =&gt; [0,0,0], 'prices' =&gt; [,,,,], 'type' =&gt; "0", 'sale' =&gt; "0" ],</v>
      </c>
    </row>
    <row r="413" spans="1:17" hidden="1" x14ac:dyDescent="0.4">
      <c r="A413" s="47" t="s">
        <v>896</v>
      </c>
      <c r="B413" s="47">
        <f>Закуп!R413</f>
        <v>0</v>
      </c>
      <c r="C413" s="47">
        <f>Закуп!S413</f>
        <v>0</v>
      </c>
      <c r="D413" s="47">
        <f>Закуп!T413</f>
        <v>0</v>
      </c>
      <c r="E413" s="47" t="s">
        <v>897</v>
      </c>
      <c r="F413" s="100" t="str">
        <f>SUBSTITUTE(INDEX(Calc!$K:$K,(ROW(A412)-1)*5+COLUMN(A412)+1),",",".")</f>
        <v/>
      </c>
      <c r="G413" s="100" t="str">
        <f>SUBSTITUTE(INDEX(Calc!$K:$K,(ROW(B412)-1)*5+COLUMN(B412)+1),",",".")</f>
        <v/>
      </c>
      <c r="H413" s="100" t="str">
        <f>SUBSTITUTE(INDEX(Calc!$K:$K,(ROW(C412)-1)*5+COLUMN(C412)+1),",",".")</f>
        <v/>
      </c>
      <c r="I413" s="100" t="str">
        <f>SUBSTITUTE(INDEX(Calc!$K:$K,(ROW(D412)-1)*5+COLUMN(D412)+1),",",".")</f>
        <v/>
      </c>
      <c r="J413" s="100" t="str">
        <f>SUBSTITUTE(INDEX(Calc!$K:$K,(ROW(E412)-1)*5+COLUMN(E412)+1),",",".")</f>
        <v/>
      </c>
      <c r="K413" s="47" t="s">
        <v>898</v>
      </c>
      <c r="L413" s="100">
        <f>Закуп!AA413</f>
        <v>0</v>
      </c>
      <c r="M413" s="47" t="s">
        <v>899</v>
      </c>
      <c r="N413" s="47">
        <f>IF(Закуп!L413="",0,Закуп!L413)</f>
        <v>0</v>
      </c>
      <c r="O413" s="47" t="s">
        <v>900</v>
      </c>
      <c r="P413" s="165">
        <f>Закуп!N413</f>
        <v>0</v>
      </c>
      <c r="Q413" s="210" t="str">
        <f t="shared" si="8"/>
        <v xml:space="preserve">        [ 'dims' =&gt; [0,0,0], 'prices' =&gt; [,,,,], 'type' =&gt; "0", 'sale' =&gt; "0" ],</v>
      </c>
    </row>
    <row r="414" spans="1:17" hidden="1" x14ac:dyDescent="0.4">
      <c r="A414" s="47" t="s">
        <v>896</v>
      </c>
      <c r="B414" s="47">
        <f>Закуп!R414</f>
        <v>0</v>
      </c>
      <c r="C414" s="47">
        <f>Закуп!S414</f>
        <v>0</v>
      </c>
      <c r="D414" s="47">
        <f>Закуп!T414</f>
        <v>0</v>
      </c>
      <c r="E414" s="47" t="s">
        <v>897</v>
      </c>
      <c r="F414" s="100" t="str">
        <f>SUBSTITUTE(INDEX(Calc!$K:$K,(ROW(A413)-1)*5+COLUMN(A413)+1),",",".")</f>
        <v/>
      </c>
      <c r="G414" s="100" t="str">
        <f>SUBSTITUTE(INDEX(Calc!$K:$K,(ROW(B413)-1)*5+COLUMN(B413)+1),",",".")</f>
        <v/>
      </c>
      <c r="H414" s="100" t="str">
        <f>SUBSTITUTE(INDEX(Calc!$K:$K,(ROW(C413)-1)*5+COLUMN(C413)+1),",",".")</f>
        <v/>
      </c>
      <c r="I414" s="100" t="str">
        <f>SUBSTITUTE(INDEX(Calc!$K:$K,(ROW(D413)-1)*5+COLUMN(D413)+1),",",".")</f>
        <v/>
      </c>
      <c r="J414" s="100" t="str">
        <f>SUBSTITUTE(INDEX(Calc!$K:$K,(ROW(E413)-1)*5+COLUMN(E413)+1),",",".")</f>
        <v/>
      </c>
      <c r="K414" s="47" t="s">
        <v>898</v>
      </c>
      <c r="L414" s="100">
        <f>Закуп!AA414</f>
        <v>0</v>
      </c>
      <c r="M414" s="47" t="s">
        <v>899</v>
      </c>
      <c r="N414" s="47">
        <f>IF(Закуп!L414="",0,Закуп!L414)</f>
        <v>0</v>
      </c>
      <c r="O414" s="47" t="s">
        <v>900</v>
      </c>
      <c r="P414" s="165">
        <f>Закуп!N414</f>
        <v>0</v>
      </c>
      <c r="Q414" s="210" t="str">
        <f t="shared" si="8"/>
        <v xml:space="preserve">        [ 'dims' =&gt; [0,0,0], 'prices' =&gt; [,,,,], 'type' =&gt; "0", 'sale' =&gt; "0" ],</v>
      </c>
    </row>
    <row r="415" spans="1:17" hidden="1" x14ac:dyDescent="0.4">
      <c r="A415" s="47" t="s">
        <v>896</v>
      </c>
      <c r="B415" s="47">
        <f>Закуп!R415</f>
        <v>0</v>
      </c>
      <c r="C415" s="47">
        <f>Закуп!S415</f>
        <v>0</v>
      </c>
      <c r="D415" s="47">
        <f>Закуп!T415</f>
        <v>0</v>
      </c>
      <c r="E415" s="47" t="s">
        <v>897</v>
      </c>
      <c r="F415" s="100" t="str">
        <f>SUBSTITUTE(INDEX(Calc!$K:$K,(ROW(A414)-1)*5+COLUMN(A414)+1),",",".")</f>
        <v/>
      </c>
      <c r="G415" s="100" t="str">
        <f>SUBSTITUTE(INDEX(Calc!$K:$K,(ROW(B414)-1)*5+COLUMN(B414)+1),",",".")</f>
        <v/>
      </c>
      <c r="H415" s="100" t="str">
        <f>SUBSTITUTE(INDEX(Calc!$K:$K,(ROW(C414)-1)*5+COLUMN(C414)+1),",",".")</f>
        <v/>
      </c>
      <c r="I415" s="100" t="str">
        <f>SUBSTITUTE(INDEX(Calc!$K:$K,(ROW(D414)-1)*5+COLUMN(D414)+1),",",".")</f>
        <v/>
      </c>
      <c r="J415" s="100" t="str">
        <f>SUBSTITUTE(INDEX(Calc!$K:$K,(ROW(E414)-1)*5+COLUMN(E414)+1),",",".")</f>
        <v/>
      </c>
      <c r="K415" s="47" t="s">
        <v>898</v>
      </c>
      <c r="L415" s="100">
        <f>Закуп!AA415</f>
        <v>0</v>
      </c>
      <c r="M415" s="47" t="s">
        <v>899</v>
      </c>
      <c r="N415" s="47">
        <f>IF(Закуп!L415="",0,Закуп!L415)</f>
        <v>0</v>
      </c>
      <c r="O415" s="47" t="s">
        <v>900</v>
      </c>
      <c r="P415" s="165">
        <f>Закуп!N415</f>
        <v>0</v>
      </c>
      <c r="Q415" s="210" t="str">
        <f t="shared" si="8"/>
        <v xml:space="preserve">        [ 'dims' =&gt; [0,0,0], 'prices' =&gt; [,,,,], 'type' =&gt; "0", 'sale' =&gt; "0" ],</v>
      </c>
    </row>
    <row r="416" spans="1:17" hidden="1" x14ac:dyDescent="0.4">
      <c r="A416" s="47" t="s">
        <v>896</v>
      </c>
      <c r="B416" s="47">
        <f>Закуп!R416</f>
        <v>0</v>
      </c>
      <c r="C416" s="47">
        <f>Закуп!S416</f>
        <v>0</v>
      </c>
      <c r="D416" s="47">
        <f>Закуп!T416</f>
        <v>0</v>
      </c>
      <c r="E416" s="47" t="s">
        <v>897</v>
      </c>
      <c r="F416" s="100" t="str">
        <f>SUBSTITUTE(INDEX(Calc!$K:$K,(ROW(A415)-1)*5+COLUMN(A415)+1),",",".")</f>
        <v/>
      </c>
      <c r="G416" s="100" t="str">
        <f>SUBSTITUTE(INDEX(Calc!$K:$K,(ROW(B415)-1)*5+COLUMN(B415)+1),",",".")</f>
        <v/>
      </c>
      <c r="H416" s="100" t="str">
        <f>SUBSTITUTE(INDEX(Calc!$K:$K,(ROW(C415)-1)*5+COLUMN(C415)+1),",",".")</f>
        <v/>
      </c>
      <c r="I416" s="100" t="str">
        <f>SUBSTITUTE(INDEX(Calc!$K:$K,(ROW(D415)-1)*5+COLUMN(D415)+1),",",".")</f>
        <v/>
      </c>
      <c r="J416" s="100" t="str">
        <f>SUBSTITUTE(INDEX(Calc!$K:$K,(ROW(E415)-1)*5+COLUMN(E415)+1),",",".")</f>
        <v/>
      </c>
      <c r="K416" s="47" t="s">
        <v>898</v>
      </c>
      <c r="L416" s="100">
        <f>Закуп!AA416</f>
        <v>0</v>
      </c>
      <c r="M416" s="47" t="s">
        <v>899</v>
      </c>
      <c r="N416" s="47">
        <f>IF(Закуп!L416="",0,Закуп!L416)</f>
        <v>0</v>
      </c>
      <c r="O416" s="47" t="s">
        <v>900</v>
      </c>
      <c r="P416" s="165">
        <f>Закуп!N416</f>
        <v>0</v>
      </c>
      <c r="Q416" s="210" t="str">
        <f t="shared" si="8"/>
        <v xml:space="preserve">        [ 'dims' =&gt; [0,0,0], 'prices' =&gt; [,,,,], 'type' =&gt; "0", 'sale' =&gt; "0" ],</v>
      </c>
    </row>
    <row r="417" spans="1:17" hidden="1" x14ac:dyDescent="0.4">
      <c r="A417" s="47" t="s">
        <v>896</v>
      </c>
      <c r="B417" s="47">
        <f>Закуп!R417</f>
        <v>0</v>
      </c>
      <c r="C417" s="47">
        <f>Закуп!S417</f>
        <v>0</v>
      </c>
      <c r="D417" s="47">
        <f>Закуп!T417</f>
        <v>0</v>
      </c>
      <c r="E417" s="47" t="s">
        <v>897</v>
      </c>
      <c r="F417" s="100" t="str">
        <f>SUBSTITUTE(INDEX(Calc!$K:$K,(ROW(A416)-1)*5+COLUMN(A416)+1),",",".")</f>
        <v/>
      </c>
      <c r="G417" s="100" t="str">
        <f>SUBSTITUTE(INDEX(Calc!$K:$K,(ROW(B416)-1)*5+COLUMN(B416)+1),",",".")</f>
        <v/>
      </c>
      <c r="H417" s="100" t="str">
        <f>SUBSTITUTE(INDEX(Calc!$K:$K,(ROW(C416)-1)*5+COLUMN(C416)+1),",",".")</f>
        <v/>
      </c>
      <c r="I417" s="100" t="str">
        <f>SUBSTITUTE(INDEX(Calc!$K:$K,(ROW(D416)-1)*5+COLUMN(D416)+1),",",".")</f>
        <v/>
      </c>
      <c r="J417" s="100" t="str">
        <f>SUBSTITUTE(INDEX(Calc!$K:$K,(ROW(E416)-1)*5+COLUMN(E416)+1),",",".")</f>
        <v/>
      </c>
      <c r="K417" s="47" t="s">
        <v>898</v>
      </c>
      <c r="L417" s="100">
        <f>Закуп!AA417</f>
        <v>0</v>
      </c>
      <c r="M417" s="47" t="s">
        <v>899</v>
      </c>
      <c r="N417" s="47">
        <f>IF(Закуп!L417="",0,Закуп!L417)</f>
        <v>0</v>
      </c>
      <c r="O417" s="47" t="s">
        <v>900</v>
      </c>
      <c r="P417" s="165">
        <f>Закуп!N417</f>
        <v>0</v>
      </c>
      <c r="Q417" s="210" t="str">
        <f t="shared" si="8"/>
        <v xml:space="preserve">        [ 'dims' =&gt; [0,0,0], 'prices' =&gt; [,,,,], 'type' =&gt; "0", 'sale' =&gt; "0" ],</v>
      </c>
    </row>
    <row r="418" spans="1:17" hidden="1" x14ac:dyDescent="0.4">
      <c r="A418" s="47" t="s">
        <v>896</v>
      </c>
      <c r="B418" s="47">
        <f>Закуп!R418</f>
        <v>0</v>
      </c>
      <c r="C418" s="47">
        <f>Закуп!S418</f>
        <v>0</v>
      </c>
      <c r="D418" s="47">
        <f>Закуп!T418</f>
        <v>0</v>
      </c>
      <c r="E418" s="47" t="s">
        <v>897</v>
      </c>
      <c r="F418" s="100" t="str">
        <f>SUBSTITUTE(INDEX(Calc!$K:$K,(ROW(A417)-1)*5+COLUMN(A417)+1),",",".")</f>
        <v/>
      </c>
      <c r="G418" s="100" t="str">
        <f>SUBSTITUTE(INDEX(Calc!$K:$K,(ROW(B417)-1)*5+COLUMN(B417)+1),",",".")</f>
        <v/>
      </c>
      <c r="H418" s="100" t="str">
        <f>SUBSTITUTE(INDEX(Calc!$K:$K,(ROW(C417)-1)*5+COLUMN(C417)+1),",",".")</f>
        <v/>
      </c>
      <c r="I418" s="100" t="str">
        <f>SUBSTITUTE(INDEX(Calc!$K:$K,(ROW(D417)-1)*5+COLUMN(D417)+1),",",".")</f>
        <v/>
      </c>
      <c r="J418" s="100" t="str">
        <f>SUBSTITUTE(INDEX(Calc!$K:$K,(ROW(E417)-1)*5+COLUMN(E417)+1),",",".")</f>
        <v/>
      </c>
      <c r="K418" s="47" t="s">
        <v>898</v>
      </c>
      <c r="L418" s="100">
        <f>Закуп!AA418</f>
        <v>0</v>
      </c>
      <c r="M418" s="47" t="s">
        <v>899</v>
      </c>
      <c r="N418" s="47">
        <f>IF(Закуп!L418="",0,Закуп!L418)</f>
        <v>0</v>
      </c>
      <c r="O418" s="47" t="s">
        <v>900</v>
      </c>
      <c r="P418" s="165">
        <f>Закуп!N418</f>
        <v>0</v>
      </c>
      <c r="Q418" s="210" t="str">
        <f t="shared" si="8"/>
        <v xml:space="preserve">        [ 'dims' =&gt; [0,0,0], 'prices' =&gt; [,,,,], 'type' =&gt; "0", 'sale' =&gt; "0" ],</v>
      </c>
    </row>
    <row r="419" spans="1:17" hidden="1" x14ac:dyDescent="0.4">
      <c r="A419" s="47" t="s">
        <v>896</v>
      </c>
      <c r="B419" s="47">
        <f>Закуп!R419</f>
        <v>0</v>
      </c>
      <c r="C419" s="47">
        <f>Закуп!S419</f>
        <v>0</v>
      </c>
      <c r="D419" s="47">
        <f>Закуп!T419</f>
        <v>0</v>
      </c>
      <c r="E419" s="47" t="s">
        <v>897</v>
      </c>
      <c r="F419" s="100" t="str">
        <f>SUBSTITUTE(INDEX(Calc!$K:$K,(ROW(A418)-1)*5+COLUMN(A418)+1),",",".")</f>
        <v/>
      </c>
      <c r="G419" s="100" t="str">
        <f>SUBSTITUTE(INDEX(Calc!$K:$K,(ROW(B418)-1)*5+COLUMN(B418)+1),",",".")</f>
        <v/>
      </c>
      <c r="H419" s="100" t="str">
        <f>SUBSTITUTE(INDEX(Calc!$K:$K,(ROW(C418)-1)*5+COLUMN(C418)+1),",",".")</f>
        <v/>
      </c>
      <c r="I419" s="100" t="str">
        <f>SUBSTITUTE(INDEX(Calc!$K:$K,(ROW(D418)-1)*5+COLUMN(D418)+1),",",".")</f>
        <v/>
      </c>
      <c r="J419" s="100" t="str">
        <f>SUBSTITUTE(INDEX(Calc!$K:$K,(ROW(E418)-1)*5+COLUMN(E418)+1),",",".")</f>
        <v/>
      </c>
      <c r="K419" s="47" t="s">
        <v>898</v>
      </c>
      <c r="L419" s="100">
        <f>Закуп!AA419</f>
        <v>0</v>
      </c>
      <c r="M419" s="47" t="s">
        <v>899</v>
      </c>
      <c r="N419" s="47">
        <f>IF(Закуп!L419="",0,Закуп!L419)</f>
        <v>0</v>
      </c>
      <c r="O419" s="47" t="s">
        <v>900</v>
      </c>
      <c r="P419" s="165">
        <f>Закуп!N419</f>
        <v>0</v>
      </c>
      <c r="Q419" s="210" t="str">
        <f t="shared" si="8"/>
        <v xml:space="preserve">        [ 'dims' =&gt; [0,0,0], 'prices' =&gt; [,,,,], 'type' =&gt; "0", 'sale' =&gt; "0" ],</v>
      </c>
    </row>
    <row r="420" spans="1:17" hidden="1" x14ac:dyDescent="0.4">
      <c r="A420" s="47" t="s">
        <v>896</v>
      </c>
      <c r="B420" s="47">
        <f>Закуп!R420</f>
        <v>0</v>
      </c>
      <c r="C420" s="47">
        <f>Закуп!S420</f>
        <v>0</v>
      </c>
      <c r="D420" s="47">
        <f>Закуп!T420</f>
        <v>0</v>
      </c>
      <c r="E420" s="47" t="s">
        <v>897</v>
      </c>
      <c r="F420" s="100" t="str">
        <f>SUBSTITUTE(INDEX(Calc!$K:$K,(ROW(A419)-1)*5+COLUMN(A419)+1),",",".")</f>
        <v/>
      </c>
      <c r="G420" s="100" t="str">
        <f>SUBSTITUTE(INDEX(Calc!$K:$K,(ROW(B419)-1)*5+COLUMN(B419)+1),",",".")</f>
        <v/>
      </c>
      <c r="H420" s="100" t="str">
        <f>SUBSTITUTE(INDEX(Calc!$K:$K,(ROW(C419)-1)*5+COLUMN(C419)+1),",",".")</f>
        <v/>
      </c>
      <c r="I420" s="100" t="str">
        <f>SUBSTITUTE(INDEX(Calc!$K:$K,(ROW(D419)-1)*5+COLUMN(D419)+1),",",".")</f>
        <v/>
      </c>
      <c r="J420" s="100" t="str">
        <f>SUBSTITUTE(INDEX(Calc!$K:$K,(ROW(E419)-1)*5+COLUMN(E419)+1),",",".")</f>
        <v/>
      </c>
      <c r="K420" s="47" t="s">
        <v>898</v>
      </c>
      <c r="L420" s="100">
        <f>Закуп!AA420</f>
        <v>0</v>
      </c>
      <c r="M420" s="47" t="s">
        <v>899</v>
      </c>
      <c r="N420" s="47">
        <f>IF(Закуп!L420="",0,Закуп!L420)</f>
        <v>0</v>
      </c>
      <c r="O420" s="47" t="s">
        <v>900</v>
      </c>
      <c r="P420" s="165">
        <f>Закуп!N420</f>
        <v>0</v>
      </c>
      <c r="Q420" s="210" t="str">
        <f t="shared" si="8"/>
        <v xml:space="preserve">        [ 'dims' =&gt; [0,0,0], 'prices' =&gt; [,,,,], 'type' =&gt; "0", 'sale' =&gt; "0" ],</v>
      </c>
    </row>
    <row r="421" spans="1:17" hidden="1" x14ac:dyDescent="0.4">
      <c r="A421" s="47" t="s">
        <v>896</v>
      </c>
      <c r="B421" s="47">
        <f>Закуп!R421</f>
        <v>0</v>
      </c>
      <c r="C421" s="47">
        <f>Закуп!S421</f>
        <v>0</v>
      </c>
      <c r="D421" s="47">
        <f>Закуп!T421</f>
        <v>0</v>
      </c>
      <c r="E421" s="47" t="s">
        <v>897</v>
      </c>
      <c r="F421" s="100" t="str">
        <f>SUBSTITUTE(INDEX(Calc!$K:$K,(ROW(A420)-1)*5+COLUMN(A420)+1),",",".")</f>
        <v/>
      </c>
      <c r="G421" s="100" t="str">
        <f>SUBSTITUTE(INDEX(Calc!$K:$K,(ROW(B420)-1)*5+COLUMN(B420)+1),",",".")</f>
        <v/>
      </c>
      <c r="H421" s="100" t="str">
        <f>SUBSTITUTE(INDEX(Calc!$K:$K,(ROW(C420)-1)*5+COLUMN(C420)+1),",",".")</f>
        <v/>
      </c>
      <c r="I421" s="100" t="str">
        <f>SUBSTITUTE(INDEX(Calc!$K:$K,(ROW(D420)-1)*5+COLUMN(D420)+1),",",".")</f>
        <v/>
      </c>
      <c r="J421" s="100" t="str">
        <f>SUBSTITUTE(INDEX(Calc!$K:$K,(ROW(E420)-1)*5+COLUMN(E420)+1),",",".")</f>
        <v/>
      </c>
      <c r="K421" s="47" t="s">
        <v>898</v>
      </c>
      <c r="L421" s="100">
        <f>Закуп!AA421</f>
        <v>0</v>
      </c>
      <c r="M421" s="47" t="s">
        <v>899</v>
      </c>
      <c r="N421" s="47">
        <f>IF(Закуп!L421="",0,Закуп!L421)</f>
        <v>0</v>
      </c>
      <c r="O421" s="47" t="s">
        <v>900</v>
      </c>
      <c r="P421" s="165">
        <f>Закуп!N421</f>
        <v>0</v>
      </c>
      <c r="Q421" s="210" t="str">
        <f t="shared" si="8"/>
        <v xml:space="preserve">        [ 'dims' =&gt; [0,0,0], 'prices' =&gt; [,,,,], 'type' =&gt; "0", 'sale' =&gt; "0" ],</v>
      </c>
    </row>
    <row r="422" spans="1:17" hidden="1" x14ac:dyDescent="0.4">
      <c r="A422" s="47" t="s">
        <v>896</v>
      </c>
      <c r="B422" s="47">
        <f>Закуп!R422</f>
        <v>0</v>
      </c>
      <c r="C422" s="47">
        <f>Закуп!S422</f>
        <v>0</v>
      </c>
      <c r="D422" s="47">
        <f>Закуп!T422</f>
        <v>0</v>
      </c>
      <c r="E422" s="47" t="s">
        <v>897</v>
      </c>
      <c r="F422" s="100" t="str">
        <f>SUBSTITUTE(INDEX(Calc!$K:$K,(ROW(A421)-1)*5+COLUMN(A421)+1),",",".")</f>
        <v/>
      </c>
      <c r="G422" s="100" t="str">
        <f>SUBSTITUTE(INDEX(Calc!$K:$K,(ROW(B421)-1)*5+COLUMN(B421)+1),",",".")</f>
        <v/>
      </c>
      <c r="H422" s="100" t="str">
        <f>SUBSTITUTE(INDEX(Calc!$K:$K,(ROW(C421)-1)*5+COLUMN(C421)+1),",",".")</f>
        <v/>
      </c>
      <c r="I422" s="100" t="str">
        <f>SUBSTITUTE(INDEX(Calc!$K:$K,(ROW(D421)-1)*5+COLUMN(D421)+1),",",".")</f>
        <v/>
      </c>
      <c r="J422" s="100" t="str">
        <f>SUBSTITUTE(INDEX(Calc!$K:$K,(ROW(E421)-1)*5+COLUMN(E421)+1),",",".")</f>
        <v/>
      </c>
      <c r="K422" s="47" t="s">
        <v>898</v>
      </c>
      <c r="L422" s="100">
        <f>Закуп!AA422</f>
        <v>0</v>
      </c>
      <c r="M422" s="47" t="s">
        <v>899</v>
      </c>
      <c r="N422" s="47">
        <f>IF(Закуп!L422="",0,Закуп!L422)</f>
        <v>0</v>
      </c>
      <c r="O422" s="47" t="s">
        <v>900</v>
      </c>
      <c r="P422" s="165">
        <f>Закуп!N422</f>
        <v>0</v>
      </c>
      <c r="Q422" s="210" t="str">
        <f t="shared" si="8"/>
        <v xml:space="preserve">        [ 'dims' =&gt; [0,0,0], 'prices' =&gt; [,,,,], 'type' =&gt; "0", 'sale' =&gt; "0" ],</v>
      </c>
    </row>
    <row r="423" spans="1:17" hidden="1" x14ac:dyDescent="0.4">
      <c r="A423" s="47" t="s">
        <v>896</v>
      </c>
      <c r="B423" s="47">
        <f>Закуп!R423</f>
        <v>0</v>
      </c>
      <c r="C423" s="47">
        <f>Закуп!S423</f>
        <v>0</v>
      </c>
      <c r="D423" s="47">
        <f>Закуп!T423</f>
        <v>0</v>
      </c>
      <c r="E423" s="47" t="s">
        <v>897</v>
      </c>
      <c r="F423" s="100" t="str">
        <f>SUBSTITUTE(INDEX(Calc!$K:$K,(ROW(A422)-1)*5+COLUMN(A422)+1),",",".")</f>
        <v/>
      </c>
      <c r="G423" s="100" t="str">
        <f>SUBSTITUTE(INDEX(Calc!$K:$K,(ROW(B422)-1)*5+COLUMN(B422)+1),",",".")</f>
        <v/>
      </c>
      <c r="H423" s="100" t="str">
        <f>SUBSTITUTE(INDEX(Calc!$K:$K,(ROW(C422)-1)*5+COLUMN(C422)+1),",",".")</f>
        <v/>
      </c>
      <c r="I423" s="100" t="str">
        <f>SUBSTITUTE(INDEX(Calc!$K:$K,(ROW(D422)-1)*5+COLUMN(D422)+1),",",".")</f>
        <v/>
      </c>
      <c r="J423" s="100" t="str">
        <f>SUBSTITUTE(INDEX(Calc!$K:$K,(ROW(E422)-1)*5+COLUMN(E422)+1),",",".")</f>
        <v/>
      </c>
      <c r="K423" s="47" t="s">
        <v>898</v>
      </c>
      <c r="L423" s="100">
        <f>Закуп!AA423</f>
        <v>0</v>
      </c>
      <c r="M423" s="47" t="s">
        <v>899</v>
      </c>
      <c r="N423" s="47">
        <f>IF(Закуп!L423="",0,Закуп!L423)</f>
        <v>0</v>
      </c>
      <c r="O423" s="47" t="s">
        <v>900</v>
      </c>
      <c r="P423" s="165">
        <f>Закуп!N423</f>
        <v>0</v>
      </c>
      <c r="Q423" s="210" t="str">
        <f t="shared" si="8"/>
        <v xml:space="preserve">        [ 'dims' =&gt; [0,0,0], 'prices' =&gt; [,,,,], 'type' =&gt; "0", 'sale' =&gt; "0" ],</v>
      </c>
    </row>
    <row r="424" spans="1:17" hidden="1" x14ac:dyDescent="0.4">
      <c r="A424" s="47" t="s">
        <v>896</v>
      </c>
      <c r="B424" s="47">
        <f>Закуп!R424</f>
        <v>0</v>
      </c>
      <c r="C424" s="47">
        <f>Закуп!S424</f>
        <v>0</v>
      </c>
      <c r="D424" s="47">
        <f>Закуп!T424</f>
        <v>0</v>
      </c>
      <c r="E424" s="47" t="s">
        <v>897</v>
      </c>
      <c r="F424" s="100" t="str">
        <f>SUBSTITUTE(INDEX(Calc!$K:$K,(ROW(A423)-1)*5+COLUMN(A423)+1),",",".")</f>
        <v/>
      </c>
      <c r="G424" s="100" t="str">
        <f>SUBSTITUTE(INDEX(Calc!$K:$K,(ROW(B423)-1)*5+COLUMN(B423)+1),",",".")</f>
        <v/>
      </c>
      <c r="H424" s="100" t="str">
        <f>SUBSTITUTE(INDEX(Calc!$K:$K,(ROW(C423)-1)*5+COLUMN(C423)+1),",",".")</f>
        <v/>
      </c>
      <c r="I424" s="100" t="str">
        <f>SUBSTITUTE(INDEX(Calc!$K:$K,(ROW(D423)-1)*5+COLUMN(D423)+1),",",".")</f>
        <v/>
      </c>
      <c r="J424" s="100" t="str">
        <f>SUBSTITUTE(INDEX(Calc!$K:$K,(ROW(E423)-1)*5+COLUMN(E423)+1),",",".")</f>
        <v/>
      </c>
      <c r="K424" s="47" t="s">
        <v>898</v>
      </c>
      <c r="L424" s="100">
        <f>Закуп!AA424</f>
        <v>0</v>
      </c>
      <c r="M424" s="47" t="s">
        <v>899</v>
      </c>
      <c r="N424" s="47">
        <f>IF(Закуп!L424="",0,Закуп!L424)</f>
        <v>0</v>
      </c>
      <c r="O424" s="47" t="s">
        <v>900</v>
      </c>
      <c r="P424" s="165">
        <f>Закуп!N424</f>
        <v>0</v>
      </c>
      <c r="Q424" s="210" t="str">
        <f t="shared" si="8"/>
        <v xml:space="preserve">        [ 'dims' =&gt; [0,0,0], 'prices' =&gt; [,,,,], 'type' =&gt; "0", 'sale' =&gt; "0" ],</v>
      </c>
    </row>
    <row r="425" spans="1:17" hidden="1" x14ac:dyDescent="0.4">
      <c r="A425" s="47" t="s">
        <v>896</v>
      </c>
      <c r="B425" s="47">
        <f>Закуп!R425</f>
        <v>0</v>
      </c>
      <c r="C425" s="47">
        <f>Закуп!S425</f>
        <v>0</v>
      </c>
      <c r="D425" s="47">
        <f>Закуп!T425</f>
        <v>0</v>
      </c>
      <c r="E425" s="47" t="s">
        <v>897</v>
      </c>
      <c r="F425" s="100" t="str">
        <f>SUBSTITUTE(INDEX(Calc!$K:$K,(ROW(A424)-1)*5+COLUMN(A424)+1),",",".")</f>
        <v/>
      </c>
      <c r="G425" s="100" t="str">
        <f>SUBSTITUTE(INDEX(Calc!$K:$K,(ROW(B424)-1)*5+COLUMN(B424)+1),",",".")</f>
        <v/>
      </c>
      <c r="H425" s="100" t="str">
        <f>SUBSTITUTE(INDEX(Calc!$K:$K,(ROW(C424)-1)*5+COLUMN(C424)+1),",",".")</f>
        <v/>
      </c>
      <c r="I425" s="100" t="str">
        <f>SUBSTITUTE(INDEX(Calc!$K:$K,(ROW(D424)-1)*5+COLUMN(D424)+1),",",".")</f>
        <v/>
      </c>
      <c r="J425" s="100" t="str">
        <f>SUBSTITUTE(INDEX(Calc!$K:$K,(ROW(E424)-1)*5+COLUMN(E424)+1),",",".")</f>
        <v/>
      </c>
      <c r="K425" s="47" t="s">
        <v>898</v>
      </c>
      <c r="L425" s="100">
        <f>Закуп!AA425</f>
        <v>0</v>
      </c>
      <c r="M425" s="47" t="s">
        <v>899</v>
      </c>
      <c r="N425" s="47">
        <f>IF(Закуп!L425="",0,Закуп!L425)</f>
        <v>0</v>
      </c>
      <c r="O425" s="47" t="s">
        <v>900</v>
      </c>
      <c r="P425" s="165">
        <f>Закуп!N425</f>
        <v>0</v>
      </c>
      <c r="Q425" s="210" t="str">
        <f t="shared" si="8"/>
        <v xml:space="preserve">        [ 'dims' =&gt; [0,0,0], 'prices' =&gt; [,,,,], 'type' =&gt; "0", 'sale' =&gt; "0" ],</v>
      </c>
    </row>
    <row r="426" spans="1:17" hidden="1" x14ac:dyDescent="0.4">
      <c r="A426" s="47" t="s">
        <v>896</v>
      </c>
      <c r="B426" s="47">
        <f>Закуп!R426</f>
        <v>0</v>
      </c>
      <c r="C426" s="47">
        <f>Закуп!S426</f>
        <v>0</v>
      </c>
      <c r="D426" s="47">
        <f>Закуп!T426</f>
        <v>0</v>
      </c>
      <c r="E426" s="47" t="s">
        <v>897</v>
      </c>
      <c r="F426" s="100" t="str">
        <f>SUBSTITUTE(INDEX(Calc!$K:$K,(ROW(A425)-1)*5+COLUMN(A425)+1),",",".")</f>
        <v/>
      </c>
      <c r="G426" s="100" t="str">
        <f>SUBSTITUTE(INDEX(Calc!$K:$K,(ROW(B425)-1)*5+COLUMN(B425)+1),",",".")</f>
        <v/>
      </c>
      <c r="H426" s="100" t="str">
        <f>SUBSTITUTE(INDEX(Calc!$K:$K,(ROW(C425)-1)*5+COLUMN(C425)+1),",",".")</f>
        <v/>
      </c>
      <c r="I426" s="100" t="str">
        <f>SUBSTITUTE(INDEX(Calc!$K:$K,(ROW(D425)-1)*5+COLUMN(D425)+1),",",".")</f>
        <v/>
      </c>
      <c r="J426" s="100" t="str">
        <f>SUBSTITUTE(INDEX(Calc!$K:$K,(ROW(E425)-1)*5+COLUMN(E425)+1),",",".")</f>
        <v/>
      </c>
      <c r="K426" s="47" t="s">
        <v>898</v>
      </c>
      <c r="L426" s="100">
        <f>Закуп!AA426</f>
        <v>0</v>
      </c>
      <c r="M426" s="47" t="s">
        <v>899</v>
      </c>
      <c r="N426" s="47">
        <f>IF(Закуп!L426="",0,Закуп!L426)</f>
        <v>0</v>
      </c>
      <c r="O426" s="47" t="s">
        <v>900</v>
      </c>
      <c r="P426" s="165">
        <f>Закуп!N426</f>
        <v>0</v>
      </c>
      <c r="Q426" s="210" t="str">
        <f t="shared" si="8"/>
        <v xml:space="preserve">        [ 'dims' =&gt; [0,0,0], 'prices' =&gt; [,,,,], 'type' =&gt; "0", 'sale' =&gt; "0" ],</v>
      </c>
    </row>
    <row r="427" spans="1:17" hidden="1" x14ac:dyDescent="0.4">
      <c r="A427" s="47" t="s">
        <v>896</v>
      </c>
      <c r="B427" s="47">
        <f>Закуп!R427</f>
        <v>0</v>
      </c>
      <c r="C427" s="47">
        <f>Закуп!S427</f>
        <v>0</v>
      </c>
      <c r="D427" s="47">
        <f>Закуп!T427</f>
        <v>0</v>
      </c>
      <c r="E427" s="47" t="s">
        <v>897</v>
      </c>
      <c r="F427" s="100" t="str">
        <f>SUBSTITUTE(INDEX(Calc!$K:$K,(ROW(A426)-1)*5+COLUMN(A426)+1),",",".")</f>
        <v/>
      </c>
      <c r="G427" s="100" t="str">
        <f>SUBSTITUTE(INDEX(Calc!$K:$K,(ROW(B426)-1)*5+COLUMN(B426)+1),",",".")</f>
        <v/>
      </c>
      <c r="H427" s="100" t="str">
        <f>SUBSTITUTE(INDEX(Calc!$K:$K,(ROW(C426)-1)*5+COLUMN(C426)+1),",",".")</f>
        <v/>
      </c>
      <c r="I427" s="100" t="str">
        <f>SUBSTITUTE(INDEX(Calc!$K:$K,(ROW(D426)-1)*5+COLUMN(D426)+1),",",".")</f>
        <v/>
      </c>
      <c r="J427" s="100" t="str">
        <f>SUBSTITUTE(INDEX(Calc!$K:$K,(ROW(E426)-1)*5+COLUMN(E426)+1),",",".")</f>
        <v/>
      </c>
      <c r="K427" s="47" t="s">
        <v>898</v>
      </c>
      <c r="L427" s="100">
        <f>Закуп!AA427</f>
        <v>0</v>
      </c>
      <c r="M427" s="47" t="s">
        <v>899</v>
      </c>
      <c r="N427" s="47">
        <f>IF(Закуп!L427="",0,Закуп!L427)</f>
        <v>0</v>
      </c>
      <c r="O427" s="47" t="s">
        <v>900</v>
      </c>
      <c r="P427" s="165">
        <f>Закуп!N427</f>
        <v>0</v>
      </c>
      <c r="Q427" s="210" t="str">
        <f t="shared" si="8"/>
        <v xml:space="preserve">        [ 'dims' =&gt; [0,0,0], 'prices' =&gt; [,,,,], 'type' =&gt; "0", 'sale' =&gt; "0" ],</v>
      </c>
    </row>
    <row r="428" spans="1:17" hidden="1" x14ac:dyDescent="0.4">
      <c r="A428" s="47" t="s">
        <v>896</v>
      </c>
      <c r="B428" s="47">
        <f>Закуп!R428</f>
        <v>0</v>
      </c>
      <c r="C428" s="47">
        <f>Закуп!S428</f>
        <v>0</v>
      </c>
      <c r="D428" s="47">
        <f>Закуп!T428</f>
        <v>0</v>
      </c>
      <c r="E428" s="47" t="s">
        <v>897</v>
      </c>
      <c r="F428" s="100" t="str">
        <f>SUBSTITUTE(INDEX(Calc!$K:$K,(ROW(A427)-1)*5+COLUMN(A427)+1),",",".")</f>
        <v/>
      </c>
      <c r="G428" s="100" t="str">
        <f>SUBSTITUTE(INDEX(Calc!$K:$K,(ROW(B427)-1)*5+COLUMN(B427)+1),",",".")</f>
        <v/>
      </c>
      <c r="H428" s="100" t="str">
        <f>SUBSTITUTE(INDEX(Calc!$K:$K,(ROW(C427)-1)*5+COLUMN(C427)+1),",",".")</f>
        <v/>
      </c>
      <c r="I428" s="100" t="str">
        <f>SUBSTITUTE(INDEX(Calc!$K:$K,(ROW(D427)-1)*5+COLUMN(D427)+1),",",".")</f>
        <v/>
      </c>
      <c r="J428" s="100" t="str">
        <f>SUBSTITUTE(INDEX(Calc!$K:$K,(ROW(E427)-1)*5+COLUMN(E427)+1),",",".")</f>
        <v/>
      </c>
      <c r="K428" s="47" t="s">
        <v>898</v>
      </c>
      <c r="L428" s="100">
        <f>Закуп!AA428</f>
        <v>0</v>
      </c>
      <c r="M428" s="47" t="s">
        <v>899</v>
      </c>
      <c r="N428" s="47">
        <f>IF(Закуп!L428="",0,Закуп!L428)</f>
        <v>0</v>
      </c>
      <c r="O428" s="47" t="s">
        <v>900</v>
      </c>
      <c r="P428" s="165">
        <f>Закуп!N428</f>
        <v>0</v>
      </c>
      <c r="Q428" s="210" t="str">
        <f t="shared" si="8"/>
        <v xml:space="preserve">        [ 'dims' =&gt; [0,0,0], 'prices' =&gt; [,,,,], 'type' =&gt; "0", 'sale' =&gt; "0" ],</v>
      </c>
    </row>
    <row r="429" spans="1:17" hidden="1" x14ac:dyDescent="0.4">
      <c r="A429" s="47" t="s">
        <v>896</v>
      </c>
      <c r="B429" s="47">
        <f>Закуп!R429</f>
        <v>0</v>
      </c>
      <c r="C429" s="47">
        <f>Закуп!S429</f>
        <v>0</v>
      </c>
      <c r="D429" s="47">
        <f>Закуп!T429</f>
        <v>0</v>
      </c>
      <c r="E429" s="47" t="s">
        <v>897</v>
      </c>
      <c r="F429" s="100" t="str">
        <f>SUBSTITUTE(INDEX(Calc!$K:$K,(ROW(A428)-1)*5+COLUMN(A428)+1),",",".")</f>
        <v/>
      </c>
      <c r="G429" s="100" t="str">
        <f>SUBSTITUTE(INDEX(Calc!$K:$K,(ROW(B428)-1)*5+COLUMN(B428)+1),",",".")</f>
        <v/>
      </c>
      <c r="H429" s="100" t="str">
        <f>SUBSTITUTE(INDEX(Calc!$K:$K,(ROW(C428)-1)*5+COLUMN(C428)+1),",",".")</f>
        <v/>
      </c>
      <c r="I429" s="100" t="str">
        <f>SUBSTITUTE(INDEX(Calc!$K:$K,(ROW(D428)-1)*5+COLUMN(D428)+1),",",".")</f>
        <v/>
      </c>
      <c r="J429" s="100" t="str">
        <f>SUBSTITUTE(INDEX(Calc!$K:$K,(ROW(E428)-1)*5+COLUMN(E428)+1),",",".")</f>
        <v/>
      </c>
      <c r="K429" s="47" t="s">
        <v>898</v>
      </c>
      <c r="L429" s="100">
        <f>Закуп!AA429</f>
        <v>0</v>
      </c>
      <c r="M429" s="47" t="s">
        <v>899</v>
      </c>
      <c r="N429" s="47">
        <f>IF(Закуп!L429="",0,Закуп!L429)</f>
        <v>0</v>
      </c>
      <c r="O429" s="47" t="s">
        <v>900</v>
      </c>
      <c r="P429" s="165">
        <f>Закуп!N429</f>
        <v>0</v>
      </c>
      <c r="Q429" s="210" t="str">
        <f t="shared" si="8"/>
        <v xml:space="preserve">        [ 'dims' =&gt; [0,0,0], 'prices' =&gt; [,,,,], 'type' =&gt; "0", 'sale' =&gt; "0" ],</v>
      </c>
    </row>
    <row r="430" spans="1:17" hidden="1" x14ac:dyDescent="0.4">
      <c r="A430" s="47" t="s">
        <v>896</v>
      </c>
      <c r="B430" s="47">
        <f>Закуп!R430</f>
        <v>0</v>
      </c>
      <c r="C430" s="47">
        <f>Закуп!S430</f>
        <v>0</v>
      </c>
      <c r="D430" s="47">
        <f>Закуп!T430</f>
        <v>0</v>
      </c>
      <c r="E430" s="47" t="s">
        <v>897</v>
      </c>
      <c r="F430" s="100" t="str">
        <f>SUBSTITUTE(INDEX(Calc!$K:$K,(ROW(A429)-1)*5+COLUMN(A429)+1),",",".")</f>
        <v/>
      </c>
      <c r="G430" s="100" t="str">
        <f>SUBSTITUTE(INDEX(Calc!$K:$K,(ROW(B429)-1)*5+COLUMN(B429)+1),",",".")</f>
        <v/>
      </c>
      <c r="H430" s="100" t="str">
        <f>SUBSTITUTE(INDEX(Calc!$K:$K,(ROW(C429)-1)*5+COLUMN(C429)+1),",",".")</f>
        <v/>
      </c>
      <c r="I430" s="100" t="str">
        <f>SUBSTITUTE(INDEX(Calc!$K:$K,(ROW(D429)-1)*5+COLUMN(D429)+1),",",".")</f>
        <v/>
      </c>
      <c r="J430" s="100" t="str">
        <f>SUBSTITUTE(INDEX(Calc!$K:$K,(ROW(E429)-1)*5+COLUMN(E429)+1),",",".")</f>
        <v/>
      </c>
      <c r="K430" s="47" t="s">
        <v>898</v>
      </c>
      <c r="L430" s="100">
        <f>Закуп!AA430</f>
        <v>0</v>
      </c>
      <c r="M430" s="47" t="s">
        <v>899</v>
      </c>
      <c r="N430" s="47">
        <f>IF(Закуп!L430="",0,Закуп!L430)</f>
        <v>0</v>
      </c>
      <c r="O430" s="47" t="s">
        <v>900</v>
      </c>
      <c r="P430" s="165">
        <f>Закуп!N430</f>
        <v>0</v>
      </c>
      <c r="Q430" s="210" t="str">
        <f t="shared" si="8"/>
        <v xml:space="preserve">        [ 'dims' =&gt; [0,0,0], 'prices' =&gt; [,,,,], 'type' =&gt; "0", 'sale' =&gt; "0" ],</v>
      </c>
    </row>
    <row r="431" spans="1:17" hidden="1" x14ac:dyDescent="0.4">
      <c r="A431" s="47" t="s">
        <v>896</v>
      </c>
      <c r="B431" s="47">
        <f>Закуп!R431</f>
        <v>0</v>
      </c>
      <c r="C431" s="47">
        <f>Закуп!S431</f>
        <v>0</v>
      </c>
      <c r="D431" s="47">
        <f>Закуп!T431</f>
        <v>0</v>
      </c>
      <c r="E431" s="47" t="s">
        <v>897</v>
      </c>
      <c r="F431" s="100" t="str">
        <f>SUBSTITUTE(INDEX(Calc!$K:$K,(ROW(A430)-1)*5+COLUMN(A430)+1),",",".")</f>
        <v/>
      </c>
      <c r="G431" s="100" t="str">
        <f>SUBSTITUTE(INDEX(Calc!$K:$K,(ROW(B430)-1)*5+COLUMN(B430)+1),",",".")</f>
        <v/>
      </c>
      <c r="H431" s="100" t="str">
        <f>SUBSTITUTE(INDEX(Calc!$K:$K,(ROW(C430)-1)*5+COLUMN(C430)+1),",",".")</f>
        <v/>
      </c>
      <c r="I431" s="100" t="str">
        <f>SUBSTITUTE(INDEX(Calc!$K:$K,(ROW(D430)-1)*5+COLUMN(D430)+1),",",".")</f>
        <v/>
      </c>
      <c r="J431" s="100" t="str">
        <f>SUBSTITUTE(INDEX(Calc!$K:$K,(ROW(E430)-1)*5+COLUMN(E430)+1),",",".")</f>
        <v/>
      </c>
      <c r="K431" s="47" t="s">
        <v>898</v>
      </c>
      <c r="L431" s="100">
        <f>Закуп!AA431</f>
        <v>0</v>
      </c>
      <c r="M431" s="47" t="s">
        <v>899</v>
      </c>
      <c r="N431" s="47">
        <f>IF(Закуп!L431="",0,Закуп!L431)</f>
        <v>0</v>
      </c>
      <c r="O431" s="47" t="s">
        <v>900</v>
      </c>
      <c r="P431" s="165">
        <f>Закуп!N431</f>
        <v>0</v>
      </c>
      <c r="Q431" s="210" t="str">
        <f t="shared" si="8"/>
        <v xml:space="preserve">        [ 'dims' =&gt; [0,0,0], 'prices' =&gt; [,,,,], 'type' =&gt; "0", 'sale' =&gt; "0" ],</v>
      </c>
    </row>
    <row r="432" spans="1:17" hidden="1" x14ac:dyDescent="0.4">
      <c r="A432" s="47" t="s">
        <v>896</v>
      </c>
      <c r="B432" s="47">
        <f>Закуп!R432</f>
        <v>0</v>
      </c>
      <c r="C432" s="47">
        <f>Закуп!S432</f>
        <v>0</v>
      </c>
      <c r="D432" s="47">
        <f>Закуп!T432</f>
        <v>0</v>
      </c>
      <c r="E432" s="47" t="s">
        <v>897</v>
      </c>
      <c r="F432" s="100" t="str">
        <f>SUBSTITUTE(INDEX(Calc!$K:$K,(ROW(A431)-1)*5+COLUMN(A431)+1),",",".")</f>
        <v/>
      </c>
      <c r="G432" s="100" t="str">
        <f>SUBSTITUTE(INDEX(Calc!$K:$K,(ROW(B431)-1)*5+COLUMN(B431)+1),",",".")</f>
        <v/>
      </c>
      <c r="H432" s="100" t="str">
        <f>SUBSTITUTE(INDEX(Calc!$K:$K,(ROW(C431)-1)*5+COLUMN(C431)+1),",",".")</f>
        <v/>
      </c>
      <c r="I432" s="100" t="str">
        <f>SUBSTITUTE(INDEX(Calc!$K:$K,(ROW(D431)-1)*5+COLUMN(D431)+1),",",".")</f>
        <v/>
      </c>
      <c r="J432" s="100" t="str">
        <f>SUBSTITUTE(INDEX(Calc!$K:$K,(ROW(E431)-1)*5+COLUMN(E431)+1),",",".")</f>
        <v/>
      </c>
      <c r="K432" s="47" t="s">
        <v>898</v>
      </c>
      <c r="L432" s="100">
        <f>Закуп!AA432</f>
        <v>0</v>
      </c>
      <c r="M432" s="47" t="s">
        <v>899</v>
      </c>
      <c r="N432" s="47">
        <f>IF(Закуп!L432="",0,Закуп!L432)</f>
        <v>0</v>
      </c>
      <c r="O432" s="47" t="s">
        <v>900</v>
      </c>
      <c r="P432" s="165">
        <f>Закуп!N432</f>
        <v>0</v>
      </c>
      <c r="Q432" s="210" t="str">
        <f t="shared" si="8"/>
        <v xml:space="preserve">        [ 'dims' =&gt; [0,0,0], 'prices' =&gt; [,,,,], 'type' =&gt; "0", 'sale' =&gt; "0" ],</v>
      </c>
    </row>
    <row r="433" spans="1:17" hidden="1" x14ac:dyDescent="0.4">
      <c r="A433" s="47" t="s">
        <v>896</v>
      </c>
      <c r="B433" s="47">
        <f>Закуп!R433</f>
        <v>0</v>
      </c>
      <c r="C433" s="47">
        <f>Закуп!S433</f>
        <v>0</v>
      </c>
      <c r="D433" s="47">
        <f>Закуп!T433</f>
        <v>0</v>
      </c>
      <c r="E433" s="47" t="s">
        <v>897</v>
      </c>
      <c r="F433" s="100" t="str">
        <f>SUBSTITUTE(INDEX(Calc!$K:$K,(ROW(A432)-1)*5+COLUMN(A432)+1),",",".")</f>
        <v/>
      </c>
      <c r="G433" s="100" t="str">
        <f>SUBSTITUTE(INDEX(Calc!$K:$K,(ROW(B432)-1)*5+COLUMN(B432)+1),",",".")</f>
        <v/>
      </c>
      <c r="H433" s="100" t="str">
        <f>SUBSTITUTE(INDEX(Calc!$K:$K,(ROW(C432)-1)*5+COLUMN(C432)+1),",",".")</f>
        <v/>
      </c>
      <c r="I433" s="100" t="str">
        <f>SUBSTITUTE(INDEX(Calc!$K:$K,(ROW(D432)-1)*5+COLUMN(D432)+1),",",".")</f>
        <v/>
      </c>
      <c r="J433" s="100" t="str">
        <f>SUBSTITUTE(INDEX(Calc!$K:$K,(ROW(E432)-1)*5+COLUMN(E432)+1),",",".")</f>
        <v/>
      </c>
      <c r="K433" s="47" t="s">
        <v>898</v>
      </c>
      <c r="L433" s="100">
        <f>Закуп!AA433</f>
        <v>0</v>
      </c>
      <c r="M433" s="47" t="s">
        <v>899</v>
      </c>
      <c r="N433" s="47">
        <f>IF(Закуп!L433="",0,Закуп!L433)</f>
        <v>0</v>
      </c>
      <c r="O433" s="47" t="s">
        <v>900</v>
      </c>
      <c r="P433" s="165">
        <f>Закуп!N433</f>
        <v>0</v>
      </c>
      <c r="Q433" s="210" t="str">
        <f t="shared" si="8"/>
        <v xml:space="preserve">        [ 'dims' =&gt; [0,0,0], 'prices' =&gt; [,,,,], 'type' =&gt; "0", 'sale' =&gt; "0" ],</v>
      </c>
    </row>
    <row r="434" spans="1:17" hidden="1" x14ac:dyDescent="0.4">
      <c r="A434" s="47" t="s">
        <v>896</v>
      </c>
      <c r="B434" s="47">
        <f>Закуп!R434</f>
        <v>0</v>
      </c>
      <c r="C434" s="47">
        <f>Закуп!S434</f>
        <v>0</v>
      </c>
      <c r="D434" s="47">
        <f>Закуп!T434</f>
        <v>0</v>
      </c>
      <c r="E434" s="47" t="s">
        <v>897</v>
      </c>
      <c r="F434" s="100" t="str">
        <f>SUBSTITUTE(INDEX(Calc!$K:$K,(ROW(A433)-1)*5+COLUMN(A433)+1),",",".")</f>
        <v/>
      </c>
      <c r="G434" s="100" t="str">
        <f>SUBSTITUTE(INDEX(Calc!$K:$K,(ROW(B433)-1)*5+COLUMN(B433)+1),",",".")</f>
        <v/>
      </c>
      <c r="H434" s="100" t="str">
        <f>SUBSTITUTE(INDEX(Calc!$K:$K,(ROW(C433)-1)*5+COLUMN(C433)+1),",",".")</f>
        <v/>
      </c>
      <c r="I434" s="100" t="str">
        <f>SUBSTITUTE(INDEX(Calc!$K:$K,(ROW(D433)-1)*5+COLUMN(D433)+1),",",".")</f>
        <v/>
      </c>
      <c r="J434" s="100" t="str">
        <f>SUBSTITUTE(INDEX(Calc!$K:$K,(ROW(E433)-1)*5+COLUMN(E433)+1),",",".")</f>
        <v/>
      </c>
      <c r="K434" s="47" t="s">
        <v>898</v>
      </c>
      <c r="L434" s="100">
        <f>Закуп!AA434</f>
        <v>0</v>
      </c>
      <c r="M434" s="47" t="s">
        <v>899</v>
      </c>
      <c r="N434" s="47">
        <f>IF(Закуп!L434="",0,Закуп!L434)</f>
        <v>0</v>
      </c>
      <c r="O434" s="47" t="s">
        <v>900</v>
      </c>
      <c r="P434" s="165">
        <f>Закуп!N434</f>
        <v>0</v>
      </c>
      <c r="Q434" s="210" t="str">
        <f t="shared" si="8"/>
        <v xml:space="preserve">        [ 'dims' =&gt; [0,0,0], 'prices' =&gt; [,,,,], 'type' =&gt; "0", 'sale' =&gt; "0" ],</v>
      </c>
    </row>
    <row r="435" spans="1:17" hidden="1" x14ac:dyDescent="0.4">
      <c r="A435" s="47" t="s">
        <v>896</v>
      </c>
      <c r="B435" s="47">
        <f>Закуп!R435</f>
        <v>0</v>
      </c>
      <c r="C435" s="47">
        <f>Закуп!S435</f>
        <v>0</v>
      </c>
      <c r="D435" s="47">
        <f>Закуп!T435</f>
        <v>0</v>
      </c>
      <c r="E435" s="47" t="s">
        <v>897</v>
      </c>
      <c r="F435" s="100" t="str">
        <f>SUBSTITUTE(INDEX(Calc!$K:$K,(ROW(A434)-1)*5+COLUMN(A434)+1),",",".")</f>
        <v/>
      </c>
      <c r="G435" s="100" t="str">
        <f>SUBSTITUTE(INDEX(Calc!$K:$K,(ROW(B434)-1)*5+COLUMN(B434)+1),",",".")</f>
        <v/>
      </c>
      <c r="H435" s="100" t="str">
        <f>SUBSTITUTE(INDEX(Calc!$K:$K,(ROW(C434)-1)*5+COLUMN(C434)+1),",",".")</f>
        <v/>
      </c>
      <c r="I435" s="100" t="str">
        <f>SUBSTITUTE(INDEX(Calc!$K:$K,(ROW(D434)-1)*5+COLUMN(D434)+1),",",".")</f>
        <v/>
      </c>
      <c r="J435" s="100" t="str">
        <f>SUBSTITUTE(INDEX(Calc!$K:$K,(ROW(E434)-1)*5+COLUMN(E434)+1),",",".")</f>
        <v/>
      </c>
      <c r="K435" s="47" t="s">
        <v>898</v>
      </c>
      <c r="L435" s="100">
        <f>Закуп!AA435</f>
        <v>0</v>
      </c>
      <c r="M435" s="47" t="s">
        <v>899</v>
      </c>
      <c r="N435" s="47">
        <f>IF(Закуп!L435="",0,Закуп!L435)</f>
        <v>0</v>
      </c>
      <c r="O435" s="47" t="s">
        <v>900</v>
      </c>
      <c r="P435" s="165">
        <f>Закуп!N435</f>
        <v>0</v>
      </c>
      <c r="Q435" s="210" t="str">
        <f t="shared" si="8"/>
        <v xml:space="preserve">        [ 'dims' =&gt; [0,0,0], 'prices' =&gt; [,,,,], 'type' =&gt; "0", 'sale' =&gt; "0" ],</v>
      </c>
    </row>
    <row r="436" spans="1:17" hidden="1" x14ac:dyDescent="0.4">
      <c r="A436" s="47" t="s">
        <v>896</v>
      </c>
      <c r="B436" s="47">
        <f>Закуп!R436</f>
        <v>0</v>
      </c>
      <c r="C436" s="47">
        <f>Закуп!S436</f>
        <v>0</v>
      </c>
      <c r="D436" s="47">
        <f>Закуп!T436</f>
        <v>0</v>
      </c>
      <c r="E436" s="47" t="s">
        <v>897</v>
      </c>
      <c r="F436" s="100" t="str">
        <f>SUBSTITUTE(INDEX(Calc!$K:$K,(ROW(A435)-1)*5+COLUMN(A435)+1),",",".")</f>
        <v/>
      </c>
      <c r="G436" s="100" t="str">
        <f>SUBSTITUTE(INDEX(Calc!$K:$K,(ROW(B435)-1)*5+COLUMN(B435)+1),",",".")</f>
        <v/>
      </c>
      <c r="H436" s="100" t="str">
        <f>SUBSTITUTE(INDEX(Calc!$K:$K,(ROW(C435)-1)*5+COLUMN(C435)+1),",",".")</f>
        <v/>
      </c>
      <c r="I436" s="100" t="str">
        <f>SUBSTITUTE(INDEX(Calc!$K:$K,(ROW(D435)-1)*5+COLUMN(D435)+1),",",".")</f>
        <v/>
      </c>
      <c r="J436" s="100" t="str">
        <f>SUBSTITUTE(INDEX(Calc!$K:$K,(ROW(E435)-1)*5+COLUMN(E435)+1),",",".")</f>
        <v/>
      </c>
      <c r="K436" s="47" t="s">
        <v>898</v>
      </c>
      <c r="L436" s="100">
        <f>Закуп!AA436</f>
        <v>0</v>
      </c>
      <c r="M436" s="47" t="s">
        <v>899</v>
      </c>
      <c r="N436" s="47">
        <f>IF(Закуп!L436="",0,Закуп!L436)</f>
        <v>0</v>
      </c>
      <c r="O436" s="47" t="s">
        <v>900</v>
      </c>
      <c r="P436" s="165">
        <f>Закуп!N436</f>
        <v>0</v>
      </c>
      <c r="Q436" s="210" t="str">
        <f t="shared" si="8"/>
        <v xml:space="preserve">        [ 'dims' =&gt; [0,0,0], 'prices' =&gt; [,,,,], 'type' =&gt; "0", 'sale' =&gt; "0" ],</v>
      </c>
    </row>
    <row r="437" spans="1:17" hidden="1" x14ac:dyDescent="0.4">
      <c r="A437" s="47" t="s">
        <v>896</v>
      </c>
      <c r="B437" s="47">
        <f>Закуп!R437</f>
        <v>0</v>
      </c>
      <c r="C437" s="47">
        <f>Закуп!S437</f>
        <v>0</v>
      </c>
      <c r="D437" s="47">
        <f>Закуп!T437</f>
        <v>0</v>
      </c>
      <c r="E437" s="47" t="s">
        <v>897</v>
      </c>
      <c r="F437" s="100" t="str">
        <f>SUBSTITUTE(INDEX(Calc!$K:$K,(ROW(A436)-1)*5+COLUMN(A436)+1),",",".")</f>
        <v/>
      </c>
      <c r="G437" s="100" t="str">
        <f>SUBSTITUTE(INDEX(Calc!$K:$K,(ROW(B436)-1)*5+COLUMN(B436)+1),",",".")</f>
        <v/>
      </c>
      <c r="H437" s="100" t="str">
        <f>SUBSTITUTE(INDEX(Calc!$K:$K,(ROW(C436)-1)*5+COLUMN(C436)+1),",",".")</f>
        <v/>
      </c>
      <c r="I437" s="100" t="str">
        <f>SUBSTITUTE(INDEX(Calc!$K:$K,(ROW(D436)-1)*5+COLUMN(D436)+1),",",".")</f>
        <v/>
      </c>
      <c r="J437" s="100" t="str">
        <f>SUBSTITUTE(INDEX(Calc!$K:$K,(ROW(E436)-1)*5+COLUMN(E436)+1),",",".")</f>
        <v/>
      </c>
      <c r="K437" s="47" t="s">
        <v>898</v>
      </c>
      <c r="L437" s="100">
        <f>Закуп!AA437</f>
        <v>0</v>
      </c>
      <c r="M437" s="47" t="s">
        <v>899</v>
      </c>
      <c r="N437" s="47">
        <f>IF(Закуп!L437="",0,Закуп!L437)</f>
        <v>0</v>
      </c>
      <c r="O437" s="47" t="s">
        <v>900</v>
      </c>
      <c r="P437" s="165">
        <f>Закуп!N437</f>
        <v>0</v>
      </c>
      <c r="Q437" s="210" t="str">
        <f t="shared" si="8"/>
        <v xml:space="preserve">        [ 'dims' =&gt; [0,0,0], 'prices' =&gt; [,,,,], 'type' =&gt; "0", 'sale' =&gt; "0" ],</v>
      </c>
    </row>
    <row r="438" spans="1:17" hidden="1" x14ac:dyDescent="0.4">
      <c r="A438" s="47" t="s">
        <v>896</v>
      </c>
      <c r="B438" s="47">
        <f>Закуп!R438</f>
        <v>0</v>
      </c>
      <c r="C438" s="47">
        <f>Закуп!S438</f>
        <v>0</v>
      </c>
      <c r="D438" s="47">
        <f>Закуп!T438</f>
        <v>0</v>
      </c>
      <c r="E438" s="47" t="s">
        <v>897</v>
      </c>
      <c r="F438" s="100" t="str">
        <f>SUBSTITUTE(INDEX(Calc!$K:$K,(ROW(A437)-1)*5+COLUMN(A437)+1),",",".")</f>
        <v/>
      </c>
      <c r="G438" s="100" t="str">
        <f>SUBSTITUTE(INDEX(Calc!$K:$K,(ROW(B437)-1)*5+COLUMN(B437)+1),",",".")</f>
        <v/>
      </c>
      <c r="H438" s="100" t="str">
        <f>SUBSTITUTE(INDEX(Calc!$K:$K,(ROW(C437)-1)*5+COLUMN(C437)+1),",",".")</f>
        <v/>
      </c>
      <c r="I438" s="100" t="str">
        <f>SUBSTITUTE(INDEX(Calc!$K:$K,(ROW(D437)-1)*5+COLUMN(D437)+1),",",".")</f>
        <v/>
      </c>
      <c r="J438" s="100" t="str">
        <f>SUBSTITUTE(INDEX(Calc!$K:$K,(ROW(E437)-1)*5+COLUMN(E437)+1),",",".")</f>
        <v/>
      </c>
      <c r="K438" s="47" t="s">
        <v>898</v>
      </c>
      <c r="L438" s="100">
        <f>Закуп!AA438</f>
        <v>0</v>
      </c>
      <c r="M438" s="47" t="s">
        <v>899</v>
      </c>
      <c r="N438" s="47">
        <f>IF(Закуп!L438="",0,Закуп!L438)</f>
        <v>0</v>
      </c>
      <c r="O438" s="47" t="s">
        <v>900</v>
      </c>
      <c r="P438" s="165">
        <f>Закуп!N438</f>
        <v>0</v>
      </c>
      <c r="Q438" s="210" t="str">
        <f t="shared" si="8"/>
        <v xml:space="preserve">        [ 'dims' =&gt; [0,0,0], 'prices' =&gt; [,,,,], 'type' =&gt; "0", 'sale' =&gt; "0" ],</v>
      </c>
    </row>
    <row r="439" spans="1:17" hidden="1" x14ac:dyDescent="0.4">
      <c r="A439" s="47" t="s">
        <v>896</v>
      </c>
      <c r="B439" s="47">
        <f>Закуп!R439</f>
        <v>0</v>
      </c>
      <c r="C439" s="47">
        <f>Закуп!S439</f>
        <v>0</v>
      </c>
      <c r="D439" s="47">
        <f>Закуп!T439</f>
        <v>0</v>
      </c>
      <c r="E439" s="47" t="s">
        <v>897</v>
      </c>
      <c r="F439" s="100" t="str">
        <f>SUBSTITUTE(INDEX(Calc!$K:$K,(ROW(A438)-1)*5+COLUMN(A438)+1),",",".")</f>
        <v/>
      </c>
      <c r="G439" s="100" t="str">
        <f>SUBSTITUTE(INDEX(Calc!$K:$K,(ROW(B438)-1)*5+COLUMN(B438)+1),",",".")</f>
        <v/>
      </c>
      <c r="H439" s="100" t="str">
        <f>SUBSTITUTE(INDEX(Calc!$K:$K,(ROW(C438)-1)*5+COLUMN(C438)+1),",",".")</f>
        <v/>
      </c>
      <c r="I439" s="100" t="str">
        <f>SUBSTITUTE(INDEX(Calc!$K:$K,(ROW(D438)-1)*5+COLUMN(D438)+1),",",".")</f>
        <v/>
      </c>
      <c r="J439" s="100" t="str">
        <f>SUBSTITUTE(INDEX(Calc!$K:$K,(ROW(E438)-1)*5+COLUMN(E438)+1),",",".")</f>
        <v/>
      </c>
      <c r="K439" s="47" t="s">
        <v>898</v>
      </c>
      <c r="L439" s="100">
        <f>Закуп!AA439</f>
        <v>0</v>
      </c>
      <c r="M439" s="47" t="s">
        <v>899</v>
      </c>
      <c r="N439" s="47">
        <f>IF(Закуп!L439="",0,Закуп!L439)</f>
        <v>0</v>
      </c>
      <c r="O439" s="47" t="s">
        <v>900</v>
      </c>
      <c r="P439" s="165">
        <f>Закуп!N439</f>
        <v>0</v>
      </c>
      <c r="Q439" s="210" t="str">
        <f t="shared" si="8"/>
        <v xml:space="preserve">        [ 'dims' =&gt; [0,0,0], 'prices' =&gt; [,,,,], 'type' =&gt; "0", 'sale' =&gt; "0" ],</v>
      </c>
    </row>
    <row r="440" spans="1:17" hidden="1" x14ac:dyDescent="0.4">
      <c r="A440" s="47" t="s">
        <v>896</v>
      </c>
      <c r="B440" s="47">
        <f>Закуп!R440</f>
        <v>0</v>
      </c>
      <c r="C440" s="47">
        <f>Закуп!S440</f>
        <v>0</v>
      </c>
      <c r="D440" s="47">
        <f>Закуп!T440</f>
        <v>0</v>
      </c>
      <c r="E440" s="47" t="s">
        <v>897</v>
      </c>
      <c r="F440" s="100" t="str">
        <f>SUBSTITUTE(INDEX(Calc!$K:$K,(ROW(A439)-1)*5+COLUMN(A439)+1),",",".")</f>
        <v/>
      </c>
      <c r="G440" s="100" t="str">
        <f>SUBSTITUTE(INDEX(Calc!$K:$K,(ROW(B439)-1)*5+COLUMN(B439)+1),",",".")</f>
        <v/>
      </c>
      <c r="H440" s="100" t="str">
        <f>SUBSTITUTE(INDEX(Calc!$K:$K,(ROW(C439)-1)*5+COLUMN(C439)+1),",",".")</f>
        <v/>
      </c>
      <c r="I440" s="100" t="str">
        <f>SUBSTITUTE(INDEX(Calc!$K:$K,(ROW(D439)-1)*5+COLUMN(D439)+1),",",".")</f>
        <v/>
      </c>
      <c r="J440" s="100" t="str">
        <f>SUBSTITUTE(INDEX(Calc!$K:$K,(ROW(E439)-1)*5+COLUMN(E439)+1),",",".")</f>
        <v/>
      </c>
      <c r="K440" s="47" t="s">
        <v>898</v>
      </c>
      <c r="L440" s="100">
        <f>Закуп!AA440</f>
        <v>0</v>
      </c>
      <c r="M440" s="47" t="s">
        <v>899</v>
      </c>
      <c r="N440" s="47">
        <f>IF(Закуп!L440="",0,Закуп!L440)</f>
        <v>0</v>
      </c>
      <c r="O440" s="47" t="s">
        <v>900</v>
      </c>
      <c r="P440" s="165">
        <f>Закуп!N440</f>
        <v>0</v>
      </c>
      <c r="Q440" s="210" t="str">
        <f t="shared" si="8"/>
        <v xml:space="preserve">        [ 'dims' =&gt; [0,0,0], 'prices' =&gt; [,,,,], 'type' =&gt; "0", 'sale' =&gt; "0" ],</v>
      </c>
    </row>
    <row r="441" spans="1:17" hidden="1" x14ac:dyDescent="0.4">
      <c r="A441" s="47" t="s">
        <v>896</v>
      </c>
      <c r="B441" s="47">
        <f>Закуп!R441</f>
        <v>0</v>
      </c>
      <c r="C441" s="47">
        <f>Закуп!S441</f>
        <v>0</v>
      </c>
      <c r="D441" s="47">
        <f>Закуп!T441</f>
        <v>0</v>
      </c>
      <c r="E441" s="47" t="s">
        <v>897</v>
      </c>
      <c r="F441" s="100" t="str">
        <f>SUBSTITUTE(INDEX(Calc!$K:$K,(ROW(A440)-1)*5+COLUMN(A440)+1),",",".")</f>
        <v/>
      </c>
      <c r="G441" s="100" t="str">
        <f>SUBSTITUTE(INDEX(Calc!$K:$K,(ROW(B440)-1)*5+COLUMN(B440)+1),",",".")</f>
        <v/>
      </c>
      <c r="H441" s="100" t="str">
        <f>SUBSTITUTE(INDEX(Calc!$K:$K,(ROW(C440)-1)*5+COLUMN(C440)+1),",",".")</f>
        <v/>
      </c>
      <c r="I441" s="100" t="str">
        <f>SUBSTITUTE(INDEX(Calc!$K:$K,(ROW(D440)-1)*5+COLUMN(D440)+1),",",".")</f>
        <v/>
      </c>
      <c r="J441" s="100" t="str">
        <f>SUBSTITUTE(INDEX(Calc!$K:$K,(ROW(E440)-1)*5+COLUMN(E440)+1),",",".")</f>
        <v/>
      </c>
      <c r="K441" s="47" t="s">
        <v>898</v>
      </c>
      <c r="L441" s="100">
        <f>Закуп!AA441</f>
        <v>0</v>
      </c>
      <c r="M441" s="47" t="s">
        <v>899</v>
      </c>
      <c r="N441" s="47">
        <f>IF(Закуп!L441="",0,Закуп!L441)</f>
        <v>0</v>
      </c>
      <c r="O441" s="47" t="s">
        <v>900</v>
      </c>
      <c r="P441" s="165">
        <f>Закуп!N441</f>
        <v>0</v>
      </c>
      <c r="Q441" s="210" t="str">
        <f t="shared" si="8"/>
        <v xml:space="preserve">        [ 'dims' =&gt; [0,0,0], 'prices' =&gt; [,,,,], 'type' =&gt; "0", 'sale' =&gt; "0" ],</v>
      </c>
    </row>
    <row r="442" spans="1:17" hidden="1" x14ac:dyDescent="0.4">
      <c r="A442" s="47" t="s">
        <v>896</v>
      </c>
      <c r="B442" s="47">
        <f>Закуп!R442</f>
        <v>0</v>
      </c>
      <c r="C442" s="47">
        <f>Закуп!S442</f>
        <v>0</v>
      </c>
      <c r="D442" s="47">
        <f>Закуп!T442</f>
        <v>0</v>
      </c>
      <c r="E442" s="47" t="s">
        <v>897</v>
      </c>
      <c r="F442" s="100" t="str">
        <f>SUBSTITUTE(INDEX(Calc!$K:$K,(ROW(A441)-1)*5+COLUMN(A441)+1),",",".")</f>
        <v/>
      </c>
      <c r="G442" s="100" t="str">
        <f>SUBSTITUTE(INDEX(Calc!$K:$K,(ROW(B441)-1)*5+COLUMN(B441)+1),",",".")</f>
        <v/>
      </c>
      <c r="H442" s="100" t="str">
        <f>SUBSTITUTE(INDEX(Calc!$K:$K,(ROW(C441)-1)*5+COLUMN(C441)+1),",",".")</f>
        <v/>
      </c>
      <c r="I442" s="100" t="str">
        <f>SUBSTITUTE(INDEX(Calc!$K:$K,(ROW(D441)-1)*5+COLUMN(D441)+1),",",".")</f>
        <v/>
      </c>
      <c r="J442" s="100" t="str">
        <f>SUBSTITUTE(INDEX(Calc!$K:$K,(ROW(E441)-1)*5+COLUMN(E441)+1),",",".")</f>
        <v/>
      </c>
      <c r="K442" s="47" t="s">
        <v>898</v>
      </c>
      <c r="L442" s="100">
        <f>Закуп!AA442</f>
        <v>0</v>
      </c>
      <c r="M442" s="47" t="s">
        <v>899</v>
      </c>
      <c r="N442" s="47">
        <f>IF(Закуп!L442="",0,Закуп!L442)</f>
        <v>0</v>
      </c>
      <c r="O442" s="47" t="s">
        <v>900</v>
      </c>
      <c r="P442" s="165">
        <f>Закуп!N442</f>
        <v>0</v>
      </c>
      <c r="Q442" s="210" t="str">
        <f t="shared" si="8"/>
        <v xml:space="preserve">        [ 'dims' =&gt; [0,0,0], 'prices' =&gt; [,,,,], 'type' =&gt; "0", 'sale' =&gt; "0" ],</v>
      </c>
    </row>
    <row r="443" spans="1:17" hidden="1" x14ac:dyDescent="0.4">
      <c r="A443" s="47" t="s">
        <v>896</v>
      </c>
      <c r="B443" s="47">
        <f>Закуп!R443</f>
        <v>0</v>
      </c>
      <c r="C443" s="47">
        <f>Закуп!S443</f>
        <v>0</v>
      </c>
      <c r="D443" s="47">
        <f>Закуп!T443</f>
        <v>0</v>
      </c>
      <c r="E443" s="47" t="s">
        <v>897</v>
      </c>
      <c r="F443" s="100" t="str">
        <f>SUBSTITUTE(INDEX(Calc!$K:$K,(ROW(A442)-1)*5+COLUMN(A442)+1),",",".")</f>
        <v/>
      </c>
      <c r="G443" s="100" t="str">
        <f>SUBSTITUTE(INDEX(Calc!$K:$K,(ROW(B442)-1)*5+COLUMN(B442)+1),",",".")</f>
        <v/>
      </c>
      <c r="H443" s="100" t="str">
        <f>SUBSTITUTE(INDEX(Calc!$K:$K,(ROW(C442)-1)*5+COLUMN(C442)+1),",",".")</f>
        <v/>
      </c>
      <c r="I443" s="100" t="str">
        <f>SUBSTITUTE(INDEX(Calc!$K:$K,(ROW(D442)-1)*5+COLUMN(D442)+1),",",".")</f>
        <v/>
      </c>
      <c r="J443" s="100" t="str">
        <f>SUBSTITUTE(INDEX(Calc!$K:$K,(ROW(E442)-1)*5+COLUMN(E442)+1),",",".")</f>
        <v/>
      </c>
      <c r="K443" s="47" t="s">
        <v>898</v>
      </c>
      <c r="L443" s="100">
        <f>Закуп!AA443</f>
        <v>0</v>
      </c>
      <c r="M443" s="47" t="s">
        <v>899</v>
      </c>
      <c r="N443" s="47">
        <f>IF(Закуп!L443="",0,Закуп!L443)</f>
        <v>0</v>
      </c>
      <c r="O443" s="47" t="s">
        <v>900</v>
      </c>
      <c r="P443" s="165">
        <f>Закуп!N443</f>
        <v>0</v>
      </c>
      <c r="Q443" s="210" t="str">
        <f t="shared" si="8"/>
        <v xml:space="preserve">        [ 'dims' =&gt; [0,0,0], 'prices' =&gt; [,,,,], 'type' =&gt; "0", 'sale' =&gt; "0" ],</v>
      </c>
    </row>
    <row r="444" spans="1:17" hidden="1" x14ac:dyDescent="0.4">
      <c r="A444" s="47" t="s">
        <v>896</v>
      </c>
      <c r="B444" s="47">
        <f>Закуп!R444</f>
        <v>0</v>
      </c>
      <c r="C444" s="47">
        <f>Закуп!S444</f>
        <v>0</v>
      </c>
      <c r="D444" s="47">
        <f>Закуп!T444</f>
        <v>0</v>
      </c>
      <c r="E444" s="47" t="s">
        <v>897</v>
      </c>
      <c r="F444" s="100" t="str">
        <f>SUBSTITUTE(INDEX(Calc!$K:$K,(ROW(A443)-1)*5+COLUMN(A443)+1),",",".")</f>
        <v/>
      </c>
      <c r="G444" s="100" t="str">
        <f>SUBSTITUTE(INDEX(Calc!$K:$K,(ROW(B443)-1)*5+COLUMN(B443)+1),",",".")</f>
        <v/>
      </c>
      <c r="H444" s="100" t="str">
        <f>SUBSTITUTE(INDEX(Calc!$K:$K,(ROW(C443)-1)*5+COLUMN(C443)+1),",",".")</f>
        <v/>
      </c>
      <c r="I444" s="100" t="str">
        <f>SUBSTITUTE(INDEX(Calc!$K:$K,(ROW(D443)-1)*5+COLUMN(D443)+1),",",".")</f>
        <v/>
      </c>
      <c r="J444" s="100" t="str">
        <f>SUBSTITUTE(INDEX(Calc!$K:$K,(ROW(E443)-1)*5+COLUMN(E443)+1),",",".")</f>
        <v/>
      </c>
      <c r="K444" s="47" t="s">
        <v>898</v>
      </c>
      <c r="L444" s="100">
        <f>Закуп!AA444</f>
        <v>0</v>
      </c>
      <c r="M444" s="47" t="s">
        <v>899</v>
      </c>
      <c r="N444" s="47">
        <f>IF(Закуп!L444="",0,Закуп!L444)</f>
        <v>0</v>
      </c>
      <c r="O444" s="47" t="s">
        <v>900</v>
      </c>
      <c r="P444" s="165">
        <f>Закуп!N444</f>
        <v>0</v>
      </c>
      <c r="Q444" s="210" t="str">
        <f t="shared" si="8"/>
        <v xml:space="preserve">        [ 'dims' =&gt; [0,0,0], 'prices' =&gt; [,,,,], 'type' =&gt; "0", 'sale' =&gt; "0" ],</v>
      </c>
    </row>
    <row r="445" spans="1:17" hidden="1" x14ac:dyDescent="0.4">
      <c r="A445" s="47" t="s">
        <v>896</v>
      </c>
      <c r="B445" s="47">
        <f>Закуп!R445</f>
        <v>0</v>
      </c>
      <c r="C445" s="47">
        <f>Закуп!S445</f>
        <v>0</v>
      </c>
      <c r="D445" s="47">
        <f>Закуп!T445</f>
        <v>0</v>
      </c>
      <c r="E445" s="47" t="s">
        <v>897</v>
      </c>
      <c r="F445" s="100" t="str">
        <f>SUBSTITUTE(INDEX(Calc!$K:$K,(ROW(A444)-1)*5+COLUMN(A444)+1),",",".")</f>
        <v/>
      </c>
      <c r="G445" s="100" t="str">
        <f>SUBSTITUTE(INDEX(Calc!$K:$K,(ROW(B444)-1)*5+COLUMN(B444)+1),",",".")</f>
        <v/>
      </c>
      <c r="H445" s="100" t="str">
        <f>SUBSTITUTE(INDEX(Calc!$K:$K,(ROW(C444)-1)*5+COLUMN(C444)+1),",",".")</f>
        <v/>
      </c>
      <c r="I445" s="100" t="str">
        <f>SUBSTITUTE(INDEX(Calc!$K:$K,(ROW(D444)-1)*5+COLUMN(D444)+1),",",".")</f>
        <v/>
      </c>
      <c r="J445" s="100" t="str">
        <f>SUBSTITUTE(INDEX(Calc!$K:$K,(ROW(E444)-1)*5+COLUMN(E444)+1),",",".")</f>
        <v/>
      </c>
      <c r="K445" s="47" t="s">
        <v>898</v>
      </c>
      <c r="L445" s="100">
        <f>Закуп!AA445</f>
        <v>0</v>
      </c>
      <c r="M445" s="47" t="s">
        <v>899</v>
      </c>
      <c r="N445" s="47">
        <f>IF(Закуп!L445="",0,Закуп!L445)</f>
        <v>0</v>
      </c>
      <c r="O445" s="47" t="s">
        <v>900</v>
      </c>
      <c r="P445" s="165">
        <f>Закуп!N445</f>
        <v>0</v>
      </c>
      <c r="Q445" s="210" t="str">
        <f t="shared" si="8"/>
        <v xml:space="preserve">        [ 'dims' =&gt; [0,0,0], 'prices' =&gt; [,,,,], 'type' =&gt; "0", 'sale' =&gt; "0" ],</v>
      </c>
    </row>
    <row r="446" spans="1:17" hidden="1" x14ac:dyDescent="0.4">
      <c r="A446" s="47" t="s">
        <v>896</v>
      </c>
      <c r="B446" s="47">
        <f>Закуп!R446</f>
        <v>0</v>
      </c>
      <c r="C446" s="47">
        <f>Закуп!S446</f>
        <v>0</v>
      </c>
      <c r="D446" s="47">
        <f>Закуп!T446</f>
        <v>0</v>
      </c>
      <c r="E446" s="47" t="s">
        <v>897</v>
      </c>
      <c r="F446" s="100" t="str">
        <f>SUBSTITUTE(INDEX(Calc!$K:$K,(ROW(A445)-1)*5+COLUMN(A445)+1),",",".")</f>
        <v/>
      </c>
      <c r="G446" s="100" t="str">
        <f>SUBSTITUTE(INDEX(Calc!$K:$K,(ROW(B445)-1)*5+COLUMN(B445)+1),",",".")</f>
        <v/>
      </c>
      <c r="H446" s="100" t="str">
        <f>SUBSTITUTE(INDEX(Calc!$K:$K,(ROW(C445)-1)*5+COLUMN(C445)+1),",",".")</f>
        <v/>
      </c>
      <c r="I446" s="100" t="str">
        <f>SUBSTITUTE(INDEX(Calc!$K:$K,(ROW(D445)-1)*5+COLUMN(D445)+1),",",".")</f>
        <v/>
      </c>
      <c r="J446" s="100" t="str">
        <f>SUBSTITUTE(INDEX(Calc!$K:$K,(ROW(E445)-1)*5+COLUMN(E445)+1),",",".")</f>
        <v/>
      </c>
      <c r="K446" s="47" t="s">
        <v>898</v>
      </c>
      <c r="L446" s="100">
        <f>Закуп!AA446</f>
        <v>0</v>
      </c>
      <c r="M446" s="47" t="s">
        <v>899</v>
      </c>
      <c r="N446" s="47">
        <f>IF(Закуп!L446="",0,Закуп!L446)</f>
        <v>0</v>
      </c>
      <c r="O446" s="47" t="s">
        <v>900</v>
      </c>
      <c r="P446" s="165">
        <f>Закуп!N446</f>
        <v>0</v>
      </c>
      <c r="Q446" s="210" t="str">
        <f t="shared" si="8"/>
        <v xml:space="preserve">        [ 'dims' =&gt; [0,0,0], 'prices' =&gt; [,,,,], 'type' =&gt; "0", 'sale' =&gt; "0" ],</v>
      </c>
    </row>
    <row r="447" spans="1:17" hidden="1" x14ac:dyDescent="0.4">
      <c r="A447" s="47" t="s">
        <v>896</v>
      </c>
      <c r="B447" s="47">
        <f>Закуп!R447</f>
        <v>0</v>
      </c>
      <c r="C447" s="47">
        <f>Закуп!S447</f>
        <v>0</v>
      </c>
      <c r="D447" s="47">
        <f>Закуп!T447</f>
        <v>0</v>
      </c>
      <c r="E447" s="47" t="s">
        <v>897</v>
      </c>
      <c r="F447" s="100" t="str">
        <f>SUBSTITUTE(INDEX(Calc!$K:$K,(ROW(A446)-1)*5+COLUMN(A446)+1),",",".")</f>
        <v/>
      </c>
      <c r="G447" s="100" t="str">
        <f>SUBSTITUTE(INDEX(Calc!$K:$K,(ROW(B446)-1)*5+COLUMN(B446)+1),",",".")</f>
        <v/>
      </c>
      <c r="H447" s="100" t="str">
        <f>SUBSTITUTE(INDEX(Calc!$K:$K,(ROW(C446)-1)*5+COLUMN(C446)+1),",",".")</f>
        <v/>
      </c>
      <c r="I447" s="100" t="str">
        <f>SUBSTITUTE(INDEX(Calc!$K:$K,(ROW(D446)-1)*5+COLUMN(D446)+1),",",".")</f>
        <v/>
      </c>
      <c r="J447" s="100" t="str">
        <f>SUBSTITUTE(INDEX(Calc!$K:$K,(ROW(E446)-1)*5+COLUMN(E446)+1),",",".")</f>
        <v/>
      </c>
      <c r="K447" s="47" t="s">
        <v>898</v>
      </c>
      <c r="L447" s="100">
        <f>Закуп!AA447</f>
        <v>0</v>
      </c>
      <c r="M447" s="47" t="s">
        <v>899</v>
      </c>
      <c r="N447" s="47">
        <f>IF(Закуп!L447="",0,Закуп!L447)</f>
        <v>0</v>
      </c>
      <c r="O447" s="47" t="s">
        <v>900</v>
      </c>
      <c r="P447" s="165">
        <f>Закуп!N447</f>
        <v>0</v>
      </c>
      <c r="Q447" s="210" t="str">
        <f t="shared" si="8"/>
        <v xml:space="preserve">        [ 'dims' =&gt; [0,0,0], 'prices' =&gt; [,,,,], 'type' =&gt; "0", 'sale' =&gt; "0" ],</v>
      </c>
    </row>
    <row r="448" spans="1:17" hidden="1" x14ac:dyDescent="0.4">
      <c r="A448" s="47" t="s">
        <v>896</v>
      </c>
      <c r="B448" s="47">
        <f>Закуп!R448</f>
        <v>0</v>
      </c>
      <c r="C448" s="47">
        <f>Закуп!S448</f>
        <v>0</v>
      </c>
      <c r="D448" s="47">
        <f>Закуп!T448</f>
        <v>0</v>
      </c>
      <c r="E448" s="47" t="s">
        <v>897</v>
      </c>
      <c r="F448" s="100" t="str">
        <f>SUBSTITUTE(INDEX(Calc!$K:$K,(ROW(A447)-1)*5+COLUMN(A447)+1),",",".")</f>
        <v/>
      </c>
      <c r="G448" s="100" t="str">
        <f>SUBSTITUTE(INDEX(Calc!$K:$K,(ROW(B447)-1)*5+COLUMN(B447)+1),",",".")</f>
        <v/>
      </c>
      <c r="H448" s="100" t="str">
        <f>SUBSTITUTE(INDEX(Calc!$K:$K,(ROW(C447)-1)*5+COLUMN(C447)+1),",",".")</f>
        <v/>
      </c>
      <c r="I448" s="100" t="str">
        <f>SUBSTITUTE(INDEX(Calc!$K:$K,(ROW(D447)-1)*5+COLUMN(D447)+1),",",".")</f>
        <v/>
      </c>
      <c r="J448" s="100" t="str">
        <f>SUBSTITUTE(INDEX(Calc!$K:$K,(ROW(E447)-1)*5+COLUMN(E447)+1),",",".")</f>
        <v/>
      </c>
      <c r="K448" s="47" t="s">
        <v>898</v>
      </c>
      <c r="L448" s="100">
        <f>Закуп!AA448</f>
        <v>0</v>
      </c>
      <c r="M448" s="47" t="s">
        <v>899</v>
      </c>
      <c r="N448" s="47">
        <f>IF(Закуп!L448="",0,Закуп!L448)</f>
        <v>0</v>
      </c>
      <c r="O448" s="47" t="s">
        <v>900</v>
      </c>
      <c r="P448" s="165">
        <f>Закуп!N448</f>
        <v>0</v>
      </c>
      <c r="Q448" s="210" t="str">
        <f t="shared" si="8"/>
        <v xml:space="preserve">        [ 'dims' =&gt; [0,0,0], 'prices' =&gt; [,,,,], 'type' =&gt; "0", 'sale' =&gt; "0" ],</v>
      </c>
    </row>
    <row r="449" spans="1:17" hidden="1" x14ac:dyDescent="0.4">
      <c r="A449" s="47" t="s">
        <v>896</v>
      </c>
      <c r="B449" s="47">
        <f>Закуп!R449</f>
        <v>0</v>
      </c>
      <c r="C449" s="47">
        <f>Закуп!S449</f>
        <v>0</v>
      </c>
      <c r="D449" s="47">
        <f>Закуп!T449</f>
        <v>0</v>
      </c>
      <c r="E449" s="47" t="s">
        <v>897</v>
      </c>
      <c r="F449" s="100" t="str">
        <f>SUBSTITUTE(INDEX(Calc!$K:$K,(ROW(A448)-1)*5+COLUMN(A448)+1),",",".")</f>
        <v/>
      </c>
      <c r="G449" s="100" t="str">
        <f>SUBSTITUTE(INDEX(Calc!$K:$K,(ROW(B448)-1)*5+COLUMN(B448)+1),",",".")</f>
        <v/>
      </c>
      <c r="H449" s="100" t="str">
        <f>SUBSTITUTE(INDEX(Calc!$K:$K,(ROW(C448)-1)*5+COLUMN(C448)+1),",",".")</f>
        <v/>
      </c>
      <c r="I449" s="100" t="str">
        <f>SUBSTITUTE(INDEX(Calc!$K:$K,(ROW(D448)-1)*5+COLUMN(D448)+1),",",".")</f>
        <v/>
      </c>
      <c r="J449" s="100" t="str">
        <f>SUBSTITUTE(INDEX(Calc!$K:$K,(ROW(E448)-1)*5+COLUMN(E448)+1),",",".")</f>
        <v/>
      </c>
      <c r="K449" s="47" t="s">
        <v>898</v>
      </c>
      <c r="L449" s="100">
        <f>Закуп!AA449</f>
        <v>0</v>
      </c>
      <c r="M449" s="47" t="s">
        <v>899</v>
      </c>
      <c r="N449" s="47">
        <f>IF(Закуп!L449="",0,Закуп!L449)</f>
        <v>0</v>
      </c>
      <c r="O449" s="47" t="s">
        <v>900</v>
      </c>
      <c r="P449" s="165">
        <f>Закуп!N449</f>
        <v>0</v>
      </c>
      <c r="Q449" s="210" t="str">
        <f t="shared" si="8"/>
        <v xml:space="preserve">        [ 'dims' =&gt; [0,0,0], 'prices' =&gt; [,,,,], 'type' =&gt; "0", 'sale' =&gt; "0" ],</v>
      </c>
    </row>
    <row r="450" spans="1:17" hidden="1" x14ac:dyDescent="0.4">
      <c r="A450" s="47" t="s">
        <v>896</v>
      </c>
      <c r="B450" s="47">
        <f>Закуп!R450</f>
        <v>0</v>
      </c>
      <c r="C450" s="47">
        <f>Закуп!S450</f>
        <v>0</v>
      </c>
      <c r="D450" s="47">
        <f>Закуп!T450</f>
        <v>0</v>
      </c>
      <c r="E450" s="47" t="s">
        <v>897</v>
      </c>
      <c r="F450" s="100" t="str">
        <f>SUBSTITUTE(INDEX(Calc!$K:$K,(ROW(A449)-1)*5+COLUMN(A449)+1),",",".")</f>
        <v/>
      </c>
      <c r="G450" s="100" t="str">
        <f>SUBSTITUTE(INDEX(Calc!$K:$K,(ROW(B449)-1)*5+COLUMN(B449)+1),",",".")</f>
        <v/>
      </c>
      <c r="H450" s="100" t="str">
        <f>SUBSTITUTE(INDEX(Calc!$K:$K,(ROW(C449)-1)*5+COLUMN(C449)+1),",",".")</f>
        <v/>
      </c>
      <c r="I450" s="100" t="str">
        <f>SUBSTITUTE(INDEX(Calc!$K:$K,(ROW(D449)-1)*5+COLUMN(D449)+1),",",".")</f>
        <v/>
      </c>
      <c r="J450" s="100" t="str">
        <f>SUBSTITUTE(INDEX(Calc!$K:$K,(ROW(E449)-1)*5+COLUMN(E449)+1),",",".")</f>
        <v/>
      </c>
      <c r="K450" s="47" t="s">
        <v>898</v>
      </c>
      <c r="L450" s="100">
        <f>Закуп!AA450</f>
        <v>0</v>
      </c>
      <c r="M450" s="47" t="s">
        <v>899</v>
      </c>
      <c r="N450" s="47">
        <f>IF(Закуп!L450="",0,Закуп!L450)</f>
        <v>0</v>
      </c>
      <c r="O450" s="47" t="s">
        <v>900</v>
      </c>
      <c r="P450" s="165">
        <f>Закуп!N450</f>
        <v>0</v>
      </c>
      <c r="Q450" s="210" t="str">
        <f t="shared" si="8"/>
        <v xml:space="preserve">        [ 'dims' =&gt; [0,0,0], 'prices' =&gt; [,,,,], 'type' =&gt; "0", 'sale' =&gt; "0" ],</v>
      </c>
    </row>
    <row r="451" spans="1:17" hidden="1" x14ac:dyDescent="0.4">
      <c r="A451" s="47" t="s">
        <v>896</v>
      </c>
      <c r="B451" s="47">
        <f>Закуп!R451</f>
        <v>0</v>
      </c>
      <c r="C451" s="47">
        <f>Закуп!S451</f>
        <v>0</v>
      </c>
      <c r="D451" s="47">
        <f>Закуп!T451</f>
        <v>0</v>
      </c>
      <c r="E451" s="47" t="s">
        <v>897</v>
      </c>
      <c r="F451" s="100" t="str">
        <f>SUBSTITUTE(INDEX(Calc!$K:$K,(ROW(A450)-1)*5+COLUMN(A450)+1),",",".")</f>
        <v/>
      </c>
      <c r="G451" s="100" t="str">
        <f>SUBSTITUTE(INDEX(Calc!$K:$K,(ROW(B450)-1)*5+COLUMN(B450)+1),",",".")</f>
        <v/>
      </c>
      <c r="H451" s="100" t="str">
        <f>SUBSTITUTE(INDEX(Calc!$K:$K,(ROW(C450)-1)*5+COLUMN(C450)+1),",",".")</f>
        <v/>
      </c>
      <c r="I451" s="100" t="str">
        <f>SUBSTITUTE(INDEX(Calc!$K:$K,(ROW(D450)-1)*5+COLUMN(D450)+1),",",".")</f>
        <v/>
      </c>
      <c r="J451" s="100" t="str">
        <f>SUBSTITUTE(INDEX(Calc!$K:$K,(ROW(E450)-1)*5+COLUMN(E450)+1),",",".")</f>
        <v/>
      </c>
      <c r="K451" s="47" t="s">
        <v>898</v>
      </c>
      <c r="L451" s="100">
        <f>Закуп!AA451</f>
        <v>0</v>
      </c>
      <c r="M451" s="47" t="s">
        <v>899</v>
      </c>
      <c r="N451" s="47">
        <f>IF(Закуп!L451="",0,Закуп!L451)</f>
        <v>0</v>
      </c>
      <c r="O451" s="47" t="s">
        <v>900</v>
      </c>
      <c r="P451" s="165">
        <f>Закуп!N451</f>
        <v>0</v>
      </c>
      <c r="Q451" s="210" t="str">
        <f t="shared" si="8"/>
        <v xml:space="preserve">        [ 'dims' =&gt; [0,0,0], 'prices' =&gt; [,,,,], 'type' =&gt; "0", 'sale' =&gt; "0" ],</v>
      </c>
    </row>
    <row r="452" spans="1:17" hidden="1" x14ac:dyDescent="0.4">
      <c r="A452" s="47" t="s">
        <v>896</v>
      </c>
      <c r="B452" s="47">
        <f>Закуп!R452</f>
        <v>0</v>
      </c>
      <c r="C452" s="47">
        <f>Закуп!S452</f>
        <v>0</v>
      </c>
      <c r="D452" s="47">
        <f>Закуп!T452</f>
        <v>0</v>
      </c>
      <c r="E452" s="47" t="s">
        <v>897</v>
      </c>
      <c r="F452" s="100" t="str">
        <f>SUBSTITUTE(INDEX(Calc!$K:$K,(ROW(A451)-1)*5+COLUMN(A451)+1),",",".")</f>
        <v/>
      </c>
      <c r="G452" s="100" t="str">
        <f>SUBSTITUTE(INDEX(Calc!$K:$K,(ROW(B451)-1)*5+COLUMN(B451)+1),",",".")</f>
        <v/>
      </c>
      <c r="H452" s="100" t="str">
        <f>SUBSTITUTE(INDEX(Calc!$K:$K,(ROW(C451)-1)*5+COLUMN(C451)+1),",",".")</f>
        <v/>
      </c>
      <c r="I452" s="100" t="str">
        <f>SUBSTITUTE(INDEX(Calc!$K:$K,(ROW(D451)-1)*5+COLUMN(D451)+1),",",".")</f>
        <v/>
      </c>
      <c r="J452" s="100" t="str">
        <f>SUBSTITUTE(INDEX(Calc!$K:$K,(ROW(E451)-1)*5+COLUMN(E451)+1),",",".")</f>
        <v/>
      </c>
      <c r="K452" s="47" t="s">
        <v>898</v>
      </c>
      <c r="L452" s="100">
        <f>Закуп!AA452</f>
        <v>0</v>
      </c>
      <c r="M452" s="47" t="s">
        <v>899</v>
      </c>
      <c r="N452" s="47">
        <f>IF(Закуп!L452="",0,Закуп!L452)</f>
        <v>0</v>
      </c>
      <c r="O452" s="47" t="s">
        <v>900</v>
      </c>
      <c r="P452" s="165">
        <f>Закуп!N452</f>
        <v>0</v>
      </c>
      <c r="Q452" s="210" t="str">
        <f t="shared" si="8"/>
        <v xml:space="preserve">        [ 'dims' =&gt; [0,0,0], 'prices' =&gt; [,,,,], 'type' =&gt; "0", 'sale' =&gt; "0" ],</v>
      </c>
    </row>
    <row r="453" spans="1:17" hidden="1" x14ac:dyDescent="0.4">
      <c r="A453" s="47" t="s">
        <v>896</v>
      </c>
      <c r="B453" s="47">
        <f>Закуп!R453</f>
        <v>0</v>
      </c>
      <c r="C453" s="47">
        <f>Закуп!S453</f>
        <v>0</v>
      </c>
      <c r="D453" s="47">
        <f>Закуп!T453</f>
        <v>0</v>
      </c>
      <c r="E453" s="47" t="s">
        <v>897</v>
      </c>
      <c r="F453" s="100" t="str">
        <f>SUBSTITUTE(INDEX(Calc!$K:$K,(ROW(A452)-1)*5+COLUMN(A452)+1),",",".")</f>
        <v/>
      </c>
      <c r="G453" s="100" t="str">
        <f>SUBSTITUTE(INDEX(Calc!$K:$K,(ROW(B452)-1)*5+COLUMN(B452)+1),",",".")</f>
        <v/>
      </c>
      <c r="H453" s="100" t="str">
        <f>SUBSTITUTE(INDEX(Calc!$K:$K,(ROW(C452)-1)*5+COLUMN(C452)+1),",",".")</f>
        <v/>
      </c>
      <c r="I453" s="100" t="str">
        <f>SUBSTITUTE(INDEX(Calc!$K:$K,(ROW(D452)-1)*5+COLUMN(D452)+1),",",".")</f>
        <v/>
      </c>
      <c r="J453" s="100" t="str">
        <f>SUBSTITUTE(INDEX(Calc!$K:$K,(ROW(E452)-1)*5+COLUMN(E452)+1),",",".")</f>
        <v/>
      </c>
      <c r="K453" s="47" t="s">
        <v>898</v>
      </c>
      <c r="L453" s="100">
        <f>Закуп!AA453</f>
        <v>0</v>
      </c>
      <c r="M453" s="47" t="s">
        <v>899</v>
      </c>
      <c r="N453" s="47">
        <f>IF(Закуп!L453="",0,Закуп!L453)</f>
        <v>0</v>
      </c>
      <c r="O453" s="47" t="s">
        <v>900</v>
      </c>
      <c r="P453" s="165">
        <f>Закуп!N453</f>
        <v>0</v>
      </c>
      <c r="Q453" s="210" t="str">
        <f t="shared" si="8"/>
        <v xml:space="preserve">        [ 'dims' =&gt; [0,0,0], 'prices' =&gt; [,,,,], 'type' =&gt; "0", 'sale' =&gt; "0" ],</v>
      </c>
    </row>
    <row r="454" spans="1:17" hidden="1" x14ac:dyDescent="0.4">
      <c r="A454" s="47" t="s">
        <v>896</v>
      </c>
      <c r="B454" s="47">
        <f>Закуп!R454</f>
        <v>0</v>
      </c>
      <c r="C454" s="47">
        <f>Закуп!S454</f>
        <v>0</v>
      </c>
      <c r="D454" s="47">
        <f>Закуп!T454</f>
        <v>0</v>
      </c>
      <c r="E454" s="47" t="s">
        <v>897</v>
      </c>
      <c r="F454" s="100" t="str">
        <f>SUBSTITUTE(INDEX(Calc!$K:$K,(ROW(A453)-1)*5+COLUMN(A453)+1),",",".")</f>
        <v/>
      </c>
      <c r="G454" s="100" t="str">
        <f>SUBSTITUTE(INDEX(Calc!$K:$K,(ROW(B453)-1)*5+COLUMN(B453)+1),",",".")</f>
        <v/>
      </c>
      <c r="H454" s="100" t="str">
        <f>SUBSTITUTE(INDEX(Calc!$K:$K,(ROW(C453)-1)*5+COLUMN(C453)+1),",",".")</f>
        <v/>
      </c>
      <c r="I454" s="100" t="str">
        <f>SUBSTITUTE(INDEX(Calc!$K:$K,(ROW(D453)-1)*5+COLUMN(D453)+1),",",".")</f>
        <v/>
      </c>
      <c r="J454" s="100" t="str">
        <f>SUBSTITUTE(INDEX(Calc!$K:$K,(ROW(E453)-1)*5+COLUMN(E453)+1),",",".")</f>
        <v/>
      </c>
      <c r="K454" s="47" t="s">
        <v>898</v>
      </c>
      <c r="L454" s="100">
        <f>Закуп!AA454</f>
        <v>0</v>
      </c>
      <c r="M454" s="47" t="s">
        <v>899</v>
      </c>
      <c r="N454" s="47">
        <f>IF(Закуп!L454="",0,Закуп!L454)</f>
        <v>0</v>
      </c>
      <c r="O454" s="47" t="s">
        <v>900</v>
      </c>
      <c r="P454" s="165">
        <f>Закуп!N454</f>
        <v>0</v>
      </c>
      <c r="Q454" s="210" t="str">
        <f t="shared" si="8"/>
        <v xml:space="preserve">        [ 'dims' =&gt; [0,0,0], 'prices' =&gt; [,,,,], 'type' =&gt; "0", 'sale' =&gt; "0" ],</v>
      </c>
    </row>
    <row r="455" spans="1:17" hidden="1" x14ac:dyDescent="0.4">
      <c r="A455" s="47" t="s">
        <v>896</v>
      </c>
      <c r="B455" s="47">
        <f>Закуп!R455</f>
        <v>0</v>
      </c>
      <c r="C455" s="47">
        <f>Закуп!S455</f>
        <v>0</v>
      </c>
      <c r="D455" s="47">
        <f>Закуп!T455</f>
        <v>0</v>
      </c>
      <c r="E455" s="47" t="s">
        <v>897</v>
      </c>
      <c r="F455" s="100" t="str">
        <f>SUBSTITUTE(INDEX(Calc!$K:$K,(ROW(A454)-1)*5+COLUMN(A454)+1),",",".")</f>
        <v/>
      </c>
      <c r="G455" s="100" t="str">
        <f>SUBSTITUTE(INDEX(Calc!$K:$K,(ROW(B454)-1)*5+COLUMN(B454)+1),",",".")</f>
        <v/>
      </c>
      <c r="H455" s="100" t="str">
        <f>SUBSTITUTE(INDEX(Calc!$K:$K,(ROW(C454)-1)*5+COLUMN(C454)+1),",",".")</f>
        <v/>
      </c>
      <c r="I455" s="100" t="str">
        <f>SUBSTITUTE(INDEX(Calc!$K:$K,(ROW(D454)-1)*5+COLUMN(D454)+1),",",".")</f>
        <v/>
      </c>
      <c r="J455" s="100" t="str">
        <f>SUBSTITUTE(INDEX(Calc!$K:$K,(ROW(E454)-1)*5+COLUMN(E454)+1),",",".")</f>
        <v/>
      </c>
      <c r="K455" s="47" t="s">
        <v>898</v>
      </c>
      <c r="L455" s="100">
        <f>Закуп!AA455</f>
        <v>0</v>
      </c>
      <c r="M455" s="47" t="s">
        <v>899</v>
      </c>
      <c r="N455" s="47">
        <f>IF(Закуп!L455="",0,Закуп!L455)</f>
        <v>0</v>
      </c>
      <c r="O455" s="47" t="s">
        <v>900</v>
      </c>
      <c r="P455" s="165">
        <f>Закуп!N455</f>
        <v>0</v>
      </c>
      <c r="Q455" s="210" t="str">
        <f t="shared" si="8"/>
        <v xml:space="preserve">        [ 'dims' =&gt; [0,0,0], 'prices' =&gt; [,,,,], 'type' =&gt; "0", 'sale' =&gt; "0" ],</v>
      </c>
    </row>
    <row r="456" spans="1:17" hidden="1" x14ac:dyDescent="0.4">
      <c r="A456" s="47" t="s">
        <v>896</v>
      </c>
      <c r="B456" s="47">
        <f>Закуп!R456</f>
        <v>0</v>
      </c>
      <c r="C456" s="47">
        <f>Закуп!S456</f>
        <v>0</v>
      </c>
      <c r="D456" s="47">
        <f>Закуп!T456</f>
        <v>0</v>
      </c>
      <c r="E456" s="47" t="s">
        <v>897</v>
      </c>
      <c r="F456" s="100" t="str">
        <f>SUBSTITUTE(INDEX(Calc!$K:$K,(ROW(A455)-1)*5+COLUMN(A455)+1),",",".")</f>
        <v/>
      </c>
      <c r="G456" s="100" t="str">
        <f>SUBSTITUTE(INDEX(Calc!$K:$K,(ROW(B455)-1)*5+COLUMN(B455)+1),",",".")</f>
        <v/>
      </c>
      <c r="H456" s="100" t="str">
        <f>SUBSTITUTE(INDEX(Calc!$K:$K,(ROW(C455)-1)*5+COLUMN(C455)+1),",",".")</f>
        <v/>
      </c>
      <c r="I456" s="100" t="str">
        <f>SUBSTITUTE(INDEX(Calc!$K:$K,(ROW(D455)-1)*5+COLUMN(D455)+1),",",".")</f>
        <v/>
      </c>
      <c r="J456" s="100" t="str">
        <f>SUBSTITUTE(INDEX(Calc!$K:$K,(ROW(E455)-1)*5+COLUMN(E455)+1),",",".")</f>
        <v/>
      </c>
      <c r="K456" s="47" t="s">
        <v>898</v>
      </c>
      <c r="L456" s="100">
        <f>Закуп!AA456</f>
        <v>0</v>
      </c>
      <c r="M456" s="47" t="s">
        <v>899</v>
      </c>
      <c r="N456" s="47">
        <f>IF(Закуп!L456="",0,Закуп!L456)</f>
        <v>0</v>
      </c>
      <c r="O456" s="47" t="s">
        <v>900</v>
      </c>
      <c r="P456" s="165">
        <f>Закуп!N456</f>
        <v>0</v>
      </c>
      <c r="Q456" s="210" t="str">
        <f t="shared" si="8"/>
        <v xml:space="preserve">        [ 'dims' =&gt; [0,0,0], 'prices' =&gt; [,,,,], 'type' =&gt; "0", 'sale' =&gt; "0" ],</v>
      </c>
    </row>
    <row r="457" spans="1:17" hidden="1" x14ac:dyDescent="0.4">
      <c r="A457" s="47" t="s">
        <v>896</v>
      </c>
      <c r="B457" s="47">
        <f>Закуп!R457</f>
        <v>0</v>
      </c>
      <c r="C457" s="47">
        <f>Закуп!S457</f>
        <v>0</v>
      </c>
      <c r="D457" s="47">
        <f>Закуп!T457</f>
        <v>0</v>
      </c>
      <c r="E457" s="47" t="s">
        <v>897</v>
      </c>
      <c r="F457" s="100" t="str">
        <f>SUBSTITUTE(INDEX(Calc!$K:$K,(ROW(A456)-1)*5+COLUMN(A456)+1),",",".")</f>
        <v/>
      </c>
      <c r="G457" s="100" t="str">
        <f>SUBSTITUTE(INDEX(Calc!$K:$K,(ROW(B456)-1)*5+COLUMN(B456)+1),",",".")</f>
        <v/>
      </c>
      <c r="H457" s="100" t="str">
        <f>SUBSTITUTE(INDEX(Calc!$K:$K,(ROW(C456)-1)*5+COLUMN(C456)+1),",",".")</f>
        <v/>
      </c>
      <c r="I457" s="100" t="str">
        <f>SUBSTITUTE(INDEX(Calc!$K:$K,(ROW(D456)-1)*5+COLUMN(D456)+1),",",".")</f>
        <v/>
      </c>
      <c r="J457" s="100" t="str">
        <f>SUBSTITUTE(INDEX(Calc!$K:$K,(ROW(E456)-1)*5+COLUMN(E456)+1),",",".")</f>
        <v/>
      </c>
      <c r="K457" s="47" t="s">
        <v>898</v>
      </c>
      <c r="L457" s="100">
        <f>Закуп!AA457</f>
        <v>0</v>
      </c>
      <c r="M457" s="47" t="s">
        <v>899</v>
      </c>
      <c r="N457" s="47">
        <f>IF(Закуп!L457="",0,Закуп!L457)</f>
        <v>0</v>
      </c>
      <c r="O457" s="47" t="s">
        <v>900</v>
      </c>
      <c r="P457" s="165">
        <f>Закуп!N457</f>
        <v>0</v>
      </c>
      <c r="Q457" s="210" t="str">
        <f t="shared" si="8"/>
        <v xml:space="preserve">        [ 'dims' =&gt; [0,0,0], 'prices' =&gt; [,,,,], 'type' =&gt; "0", 'sale' =&gt; "0" ],</v>
      </c>
    </row>
    <row r="458" spans="1:17" hidden="1" x14ac:dyDescent="0.4">
      <c r="A458" s="47" t="s">
        <v>896</v>
      </c>
      <c r="B458" s="47">
        <f>Закуп!R458</f>
        <v>0</v>
      </c>
      <c r="C458" s="47">
        <f>Закуп!S458</f>
        <v>0</v>
      </c>
      <c r="D458" s="47">
        <f>Закуп!T458</f>
        <v>0</v>
      </c>
      <c r="E458" s="47" t="s">
        <v>897</v>
      </c>
      <c r="F458" s="100" t="str">
        <f>SUBSTITUTE(INDEX(Calc!$K:$K,(ROW(A457)-1)*5+COLUMN(A457)+1),",",".")</f>
        <v/>
      </c>
      <c r="G458" s="100" t="str">
        <f>SUBSTITUTE(INDEX(Calc!$K:$K,(ROW(B457)-1)*5+COLUMN(B457)+1),",",".")</f>
        <v/>
      </c>
      <c r="H458" s="100" t="str">
        <f>SUBSTITUTE(INDEX(Calc!$K:$K,(ROW(C457)-1)*5+COLUMN(C457)+1),",",".")</f>
        <v/>
      </c>
      <c r="I458" s="100" t="str">
        <f>SUBSTITUTE(INDEX(Calc!$K:$K,(ROW(D457)-1)*5+COLUMN(D457)+1),",",".")</f>
        <v/>
      </c>
      <c r="J458" s="100" t="str">
        <f>SUBSTITUTE(INDEX(Calc!$K:$K,(ROW(E457)-1)*5+COLUMN(E457)+1),",",".")</f>
        <v/>
      </c>
      <c r="K458" s="47" t="s">
        <v>898</v>
      </c>
      <c r="L458" s="100">
        <f>Закуп!AA458</f>
        <v>0</v>
      </c>
      <c r="M458" s="47" t="s">
        <v>899</v>
      </c>
      <c r="N458" s="47">
        <f>IF(Закуп!L458="",0,Закуп!L458)</f>
        <v>0</v>
      </c>
      <c r="O458" s="47" t="s">
        <v>900</v>
      </c>
      <c r="P458" s="165">
        <f>Закуп!N458</f>
        <v>0</v>
      </c>
      <c r="Q458" s="210" t="str">
        <f t="shared" si="8"/>
        <v xml:space="preserve">        [ 'dims' =&gt; [0,0,0], 'prices' =&gt; [,,,,], 'type' =&gt; "0", 'sale' =&gt; "0" ],</v>
      </c>
    </row>
    <row r="459" spans="1:17" hidden="1" x14ac:dyDescent="0.4">
      <c r="A459" s="47" t="s">
        <v>896</v>
      </c>
      <c r="B459" s="47">
        <f>Закуп!R459</f>
        <v>0</v>
      </c>
      <c r="C459" s="47">
        <f>Закуп!S459</f>
        <v>0</v>
      </c>
      <c r="D459" s="47">
        <f>Закуп!T459</f>
        <v>0</v>
      </c>
      <c r="E459" s="47" t="s">
        <v>897</v>
      </c>
      <c r="F459" s="100" t="str">
        <f>SUBSTITUTE(INDEX(Calc!$K:$K,(ROW(A458)-1)*5+COLUMN(A458)+1),",",".")</f>
        <v/>
      </c>
      <c r="G459" s="100" t="str">
        <f>SUBSTITUTE(INDEX(Calc!$K:$K,(ROW(B458)-1)*5+COLUMN(B458)+1),",",".")</f>
        <v/>
      </c>
      <c r="H459" s="100" t="str">
        <f>SUBSTITUTE(INDEX(Calc!$K:$K,(ROW(C458)-1)*5+COLUMN(C458)+1),",",".")</f>
        <v/>
      </c>
      <c r="I459" s="100" t="str">
        <f>SUBSTITUTE(INDEX(Calc!$K:$K,(ROW(D458)-1)*5+COLUMN(D458)+1),",",".")</f>
        <v/>
      </c>
      <c r="J459" s="100" t="str">
        <f>SUBSTITUTE(INDEX(Calc!$K:$K,(ROW(E458)-1)*5+COLUMN(E458)+1),",",".")</f>
        <v/>
      </c>
      <c r="K459" s="47" t="s">
        <v>898</v>
      </c>
      <c r="L459" s="100">
        <f>Закуп!AA459</f>
        <v>0</v>
      </c>
      <c r="M459" s="47" t="s">
        <v>899</v>
      </c>
      <c r="N459" s="47">
        <f>IF(Закуп!L459="",0,Закуп!L459)</f>
        <v>0</v>
      </c>
      <c r="O459" s="47" t="s">
        <v>900</v>
      </c>
      <c r="P459" s="165">
        <f>Закуп!N459</f>
        <v>0</v>
      </c>
      <c r="Q459" s="210" t="str">
        <f t="shared" si="8"/>
        <v xml:space="preserve">        [ 'dims' =&gt; [0,0,0], 'prices' =&gt; [,,,,], 'type' =&gt; "0", 'sale' =&gt; "0" ],</v>
      </c>
    </row>
    <row r="460" spans="1:17" hidden="1" x14ac:dyDescent="0.4">
      <c r="A460" s="47" t="s">
        <v>896</v>
      </c>
      <c r="B460" s="47">
        <f>Закуп!R460</f>
        <v>0</v>
      </c>
      <c r="C460" s="47">
        <f>Закуп!S460</f>
        <v>0</v>
      </c>
      <c r="D460" s="47">
        <f>Закуп!T460</f>
        <v>0</v>
      </c>
      <c r="E460" s="47" t="s">
        <v>897</v>
      </c>
      <c r="F460" s="100" t="str">
        <f>SUBSTITUTE(INDEX(Calc!$K:$K,(ROW(A459)-1)*5+COLUMN(A459)+1),",",".")</f>
        <v/>
      </c>
      <c r="G460" s="100" t="str">
        <f>SUBSTITUTE(INDEX(Calc!$K:$K,(ROW(B459)-1)*5+COLUMN(B459)+1),",",".")</f>
        <v/>
      </c>
      <c r="H460" s="100" t="str">
        <f>SUBSTITUTE(INDEX(Calc!$K:$K,(ROW(C459)-1)*5+COLUMN(C459)+1),",",".")</f>
        <v/>
      </c>
      <c r="I460" s="100" t="str">
        <f>SUBSTITUTE(INDEX(Calc!$K:$K,(ROW(D459)-1)*5+COLUMN(D459)+1),",",".")</f>
        <v/>
      </c>
      <c r="J460" s="100" t="str">
        <f>SUBSTITUTE(INDEX(Calc!$K:$K,(ROW(E459)-1)*5+COLUMN(E459)+1),",",".")</f>
        <v/>
      </c>
      <c r="K460" s="47" t="s">
        <v>898</v>
      </c>
      <c r="L460" s="100">
        <f>Закуп!AA460</f>
        <v>0</v>
      </c>
      <c r="M460" s="47" t="s">
        <v>899</v>
      </c>
      <c r="N460" s="47">
        <f>IF(Закуп!L460="",0,Закуп!L460)</f>
        <v>0</v>
      </c>
      <c r="O460" s="47" t="s">
        <v>900</v>
      </c>
      <c r="P460" s="165">
        <f>Закуп!N460</f>
        <v>0</v>
      </c>
      <c r="Q460" s="210" t="str">
        <f t="shared" si="8"/>
        <v xml:space="preserve">        [ 'dims' =&gt; [0,0,0], 'prices' =&gt; [,,,,], 'type' =&gt; "0", 'sale' =&gt; "0" ],</v>
      </c>
    </row>
    <row r="461" spans="1:17" hidden="1" x14ac:dyDescent="0.4">
      <c r="A461" s="47" t="s">
        <v>896</v>
      </c>
      <c r="B461" s="47">
        <f>Закуп!R461</f>
        <v>0</v>
      </c>
      <c r="C461" s="47">
        <f>Закуп!S461</f>
        <v>0</v>
      </c>
      <c r="D461" s="47">
        <f>Закуп!T461</f>
        <v>0</v>
      </c>
      <c r="E461" s="47" t="s">
        <v>897</v>
      </c>
      <c r="F461" s="100" t="str">
        <f>SUBSTITUTE(INDEX(Calc!$K:$K,(ROW(A460)-1)*5+COLUMN(A460)+1),",",".")</f>
        <v/>
      </c>
      <c r="G461" s="100" t="str">
        <f>SUBSTITUTE(INDEX(Calc!$K:$K,(ROW(B460)-1)*5+COLUMN(B460)+1),",",".")</f>
        <v/>
      </c>
      <c r="H461" s="100" t="str">
        <f>SUBSTITUTE(INDEX(Calc!$K:$K,(ROW(C460)-1)*5+COLUMN(C460)+1),",",".")</f>
        <v/>
      </c>
      <c r="I461" s="100" t="str">
        <f>SUBSTITUTE(INDEX(Calc!$K:$K,(ROW(D460)-1)*5+COLUMN(D460)+1),",",".")</f>
        <v/>
      </c>
      <c r="J461" s="100" t="str">
        <f>SUBSTITUTE(INDEX(Calc!$K:$K,(ROW(E460)-1)*5+COLUMN(E460)+1),",",".")</f>
        <v/>
      </c>
      <c r="K461" s="47" t="s">
        <v>898</v>
      </c>
      <c r="L461" s="100">
        <f>Закуп!AA461</f>
        <v>0</v>
      </c>
      <c r="M461" s="47" t="s">
        <v>899</v>
      </c>
      <c r="N461" s="47">
        <f>IF(Закуп!L461="",0,Закуп!L461)</f>
        <v>0</v>
      </c>
      <c r="O461" s="47" t="s">
        <v>900</v>
      </c>
      <c r="P461" s="165">
        <f>Закуп!N461</f>
        <v>0</v>
      </c>
      <c r="Q461" s="210" t="str">
        <f t="shared" si="8"/>
        <v xml:space="preserve">        [ 'dims' =&gt; [0,0,0], 'prices' =&gt; [,,,,], 'type' =&gt; "0", 'sale' =&gt; "0" ],</v>
      </c>
    </row>
    <row r="462" spans="1:17" hidden="1" x14ac:dyDescent="0.4">
      <c r="A462" s="47" t="s">
        <v>896</v>
      </c>
      <c r="B462" s="47">
        <f>Закуп!R462</f>
        <v>0</v>
      </c>
      <c r="C462" s="47">
        <f>Закуп!S462</f>
        <v>0</v>
      </c>
      <c r="D462" s="47">
        <f>Закуп!T462</f>
        <v>0</v>
      </c>
      <c r="E462" s="47" t="s">
        <v>897</v>
      </c>
      <c r="F462" s="100" t="str">
        <f>SUBSTITUTE(INDEX(Calc!$K:$K,(ROW(A461)-1)*5+COLUMN(A461)+1),",",".")</f>
        <v/>
      </c>
      <c r="G462" s="100" t="str">
        <f>SUBSTITUTE(INDEX(Calc!$K:$K,(ROW(B461)-1)*5+COLUMN(B461)+1),",",".")</f>
        <v/>
      </c>
      <c r="H462" s="100" t="str">
        <f>SUBSTITUTE(INDEX(Calc!$K:$K,(ROW(C461)-1)*5+COLUMN(C461)+1),",",".")</f>
        <v/>
      </c>
      <c r="I462" s="100" t="str">
        <f>SUBSTITUTE(INDEX(Calc!$K:$K,(ROW(D461)-1)*5+COLUMN(D461)+1),",",".")</f>
        <v/>
      </c>
      <c r="J462" s="100" t="str">
        <f>SUBSTITUTE(INDEX(Calc!$K:$K,(ROW(E461)-1)*5+COLUMN(E461)+1),",",".")</f>
        <v/>
      </c>
      <c r="K462" s="47" t="s">
        <v>898</v>
      </c>
      <c r="L462" s="100">
        <f>Закуп!AA462</f>
        <v>0</v>
      </c>
      <c r="M462" s="47" t="s">
        <v>899</v>
      </c>
      <c r="N462" s="47">
        <f>IF(Закуп!L462="",0,Закуп!L462)</f>
        <v>0</v>
      </c>
      <c r="O462" s="47" t="s">
        <v>900</v>
      </c>
      <c r="P462" s="165">
        <f>Закуп!N462</f>
        <v>0</v>
      </c>
      <c r="Q462" s="210" t="str">
        <f t="shared" si="8"/>
        <v xml:space="preserve">        [ 'dims' =&gt; [0,0,0], 'prices' =&gt; [,,,,], 'type' =&gt; "0", 'sale' =&gt; "0" ],</v>
      </c>
    </row>
    <row r="463" spans="1:17" hidden="1" x14ac:dyDescent="0.4">
      <c r="A463" s="47" t="s">
        <v>896</v>
      </c>
      <c r="B463" s="47">
        <f>Закуп!R463</f>
        <v>0</v>
      </c>
      <c r="C463" s="47">
        <f>Закуп!S463</f>
        <v>0</v>
      </c>
      <c r="D463" s="47">
        <f>Закуп!T463</f>
        <v>0</v>
      </c>
      <c r="E463" s="47" t="s">
        <v>897</v>
      </c>
      <c r="F463" s="100" t="str">
        <f>SUBSTITUTE(INDEX(Calc!$K:$K,(ROW(A462)-1)*5+COLUMN(A462)+1),",",".")</f>
        <v/>
      </c>
      <c r="G463" s="100" t="str">
        <f>SUBSTITUTE(INDEX(Calc!$K:$K,(ROW(B462)-1)*5+COLUMN(B462)+1),",",".")</f>
        <v/>
      </c>
      <c r="H463" s="100" t="str">
        <f>SUBSTITUTE(INDEX(Calc!$K:$K,(ROW(C462)-1)*5+COLUMN(C462)+1),",",".")</f>
        <v/>
      </c>
      <c r="I463" s="100" t="str">
        <f>SUBSTITUTE(INDEX(Calc!$K:$K,(ROW(D462)-1)*5+COLUMN(D462)+1),",",".")</f>
        <v/>
      </c>
      <c r="J463" s="100" t="str">
        <f>SUBSTITUTE(INDEX(Calc!$K:$K,(ROW(E462)-1)*5+COLUMN(E462)+1),",",".")</f>
        <v/>
      </c>
      <c r="K463" s="47" t="s">
        <v>898</v>
      </c>
      <c r="L463" s="100">
        <f>Закуп!AA463</f>
        <v>0</v>
      </c>
      <c r="M463" s="47" t="s">
        <v>899</v>
      </c>
      <c r="N463" s="47">
        <f>IF(Закуп!L463="",0,Закуп!L463)</f>
        <v>0</v>
      </c>
      <c r="O463" s="47" t="s">
        <v>900</v>
      </c>
      <c r="P463" s="165">
        <f>Закуп!N463</f>
        <v>0</v>
      </c>
      <c r="Q463" s="210" t="str">
        <f t="shared" ref="Q463:Q502" si="9">CONCATENATE(A463,B463,",",C463,",",D463,E463,F463,",",G463,",",H463,",",I463,",",J463,K463,L463,M463,N463,O463,)</f>
        <v xml:space="preserve">        [ 'dims' =&gt; [0,0,0], 'prices' =&gt; [,,,,], 'type' =&gt; "0", 'sale' =&gt; "0" ],</v>
      </c>
    </row>
    <row r="464" spans="1:17" hidden="1" x14ac:dyDescent="0.4">
      <c r="A464" s="47" t="s">
        <v>896</v>
      </c>
      <c r="B464" s="47">
        <f>Закуп!R464</f>
        <v>0</v>
      </c>
      <c r="C464" s="47">
        <f>Закуп!S464</f>
        <v>0</v>
      </c>
      <c r="D464" s="47">
        <f>Закуп!T464</f>
        <v>0</v>
      </c>
      <c r="E464" s="47" t="s">
        <v>897</v>
      </c>
      <c r="F464" s="100" t="str">
        <f>SUBSTITUTE(INDEX(Calc!$K:$K,(ROW(A463)-1)*5+COLUMN(A463)+1),",",".")</f>
        <v/>
      </c>
      <c r="G464" s="100" t="str">
        <f>SUBSTITUTE(INDEX(Calc!$K:$K,(ROW(B463)-1)*5+COLUMN(B463)+1),",",".")</f>
        <v/>
      </c>
      <c r="H464" s="100" t="str">
        <f>SUBSTITUTE(INDEX(Calc!$K:$K,(ROW(C463)-1)*5+COLUMN(C463)+1),",",".")</f>
        <v/>
      </c>
      <c r="I464" s="100" t="str">
        <f>SUBSTITUTE(INDEX(Calc!$K:$K,(ROW(D463)-1)*5+COLUMN(D463)+1),",",".")</f>
        <v/>
      </c>
      <c r="J464" s="100" t="str">
        <f>SUBSTITUTE(INDEX(Calc!$K:$K,(ROW(E463)-1)*5+COLUMN(E463)+1),",",".")</f>
        <v/>
      </c>
      <c r="K464" s="47" t="s">
        <v>898</v>
      </c>
      <c r="L464" s="100">
        <f>Закуп!AA464</f>
        <v>0</v>
      </c>
      <c r="M464" s="47" t="s">
        <v>899</v>
      </c>
      <c r="N464" s="47">
        <f>IF(Закуп!L464="",0,Закуп!L464)</f>
        <v>0</v>
      </c>
      <c r="O464" s="47" t="s">
        <v>900</v>
      </c>
      <c r="P464" s="165">
        <f>Закуп!N464</f>
        <v>0</v>
      </c>
      <c r="Q464" s="210" t="str">
        <f t="shared" si="9"/>
        <v xml:space="preserve">        [ 'dims' =&gt; [0,0,0], 'prices' =&gt; [,,,,], 'type' =&gt; "0", 'sale' =&gt; "0" ],</v>
      </c>
    </row>
    <row r="465" spans="1:17" hidden="1" x14ac:dyDescent="0.4">
      <c r="A465" s="47" t="s">
        <v>896</v>
      </c>
      <c r="B465" s="47">
        <f>Закуп!R465</f>
        <v>0</v>
      </c>
      <c r="C465" s="47">
        <f>Закуп!S465</f>
        <v>0</v>
      </c>
      <c r="D465" s="47">
        <f>Закуп!T465</f>
        <v>0</v>
      </c>
      <c r="E465" s="47" t="s">
        <v>897</v>
      </c>
      <c r="F465" s="100" t="str">
        <f>SUBSTITUTE(INDEX(Calc!$K:$K,(ROW(A464)-1)*5+COLUMN(A464)+1),",",".")</f>
        <v/>
      </c>
      <c r="G465" s="100" t="str">
        <f>SUBSTITUTE(INDEX(Calc!$K:$K,(ROW(B464)-1)*5+COLUMN(B464)+1),",",".")</f>
        <v/>
      </c>
      <c r="H465" s="100" t="str">
        <f>SUBSTITUTE(INDEX(Calc!$K:$K,(ROW(C464)-1)*5+COLUMN(C464)+1),",",".")</f>
        <v/>
      </c>
      <c r="I465" s="100" t="str">
        <f>SUBSTITUTE(INDEX(Calc!$K:$K,(ROW(D464)-1)*5+COLUMN(D464)+1),",",".")</f>
        <v/>
      </c>
      <c r="J465" s="100" t="str">
        <f>SUBSTITUTE(INDEX(Calc!$K:$K,(ROW(E464)-1)*5+COLUMN(E464)+1),",",".")</f>
        <v/>
      </c>
      <c r="K465" s="47" t="s">
        <v>898</v>
      </c>
      <c r="L465" s="100">
        <f>Закуп!AA465</f>
        <v>0</v>
      </c>
      <c r="M465" s="47" t="s">
        <v>899</v>
      </c>
      <c r="N465" s="47">
        <f>IF(Закуп!L465="",0,Закуп!L465)</f>
        <v>0</v>
      </c>
      <c r="O465" s="47" t="s">
        <v>900</v>
      </c>
      <c r="P465" s="165">
        <f>Закуп!N465</f>
        <v>0</v>
      </c>
      <c r="Q465" s="210" t="str">
        <f t="shared" si="9"/>
        <v xml:space="preserve">        [ 'dims' =&gt; [0,0,0], 'prices' =&gt; [,,,,], 'type' =&gt; "0", 'sale' =&gt; "0" ],</v>
      </c>
    </row>
    <row r="466" spans="1:17" hidden="1" x14ac:dyDescent="0.4">
      <c r="A466" s="47" t="s">
        <v>896</v>
      </c>
      <c r="B466" s="47">
        <f>Закуп!R466</f>
        <v>0</v>
      </c>
      <c r="C466" s="47">
        <f>Закуп!S466</f>
        <v>0</v>
      </c>
      <c r="D466" s="47">
        <f>Закуп!T466</f>
        <v>0</v>
      </c>
      <c r="E466" s="47" t="s">
        <v>897</v>
      </c>
      <c r="F466" s="100" t="str">
        <f>SUBSTITUTE(INDEX(Calc!$K:$K,(ROW(A465)-1)*5+COLUMN(A465)+1),",",".")</f>
        <v/>
      </c>
      <c r="G466" s="100" t="str">
        <f>SUBSTITUTE(INDEX(Calc!$K:$K,(ROW(B465)-1)*5+COLUMN(B465)+1),",",".")</f>
        <v/>
      </c>
      <c r="H466" s="100" t="str">
        <f>SUBSTITUTE(INDEX(Calc!$K:$K,(ROW(C465)-1)*5+COLUMN(C465)+1),",",".")</f>
        <v/>
      </c>
      <c r="I466" s="100" t="str">
        <f>SUBSTITUTE(INDEX(Calc!$K:$K,(ROW(D465)-1)*5+COLUMN(D465)+1),",",".")</f>
        <v/>
      </c>
      <c r="J466" s="100" t="str">
        <f>SUBSTITUTE(INDEX(Calc!$K:$K,(ROW(E465)-1)*5+COLUMN(E465)+1),",",".")</f>
        <v/>
      </c>
      <c r="K466" s="47" t="s">
        <v>898</v>
      </c>
      <c r="L466" s="100">
        <f>Закуп!AA466</f>
        <v>0</v>
      </c>
      <c r="M466" s="47" t="s">
        <v>899</v>
      </c>
      <c r="N466" s="47">
        <f>IF(Закуп!L466="",0,Закуп!L466)</f>
        <v>0</v>
      </c>
      <c r="O466" s="47" t="s">
        <v>900</v>
      </c>
      <c r="P466" s="165">
        <f>Закуп!N466</f>
        <v>0</v>
      </c>
      <c r="Q466" s="210" t="str">
        <f t="shared" si="9"/>
        <v xml:space="preserve">        [ 'dims' =&gt; [0,0,0], 'prices' =&gt; [,,,,], 'type' =&gt; "0", 'sale' =&gt; "0" ],</v>
      </c>
    </row>
    <row r="467" spans="1:17" hidden="1" x14ac:dyDescent="0.4">
      <c r="A467" s="47" t="s">
        <v>896</v>
      </c>
      <c r="B467" s="47">
        <f>Закуп!R467</f>
        <v>0</v>
      </c>
      <c r="C467" s="47">
        <f>Закуп!S467</f>
        <v>0</v>
      </c>
      <c r="D467" s="47">
        <f>Закуп!T467</f>
        <v>0</v>
      </c>
      <c r="E467" s="47" t="s">
        <v>897</v>
      </c>
      <c r="F467" s="100" t="str">
        <f>SUBSTITUTE(INDEX(Calc!$K:$K,(ROW(A466)-1)*5+COLUMN(A466)+1),",",".")</f>
        <v/>
      </c>
      <c r="G467" s="100" t="str">
        <f>SUBSTITUTE(INDEX(Calc!$K:$K,(ROW(B466)-1)*5+COLUMN(B466)+1),",",".")</f>
        <v/>
      </c>
      <c r="H467" s="100" t="str">
        <f>SUBSTITUTE(INDEX(Calc!$K:$K,(ROW(C466)-1)*5+COLUMN(C466)+1),",",".")</f>
        <v/>
      </c>
      <c r="I467" s="100" t="str">
        <f>SUBSTITUTE(INDEX(Calc!$K:$K,(ROW(D466)-1)*5+COLUMN(D466)+1),",",".")</f>
        <v/>
      </c>
      <c r="J467" s="100" t="str">
        <f>SUBSTITUTE(INDEX(Calc!$K:$K,(ROW(E466)-1)*5+COLUMN(E466)+1),",",".")</f>
        <v/>
      </c>
      <c r="K467" s="47" t="s">
        <v>898</v>
      </c>
      <c r="L467" s="100">
        <f>Закуп!AA467</f>
        <v>0</v>
      </c>
      <c r="M467" s="47" t="s">
        <v>899</v>
      </c>
      <c r="N467" s="47">
        <f>IF(Закуп!L467="",0,Закуп!L467)</f>
        <v>0</v>
      </c>
      <c r="O467" s="47" t="s">
        <v>900</v>
      </c>
      <c r="P467" s="165">
        <f>Закуп!N467</f>
        <v>0</v>
      </c>
      <c r="Q467" s="210" t="str">
        <f t="shared" si="9"/>
        <v xml:space="preserve">        [ 'dims' =&gt; [0,0,0], 'prices' =&gt; [,,,,], 'type' =&gt; "0", 'sale' =&gt; "0" ],</v>
      </c>
    </row>
    <row r="468" spans="1:17" hidden="1" x14ac:dyDescent="0.4">
      <c r="A468" s="47" t="s">
        <v>896</v>
      </c>
      <c r="B468" s="47">
        <f>Закуп!R468</f>
        <v>0</v>
      </c>
      <c r="C468" s="47">
        <f>Закуп!S468</f>
        <v>0</v>
      </c>
      <c r="D468" s="47">
        <f>Закуп!T468</f>
        <v>0</v>
      </c>
      <c r="E468" s="47" t="s">
        <v>897</v>
      </c>
      <c r="F468" s="100" t="str">
        <f>SUBSTITUTE(INDEX(Calc!$K:$K,(ROW(A467)-1)*5+COLUMN(A467)+1),",",".")</f>
        <v/>
      </c>
      <c r="G468" s="100" t="str">
        <f>SUBSTITUTE(INDEX(Calc!$K:$K,(ROW(B467)-1)*5+COLUMN(B467)+1),",",".")</f>
        <v/>
      </c>
      <c r="H468" s="100" t="str">
        <f>SUBSTITUTE(INDEX(Calc!$K:$K,(ROW(C467)-1)*5+COLUMN(C467)+1),",",".")</f>
        <v/>
      </c>
      <c r="I468" s="100" t="str">
        <f>SUBSTITUTE(INDEX(Calc!$K:$K,(ROW(D467)-1)*5+COLUMN(D467)+1),",",".")</f>
        <v/>
      </c>
      <c r="J468" s="100" t="str">
        <f>SUBSTITUTE(INDEX(Calc!$K:$K,(ROW(E467)-1)*5+COLUMN(E467)+1),",",".")</f>
        <v/>
      </c>
      <c r="K468" s="47" t="s">
        <v>898</v>
      </c>
      <c r="L468" s="100">
        <f>Закуп!AA468</f>
        <v>0</v>
      </c>
      <c r="M468" s="47" t="s">
        <v>899</v>
      </c>
      <c r="N468" s="47">
        <f>IF(Закуп!L468="",0,Закуп!L468)</f>
        <v>0</v>
      </c>
      <c r="O468" s="47" t="s">
        <v>900</v>
      </c>
      <c r="P468" s="165">
        <f>Закуп!N468</f>
        <v>0</v>
      </c>
      <c r="Q468" s="210" t="str">
        <f t="shared" si="9"/>
        <v xml:space="preserve">        [ 'dims' =&gt; [0,0,0], 'prices' =&gt; [,,,,], 'type' =&gt; "0", 'sale' =&gt; "0" ],</v>
      </c>
    </row>
    <row r="469" spans="1:17" hidden="1" x14ac:dyDescent="0.4">
      <c r="A469" s="47" t="s">
        <v>896</v>
      </c>
      <c r="B469" s="47">
        <f>Закуп!R469</f>
        <v>0</v>
      </c>
      <c r="C469" s="47">
        <f>Закуп!S469</f>
        <v>0</v>
      </c>
      <c r="D469" s="47">
        <f>Закуп!T469</f>
        <v>0</v>
      </c>
      <c r="E469" s="47" t="s">
        <v>897</v>
      </c>
      <c r="F469" s="100" t="str">
        <f>SUBSTITUTE(INDEX(Calc!$K:$K,(ROW(A468)-1)*5+COLUMN(A468)+1),",",".")</f>
        <v/>
      </c>
      <c r="G469" s="100" t="str">
        <f>SUBSTITUTE(INDEX(Calc!$K:$K,(ROW(B468)-1)*5+COLUMN(B468)+1),",",".")</f>
        <v/>
      </c>
      <c r="H469" s="100" t="str">
        <f>SUBSTITUTE(INDEX(Calc!$K:$K,(ROW(C468)-1)*5+COLUMN(C468)+1),",",".")</f>
        <v/>
      </c>
      <c r="I469" s="100" t="str">
        <f>SUBSTITUTE(INDEX(Calc!$K:$K,(ROW(D468)-1)*5+COLUMN(D468)+1),",",".")</f>
        <v/>
      </c>
      <c r="J469" s="100" t="str">
        <f>SUBSTITUTE(INDEX(Calc!$K:$K,(ROW(E468)-1)*5+COLUMN(E468)+1),",",".")</f>
        <v/>
      </c>
      <c r="K469" s="47" t="s">
        <v>898</v>
      </c>
      <c r="L469" s="100">
        <f>Закуп!AA469</f>
        <v>0</v>
      </c>
      <c r="M469" s="47" t="s">
        <v>899</v>
      </c>
      <c r="N469" s="47">
        <f>IF(Закуп!L469="",0,Закуп!L469)</f>
        <v>0</v>
      </c>
      <c r="O469" s="47" t="s">
        <v>900</v>
      </c>
      <c r="P469" s="165">
        <f>Закуп!N469</f>
        <v>0</v>
      </c>
      <c r="Q469" s="210" t="str">
        <f t="shared" si="9"/>
        <v xml:space="preserve">        [ 'dims' =&gt; [0,0,0], 'prices' =&gt; [,,,,], 'type' =&gt; "0", 'sale' =&gt; "0" ],</v>
      </c>
    </row>
    <row r="470" spans="1:17" hidden="1" x14ac:dyDescent="0.4">
      <c r="A470" s="47" t="s">
        <v>896</v>
      </c>
      <c r="B470" s="47">
        <f>Закуп!R470</f>
        <v>0</v>
      </c>
      <c r="C470" s="47">
        <f>Закуп!S470</f>
        <v>0</v>
      </c>
      <c r="D470" s="47">
        <f>Закуп!T470</f>
        <v>0</v>
      </c>
      <c r="E470" s="47" t="s">
        <v>897</v>
      </c>
      <c r="F470" s="100" t="str">
        <f>SUBSTITUTE(INDEX(Calc!$K:$K,(ROW(A469)-1)*5+COLUMN(A469)+1),",",".")</f>
        <v/>
      </c>
      <c r="G470" s="100" t="str">
        <f>SUBSTITUTE(INDEX(Calc!$K:$K,(ROW(B469)-1)*5+COLUMN(B469)+1),",",".")</f>
        <v/>
      </c>
      <c r="H470" s="100" t="str">
        <f>SUBSTITUTE(INDEX(Calc!$K:$K,(ROW(C469)-1)*5+COLUMN(C469)+1),",",".")</f>
        <v/>
      </c>
      <c r="I470" s="100" t="str">
        <f>SUBSTITUTE(INDEX(Calc!$K:$K,(ROW(D469)-1)*5+COLUMN(D469)+1),",",".")</f>
        <v/>
      </c>
      <c r="J470" s="100" t="str">
        <f>SUBSTITUTE(INDEX(Calc!$K:$K,(ROW(E469)-1)*5+COLUMN(E469)+1),",",".")</f>
        <v/>
      </c>
      <c r="K470" s="47" t="s">
        <v>898</v>
      </c>
      <c r="L470" s="100">
        <f>Закуп!AA470</f>
        <v>0</v>
      </c>
      <c r="M470" s="47" t="s">
        <v>899</v>
      </c>
      <c r="N470" s="47">
        <f>IF(Закуп!L470="",0,Закуп!L470)</f>
        <v>0</v>
      </c>
      <c r="O470" s="47" t="s">
        <v>900</v>
      </c>
      <c r="P470" s="165">
        <f>Закуп!N470</f>
        <v>0</v>
      </c>
      <c r="Q470" s="210" t="str">
        <f t="shared" si="9"/>
        <v xml:space="preserve">        [ 'dims' =&gt; [0,0,0], 'prices' =&gt; [,,,,], 'type' =&gt; "0", 'sale' =&gt; "0" ],</v>
      </c>
    </row>
    <row r="471" spans="1:17" hidden="1" x14ac:dyDescent="0.4">
      <c r="A471" s="47" t="s">
        <v>896</v>
      </c>
      <c r="B471" s="47">
        <f>Закуп!R471</f>
        <v>0</v>
      </c>
      <c r="C471" s="47">
        <f>Закуп!S471</f>
        <v>0</v>
      </c>
      <c r="D471" s="47">
        <f>Закуп!T471</f>
        <v>0</v>
      </c>
      <c r="E471" s="47" t="s">
        <v>897</v>
      </c>
      <c r="F471" s="100" t="str">
        <f>SUBSTITUTE(INDEX(Calc!$K:$K,(ROW(A470)-1)*5+COLUMN(A470)+1),",",".")</f>
        <v/>
      </c>
      <c r="G471" s="100" t="str">
        <f>SUBSTITUTE(INDEX(Calc!$K:$K,(ROW(B470)-1)*5+COLUMN(B470)+1),",",".")</f>
        <v/>
      </c>
      <c r="H471" s="100" t="str">
        <f>SUBSTITUTE(INDEX(Calc!$K:$K,(ROW(C470)-1)*5+COLUMN(C470)+1),",",".")</f>
        <v/>
      </c>
      <c r="I471" s="100" t="str">
        <f>SUBSTITUTE(INDEX(Calc!$K:$K,(ROW(D470)-1)*5+COLUMN(D470)+1),",",".")</f>
        <v/>
      </c>
      <c r="J471" s="100" t="str">
        <f>SUBSTITUTE(INDEX(Calc!$K:$K,(ROW(E470)-1)*5+COLUMN(E470)+1),",",".")</f>
        <v/>
      </c>
      <c r="K471" s="47" t="s">
        <v>898</v>
      </c>
      <c r="L471" s="100">
        <f>Закуп!AA471</f>
        <v>0</v>
      </c>
      <c r="M471" s="47" t="s">
        <v>899</v>
      </c>
      <c r="N471" s="47">
        <f>IF(Закуп!L471="",0,Закуп!L471)</f>
        <v>0</v>
      </c>
      <c r="O471" s="47" t="s">
        <v>900</v>
      </c>
      <c r="P471" s="165">
        <f>Закуп!N471</f>
        <v>0</v>
      </c>
      <c r="Q471" s="210" t="str">
        <f t="shared" si="9"/>
        <v xml:space="preserve">        [ 'dims' =&gt; [0,0,0], 'prices' =&gt; [,,,,], 'type' =&gt; "0", 'sale' =&gt; "0" ],</v>
      </c>
    </row>
    <row r="472" spans="1:17" hidden="1" x14ac:dyDescent="0.4">
      <c r="A472" s="47" t="s">
        <v>896</v>
      </c>
      <c r="B472" s="47">
        <f>Закуп!R472</f>
        <v>0</v>
      </c>
      <c r="C472" s="47">
        <f>Закуп!S472</f>
        <v>0</v>
      </c>
      <c r="D472" s="47">
        <f>Закуп!T472</f>
        <v>0</v>
      </c>
      <c r="E472" s="47" t="s">
        <v>897</v>
      </c>
      <c r="F472" s="100" t="str">
        <f>SUBSTITUTE(INDEX(Calc!$K:$K,(ROW(A471)-1)*5+COLUMN(A471)+1),",",".")</f>
        <v/>
      </c>
      <c r="G472" s="100" t="str">
        <f>SUBSTITUTE(INDEX(Calc!$K:$K,(ROW(B471)-1)*5+COLUMN(B471)+1),",",".")</f>
        <v/>
      </c>
      <c r="H472" s="100" t="str">
        <f>SUBSTITUTE(INDEX(Calc!$K:$K,(ROW(C471)-1)*5+COLUMN(C471)+1),",",".")</f>
        <v/>
      </c>
      <c r="I472" s="100" t="str">
        <f>SUBSTITUTE(INDEX(Calc!$K:$K,(ROW(D471)-1)*5+COLUMN(D471)+1),",",".")</f>
        <v/>
      </c>
      <c r="J472" s="100" t="str">
        <f>SUBSTITUTE(INDEX(Calc!$K:$K,(ROW(E471)-1)*5+COLUMN(E471)+1),",",".")</f>
        <v/>
      </c>
      <c r="K472" s="47" t="s">
        <v>898</v>
      </c>
      <c r="L472" s="100">
        <f>Закуп!AA472</f>
        <v>0</v>
      </c>
      <c r="M472" s="47" t="s">
        <v>899</v>
      </c>
      <c r="N472" s="47">
        <f>IF(Закуп!L472="",0,Закуп!L472)</f>
        <v>0</v>
      </c>
      <c r="O472" s="47" t="s">
        <v>900</v>
      </c>
      <c r="P472" s="165">
        <f>Закуп!N472</f>
        <v>0</v>
      </c>
      <c r="Q472" s="210" t="str">
        <f t="shared" si="9"/>
        <v xml:space="preserve">        [ 'dims' =&gt; [0,0,0], 'prices' =&gt; [,,,,], 'type' =&gt; "0", 'sale' =&gt; "0" ],</v>
      </c>
    </row>
    <row r="473" spans="1:17" hidden="1" x14ac:dyDescent="0.4">
      <c r="A473" s="47" t="s">
        <v>896</v>
      </c>
      <c r="B473" s="47">
        <f>Закуп!R473</f>
        <v>0</v>
      </c>
      <c r="C473" s="47">
        <f>Закуп!S473</f>
        <v>0</v>
      </c>
      <c r="D473" s="47">
        <f>Закуп!T473</f>
        <v>0</v>
      </c>
      <c r="E473" s="47" t="s">
        <v>897</v>
      </c>
      <c r="F473" s="100" t="str">
        <f>SUBSTITUTE(INDEX(Calc!$K:$K,(ROW(A472)-1)*5+COLUMN(A472)+1),",",".")</f>
        <v/>
      </c>
      <c r="G473" s="100" t="str">
        <f>SUBSTITUTE(INDEX(Calc!$K:$K,(ROW(B472)-1)*5+COLUMN(B472)+1),",",".")</f>
        <v/>
      </c>
      <c r="H473" s="100" t="str">
        <f>SUBSTITUTE(INDEX(Calc!$K:$K,(ROW(C472)-1)*5+COLUMN(C472)+1),",",".")</f>
        <v/>
      </c>
      <c r="I473" s="100" t="str">
        <f>SUBSTITUTE(INDEX(Calc!$K:$K,(ROW(D472)-1)*5+COLUMN(D472)+1),",",".")</f>
        <v/>
      </c>
      <c r="J473" s="100" t="str">
        <f>SUBSTITUTE(INDEX(Calc!$K:$K,(ROW(E472)-1)*5+COLUMN(E472)+1),",",".")</f>
        <v/>
      </c>
      <c r="K473" s="47" t="s">
        <v>898</v>
      </c>
      <c r="L473" s="100">
        <f>Закуп!AA473</f>
        <v>0</v>
      </c>
      <c r="M473" s="47" t="s">
        <v>899</v>
      </c>
      <c r="N473" s="47">
        <f>IF(Закуп!L473="",0,Закуп!L473)</f>
        <v>0</v>
      </c>
      <c r="O473" s="47" t="s">
        <v>900</v>
      </c>
      <c r="P473" s="165">
        <f>Закуп!N473</f>
        <v>0</v>
      </c>
      <c r="Q473" s="210" t="str">
        <f t="shared" si="9"/>
        <v xml:space="preserve">        [ 'dims' =&gt; [0,0,0], 'prices' =&gt; [,,,,], 'type' =&gt; "0", 'sale' =&gt; "0" ],</v>
      </c>
    </row>
    <row r="474" spans="1:17" hidden="1" x14ac:dyDescent="0.4">
      <c r="A474" s="47" t="s">
        <v>896</v>
      </c>
      <c r="B474" s="47">
        <f>Закуп!R474</f>
        <v>0</v>
      </c>
      <c r="C474" s="47">
        <f>Закуп!S474</f>
        <v>0</v>
      </c>
      <c r="D474" s="47">
        <f>Закуп!T474</f>
        <v>0</v>
      </c>
      <c r="E474" s="47" t="s">
        <v>897</v>
      </c>
      <c r="F474" s="100" t="str">
        <f>SUBSTITUTE(INDEX(Calc!$K:$K,(ROW(A473)-1)*5+COLUMN(A473)+1),",",".")</f>
        <v/>
      </c>
      <c r="G474" s="100" t="str">
        <f>SUBSTITUTE(INDEX(Calc!$K:$K,(ROW(B473)-1)*5+COLUMN(B473)+1),",",".")</f>
        <v/>
      </c>
      <c r="H474" s="100" t="str">
        <f>SUBSTITUTE(INDEX(Calc!$K:$K,(ROW(C473)-1)*5+COLUMN(C473)+1),",",".")</f>
        <v/>
      </c>
      <c r="I474" s="100" t="str">
        <f>SUBSTITUTE(INDEX(Calc!$K:$K,(ROW(D473)-1)*5+COLUMN(D473)+1),",",".")</f>
        <v/>
      </c>
      <c r="J474" s="100" t="str">
        <f>SUBSTITUTE(INDEX(Calc!$K:$K,(ROW(E473)-1)*5+COLUMN(E473)+1),",",".")</f>
        <v/>
      </c>
      <c r="K474" s="47" t="s">
        <v>898</v>
      </c>
      <c r="L474" s="100">
        <f>Закуп!AA474</f>
        <v>0</v>
      </c>
      <c r="M474" s="47" t="s">
        <v>899</v>
      </c>
      <c r="N474" s="47">
        <f>IF(Закуп!L474="",0,Закуп!L474)</f>
        <v>0</v>
      </c>
      <c r="O474" s="47" t="s">
        <v>900</v>
      </c>
      <c r="P474" s="165">
        <f>Закуп!N474</f>
        <v>0</v>
      </c>
      <c r="Q474" s="210" t="str">
        <f t="shared" si="9"/>
        <v xml:space="preserve">        [ 'dims' =&gt; [0,0,0], 'prices' =&gt; [,,,,], 'type' =&gt; "0", 'sale' =&gt; "0" ],</v>
      </c>
    </row>
    <row r="475" spans="1:17" hidden="1" x14ac:dyDescent="0.4">
      <c r="A475" s="47" t="s">
        <v>896</v>
      </c>
      <c r="B475" s="47">
        <f>Закуп!R475</f>
        <v>0</v>
      </c>
      <c r="C475" s="47">
        <f>Закуп!S475</f>
        <v>0</v>
      </c>
      <c r="D475" s="47">
        <f>Закуп!T475</f>
        <v>0</v>
      </c>
      <c r="E475" s="47" t="s">
        <v>897</v>
      </c>
      <c r="F475" s="100" t="str">
        <f>SUBSTITUTE(INDEX(Calc!$K:$K,(ROW(A474)-1)*5+COLUMN(A474)+1),",",".")</f>
        <v/>
      </c>
      <c r="G475" s="100" t="str">
        <f>SUBSTITUTE(INDEX(Calc!$K:$K,(ROW(B474)-1)*5+COLUMN(B474)+1),",",".")</f>
        <v/>
      </c>
      <c r="H475" s="100" t="str">
        <f>SUBSTITUTE(INDEX(Calc!$K:$K,(ROW(C474)-1)*5+COLUMN(C474)+1),",",".")</f>
        <v/>
      </c>
      <c r="I475" s="100" t="str">
        <f>SUBSTITUTE(INDEX(Calc!$K:$K,(ROW(D474)-1)*5+COLUMN(D474)+1),",",".")</f>
        <v/>
      </c>
      <c r="J475" s="100" t="str">
        <f>SUBSTITUTE(INDEX(Calc!$K:$K,(ROW(E474)-1)*5+COLUMN(E474)+1),",",".")</f>
        <v/>
      </c>
      <c r="K475" s="47" t="s">
        <v>898</v>
      </c>
      <c r="L475" s="100">
        <f>Закуп!AA475</f>
        <v>0</v>
      </c>
      <c r="M475" s="47" t="s">
        <v>899</v>
      </c>
      <c r="N475" s="47">
        <f>IF(Закуп!L475="",0,Закуп!L475)</f>
        <v>0</v>
      </c>
      <c r="O475" s="47" t="s">
        <v>900</v>
      </c>
      <c r="P475" s="165">
        <f>Закуп!N475</f>
        <v>0</v>
      </c>
      <c r="Q475" s="210" t="str">
        <f t="shared" si="9"/>
        <v xml:space="preserve">        [ 'dims' =&gt; [0,0,0], 'prices' =&gt; [,,,,], 'type' =&gt; "0", 'sale' =&gt; "0" ],</v>
      </c>
    </row>
    <row r="476" spans="1:17" hidden="1" x14ac:dyDescent="0.4">
      <c r="A476" s="47" t="s">
        <v>896</v>
      </c>
      <c r="B476" s="47">
        <f>Закуп!R476</f>
        <v>0</v>
      </c>
      <c r="C476" s="47">
        <f>Закуп!S476</f>
        <v>0</v>
      </c>
      <c r="D476" s="47">
        <f>Закуп!T476</f>
        <v>0</v>
      </c>
      <c r="E476" s="47" t="s">
        <v>897</v>
      </c>
      <c r="F476" s="100" t="str">
        <f>SUBSTITUTE(INDEX(Calc!$K:$K,(ROW(A475)-1)*5+COLUMN(A475)+1),",",".")</f>
        <v/>
      </c>
      <c r="G476" s="100" t="str">
        <f>SUBSTITUTE(INDEX(Calc!$K:$K,(ROW(B475)-1)*5+COLUMN(B475)+1),",",".")</f>
        <v/>
      </c>
      <c r="H476" s="100" t="str">
        <f>SUBSTITUTE(INDEX(Calc!$K:$K,(ROW(C475)-1)*5+COLUMN(C475)+1),",",".")</f>
        <v/>
      </c>
      <c r="I476" s="100" t="str">
        <f>SUBSTITUTE(INDEX(Calc!$K:$K,(ROW(D475)-1)*5+COLUMN(D475)+1),",",".")</f>
        <v/>
      </c>
      <c r="J476" s="100" t="str">
        <f>SUBSTITUTE(INDEX(Calc!$K:$K,(ROW(E475)-1)*5+COLUMN(E475)+1),",",".")</f>
        <v/>
      </c>
      <c r="K476" s="47" t="s">
        <v>898</v>
      </c>
      <c r="L476" s="100">
        <f>Закуп!AA476</f>
        <v>0</v>
      </c>
      <c r="M476" s="47" t="s">
        <v>899</v>
      </c>
      <c r="N476" s="47">
        <f>IF(Закуп!L476="",0,Закуп!L476)</f>
        <v>0</v>
      </c>
      <c r="O476" s="47" t="s">
        <v>900</v>
      </c>
      <c r="P476" s="165">
        <f>Закуп!N476</f>
        <v>0</v>
      </c>
      <c r="Q476" s="210" t="str">
        <f t="shared" si="9"/>
        <v xml:space="preserve">        [ 'dims' =&gt; [0,0,0], 'prices' =&gt; [,,,,], 'type' =&gt; "0", 'sale' =&gt; "0" ],</v>
      </c>
    </row>
    <row r="477" spans="1:17" hidden="1" x14ac:dyDescent="0.4">
      <c r="A477" s="47" t="s">
        <v>896</v>
      </c>
      <c r="B477" s="47">
        <f>Закуп!R477</f>
        <v>0</v>
      </c>
      <c r="C477" s="47">
        <f>Закуп!S477</f>
        <v>0</v>
      </c>
      <c r="D477" s="47">
        <f>Закуп!T477</f>
        <v>0</v>
      </c>
      <c r="E477" s="47" t="s">
        <v>897</v>
      </c>
      <c r="F477" s="100" t="str">
        <f>SUBSTITUTE(INDEX(Calc!$K:$K,(ROW(A476)-1)*5+COLUMN(A476)+1),",",".")</f>
        <v/>
      </c>
      <c r="G477" s="100" t="str">
        <f>SUBSTITUTE(INDEX(Calc!$K:$K,(ROW(B476)-1)*5+COLUMN(B476)+1),",",".")</f>
        <v/>
      </c>
      <c r="H477" s="100" t="str">
        <f>SUBSTITUTE(INDEX(Calc!$K:$K,(ROW(C476)-1)*5+COLUMN(C476)+1),",",".")</f>
        <v/>
      </c>
      <c r="I477" s="100" t="str">
        <f>SUBSTITUTE(INDEX(Calc!$K:$K,(ROW(D476)-1)*5+COLUMN(D476)+1),",",".")</f>
        <v/>
      </c>
      <c r="J477" s="100" t="str">
        <f>SUBSTITUTE(INDEX(Calc!$K:$K,(ROW(E476)-1)*5+COLUMN(E476)+1),",",".")</f>
        <v/>
      </c>
      <c r="K477" s="47" t="s">
        <v>898</v>
      </c>
      <c r="L477" s="100">
        <f>Закуп!AA477</f>
        <v>0</v>
      </c>
      <c r="M477" s="47" t="s">
        <v>899</v>
      </c>
      <c r="N477" s="47">
        <f>IF(Закуп!L477="",0,Закуп!L477)</f>
        <v>0</v>
      </c>
      <c r="O477" s="47" t="s">
        <v>900</v>
      </c>
      <c r="P477" s="165">
        <f>Закуп!N477</f>
        <v>0</v>
      </c>
      <c r="Q477" s="210" t="str">
        <f t="shared" si="9"/>
        <v xml:space="preserve">        [ 'dims' =&gt; [0,0,0], 'prices' =&gt; [,,,,], 'type' =&gt; "0", 'sale' =&gt; "0" ],</v>
      </c>
    </row>
    <row r="478" spans="1:17" hidden="1" x14ac:dyDescent="0.4">
      <c r="A478" s="47" t="s">
        <v>896</v>
      </c>
      <c r="B478" s="47">
        <f>Закуп!R478</f>
        <v>0</v>
      </c>
      <c r="C478" s="47">
        <f>Закуп!S478</f>
        <v>0</v>
      </c>
      <c r="D478" s="47">
        <f>Закуп!T478</f>
        <v>0</v>
      </c>
      <c r="E478" s="47" t="s">
        <v>897</v>
      </c>
      <c r="F478" s="100" t="str">
        <f>SUBSTITUTE(INDEX(Calc!$K:$K,(ROW(A477)-1)*5+COLUMN(A477)+1),",",".")</f>
        <v/>
      </c>
      <c r="G478" s="100" t="str">
        <f>SUBSTITUTE(INDEX(Calc!$K:$K,(ROW(B477)-1)*5+COLUMN(B477)+1),",",".")</f>
        <v/>
      </c>
      <c r="H478" s="100" t="str">
        <f>SUBSTITUTE(INDEX(Calc!$K:$K,(ROW(C477)-1)*5+COLUMN(C477)+1),",",".")</f>
        <v/>
      </c>
      <c r="I478" s="100" t="str">
        <f>SUBSTITUTE(INDEX(Calc!$K:$K,(ROW(D477)-1)*5+COLUMN(D477)+1),",",".")</f>
        <v/>
      </c>
      <c r="J478" s="100" t="str">
        <f>SUBSTITUTE(INDEX(Calc!$K:$K,(ROW(E477)-1)*5+COLUMN(E477)+1),",",".")</f>
        <v/>
      </c>
      <c r="K478" s="47" t="s">
        <v>898</v>
      </c>
      <c r="L478" s="100">
        <f>Закуп!AA478</f>
        <v>0</v>
      </c>
      <c r="M478" s="47" t="s">
        <v>899</v>
      </c>
      <c r="N478" s="47">
        <f>IF(Закуп!L478="",0,Закуп!L478)</f>
        <v>0</v>
      </c>
      <c r="O478" s="47" t="s">
        <v>900</v>
      </c>
      <c r="P478" s="165">
        <f>Закуп!N478</f>
        <v>0</v>
      </c>
      <c r="Q478" s="210" t="str">
        <f t="shared" si="9"/>
        <v xml:space="preserve">        [ 'dims' =&gt; [0,0,0], 'prices' =&gt; [,,,,], 'type' =&gt; "0", 'sale' =&gt; "0" ],</v>
      </c>
    </row>
    <row r="479" spans="1:17" hidden="1" x14ac:dyDescent="0.4">
      <c r="A479" s="47" t="s">
        <v>896</v>
      </c>
      <c r="B479" s="47">
        <f>Закуп!R479</f>
        <v>0</v>
      </c>
      <c r="C479" s="47">
        <f>Закуп!S479</f>
        <v>0</v>
      </c>
      <c r="D479" s="47">
        <f>Закуп!T479</f>
        <v>0</v>
      </c>
      <c r="E479" s="47" t="s">
        <v>897</v>
      </c>
      <c r="F479" s="100" t="str">
        <f>SUBSTITUTE(INDEX(Calc!$K:$K,(ROW(A478)-1)*5+COLUMN(A478)+1),",",".")</f>
        <v/>
      </c>
      <c r="G479" s="100" t="str">
        <f>SUBSTITUTE(INDEX(Calc!$K:$K,(ROW(B478)-1)*5+COLUMN(B478)+1),",",".")</f>
        <v/>
      </c>
      <c r="H479" s="100" t="str">
        <f>SUBSTITUTE(INDEX(Calc!$K:$K,(ROW(C478)-1)*5+COLUMN(C478)+1),",",".")</f>
        <v/>
      </c>
      <c r="I479" s="100" t="str">
        <f>SUBSTITUTE(INDEX(Calc!$K:$K,(ROW(D478)-1)*5+COLUMN(D478)+1),",",".")</f>
        <v/>
      </c>
      <c r="J479" s="100" t="str">
        <f>SUBSTITUTE(INDEX(Calc!$K:$K,(ROW(E478)-1)*5+COLUMN(E478)+1),",",".")</f>
        <v/>
      </c>
      <c r="K479" s="47" t="s">
        <v>898</v>
      </c>
      <c r="L479" s="100">
        <f>Закуп!AA479</f>
        <v>0</v>
      </c>
      <c r="M479" s="47" t="s">
        <v>899</v>
      </c>
      <c r="N479" s="47">
        <f>IF(Закуп!L479="",0,Закуп!L479)</f>
        <v>0</v>
      </c>
      <c r="O479" s="47" t="s">
        <v>900</v>
      </c>
      <c r="P479" s="165">
        <f>Закуп!N479</f>
        <v>0</v>
      </c>
      <c r="Q479" s="210" t="str">
        <f t="shared" si="9"/>
        <v xml:space="preserve">        [ 'dims' =&gt; [0,0,0], 'prices' =&gt; [,,,,], 'type' =&gt; "0", 'sale' =&gt; "0" ],</v>
      </c>
    </row>
    <row r="480" spans="1:17" hidden="1" x14ac:dyDescent="0.4">
      <c r="A480" s="47" t="s">
        <v>896</v>
      </c>
      <c r="B480" s="47">
        <f>Закуп!R480</f>
        <v>0</v>
      </c>
      <c r="C480" s="47">
        <f>Закуп!S480</f>
        <v>0</v>
      </c>
      <c r="D480" s="47">
        <f>Закуп!T480</f>
        <v>0</v>
      </c>
      <c r="E480" s="47" t="s">
        <v>897</v>
      </c>
      <c r="F480" s="100" t="str">
        <f>SUBSTITUTE(INDEX(Calc!$K:$K,(ROW(A479)-1)*5+COLUMN(A479)+1),",",".")</f>
        <v/>
      </c>
      <c r="G480" s="100" t="str">
        <f>SUBSTITUTE(INDEX(Calc!$K:$K,(ROW(B479)-1)*5+COLUMN(B479)+1),",",".")</f>
        <v/>
      </c>
      <c r="H480" s="100" t="str">
        <f>SUBSTITUTE(INDEX(Calc!$K:$K,(ROW(C479)-1)*5+COLUMN(C479)+1),",",".")</f>
        <v/>
      </c>
      <c r="I480" s="100" t="str">
        <f>SUBSTITUTE(INDEX(Calc!$K:$K,(ROW(D479)-1)*5+COLUMN(D479)+1),",",".")</f>
        <v/>
      </c>
      <c r="J480" s="100" t="str">
        <f>SUBSTITUTE(INDEX(Calc!$K:$K,(ROW(E479)-1)*5+COLUMN(E479)+1),",",".")</f>
        <v/>
      </c>
      <c r="K480" s="47" t="s">
        <v>898</v>
      </c>
      <c r="L480" s="100">
        <f>Закуп!AA480</f>
        <v>0</v>
      </c>
      <c r="M480" s="47" t="s">
        <v>899</v>
      </c>
      <c r="N480" s="47">
        <f>IF(Закуп!L480="",0,Закуп!L480)</f>
        <v>0</v>
      </c>
      <c r="O480" s="47" t="s">
        <v>900</v>
      </c>
      <c r="P480" s="165">
        <f>Закуп!N480</f>
        <v>0</v>
      </c>
      <c r="Q480" s="210" t="str">
        <f t="shared" si="9"/>
        <v xml:space="preserve">        [ 'dims' =&gt; [0,0,0], 'prices' =&gt; [,,,,], 'type' =&gt; "0", 'sale' =&gt; "0" ],</v>
      </c>
    </row>
    <row r="481" spans="1:17" hidden="1" x14ac:dyDescent="0.4">
      <c r="A481" s="47" t="s">
        <v>896</v>
      </c>
      <c r="B481" s="47">
        <f>Закуп!R481</f>
        <v>0</v>
      </c>
      <c r="C481" s="47">
        <f>Закуп!S481</f>
        <v>0</v>
      </c>
      <c r="D481" s="47">
        <f>Закуп!T481</f>
        <v>0</v>
      </c>
      <c r="E481" s="47" t="s">
        <v>897</v>
      </c>
      <c r="F481" s="100" t="str">
        <f>SUBSTITUTE(INDEX(Calc!$K:$K,(ROW(A480)-1)*5+COLUMN(A480)+1),",",".")</f>
        <v/>
      </c>
      <c r="G481" s="100" t="str">
        <f>SUBSTITUTE(INDEX(Calc!$K:$K,(ROW(B480)-1)*5+COLUMN(B480)+1),",",".")</f>
        <v/>
      </c>
      <c r="H481" s="100" t="str">
        <f>SUBSTITUTE(INDEX(Calc!$K:$K,(ROW(C480)-1)*5+COLUMN(C480)+1),",",".")</f>
        <v/>
      </c>
      <c r="I481" s="100" t="str">
        <f>SUBSTITUTE(INDEX(Calc!$K:$K,(ROW(D480)-1)*5+COLUMN(D480)+1),",",".")</f>
        <v/>
      </c>
      <c r="J481" s="100" t="str">
        <f>SUBSTITUTE(INDEX(Calc!$K:$K,(ROW(E480)-1)*5+COLUMN(E480)+1),",",".")</f>
        <v/>
      </c>
      <c r="K481" s="47" t="s">
        <v>898</v>
      </c>
      <c r="L481" s="100">
        <f>Закуп!AA481</f>
        <v>0</v>
      </c>
      <c r="M481" s="47" t="s">
        <v>899</v>
      </c>
      <c r="N481" s="47">
        <f>IF(Закуп!L481="",0,Закуп!L481)</f>
        <v>0</v>
      </c>
      <c r="O481" s="47" t="s">
        <v>900</v>
      </c>
      <c r="P481" s="165">
        <f>Закуп!N481</f>
        <v>0</v>
      </c>
      <c r="Q481" s="210" t="str">
        <f t="shared" si="9"/>
        <v xml:space="preserve">        [ 'dims' =&gt; [0,0,0], 'prices' =&gt; [,,,,], 'type' =&gt; "0", 'sale' =&gt; "0" ],</v>
      </c>
    </row>
    <row r="482" spans="1:17" hidden="1" x14ac:dyDescent="0.4">
      <c r="A482" s="47" t="s">
        <v>896</v>
      </c>
      <c r="B482" s="47">
        <f>Закуп!R482</f>
        <v>0</v>
      </c>
      <c r="C482" s="47">
        <f>Закуп!S482</f>
        <v>0</v>
      </c>
      <c r="D482" s="47">
        <f>Закуп!T482</f>
        <v>0</v>
      </c>
      <c r="E482" s="47" t="s">
        <v>897</v>
      </c>
      <c r="F482" s="100" t="str">
        <f>SUBSTITUTE(INDEX(Calc!$K:$K,(ROW(A481)-1)*5+COLUMN(A481)+1),",",".")</f>
        <v/>
      </c>
      <c r="G482" s="100" t="str">
        <f>SUBSTITUTE(INDEX(Calc!$K:$K,(ROW(B481)-1)*5+COLUMN(B481)+1),",",".")</f>
        <v/>
      </c>
      <c r="H482" s="100" t="str">
        <f>SUBSTITUTE(INDEX(Calc!$K:$K,(ROW(C481)-1)*5+COLUMN(C481)+1),",",".")</f>
        <v/>
      </c>
      <c r="I482" s="100" t="str">
        <f>SUBSTITUTE(INDEX(Calc!$K:$K,(ROW(D481)-1)*5+COLUMN(D481)+1),",",".")</f>
        <v/>
      </c>
      <c r="J482" s="100" t="str">
        <f>SUBSTITUTE(INDEX(Calc!$K:$K,(ROW(E481)-1)*5+COLUMN(E481)+1),",",".")</f>
        <v/>
      </c>
      <c r="K482" s="47" t="s">
        <v>898</v>
      </c>
      <c r="L482" s="100">
        <f>Закуп!AA482</f>
        <v>0</v>
      </c>
      <c r="M482" s="47" t="s">
        <v>899</v>
      </c>
      <c r="N482" s="47">
        <f>IF(Закуп!L482="",0,Закуп!L482)</f>
        <v>0</v>
      </c>
      <c r="O482" s="47" t="s">
        <v>900</v>
      </c>
      <c r="P482" s="165">
        <f>Закуп!N482</f>
        <v>0</v>
      </c>
      <c r="Q482" s="210" t="str">
        <f t="shared" si="9"/>
        <v xml:space="preserve">        [ 'dims' =&gt; [0,0,0], 'prices' =&gt; [,,,,], 'type' =&gt; "0", 'sale' =&gt; "0" ],</v>
      </c>
    </row>
    <row r="483" spans="1:17" hidden="1" x14ac:dyDescent="0.4">
      <c r="A483" s="47" t="s">
        <v>896</v>
      </c>
      <c r="B483" s="47">
        <f>Закуп!R483</f>
        <v>0</v>
      </c>
      <c r="C483" s="47">
        <f>Закуп!S483</f>
        <v>0</v>
      </c>
      <c r="D483" s="47">
        <f>Закуп!T483</f>
        <v>0</v>
      </c>
      <c r="E483" s="47" t="s">
        <v>897</v>
      </c>
      <c r="F483" s="100" t="str">
        <f>SUBSTITUTE(INDEX(Calc!$K:$K,(ROW(A482)-1)*5+COLUMN(A482)+1),",",".")</f>
        <v/>
      </c>
      <c r="G483" s="100" t="str">
        <f>SUBSTITUTE(INDEX(Calc!$K:$K,(ROW(B482)-1)*5+COLUMN(B482)+1),",",".")</f>
        <v/>
      </c>
      <c r="H483" s="100" t="str">
        <f>SUBSTITUTE(INDEX(Calc!$K:$K,(ROW(C482)-1)*5+COLUMN(C482)+1),",",".")</f>
        <v/>
      </c>
      <c r="I483" s="100" t="str">
        <f>SUBSTITUTE(INDEX(Calc!$K:$K,(ROW(D482)-1)*5+COLUMN(D482)+1),",",".")</f>
        <v/>
      </c>
      <c r="J483" s="100" t="str">
        <f>SUBSTITUTE(INDEX(Calc!$K:$K,(ROW(E482)-1)*5+COLUMN(E482)+1),",",".")</f>
        <v/>
      </c>
      <c r="K483" s="47" t="s">
        <v>898</v>
      </c>
      <c r="L483" s="100">
        <f>Закуп!AA483</f>
        <v>0</v>
      </c>
      <c r="M483" s="47" t="s">
        <v>899</v>
      </c>
      <c r="N483" s="47">
        <f>IF(Закуп!L483="",0,Закуп!L483)</f>
        <v>0</v>
      </c>
      <c r="O483" s="47" t="s">
        <v>900</v>
      </c>
      <c r="P483" s="165">
        <f>Закуп!N483</f>
        <v>0</v>
      </c>
      <c r="Q483" s="210" t="str">
        <f t="shared" si="9"/>
        <v xml:space="preserve">        [ 'dims' =&gt; [0,0,0], 'prices' =&gt; [,,,,], 'type' =&gt; "0", 'sale' =&gt; "0" ],</v>
      </c>
    </row>
    <row r="484" spans="1:17" hidden="1" x14ac:dyDescent="0.4">
      <c r="A484" s="47" t="s">
        <v>896</v>
      </c>
      <c r="B484" s="47">
        <f>Закуп!R484</f>
        <v>0</v>
      </c>
      <c r="C484" s="47">
        <f>Закуп!S484</f>
        <v>0</v>
      </c>
      <c r="D484" s="47">
        <f>Закуп!T484</f>
        <v>0</v>
      </c>
      <c r="E484" s="47" t="s">
        <v>897</v>
      </c>
      <c r="F484" s="100" t="str">
        <f>SUBSTITUTE(INDEX(Calc!$K:$K,(ROW(A483)-1)*5+COLUMN(A483)+1),",",".")</f>
        <v/>
      </c>
      <c r="G484" s="100" t="str">
        <f>SUBSTITUTE(INDEX(Calc!$K:$K,(ROW(B483)-1)*5+COLUMN(B483)+1),",",".")</f>
        <v/>
      </c>
      <c r="H484" s="100" t="str">
        <f>SUBSTITUTE(INDEX(Calc!$K:$K,(ROW(C483)-1)*5+COLUMN(C483)+1),",",".")</f>
        <v/>
      </c>
      <c r="I484" s="100" t="str">
        <f>SUBSTITUTE(INDEX(Calc!$K:$K,(ROW(D483)-1)*5+COLUMN(D483)+1),",",".")</f>
        <v/>
      </c>
      <c r="J484" s="100" t="str">
        <f>SUBSTITUTE(INDEX(Calc!$K:$K,(ROW(E483)-1)*5+COLUMN(E483)+1),",",".")</f>
        <v/>
      </c>
      <c r="K484" s="47" t="s">
        <v>898</v>
      </c>
      <c r="L484" s="100">
        <f>Закуп!AA484</f>
        <v>0</v>
      </c>
      <c r="M484" s="47" t="s">
        <v>899</v>
      </c>
      <c r="N484" s="47">
        <f>IF(Закуп!L484="",0,Закуп!L484)</f>
        <v>0</v>
      </c>
      <c r="O484" s="47" t="s">
        <v>900</v>
      </c>
      <c r="P484" s="165">
        <f>Закуп!N484</f>
        <v>0</v>
      </c>
      <c r="Q484" s="210" t="str">
        <f t="shared" si="9"/>
        <v xml:space="preserve">        [ 'dims' =&gt; [0,0,0], 'prices' =&gt; [,,,,], 'type' =&gt; "0", 'sale' =&gt; "0" ],</v>
      </c>
    </row>
    <row r="485" spans="1:17" hidden="1" x14ac:dyDescent="0.4">
      <c r="A485" s="47" t="s">
        <v>896</v>
      </c>
      <c r="B485" s="47">
        <f>Закуп!R485</f>
        <v>0</v>
      </c>
      <c r="C485" s="47">
        <f>Закуп!S485</f>
        <v>0</v>
      </c>
      <c r="D485" s="47">
        <f>Закуп!T485</f>
        <v>0</v>
      </c>
      <c r="E485" s="47" t="s">
        <v>897</v>
      </c>
      <c r="F485" s="100" t="str">
        <f>SUBSTITUTE(INDEX(Calc!$K:$K,(ROW(A484)-1)*5+COLUMN(A484)+1),",",".")</f>
        <v/>
      </c>
      <c r="G485" s="100" t="str">
        <f>SUBSTITUTE(INDEX(Calc!$K:$K,(ROW(B484)-1)*5+COLUMN(B484)+1),",",".")</f>
        <v/>
      </c>
      <c r="H485" s="100" t="str">
        <f>SUBSTITUTE(INDEX(Calc!$K:$K,(ROW(C484)-1)*5+COLUMN(C484)+1),",",".")</f>
        <v/>
      </c>
      <c r="I485" s="100" t="str">
        <f>SUBSTITUTE(INDEX(Calc!$K:$K,(ROW(D484)-1)*5+COLUMN(D484)+1),",",".")</f>
        <v/>
      </c>
      <c r="J485" s="100" t="str">
        <f>SUBSTITUTE(INDEX(Calc!$K:$K,(ROW(E484)-1)*5+COLUMN(E484)+1),",",".")</f>
        <v/>
      </c>
      <c r="K485" s="47" t="s">
        <v>898</v>
      </c>
      <c r="L485" s="100">
        <f>Закуп!AA485</f>
        <v>0</v>
      </c>
      <c r="M485" s="47" t="s">
        <v>899</v>
      </c>
      <c r="N485" s="47">
        <f>IF(Закуп!L485="",0,Закуп!L485)</f>
        <v>0</v>
      </c>
      <c r="O485" s="47" t="s">
        <v>900</v>
      </c>
      <c r="P485" s="165">
        <f>Закуп!N485</f>
        <v>0</v>
      </c>
      <c r="Q485" s="210" t="str">
        <f t="shared" si="9"/>
        <v xml:space="preserve">        [ 'dims' =&gt; [0,0,0], 'prices' =&gt; [,,,,], 'type' =&gt; "0", 'sale' =&gt; "0" ],</v>
      </c>
    </row>
    <row r="486" spans="1:17" hidden="1" x14ac:dyDescent="0.4">
      <c r="A486" s="47" t="s">
        <v>896</v>
      </c>
      <c r="B486" s="47">
        <f>Закуп!R486</f>
        <v>0</v>
      </c>
      <c r="C486" s="47">
        <f>Закуп!S486</f>
        <v>0</v>
      </c>
      <c r="D486" s="47">
        <f>Закуп!T486</f>
        <v>0</v>
      </c>
      <c r="E486" s="47" t="s">
        <v>897</v>
      </c>
      <c r="F486" s="100" t="str">
        <f>SUBSTITUTE(INDEX(Calc!$K:$K,(ROW(A485)-1)*5+COLUMN(A485)+1),",",".")</f>
        <v/>
      </c>
      <c r="G486" s="100" t="str">
        <f>SUBSTITUTE(INDEX(Calc!$K:$K,(ROW(B485)-1)*5+COLUMN(B485)+1),",",".")</f>
        <v/>
      </c>
      <c r="H486" s="100" t="str">
        <f>SUBSTITUTE(INDEX(Calc!$K:$K,(ROW(C485)-1)*5+COLUMN(C485)+1),",",".")</f>
        <v/>
      </c>
      <c r="I486" s="100" t="str">
        <f>SUBSTITUTE(INDEX(Calc!$K:$K,(ROW(D485)-1)*5+COLUMN(D485)+1),",",".")</f>
        <v/>
      </c>
      <c r="J486" s="100" t="str">
        <f>SUBSTITUTE(INDEX(Calc!$K:$K,(ROW(E485)-1)*5+COLUMN(E485)+1),",",".")</f>
        <v/>
      </c>
      <c r="K486" s="47" t="s">
        <v>898</v>
      </c>
      <c r="L486" s="100">
        <f>Закуп!AA486</f>
        <v>0</v>
      </c>
      <c r="M486" s="47" t="s">
        <v>899</v>
      </c>
      <c r="N486" s="47">
        <f>IF(Закуп!L486="",0,Закуп!L486)</f>
        <v>0</v>
      </c>
      <c r="O486" s="47" t="s">
        <v>900</v>
      </c>
      <c r="P486" s="165">
        <f>Закуп!N486</f>
        <v>0</v>
      </c>
      <c r="Q486" s="210" t="str">
        <f t="shared" si="9"/>
        <v xml:space="preserve">        [ 'dims' =&gt; [0,0,0], 'prices' =&gt; [,,,,], 'type' =&gt; "0", 'sale' =&gt; "0" ],</v>
      </c>
    </row>
    <row r="487" spans="1:17" hidden="1" x14ac:dyDescent="0.4">
      <c r="A487" s="47" t="s">
        <v>896</v>
      </c>
      <c r="B487" s="47">
        <f>Закуп!R487</f>
        <v>0</v>
      </c>
      <c r="C487" s="47">
        <f>Закуп!S487</f>
        <v>0</v>
      </c>
      <c r="D487" s="47">
        <f>Закуп!T487</f>
        <v>0</v>
      </c>
      <c r="E487" s="47" t="s">
        <v>897</v>
      </c>
      <c r="F487" s="100" t="str">
        <f>SUBSTITUTE(INDEX(Calc!$K:$K,(ROW(A486)-1)*5+COLUMN(A486)+1),",",".")</f>
        <v/>
      </c>
      <c r="G487" s="100" t="str">
        <f>SUBSTITUTE(INDEX(Calc!$K:$K,(ROW(B486)-1)*5+COLUMN(B486)+1),",",".")</f>
        <v/>
      </c>
      <c r="H487" s="100" t="str">
        <f>SUBSTITUTE(INDEX(Calc!$K:$K,(ROW(C486)-1)*5+COLUMN(C486)+1),",",".")</f>
        <v/>
      </c>
      <c r="I487" s="100" t="str">
        <f>SUBSTITUTE(INDEX(Calc!$K:$K,(ROW(D486)-1)*5+COLUMN(D486)+1),",",".")</f>
        <v/>
      </c>
      <c r="J487" s="100" t="str">
        <f>SUBSTITUTE(INDEX(Calc!$K:$K,(ROW(E486)-1)*5+COLUMN(E486)+1),",",".")</f>
        <v/>
      </c>
      <c r="K487" s="47" t="s">
        <v>898</v>
      </c>
      <c r="L487" s="100">
        <f>Закуп!AA487</f>
        <v>0</v>
      </c>
      <c r="M487" s="47" t="s">
        <v>899</v>
      </c>
      <c r="N487" s="47">
        <f>IF(Закуп!L487="",0,Закуп!L487)</f>
        <v>0</v>
      </c>
      <c r="O487" s="47" t="s">
        <v>900</v>
      </c>
      <c r="P487" s="165">
        <f>Закуп!N487</f>
        <v>0</v>
      </c>
      <c r="Q487" s="210" t="str">
        <f t="shared" si="9"/>
        <v xml:space="preserve">        [ 'dims' =&gt; [0,0,0], 'prices' =&gt; [,,,,], 'type' =&gt; "0", 'sale' =&gt; "0" ],</v>
      </c>
    </row>
    <row r="488" spans="1:17" hidden="1" x14ac:dyDescent="0.4">
      <c r="A488" s="47" t="s">
        <v>896</v>
      </c>
      <c r="B488" s="47">
        <f>Закуп!R488</f>
        <v>0</v>
      </c>
      <c r="C488" s="47">
        <f>Закуп!S488</f>
        <v>0</v>
      </c>
      <c r="D488" s="47">
        <f>Закуп!T488</f>
        <v>0</v>
      </c>
      <c r="E488" s="47" t="s">
        <v>897</v>
      </c>
      <c r="F488" s="100" t="str">
        <f>SUBSTITUTE(INDEX(Calc!$K:$K,(ROW(A487)-1)*5+COLUMN(A487)+1),",",".")</f>
        <v/>
      </c>
      <c r="G488" s="100" t="str">
        <f>SUBSTITUTE(INDEX(Calc!$K:$K,(ROW(B487)-1)*5+COLUMN(B487)+1),",",".")</f>
        <v/>
      </c>
      <c r="H488" s="100" t="str">
        <f>SUBSTITUTE(INDEX(Calc!$K:$K,(ROW(C487)-1)*5+COLUMN(C487)+1),",",".")</f>
        <v/>
      </c>
      <c r="I488" s="100" t="str">
        <f>SUBSTITUTE(INDEX(Calc!$K:$K,(ROW(D487)-1)*5+COLUMN(D487)+1),",",".")</f>
        <v/>
      </c>
      <c r="J488" s="100" t="str">
        <f>SUBSTITUTE(INDEX(Calc!$K:$K,(ROW(E487)-1)*5+COLUMN(E487)+1),",",".")</f>
        <v/>
      </c>
      <c r="K488" s="47" t="s">
        <v>898</v>
      </c>
      <c r="L488" s="100">
        <f>Закуп!AA488</f>
        <v>0</v>
      </c>
      <c r="M488" s="47" t="s">
        <v>899</v>
      </c>
      <c r="N488" s="47">
        <f>IF(Закуп!L488="",0,Закуп!L488)</f>
        <v>0</v>
      </c>
      <c r="O488" s="47" t="s">
        <v>900</v>
      </c>
      <c r="P488" s="165">
        <f>Закуп!N488</f>
        <v>0</v>
      </c>
      <c r="Q488" s="210" t="str">
        <f t="shared" si="9"/>
        <v xml:space="preserve">        [ 'dims' =&gt; [0,0,0], 'prices' =&gt; [,,,,], 'type' =&gt; "0", 'sale' =&gt; "0" ],</v>
      </c>
    </row>
    <row r="489" spans="1:17" hidden="1" x14ac:dyDescent="0.4">
      <c r="A489" s="47" t="s">
        <v>896</v>
      </c>
      <c r="B489" s="47">
        <f>Закуп!R489</f>
        <v>0</v>
      </c>
      <c r="C489" s="47">
        <f>Закуп!S489</f>
        <v>0</v>
      </c>
      <c r="D489" s="47">
        <f>Закуп!T489</f>
        <v>0</v>
      </c>
      <c r="E489" s="47" t="s">
        <v>897</v>
      </c>
      <c r="F489" s="100" t="str">
        <f>SUBSTITUTE(INDEX(Calc!$K:$K,(ROW(A488)-1)*5+COLUMN(A488)+1),",",".")</f>
        <v/>
      </c>
      <c r="G489" s="100" t="str">
        <f>SUBSTITUTE(INDEX(Calc!$K:$K,(ROW(B488)-1)*5+COLUMN(B488)+1),",",".")</f>
        <v/>
      </c>
      <c r="H489" s="100" t="str">
        <f>SUBSTITUTE(INDEX(Calc!$K:$K,(ROW(C488)-1)*5+COLUMN(C488)+1),",",".")</f>
        <v/>
      </c>
      <c r="I489" s="100" t="str">
        <f>SUBSTITUTE(INDEX(Calc!$K:$K,(ROW(D488)-1)*5+COLUMN(D488)+1),",",".")</f>
        <v/>
      </c>
      <c r="J489" s="100" t="str">
        <f>SUBSTITUTE(INDEX(Calc!$K:$K,(ROW(E488)-1)*5+COLUMN(E488)+1),",",".")</f>
        <v/>
      </c>
      <c r="K489" s="47" t="s">
        <v>898</v>
      </c>
      <c r="L489" s="100">
        <f>Закуп!AA489</f>
        <v>0</v>
      </c>
      <c r="M489" s="47" t="s">
        <v>899</v>
      </c>
      <c r="N489" s="47">
        <f>IF(Закуп!L489="",0,Закуп!L489)</f>
        <v>0</v>
      </c>
      <c r="O489" s="47" t="s">
        <v>900</v>
      </c>
      <c r="P489" s="165">
        <f>Закуп!N489</f>
        <v>0</v>
      </c>
      <c r="Q489" s="210" t="str">
        <f t="shared" si="9"/>
        <v xml:space="preserve">        [ 'dims' =&gt; [0,0,0], 'prices' =&gt; [,,,,], 'type' =&gt; "0", 'sale' =&gt; "0" ],</v>
      </c>
    </row>
    <row r="490" spans="1:17" hidden="1" x14ac:dyDescent="0.4">
      <c r="A490" s="47" t="s">
        <v>896</v>
      </c>
      <c r="B490" s="47">
        <f>Закуп!R490</f>
        <v>0</v>
      </c>
      <c r="C490" s="47">
        <f>Закуп!S490</f>
        <v>0</v>
      </c>
      <c r="D490" s="47">
        <f>Закуп!T490</f>
        <v>0</v>
      </c>
      <c r="E490" s="47" t="s">
        <v>897</v>
      </c>
      <c r="F490" s="100" t="str">
        <f>SUBSTITUTE(INDEX(Calc!$K:$K,(ROW(A489)-1)*5+COLUMN(A489)+1),",",".")</f>
        <v/>
      </c>
      <c r="G490" s="100" t="str">
        <f>SUBSTITUTE(INDEX(Calc!$K:$K,(ROW(B489)-1)*5+COLUMN(B489)+1),",",".")</f>
        <v/>
      </c>
      <c r="H490" s="100" t="str">
        <f>SUBSTITUTE(INDEX(Calc!$K:$K,(ROW(C489)-1)*5+COLUMN(C489)+1),",",".")</f>
        <v/>
      </c>
      <c r="I490" s="100" t="str">
        <f>SUBSTITUTE(INDEX(Calc!$K:$K,(ROW(D489)-1)*5+COLUMN(D489)+1),",",".")</f>
        <v/>
      </c>
      <c r="J490" s="100" t="str">
        <f>SUBSTITUTE(INDEX(Calc!$K:$K,(ROW(E489)-1)*5+COLUMN(E489)+1),",",".")</f>
        <v/>
      </c>
      <c r="K490" s="47" t="s">
        <v>898</v>
      </c>
      <c r="L490" s="100">
        <f>Закуп!AA490</f>
        <v>0</v>
      </c>
      <c r="M490" s="47" t="s">
        <v>899</v>
      </c>
      <c r="N490" s="47">
        <f>IF(Закуп!L490="",0,Закуп!L490)</f>
        <v>0</v>
      </c>
      <c r="O490" s="47" t="s">
        <v>900</v>
      </c>
      <c r="P490" s="165">
        <f>Закуп!N490</f>
        <v>0</v>
      </c>
      <c r="Q490" s="210" t="str">
        <f t="shared" si="9"/>
        <v xml:space="preserve">        [ 'dims' =&gt; [0,0,0], 'prices' =&gt; [,,,,], 'type' =&gt; "0", 'sale' =&gt; "0" ],</v>
      </c>
    </row>
    <row r="491" spans="1:17" hidden="1" x14ac:dyDescent="0.4">
      <c r="A491" s="47" t="s">
        <v>896</v>
      </c>
      <c r="B491" s="47">
        <f>Закуп!R491</f>
        <v>0</v>
      </c>
      <c r="C491" s="47">
        <f>Закуп!S491</f>
        <v>0</v>
      </c>
      <c r="D491" s="47">
        <f>Закуп!T491</f>
        <v>0</v>
      </c>
      <c r="E491" s="47" t="s">
        <v>897</v>
      </c>
      <c r="F491" s="100" t="str">
        <f>SUBSTITUTE(INDEX(Calc!$K:$K,(ROW(A490)-1)*5+COLUMN(A490)+1),",",".")</f>
        <v/>
      </c>
      <c r="G491" s="100" t="str">
        <f>SUBSTITUTE(INDEX(Calc!$K:$K,(ROW(B490)-1)*5+COLUMN(B490)+1),",",".")</f>
        <v/>
      </c>
      <c r="H491" s="100" t="str">
        <f>SUBSTITUTE(INDEX(Calc!$K:$K,(ROW(C490)-1)*5+COLUMN(C490)+1),",",".")</f>
        <v/>
      </c>
      <c r="I491" s="100" t="str">
        <f>SUBSTITUTE(INDEX(Calc!$K:$K,(ROW(D490)-1)*5+COLUMN(D490)+1),",",".")</f>
        <v/>
      </c>
      <c r="J491" s="100" t="str">
        <f>SUBSTITUTE(INDEX(Calc!$K:$K,(ROW(E490)-1)*5+COLUMN(E490)+1),",",".")</f>
        <v/>
      </c>
      <c r="K491" s="47" t="s">
        <v>898</v>
      </c>
      <c r="L491" s="100">
        <f>Закуп!AA491</f>
        <v>0</v>
      </c>
      <c r="M491" s="47" t="s">
        <v>899</v>
      </c>
      <c r="N491" s="47">
        <f>IF(Закуп!L491="",0,Закуп!L491)</f>
        <v>0</v>
      </c>
      <c r="O491" s="47" t="s">
        <v>900</v>
      </c>
      <c r="P491" s="165">
        <f>Закуп!N491</f>
        <v>0</v>
      </c>
      <c r="Q491" s="210" t="str">
        <f t="shared" si="9"/>
        <v xml:space="preserve">        [ 'dims' =&gt; [0,0,0], 'prices' =&gt; [,,,,], 'type' =&gt; "0", 'sale' =&gt; "0" ],</v>
      </c>
    </row>
    <row r="492" spans="1:17" hidden="1" x14ac:dyDescent="0.4">
      <c r="A492" s="47" t="s">
        <v>896</v>
      </c>
      <c r="B492" s="47">
        <f>Закуп!R492</f>
        <v>0</v>
      </c>
      <c r="C492" s="47">
        <f>Закуп!S492</f>
        <v>0</v>
      </c>
      <c r="D492" s="47">
        <f>Закуп!T492</f>
        <v>0</v>
      </c>
      <c r="E492" s="47" t="s">
        <v>897</v>
      </c>
      <c r="F492" s="100" t="str">
        <f>SUBSTITUTE(INDEX(Calc!$K:$K,(ROW(A491)-1)*5+COLUMN(A491)+1),",",".")</f>
        <v/>
      </c>
      <c r="G492" s="100" t="str">
        <f>SUBSTITUTE(INDEX(Calc!$K:$K,(ROW(B491)-1)*5+COLUMN(B491)+1),",",".")</f>
        <v/>
      </c>
      <c r="H492" s="100" t="str">
        <f>SUBSTITUTE(INDEX(Calc!$K:$K,(ROW(C491)-1)*5+COLUMN(C491)+1),",",".")</f>
        <v/>
      </c>
      <c r="I492" s="100" t="str">
        <f>SUBSTITUTE(INDEX(Calc!$K:$K,(ROW(D491)-1)*5+COLUMN(D491)+1),",",".")</f>
        <v/>
      </c>
      <c r="J492" s="100" t="str">
        <f>SUBSTITUTE(INDEX(Calc!$K:$K,(ROW(E491)-1)*5+COLUMN(E491)+1),",",".")</f>
        <v/>
      </c>
      <c r="K492" s="47" t="s">
        <v>898</v>
      </c>
      <c r="L492" s="100">
        <f>Закуп!AA492</f>
        <v>0</v>
      </c>
      <c r="M492" s="47" t="s">
        <v>899</v>
      </c>
      <c r="N492" s="47">
        <f>IF(Закуп!L492="",0,Закуп!L492)</f>
        <v>0</v>
      </c>
      <c r="O492" s="47" t="s">
        <v>900</v>
      </c>
      <c r="P492" s="165">
        <f>Закуп!N492</f>
        <v>0</v>
      </c>
      <c r="Q492" s="210" t="str">
        <f t="shared" si="9"/>
        <v xml:space="preserve">        [ 'dims' =&gt; [0,0,0], 'prices' =&gt; [,,,,], 'type' =&gt; "0", 'sale' =&gt; "0" ],</v>
      </c>
    </row>
    <row r="493" spans="1:17" hidden="1" x14ac:dyDescent="0.4">
      <c r="A493" s="47" t="s">
        <v>896</v>
      </c>
      <c r="B493" s="47">
        <f>Закуп!R493</f>
        <v>0</v>
      </c>
      <c r="C493" s="47">
        <f>Закуп!S493</f>
        <v>0</v>
      </c>
      <c r="D493" s="47">
        <f>Закуп!T493</f>
        <v>0</v>
      </c>
      <c r="E493" s="47" t="s">
        <v>897</v>
      </c>
      <c r="F493" s="100" t="str">
        <f>SUBSTITUTE(INDEX(Calc!$K:$K,(ROW(A492)-1)*5+COLUMN(A492)+1),",",".")</f>
        <v/>
      </c>
      <c r="G493" s="100" t="str">
        <f>SUBSTITUTE(INDEX(Calc!$K:$K,(ROW(B492)-1)*5+COLUMN(B492)+1),",",".")</f>
        <v/>
      </c>
      <c r="H493" s="100" t="str">
        <f>SUBSTITUTE(INDEX(Calc!$K:$K,(ROW(C492)-1)*5+COLUMN(C492)+1),",",".")</f>
        <v/>
      </c>
      <c r="I493" s="100" t="str">
        <f>SUBSTITUTE(INDEX(Calc!$K:$K,(ROW(D492)-1)*5+COLUMN(D492)+1),",",".")</f>
        <v/>
      </c>
      <c r="J493" s="100" t="str">
        <f>SUBSTITUTE(INDEX(Calc!$K:$K,(ROW(E492)-1)*5+COLUMN(E492)+1),",",".")</f>
        <v/>
      </c>
      <c r="K493" s="47" t="s">
        <v>898</v>
      </c>
      <c r="L493" s="100">
        <f>Закуп!AA493</f>
        <v>0</v>
      </c>
      <c r="M493" s="47" t="s">
        <v>899</v>
      </c>
      <c r="N493" s="47">
        <f>IF(Закуп!L493="",0,Закуп!L493)</f>
        <v>0</v>
      </c>
      <c r="O493" s="47" t="s">
        <v>900</v>
      </c>
      <c r="P493" s="165">
        <f>Закуп!N493</f>
        <v>0</v>
      </c>
      <c r="Q493" s="210" t="str">
        <f t="shared" si="9"/>
        <v xml:space="preserve">        [ 'dims' =&gt; [0,0,0], 'prices' =&gt; [,,,,], 'type' =&gt; "0", 'sale' =&gt; "0" ],</v>
      </c>
    </row>
    <row r="494" spans="1:17" hidden="1" x14ac:dyDescent="0.4">
      <c r="A494" s="47" t="s">
        <v>896</v>
      </c>
      <c r="B494" s="47">
        <f>Закуп!R494</f>
        <v>0</v>
      </c>
      <c r="C494" s="47">
        <f>Закуп!S494</f>
        <v>0</v>
      </c>
      <c r="D494" s="47">
        <f>Закуп!T494</f>
        <v>0</v>
      </c>
      <c r="E494" s="47" t="s">
        <v>897</v>
      </c>
      <c r="F494" s="100" t="str">
        <f>SUBSTITUTE(INDEX(Calc!$K:$K,(ROW(A493)-1)*5+COLUMN(A493)+1),",",".")</f>
        <v/>
      </c>
      <c r="G494" s="100" t="str">
        <f>SUBSTITUTE(INDEX(Calc!$K:$K,(ROW(B493)-1)*5+COLUMN(B493)+1),",",".")</f>
        <v/>
      </c>
      <c r="H494" s="100" t="str">
        <f>SUBSTITUTE(INDEX(Calc!$K:$K,(ROW(C493)-1)*5+COLUMN(C493)+1),",",".")</f>
        <v/>
      </c>
      <c r="I494" s="100" t="str">
        <f>SUBSTITUTE(INDEX(Calc!$K:$K,(ROW(D493)-1)*5+COLUMN(D493)+1),",",".")</f>
        <v/>
      </c>
      <c r="J494" s="100" t="str">
        <f>SUBSTITUTE(INDEX(Calc!$K:$K,(ROW(E493)-1)*5+COLUMN(E493)+1),",",".")</f>
        <v/>
      </c>
      <c r="K494" s="47" t="s">
        <v>898</v>
      </c>
      <c r="L494" s="100">
        <f>Закуп!AA494</f>
        <v>0</v>
      </c>
      <c r="M494" s="47" t="s">
        <v>899</v>
      </c>
      <c r="N494" s="47">
        <f>IF(Закуп!L494="",0,Закуп!L494)</f>
        <v>0</v>
      </c>
      <c r="O494" s="47" t="s">
        <v>900</v>
      </c>
      <c r="P494" s="165">
        <f>Закуп!N494</f>
        <v>0</v>
      </c>
      <c r="Q494" s="210" t="str">
        <f t="shared" si="9"/>
        <v xml:space="preserve">        [ 'dims' =&gt; [0,0,0], 'prices' =&gt; [,,,,], 'type' =&gt; "0", 'sale' =&gt; "0" ],</v>
      </c>
    </row>
    <row r="495" spans="1:17" hidden="1" x14ac:dyDescent="0.4">
      <c r="A495" s="47" t="s">
        <v>896</v>
      </c>
      <c r="B495" s="47">
        <f>Закуп!R495</f>
        <v>0</v>
      </c>
      <c r="C495" s="47">
        <f>Закуп!S495</f>
        <v>0</v>
      </c>
      <c r="D495" s="47">
        <f>Закуп!T495</f>
        <v>0</v>
      </c>
      <c r="E495" s="47" t="s">
        <v>897</v>
      </c>
      <c r="F495" s="100" t="str">
        <f>SUBSTITUTE(INDEX(Calc!$K:$K,(ROW(A494)-1)*5+COLUMN(A494)+1),",",".")</f>
        <v/>
      </c>
      <c r="G495" s="100" t="str">
        <f>SUBSTITUTE(INDEX(Calc!$K:$K,(ROW(B494)-1)*5+COLUMN(B494)+1),",",".")</f>
        <v/>
      </c>
      <c r="H495" s="100" t="str">
        <f>SUBSTITUTE(INDEX(Calc!$K:$K,(ROW(C494)-1)*5+COLUMN(C494)+1),",",".")</f>
        <v/>
      </c>
      <c r="I495" s="100" t="str">
        <f>SUBSTITUTE(INDEX(Calc!$K:$K,(ROW(D494)-1)*5+COLUMN(D494)+1),",",".")</f>
        <v/>
      </c>
      <c r="J495" s="100" t="str">
        <f>SUBSTITUTE(INDEX(Calc!$K:$K,(ROW(E494)-1)*5+COLUMN(E494)+1),",",".")</f>
        <v/>
      </c>
      <c r="K495" s="47" t="s">
        <v>898</v>
      </c>
      <c r="L495" s="100">
        <f>Закуп!AA495</f>
        <v>0</v>
      </c>
      <c r="M495" s="47" t="s">
        <v>899</v>
      </c>
      <c r="N495" s="47">
        <f>IF(Закуп!L495="",0,Закуп!L495)</f>
        <v>0</v>
      </c>
      <c r="O495" s="47" t="s">
        <v>900</v>
      </c>
      <c r="P495" s="165">
        <f>Закуп!N495</f>
        <v>0</v>
      </c>
      <c r="Q495" s="210" t="str">
        <f t="shared" si="9"/>
        <v xml:space="preserve">        [ 'dims' =&gt; [0,0,0], 'prices' =&gt; [,,,,], 'type' =&gt; "0", 'sale' =&gt; "0" ],</v>
      </c>
    </row>
    <row r="496" spans="1:17" hidden="1" x14ac:dyDescent="0.4">
      <c r="A496" s="47" t="s">
        <v>896</v>
      </c>
      <c r="B496" s="47">
        <f>Закуп!R496</f>
        <v>0</v>
      </c>
      <c r="C496" s="47">
        <f>Закуп!S496</f>
        <v>0</v>
      </c>
      <c r="D496" s="47">
        <f>Закуп!T496</f>
        <v>0</v>
      </c>
      <c r="E496" s="47" t="s">
        <v>897</v>
      </c>
      <c r="F496" s="100" t="str">
        <f>SUBSTITUTE(INDEX(Calc!$K:$K,(ROW(A495)-1)*5+COLUMN(A495)+1),",",".")</f>
        <v/>
      </c>
      <c r="G496" s="100" t="str">
        <f>SUBSTITUTE(INDEX(Calc!$K:$K,(ROW(B495)-1)*5+COLUMN(B495)+1),",",".")</f>
        <v/>
      </c>
      <c r="H496" s="100" t="str">
        <f>SUBSTITUTE(INDEX(Calc!$K:$K,(ROW(C495)-1)*5+COLUMN(C495)+1),",",".")</f>
        <v/>
      </c>
      <c r="I496" s="100" t="str">
        <f>SUBSTITUTE(INDEX(Calc!$K:$K,(ROW(D495)-1)*5+COLUMN(D495)+1),",",".")</f>
        <v/>
      </c>
      <c r="J496" s="100" t="str">
        <f>SUBSTITUTE(INDEX(Calc!$K:$K,(ROW(E495)-1)*5+COLUMN(E495)+1),",",".")</f>
        <v/>
      </c>
      <c r="K496" s="47" t="s">
        <v>898</v>
      </c>
      <c r="L496" s="100">
        <f>Закуп!AA496</f>
        <v>0</v>
      </c>
      <c r="M496" s="47" t="s">
        <v>899</v>
      </c>
      <c r="N496" s="47">
        <f>IF(Закуп!L496="",0,Закуп!L496)</f>
        <v>0</v>
      </c>
      <c r="O496" s="47" t="s">
        <v>900</v>
      </c>
      <c r="P496" s="165">
        <f>Закуп!N496</f>
        <v>0</v>
      </c>
      <c r="Q496" s="210" t="str">
        <f t="shared" si="9"/>
        <v xml:space="preserve">        [ 'dims' =&gt; [0,0,0], 'prices' =&gt; [,,,,], 'type' =&gt; "0", 'sale' =&gt; "0" ],</v>
      </c>
    </row>
    <row r="497" spans="1:17" hidden="1" x14ac:dyDescent="0.4">
      <c r="A497" s="47" t="s">
        <v>896</v>
      </c>
      <c r="B497" s="47">
        <f>Закуп!R497</f>
        <v>0</v>
      </c>
      <c r="C497" s="47">
        <f>Закуп!S497</f>
        <v>0</v>
      </c>
      <c r="D497" s="47">
        <f>Закуп!T497</f>
        <v>0</v>
      </c>
      <c r="E497" s="47" t="s">
        <v>897</v>
      </c>
      <c r="F497" s="100" t="str">
        <f>SUBSTITUTE(INDEX(Calc!$K:$K,(ROW(A496)-1)*5+COLUMN(A496)+1),",",".")</f>
        <v/>
      </c>
      <c r="G497" s="100" t="str">
        <f>SUBSTITUTE(INDEX(Calc!$K:$K,(ROW(B496)-1)*5+COLUMN(B496)+1),",",".")</f>
        <v/>
      </c>
      <c r="H497" s="100" t="str">
        <f>SUBSTITUTE(INDEX(Calc!$K:$K,(ROW(C496)-1)*5+COLUMN(C496)+1),",",".")</f>
        <v/>
      </c>
      <c r="I497" s="100" t="str">
        <f>SUBSTITUTE(INDEX(Calc!$K:$K,(ROW(D496)-1)*5+COLUMN(D496)+1),",",".")</f>
        <v/>
      </c>
      <c r="J497" s="100" t="str">
        <f>SUBSTITUTE(INDEX(Calc!$K:$K,(ROW(E496)-1)*5+COLUMN(E496)+1),",",".")</f>
        <v/>
      </c>
      <c r="K497" s="47" t="s">
        <v>898</v>
      </c>
      <c r="L497" s="100">
        <f>Закуп!AA497</f>
        <v>0</v>
      </c>
      <c r="M497" s="47" t="s">
        <v>899</v>
      </c>
      <c r="N497" s="47">
        <f>IF(Закуп!L497="",0,Закуп!L497)</f>
        <v>0</v>
      </c>
      <c r="O497" s="47" t="s">
        <v>900</v>
      </c>
      <c r="P497" s="165">
        <f>Закуп!N497</f>
        <v>0</v>
      </c>
      <c r="Q497" s="210" t="str">
        <f t="shared" si="9"/>
        <v xml:space="preserve">        [ 'dims' =&gt; [0,0,0], 'prices' =&gt; [,,,,], 'type' =&gt; "0", 'sale' =&gt; "0" ],</v>
      </c>
    </row>
    <row r="498" spans="1:17" hidden="1" x14ac:dyDescent="0.4">
      <c r="A498" s="47" t="s">
        <v>896</v>
      </c>
      <c r="B498" s="47">
        <f>Закуп!R498</f>
        <v>0</v>
      </c>
      <c r="C498" s="47">
        <f>Закуп!S498</f>
        <v>0</v>
      </c>
      <c r="D498" s="47">
        <f>Закуп!T498</f>
        <v>0</v>
      </c>
      <c r="E498" s="47" t="s">
        <v>897</v>
      </c>
      <c r="F498" s="100" t="str">
        <f>SUBSTITUTE(INDEX(Calc!$K:$K,(ROW(A497)-1)*5+COLUMN(A497)+1),",",".")</f>
        <v/>
      </c>
      <c r="G498" s="100" t="str">
        <f>SUBSTITUTE(INDEX(Calc!$K:$K,(ROW(B497)-1)*5+COLUMN(B497)+1),",",".")</f>
        <v/>
      </c>
      <c r="H498" s="100" t="str">
        <f>SUBSTITUTE(INDEX(Calc!$K:$K,(ROW(C497)-1)*5+COLUMN(C497)+1),",",".")</f>
        <v/>
      </c>
      <c r="I498" s="100" t="str">
        <f>SUBSTITUTE(INDEX(Calc!$K:$K,(ROW(D497)-1)*5+COLUMN(D497)+1),",",".")</f>
        <v/>
      </c>
      <c r="J498" s="100" t="str">
        <f>SUBSTITUTE(INDEX(Calc!$K:$K,(ROW(E497)-1)*5+COLUMN(E497)+1),",",".")</f>
        <v/>
      </c>
      <c r="K498" s="47" t="s">
        <v>898</v>
      </c>
      <c r="L498" s="100">
        <f>Закуп!AA498</f>
        <v>0</v>
      </c>
      <c r="M498" s="47" t="s">
        <v>899</v>
      </c>
      <c r="N498" s="47">
        <f>IF(Закуп!L498="",0,Закуп!L498)</f>
        <v>0</v>
      </c>
      <c r="O498" s="47" t="s">
        <v>900</v>
      </c>
      <c r="P498" s="165">
        <f>Закуп!N498</f>
        <v>0</v>
      </c>
      <c r="Q498" s="210" t="str">
        <f t="shared" si="9"/>
        <v xml:space="preserve">        [ 'dims' =&gt; [0,0,0], 'prices' =&gt; [,,,,], 'type' =&gt; "0", 'sale' =&gt; "0" ],</v>
      </c>
    </row>
    <row r="499" spans="1:17" hidden="1" x14ac:dyDescent="0.4">
      <c r="A499" s="47" t="s">
        <v>896</v>
      </c>
      <c r="B499" s="47">
        <f>Закуп!R499</f>
        <v>0</v>
      </c>
      <c r="C499" s="47">
        <f>Закуп!S499</f>
        <v>0</v>
      </c>
      <c r="D499" s="47">
        <f>Закуп!T499</f>
        <v>0</v>
      </c>
      <c r="E499" s="47" t="s">
        <v>897</v>
      </c>
      <c r="F499" s="100" t="str">
        <f>SUBSTITUTE(INDEX(Calc!$K:$K,(ROW(A498)-1)*5+COLUMN(A498)+1),",",".")</f>
        <v/>
      </c>
      <c r="G499" s="100" t="str">
        <f>SUBSTITUTE(INDEX(Calc!$K:$K,(ROW(B498)-1)*5+COLUMN(B498)+1),",",".")</f>
        <v/>
      </c>
      <c r="H499" s="100" t="str">
        <f>SUBSTITUTE(INDEX(Calc!$K:$K,(ROW(C498)-1)*5+COLUMN(C498)+1),",",".")</f>
        <v/>
      </c>
      <c r="I499" s="100" t="str">
        <f>SUBSTITUTE(INDEX(Calc!$K:$K,(ROW(D498)-1)*5+COLUMN(D498)+1),",",".")</f>
        <v/>
      </c>
      <c r="J499" s="100" t="str">
        <f>SUBSTITUTE(INDEX(Calc!$K:$K,(ROW(E498)-1)*5+COLUMN(E498)+1),",",".")</f>
        <v/>
      </c>
      <c r="K499" s="47" t="s">
        <v>898</v>
      </c>
      <c r="L499" s="100">
        <f>Закуп!AA499</f>
        <v>0</v>
      </c>
      <c r="M499" s="47" t="s">
        <v>899</v>
      </c>
      <c r="N499" s="47">
        <f>IF(Закуп!L499="",0,Закуп!L499)</f>
        <v>0</v>
      </c>
      <c r="O499" s="47" t="s">
        <v>900</v>
      </c>
      <c r="P499" s="165">
        <f>Закуп!N499</f>
        <v>0</v>
      </c>
      <c r="Q499" s="210" t="str">
        <f t="shared" si="9"/>
        <v xml:space="preserve">        [ 'dims' =&gt; [0,0,0], 'prices' =&gt; [,,,,], 'type' =&gt; "0", 'sale' =&gt; "0" ],</v>
      </c>
    </row>
    <row r="500" spans="1:17" hidden="1" x14ac:dyDescent="0.4">
      <c r="A500" s="47" t="s">
        <v>896</v>
      </c>
      <c r="B500" s="47">
        <f>Закуп!R500</f>
        <v>0</v>
      </c>
      <c r="C500" s="47">
        <f>Закуп!S500</f>
        <v>0</v>
      </c>
      <c r="D500" s="47">
        <f>Закуп!T500</f>
        <v>0</v>
      </c>
      <c r="E500" s="47" t="s">
        <v>897</v>
      </c>
      <c r="F500" s="100" t="str">
        <f>SUBSTITUTE(INDEX(Calc!$K:$K,(ROW(A499)-1)*5+COLUMN(A499)+1),",",".")</f>
        <v/>
      </c>
      <c r="G500" s="100" t="str">
        <f>SUBSTITUTE(INDEX(Calc!$K:$K,(ROW(B499)-1)*5+COLUMN(B499)+1),",",".")</f>
        <v/>
      </c>
      <c r="H500" s="100" t="str">
        <f>SUBSTITUTE(INDEX(Calc!$K:$K,(ROW(C499)-1)*5+COLUMN(C499)+1),",",".")</f>
        <v/>
      </c>
      <c r="I500" s="100" t="str">
        <f>SUBSTITUTE(INDEX(Calc!$K:$K,(ROW(D499)-1)*5+COLUMN(D499)+1),",",".")</f>
        <v/>
      </c>
      <c r="J500" s="100" t="str">
        <f>SUBSTITUTE(INDEX(Calc!$K:$K,(ROW(E499)-1)*5+COLUMN(E499)+1),",",".")</f>
        <v/>
      </c>
      <c r="K500" s="47" t="s">
        <v>898</v>
      </c>
      <c r="L500" s="100">
        <f>Закуп!AA500</f>
        <v>0</v>
      </c>
      <c r="M500" s="47" t="s">
        <v>899</v>
      </c>
      <c r="N500" s="47">
        <f>IF(Закуп!L500="",0,Закуп!L500)</f>
        <v>0</v>
      </c>
      <c r="O500" s="47" t="s">
        <v>900</v>
      </c>
      <c r="P500" s="165">
        <f>Закуп!N500</f>
        <v>0</v>
      </c>
      <c r="Q500" s="210" t="str">
        <f t="shared" si="9"/>
        <v xml:space="preserve">        [ 'dims' =&gt; [0,0,0], 'prices' =&gt; [,,,,], 'type' =&gt; "0", 'sale' =&gt; "0" ],</v>
      </c>
    </row>
    <row r="501" spans="1:17" hidden="1" x14ac:dyDescent="0.4">
      <c r="A501" s="47" t="s">
        <v>896</v>
      </c>
      <c r="B501" s="47">
        <f>Закуп!R501</f>
        <v>0</v>
      </c>
      <c r="C501" s="47">
        <f>Закуп!S501</f>
        <v>0</v>
      </c>
      <c r="D501" s="47">
        <f>Закуп!T501</f>
        <v>0</v>
      </c>
      <c r="E501" s="47" t="s">
        <v>897</v>
      </c>
      <c r="F501" s="100" t="str">
        <f>SUBSTITUTE(INDEX(Calc!$K:$K,(ROW(A500)-1)*5+COLUMN(A500)+1),",",".")</f>
        <v/>
      </c>
      <c r="G501" s="100" t="str">
        <f>SUBSTITUTE(INDEX(Calc!$K:$K,(ROW(B500)-1)*5+COLUMN(B500)+1),",",".")</f>
        <v/>
      </c>
      <c r="H501" s="100" t="str">
        <f>SUBSTITUTE(INDEX(Calc!$K:$K,(ROW(C500)-1)*5+COLUMN(C500)+1),",",".")</f>
        <v/>
      </c>
      <c r="I501" s="100" t="str">
        <f>SUBSTITUTE(INDEX(Calc!$K:$K,(ROW(D500)-1)*5+COLUMN(D500)+1),",",".")</f>
        <v/>
      </c>
      <c r="J501" s="100" t="str">
        <f>SUBSTITUTE(INDEX(Calc!$K:$K,(ROW(E500)-1)*5+COLUMN(E500)+1),",",".")</f>
        <v/>
      </c>
      <c r="K501" s="47" t="s">
        <v>898</v>
      </c>
      <c r="L501" s="100">
        <f>Закуп!AA501</f>
        <v>0</v>
      </c>
      <c r="M501" s="47" t="s">
        <v>899</v>
      </c>
      <c r="N501" s="47">
        <f>IF(Закуп!L501="",0,Закуп!L501)</f>
        <v>0</v>
      </c>
      <c r="O501" s="47" t="s">
        <v>900</v>
      </c>
      <c r="P501" s="165">
        <f>Закуп!N501</f>
        <v>0</v>
      </c>
      <c r="Q501" s="210" t="str">
        <f t="shared" si="9"/>
        <v xml:space="preserve">        [ 'dims' =&gt; [0,0,0], 'prices' =&gt; [,,,,], 'type' =&gt; "0", 'sale' =&gt; "0" ],</v>
      </c>
    </row>
    <row r="502" spans="1:17" hidden="1" x14ac:dyDescent="0.4">
      <c r="A502" s="47" t="s">
        <v>896</v>
      </c>
      <c r="B502" s="47">
        <f>Закуп!R502</f>
        <v>0</v>
      </c>
      <c r="C502" s="47">
        <f>Закуп!S502</f>
        <v>0</v>
      </c>
      <c r="D502" s="47">
        <f>Закуп!T502</f>
        <v>0</v>
      </c>
      <c r="E502" s="47" t="s">
        <v>897</v>
      </c>
      <c r="F502" s="100" t="str">
        <f>SUBSTITUTE(INDEX(Calc!$K:$K,(ROW(A501)-1)*5+COLUMN(A501)+1),",",".")</f>
        <v/>
      </c>
      <c r="G502" s="100" t="str">
        <f>SUBSTITUTE(INDEX(Calc!$K:$K,(ROW(B501)-1)*5+COLUMN(B501)+1),",",".")</f>
        <v/>
      </c>
      <c r="H502" s="100" t="str">
        <f>SUBSTITUTE(INDEX(Calc!$K:$K,(ROW(C501)-1)*5+COLUMN(C501)+1),",",".")</f>
        <v/>
      </c>
      <c r="I502" s="100" t="str">
        <f>SUBSTITUTE(INDEX(Calc!$K:$K,(ROW(D501)-1)*5+COLUMN(D501)+1),",",".")</f>
        <v/>
      </c>
      <c r="J502" s="100" t="str">
        <f>SUBSTITUTE(INDEX(Calc!$K:$K,(ROW(E501)-1)*5+COLUMN(E501)+1),",",".")</f>
        <v/>
      </c>
      <c r="K502" s="47" t="s">
        <v>898</v>
      </c>
      <c r="L502" s="100">
        <f>Закуп!AA502</f>
        <v>0</v>
      </c>
      <c r="M502" s="47" t="s">
        <v>899</v>
      </c>
      <c r="N502" s="47">
        <f>IF(Закуп!L502="",0,Закуп!L502)</f>
        <v>0</v>
      </c>
      <c r="O502" s="47" t="s">
        <v>900</v>
      </c>
      <c r="P502" s="165">
        <f>Закуп!N502</f>
        <v>0</v>
      </c>
      <c r="Q502" s="210" t="str">
        <f t="shared" si="9"/>
        <v xml:space="preserve">        [ 'dims' =&gt; [0,0,0], 'prices' =&gt; [,,,,], 'type' =&gt; "0", 'sale' =&gt; "0" ],</v>
      </c>
    </row>
  </sheetData>
  <autoFilter ref="A1:Q502" xr:uid="{127BC52C-E4F5-4E4D-B659-BA224DDC3F4B}">
    <filterColumn colId="15">
      <filters>
        <filter val="1"/>
      </filters>
    </filterColumn>
  </autoFilter>
  <conditionalFormatting sqref="P1:P1048576">
    <cfRule type="expression" dxfId="3" priority="5">
      <formula>P1=1</formula>
    </cfRule>
    <cfRule type="expression" dxfId="2" priority="6">
      <formula>P1=0</formula>
    </cfRule>
  </conditionalFormatting>
  <conditionalFormatting sqref="Q1:Q1048576">
    <cfRule type="expression" dxfId="1" priority="1">
      <formula>ISNUMBER(SEARCH("'sale' =&gt; ""Sale""",Q1))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2799A-DE4C-41BB-B7E2-C4D528EA2526}">
  <sheetPr>
    <tabColor rgb="FF33CCCC"/>
  </sheetPr>
  <dimension ref="A1:R400"/>
  <sheetViews>
    <sheetView showZeros="0" zoomScaleNormal="100" workbookViewId="0">
      <pane ySplit="1" topLeftCell="A2" activePane="bottomLeft" state="frozen"/>
      <selection pane="bottomLeft" activeCell="Y14" sqref="Y14"/>
    </sheetView>
  </sheetViews>
  <sheetFormatPr defaultColWidth="8.84375" defaultRowHeight="14.6" x14ac:dyDescent="0.3"/>
  <cols>
    <col min="1" max="1" width="22.53515625" style="135" bestFit="1" customWidth="1"/>
    <col min="2" max="2" width="6.53515625" style="126" bestFit="1" customWidth="1"/>
    <col min="3" max="3" width="8" style="126" bestFit="1" customWidth="1"/>
    <col min="4" max="4" width="8" style="128" bestFit="1" customWidth="1"/>
    <col min="5" max="5" width="8" style="129" bestFit="1" customWidth="1"/>
    <col min="6" max="6" width="8.07421875" style="130" bestFit="1" customWidth="1"/>
    <col min="7" max="7" width="6.84375" style="135" bestFit="1" customWidth="1"/>
    <col min="8" max="10" width="9" style="135" bestFit="1" customWidth="1"/>
    <col min="11" max="11" width="15.4609375" style="135" bestFit="1" customWidth="1"/>
    <col min="12" max="12" width="13.84375" style="135" bestFit="1" customWidth="1"/>
    <col min="13" max="14" width="9" style="135" bestFit="1" customWidth="1"/>
    <col min="15" max="15" width="8.84375" style="140"/>
    <col min="16" max="16" width="8.84375" style="135"/>
    <col min="17" max="17" width="26.4609375" style="219" customWidth="1"/>
    <col min="18" max="18" width="3.3046875" style="143" bestFit="1" customWidth="1"/>
    <col min="19" max="16384" width="8.84375" style="135"/>
  </cols>
  <sheetData>
    <row r="1" spans="1:18" ht="53.6" x14ac:dyDescent="0.3">
      <c r="A1" s="131" t="s">
        <v>2</v>
      </c>
      <c r="B1" s="126" t="s">
        <v>48</v>
      </c>
      <c r="C1" s="126" t="s">
        <v>49</v>
      </c>
      <c r="D1" s="128" t="s">
        <v>50</v>
      </c>
      <c r="E1" s="129" t="s">
        <v>51</v>
      </c>
      <c r="F1" s="130" t="s">
        <v>52</v>
      </c>
      <c r="G1" s="132" t="s">
        <v>53</v>
      </c>
      <c r="H1" s="133" t="s">
        <v>54</v>
      </c>
      <c r="I1" s="131" t="s">
        <v>32</v>
      </c>
      <c r="J1" s="131" t="s">
        <v>33</v>
      </c>
      <c r="K1" s="131" t="s">
        <v>34</v>
      </c>
      <c r="L1" s="131" t="s">
        <v>55</v>
      </c>
      <c r="M1" s="131" t="s">
        <v>56</v>
      </c>
      <c r="N1" s="131" t="s">
        <v>57</v>
      </c>
      <c r="O1" s="134" t="s">
        <v>3</v>
      </c>
      <c r="P1" s="131" t="s">
        <v>4</v>
      </c>
      <c r="Q1" s="220" t="s">
        <v>967</v>
      </c>
      <c r="R1" s="143" t="s">
        <v>28</v>
      </c>
    </row>
    <row r="2" spans="1:18" x14ac:dyDescent="0.3">
      <c r="A2" s="131" t="str">
        <f>Закуп!E2</f>
        <v>230х85х150</v>
      </c>
      <c r="B2" s="127">
        <f>INDEX(Calc!$K:$K, (ROW(A1)-1)*5 + COLUMN(A1) + 1 )</f>
        <v>1.1000000000000001</v>
      </c>
      <c r="C2" s="127">
        <f>INDEX(Calc!$K:$K, (ROW(B1)-1)*5 + COLUMN(B1) + 1 )</f>
        <v>0.87</v>
      </c>
      <c r="D2" s="136">
        <f>INDEX(Calc!$K:$K, (ROW(C1)-1)*5 + COLUMN(C1) + 1 )</f>
        <v>0.68</v>
      </c>
      <c r="E2" s="137">
        <f>INDEX(Calc!$K:$K, (ROW(D1)-1)*5 + COLUMN(D1) + 1 )</f>
        <v>0.63</v>
      </c>
      <c r="F2" s="138">
        <f>INDEX(Calc!$K:$K, (ROW(E1)-1)*5 + COLUMN(E1) + 1 )</f>
        <v>0.59</v>
      </c>
      <c r="G2" s="133">
        <f>Закуп!O2</f>
        <v>2.93</v>
      </c>
      <c r="H2" s="133" t="str">
        <f>Закуп!Q2</f>
        <v>2-3 л</v>
      </c>
      <c r="I2" s="133" t="str">
        <f>Закуп!X2</f>
        <v>200-299 мм</v>
      </c>
      <c r="J2" s="133" t="str">
        <f>Закуп!Y2</f>
        <v>100-199 мм</v>
      </c>
      <c r="K2" s="133" t="str">
        <f>Закуп!Z2</f>
        <v>10-99 мм</v>
      </c>
      <c r="L2" s="133" t="str">
        <f>Закуп!AA2</f>
        <v>Четырехклапанные</v>
      </c>
      <c r="M2" s="133" t="str">
        <f>Закуп!V2</f>
        <v/>
      </c>
      <c r="N2" s="133" t="str">
        <f>Закуп!W2</f>
        <v/>
      </c>
      <c r="O2" s="139" t="str">
        <f>IF(OR(Закуп!L2="",Закуп!L2=0),"",Закуп!L2)</f>
        <v/>
      </c>
      <c r="P2" s="133" t="str">
        <f>Закуп!K2</f>
        <v>K1</v>
      </c>
      <c r="Q2" s="217" t="str">
        <f>IF(Закуп!D2="","",IF(LEFT(Закуп!D2,1)="0","0",Закуп!D2))</f>
        <v>У</v>
      </c>
      <c r="R2" s="155">
        <f>Закуп!C2</f>
        <v>2</v>
      </c>
    </row>
    <row r="3" spans="1:18" x14ac:dyDescent="0.3">
      <c r="A3" s="131" t="str">
        <f>Закуп!E3</f>
        <v xml:space="preserve">245х245х165 </v>
      </c>
      <c r="B3" s="127">
        <f>INDEX(Calc!$K:$K, (ROW(A2)-1)*5 + COLUMN(A2) + 1 )</f>
        <v>1.77</v>
      </c>
      <c r="C3" s="127">
        <f>INDEX(Calc!$K:$K, (ROW(B2)-1)*5 + COLUMN(B2) + 1 )</f>
        <v>1.61</v>
      </c>
      <c r="D3" s="136">
        <f>INDEX(Calc!$K:$K, (ROW(C2)-1)*5 + COLUMN(C2) + 1 )</f>
        <v>1.47</v>
      </c>
      <c r="E3" s="137">
        <f>INDEX(Calc!$K:$K, (ROW(D2)-1)*5 + COLUMN(D2) + 1 )</f>
        <v>1.35</v>
      </c>
      <c r="F3" s="138">
        <f>INDEX(Calc!$K:$K, (ROW(E2)-1)*5 + COLUMN(E2) + 1 )</f>
        <v>1.2</v>
      </c>
      <c r="G3" s="133">
        <f>Закуп!O3</f>
        <v>9.9</v>
      </c>
      <c r="H3" s="133" t="str">
        <f>Закуп!Q3</f>
        <v>5-10 л</v>
      </c>
      <c r="I3" s="133" t="str">
        <f>Закуп!X3</f>
        <v>200-299 мм</v>
      </c>
      <c r="J3" s="133" t="str">
        <f>Закуп!Y3</f>
        <v>200-299 мм</v>
      </c>
      <c r="K3" s="133" t="str">
        <f>Закуп!Z3</f>
        <v>100-199 мм</v>
      </c>
      <c r="L3" s="133" t="str">
        <f>Закуп!AA3</f>
        <v>Четырехклапанные</v>
      </c>
      <c r="M3" s="133" t="str">
        <f>Закуп!V3</f>
        <v/>
      </c>
      <c r="N3" s="133" t="str">
        <f>Закуп!W3</f>
        <v/>
      </c>
      <c r="O3" s="139" t="str">
        <f>IF(OR(Закуп!L3="",Закуп!L3=0),"",Закуп!L3)</f>
        <v/>
      </c>
      <c r="P3" s="133" t="str">
        <f>Закуп!K3</f>
        <v>K2</v>
      </c>
      <c r="Q3" s="217" t="str">
        <f>IF(Закуп!D3="","",IF(LEFT(Закуп!D3,1)="0","0",Закуп!D3))</f>
        <v>У</v>
      </c>
      <c r="R3" s="155">
        <f>Закуп!C3</f>
        <v>3</v>
      </c>
    </row>
    <row r="4" spans="1:18" x14ac:dyDescent="0.3">
      <c r="A4" s="131" t="str">
        <f>Закуп!E4</f>
        <v>380х160х100</v>
      </c>
      <c r="B4" s="127">
        <f>INDEX(Calc!$K:$K, (ROW(A3)-1)*5 + COLUMN(A3) + 1 )</f>
        <v>1.44</v>
      </c>
      <c r="C4" s="127">
        <f>INDEX(Calc!$K:$K, (ROW(B3)-1)*5 + COLUMN(B3) + 1 )</f>
        <v>1.31</v>
      </c>
      <c r="D4" s="136">
        <f>INDEX(Calc!$K:$K, (ROW(C3)-1)*5 + COLUMN(C3) + 1 )</f>
        <v>1.04</v>
      </c>
      <c r="E4" s="137">
        <f>INDEX(Calc!$K:$K, (ROW(D3)-1)*5 + COLUMN(D3) + 1 )</f>
        <v>0.97</v>
      </c>
      <c r="F4" s="138">
        <f>INDEX(Calc!$K:$K, (ROW(E3)-1)*5 + COLUMN(E3) + 1 )</f>
        <v>0.92</v>
      </c>
      <c r="G4" s="133">
        <f>Закуп!O4</f>
        <v>6.08</v>
      </c>
      <c r="H4" s="133" t="str">
        <f>Закуп!Q4</f>
        <v>5-10 л</v>
      </c>
      <c r="I4" s="133" t="str">
        <f>Закуп!X4</f>
        <v>300-399 мм</v>
      </c>
      <c r="J4" s="133" t="str">
        <f>Закуп!Y4</f>
        <v>100-199 мм</v>
      </c>
      <c r="K4" s="133" t="str">
        <f>Закуп!Z4</f>
        <v>100-199 мм</v>
      </c>
      <c r="L4" s="133" t="str">
        <f>Закуп!AA4</f>
        <v>Четырехклапанные</v>
      </c>
      <c r="M4" s="133" t="str">
        <f>Закуп!V4</f>
        <v>Длинные</v>
      </c>
      <c r="N4" s="133" t="str">
        <f>Закуп!W4</f>
        <v/>
      </c>
      <c r="O4" s="139" t="str">
        <f>IF(OR(Закуп!L4="",Закуп!L4=0),"",Закуп!L4)</f>
        <v/>
      </c>
      <c r="P4" s="133" t="str">
        <f>Закуп!K4</f>
        <v>K3</v>
      </c>
      <c r="Q4" s="217" t="str">
        <f>IF(Закуп!D4="","",IF(LEFT(Закуп!D4,1)="0","0",Закуп!D4))</f>
        <v>У</v>
      </c>
      <c r="R4" s="155">
        <f>Закуп!C4</f>
        <v>4</v>
      </c>
    </row>
    <row r="5" spans="1:18" x14ac:dyDescent="0.3">
      <c r="A5" s="131" t="str">
        <f>Закуп!E5</f>
        <v>460х410х390</v>
      </c>
      <c r="B5" s="127">
        <f>INDEX(Calc!$K:$K, (ROW(A4)-1)*5 + COLUMN(A4) + 1 )</f>
        <v>5.09</v>
      </c>
      <c r="C5" s="127">
        <f>INDEX(Calc!$K:$K, (ROW(B4)-1)*5 + COLUMN(B4) + 1 )</f>
        <v>4.71</v>
      </c>
      <c r="D5" s="136">
        <f>INDEX(Calc!$K:$K, (ROW(C4)-1)*5 + COLUMN(C4) + 1 )</f>
        <v>4.01</v>
      </c>
      <c r="E5" s="137">
        <f>INDEX(Calc!$K:$K, (ROW(D4)-1)*5 + COLUMN(D4) + 1 )</f>
        <v>3.88</v>
      </c>
      <c r="F5" s="138">
        <f>INDEX(Calc!$K:$K, (ROW(E4)-1)*5 + COLUMN(E4) + 1 )</f>
        <v>3.82</v>
      </c>
      <c r="G5" s="133">
        <f>Закуп!O5</f>
        <v>73.55</v>
      </c>
      <c r="H5" s="133" t="str">
        <f>Закуп!Q5</f>
        <v>50-100 л</v>
      </c>
      <c r="I5" s="133" t="str">
        <f>Закуп!X5</f>
        <v>400-499 мм</v>
      </c>
      <c r="J5" s="133" t="str">
        <f>Закуп!Y5</f>
        <v>400-499 мм</v>
      </c>
      <c r="K5" s="133" t="str">
        <f>Закуп!Z5</f>
        <v>300-399 мм</v>
      </c>
      <c r="L5" s="133" t="str">
        <f>Закуп!AA5</f>
        <v>Четырехклапанные</v>
      </c>
      <c r="M5" s="133" t="str">
        <f>Закуп!V5</f>
        <v/>
      </c>
      <c r="N5" s="133" t="str">
        <f>Закуп!W5</f>
        <v/>
      </c>
      <c r="O5" s="139" t="str">
        <f>IF(OR(Закуп!L5="",Закуп!L5=0),"",Закуп!L5)</f>
        <v/>
      </c>
      <c r="P5" s="133" t="str">
        <f>Закуп!K5</f>
        <v>K4</v>
      </c>
      <c r="Q5" s="217" t="str">
        <f>IF(Закуп!D5="","",IF(LEFT(Закуп!D5,1)="0","0",Закуп!D5))</f>
        <v>У</v>
      </c>
      <c r="R5" s="155">
        <f>Закуп!C5</f>
        <v>5</v>
      </c>
    </row>
    <row r="6" spans="1:18" x14ac:dyDescent="0.3">
      <c r="A6" s="131" t="str">
        <f>Закуп!E6</f>
        <v>460х310х490</v>
      </c>
      <c r="B6" s="127">
        <f>INDEX(Calc!$K:$K, (ROW(A5)-1)*5 + COLUMN(A5) + 1 )</f>
        <v>4.5199999999999996</v>
      </c>
      <c r="C6" s="127">
        <f>INDEX(Calc!$K:$K, (ROW(B5)-1)*5 + COLUMN(B5) + 1 )</f>
        <v>4.41</v>
      </c>
      <c r="D6" s="136">
        <f>INDEX(Calc!$K:$K, (ROW(C5)-1)*5 + COLUMN(C5) + 1 )</f>
        <v>3.62</v>
      </c>
      <c r="E6" s="137">
        <f>INDEX(Calc!$K:$K, (ROW(D5)-1)*5 + COLUMN(D5) + 1 )</f>
        <v>3.56</v>
      </c>
      <c r="F6" s="138">
        <f>INDEX(Calc!$K:$K, (ROW(E5)-1)*5 + COLUMN(E5) + 1 )</f>
        <v>3.45</v>
      </c>
      <c r="G6" s="133">
        <f>Закуп!O6</f>
        <v>69.87</v>
      </c>
      <c r="H6" s="133" t="str">
        <f>Закуп!Q6</f>
        <v>50-100 л</v>
      </c>
      <c r="I6" s="133" t="str">
        <f>Закуп!X6</f>
        <v>400-499 мм</v>
      </c>
      <c r="J6" s="133" t="str">
        <f>Закуп!Y6</f>
        <v>400-499 мм</v>
      </c>
      <c r="K6" s="133" t="str">
        <f>Закуп!Z6</f>
        <v>300-399 мм</v>
      </c>
      <c r="L6" s="133" t="str">
        <f>Закуп!AA6</f>
        <v>Четырехклапанные</v>
      </c>
      <c r="M6" s="133" t="str">
        <f>Закуп!V6</f>
        <v/>
      </c>
      <c r="N6" s="133" t="str">
        <f>Закуп!W6</f>
        <v/>
      </c>
      <c r="O6" s="139" t="str">
        <f>IF(OR(Закуп!L6="",Закуп!L6=0),"",Закуп!L6)</f>
        <v/>
      </c>
      <c r="P6" s="133" t="str">
        <f>Закуп!K6</f>
        <v>K5</v>
      </c>
      <c r="Q6" s="217" t="str">
        <f>IF(Закуп!D6="","",IF(LEFT(Закуп!D6,1)="0","0",Закуп!D6))</f>
        <v>У</v>
      </c>
      <c r="R6" s="155">
        <f>Закуп!C6</f>
        <v>6</v>
      </c>
    </row>
    <row r="7" spans="1:18" x14ac:dyDescent="0.3">
      <c r="A7" s="131" t="str">
        <f>Закуп!E7</f>
        <v>585х385х500</v>
      </c>
      <c r="B7" s="127">
        <f>INDEX(Calc!$K:$K, (ROW(A6)-1)*5 + COLUMN(A6) + 1 )</f>
        <v>6.18</v>
      </c>
      <c r="C7" s="127">
        <f>INDEX(Calc!$K:$K, (ROW(B6)-1)*5 + COLUMN(B6) + 1 )</f>
        <v>5.71</v>
      </c>
      <c r="D7" s="136">
        <f>INDEX(Calc!$K:$K, (ROW(C6)-1)*5 + COLUMN(C6) + 1 )</f>
        <v>4.93</v>
      </c>
      <c r="E7" s="137">
        <f>INDEX(Calc!$K:$K, (ROW(D6)-1)*5 + COLUMN(D6) + 1 )</f>
        <v>4.78</v>
      </c>
      <c r="F7" s="138">
        <f>INDEX(Calc!$K:$K, (ROW(E6)-1)*5 + COLUMN(E6) + 1 )</f>
        <v>4.7</v>
      </c>
      <c r="G7" s="133">
        <f>Закуп!O7</f>
        <v>112.61</v>
      </c>
      <c r="H7" s="133" t="str">
        <f>Закуп!Q7</f>
        <v>100+ л</v>
      </c>
      <c r="I7" s="133" t="str">
        <f>Закуп!X7</f>
        <v>500-599 мм</v>
      </c>
      <c r="J7" s="133" t="str">
        <f>Закуп!Y7</f>
        <v>500-599 мм</v>
      </c>
      <c r="K7" s="133" t="str">
        <f>Закуп!Z7</f>
        <v>300-399 мм</v>
      </c>
      <c r="L7" s="133" t="str">
        <f>Закуп!AA7</f>
        <v>Четырехклапанные</v>
      </c>
      <c r="M7" s="133" t="str">
        <f>Закуп!V7</f>
        <v/>
      </c>
      <c r="N7" s="133" t="str">
        <f>Закуп!W7</f>
        <v/>
      </c>
      <c r="O7" s="139" t="str">
        <f>IF(OR(Закуп!L7="",Закуп!L7=0),"",Закуп!L7)</f>
        <v/>
      </c>
      <c r="P7" s="133" t="str">
        <f>Закуп!K7</f>
        <v>K6</v>
      </c>
      <c r="Q7" s="217" t="str">
        <f>IF(Закуп!D7="","",IF(LEFT(Закуп!D7,1)="0","0",Закуп!D7))</f>
        <v>У</v>
      </c>
      <c r="R7" s="155">
        <f>Закуп!C7</f>
        <v>7</v>
      </c>
    </row>
    <row r="8" spans="1:18" x14ac:dyDescent="0.3">
      <c r="A8" s="131" t="str">
        <f>Закуп!E8</f>
        <v>280х220х500</v>
      </c>
      <c r="B8" s="127">
        <f>INDEX(Calc!$K:$K, (ROW(A7)-1)*5 + COLUMN(A7) + 1 )</f>
        <v>3.34</v>
      </c>
      <c r="C8" s="127">
        <f>INDEX(Calc!$K:$K, (ROW(B7)-1)*5 + COLUMN(B7) + 1 )</f>
        <v>2.68</v>
      </c>
      <c r="D8" s="136">
        <f>INDEX(Calc!$K:$K, (ROW(C7)-1)*5 + COLUMN(C7) + 1 )</f>
        <v>2.41</v>
      </c>
      <c r="E8" s="137">
        <f>INDEX(Calc!$K:$K, (ROW(D7)-1)*5 + COLUMN(D7) + 1 )</f>
        <v>2.17</v>
      </c>
      <c r="F8" s="138">
        <f>INDEX(Calc!$K:$K, (ROW(E7)-1)*5 + COLUMN(E7) + 1 )</f>
        <v>2.0699999999999998</v>
      </c>
      <c r="G8" s="133">
        <f>Закуп!O8</f>
        <v>30.8</v>
      </c>
      <c r="H8" s="133" t="str">
        <f>Закуп!Q8</f>
        <v>20-50 л</v>
      </c>
      <c r="I8" s="133" t="str">
        <f>Закуп!X8</f>
        <v>500-599 мм</v>
      </c>
      <c r="J8" s="133" t="str">
        <f>Закуп!Y8</f>
        <v>200-299 мм</v>
      </c>
      <c r="K8" s="133" t="str">
        <f>Закуп!Z8</f>
        <v>200-299 мм</v>
      </c>
      <c r="L8" s="133" t="str">
        <f>Закуп!AA8</f>
        <v>Четырехклапанные</v>
      </c>
      <c r="M8" s="133" t="str">
        <f>Закуп!V8</f>
        <v/>
      </c>
      <c r="N8" s="133" t="str">
        <f>Закуп!W8</f>
        <v/>
      </c>
      <c r="O8" s="139" t="str">
        <f>IF(OR(Закуп!L8="",Закуп!L8=0),"",Закуп!L8)</f>
        <v/>
      </c>
      <c r="P8" s="133" t="str">
        <f>Закуп!K8</f>
        <v>K7</v>
      </c>
      <c r="Q8" s="217" t="str">
        <f>IF(Закуп!D8="","",IF(LEFT(Закуп!D8,1)="0","0",Закуп!D8))</f>
        <v>У</v>
      </c>
      <c r="R8" s="155">
        <f>Закуп!C8</f>
        <v>8</v>
      </c>
    </row>
    <row r="9" spans="1:18" x14ac:dyDescent="0.3">
      <c r="A9" s="131" t="str">
        <f>Закуп!E9</f>
        <v>405х55х605</v>
      </c>
      <c r="B9" s="127">
        <f>INDEX(Calc!$K:$K, (ROW(A8)-1)*5 + COLUMN(A8) + 1 )</f>
        <v>3.57</v>
      </c>
      <c r="C9" s="127">
        <f>INDEX(Calc!$K:$K, (ROW(B8)-1)*5 + COLUMN(B8) + 1 )</f>
        <v>3.25</v>
      </c>
      <c r="D9" s="136">
        <f>INDEX(Calc!$K:$K, (ROW(C8)-1)*5 + COLUMN(C8) + 1 )</f>
        <v>2.91</v>
      </c>
      <c r="E9" s="137">
        <f>INDEX(Calc!$K:$K, (ROW(D8)-1)*5 + COLUMN(D8) + 1 )</f>
        <v>2.73</v>
      </c>
      <c r="F9" s="138">
        <f>INDEX(Calc!$K:$K, (ROW(E8)-1)*5 + COLUMN(E8) + 1 )</f>
        <v>2.57</v>
      </c>
      <c r="G9" s="133">
        <f>Закуп!O9</f>
        <v>13.48</v>
      </c>
      <c r="H9" s="133" t="str">
        <f>Закуп!Q9</f>
        <v>10-20 л</v>
      </c>
      <c r="I9" s="133" t="str">
        <f>Закуп!X9</f>
        <v>600-699 мм</v>
      </c>
      <c r="J9" s="133" t="str">
        <f>Закуп!Y9</f>
        <v>400-499 мм</v>
      </c>
      <c r="K9" s="133" t="str">
        <f>Закуп!Z9</f>
        <v>10-99 мм</v>
      </c>
      <c r="L9" s="133" t="str">
        <f>Закуп!AA9</f>
        <v>Четырехклапанные</v>
      </c>
      <c r="M9" s="133" t="str">
        <f>Закуп!V9</f>
        <v/>
      </c>
      <c r="N9" s="133" t="str">
        <f>Закуп!W9</f>
        <v>Плоские</v>
      </c>
      <c r="O9" s="139" t="str">
        <f>IF(OR(Закуп!L9="",Закуп!L9=0),"",Закуп!L9)</f>
        <v/>
      </c>
      <c r="P9" s="133" t="str">
        <f>Закуп!K9</f>
        <v>K8</v>
      </c>
      <c r="Q9" s="217" t="str">
        <f>IF(Закуп!D9="","",IF(LEFT(Закуп!D9,1)="0","0",Закуп!D9))</f>
        <v>У</v>
      </c>
      <c r="R9" s="155">
        <f>Закуп!C9</f>
        <v>9</v>
      </c>
    </row>
    <row r="10" spans="1:18" x14ac:dyDescent="0.3">
      <c r="A10" s="131" t="str">
        <f>Закуп!E10</f>
        <v>160х150х800</v>
      </c>
      <c r="B10" s="127">
        <f>INDEX(Calc!$K:$K, (ROW(A9)-1)*5 + COLUMN(A9) + 1 )</f>
        <v>2.8</v>
      </c>
      <c r="C10" s="127">
        <f>INDEX(Calc!$K:$K, (ROW(B9)-1)*5 + COLUMN(B9) + 1 )</f>
        <v>2.2400000000000002</v>
      </c>
      <c r="D10" s="136">
        <f>INDEX(Calc!$K:$K, (ROW(C9)-1)*5 + COLUMN(C9) + 1 )</f>
        <v>2.04</v>
      </c>
      <c r="E10" s="137">
        <f>INDEX(Calc!$K:$K, (ROW(D9)-1)*5 + COLUMN(D9) + 1 )</f>
        <v>1.82</v>
      </c>
      <c r="F10" s="138">
        <f>INDEX(Calc!$K:$K, (ROW(E9)-1)*5 + COLUMN(E9) + 1 )</f>
        <v>1.77</v>
      </c>
      <c r="G10" s="133">
        <f>Закуп!O10</f>
        <v>19.2</v>
      </c>
      <c r="H10" s="133" t="str">
        <f>Закуп!Q10</f>
        <v>10-20 л</v>
      </c>
      <c r="I10" s="133" t="str">
        <f>Закуп!X10</f>
        <v>700-999 мм</v>
      </c>
      <c r="J10" s="133" t="str">
        <f>Закуп!Y10</f>
        <v>100-199 мм</v>
      </c>
      <c r="K10" s="133" t="str">
        <f>Закуп!Z10</f>
        <v>100-199 мм</v>
      </c>
      <c r="L10" s="133" t="str">
        <f>Закуп!AA10</f>
        <v>Четырехклапанные</v>
      </c>
      <c r="M10" s="133" t="str">
        <f>Закуп!V10</f>
        <v>Длинные</v>
      </c>
      <c r="N10" s="133" t="str">
        <f>Закуп!W10</f>
        <v/>
      </c>
      <c r="O10" s="139" t="str">
        <f>IF(OR(Закуп!L10="",Закуп!L10=0),"",Закуп!L10)</f>
        <v/>
      </c>
      <c r="P10" s="133" t="str">
        <f>Закуп!K10</f>
        <v>K9</v>
      </c>
      <c r="Q10" s="217" t="str">
        <f>IF(Закуп!D10="","",IF(LEFT(Закуп!D10,1)="0","0",Закуп!D10))</f>
        <v>У</v>
      </c>
      <c r="R10" s="155">
        <f>Закуп!C10</f>
        <v>10</v>
      </c>
    </row>
    <row r="11" spans="1:18" x14ac:dyDescent="0.3">
      <c r="A11" s="131" t="str">
        <f>Закуп!E11</f>
        <v>870х510х35</v>
      </c>
      <c r="B11" s="127">
        <f>INDEX(Calc!$K:$K, (ROW(A10)-1)*5 + COLUMN(A10) + 1 )</f>
        <v>3.91</v>
      </c>
      <c r="C11" s="127">
        <f>INDEX(Calc!$K:$K, (ROW(B10)-1)*5 + COLUMN(B10) + 1 )</f>
        <v>3.81</v>
      </c>
      <c r="D11" s="136">
        <f>INDEX(Calc!$K:$K, (ROW(C10)-1)*5 + COLUMN(C10) + 1 )</f>
        <v>3.17</v>
      </c>
      <c r="E11" s="137">
        <f>INDEX(Calc!$K:$K, (ROW(D10)-1)*5 + COLUMN(D10) + 1 )</f>
        <v>3.07</v>
      </c>
      <c r="F11" s="138">
        <f>INDEX(Calc!$K:$K, (ROW(E10)-1)*5 + COLUMN(E10) + 1 )</f>
        <v>2.97</v>
      </c>
      <c r="G11" s="133">
        <f>Закуп!O11</f>
        <v>15.53</v>
      </c>
      <c r="H11" s="133" t="str">
        <f>Закуп!Q11</f>
        <v>10-20 л</v>
      </c>
      <c r="I11" s="133" t="str">
        <f>Закуп!X11</f>
        <v>700-999 мм</v>
      </c>
      <c r="J11" s="133" t="str">
        <f>Закуп!Y11</f>
        <v>500-599 мм</v>
      </c>
      <c r="K11" s="133" t="str">
        <f>Закуп!Z11</f>
        <v>10-99 мм</v>
      </c>
      <c r="L11" s="133" t="str">
        <f>Закуп!AA11</f>
        <v>Четырехклапанные</v>
      </c>
      <c r="M11" s="133" t="str">
        <f>Закуп!V11</f>
        <v/>
      </c>
      <c r="N11" s="133" t="str">
        <f>Закуп!W11</f>
        <v>Плоские</v>
      </c>
      <c r="O11" s="139" t="str">
        <f>IF(OR(Закуп!L11="",Закуп!L11=0),"",Закуп!L11)</f>
        <v/>
      </c>
      <c r="P11" s="133" t="str">
        <f>Закуп!K11</f>
        <v>K10</v>
      </c>
      <c r="Q11" s="217" t="str">
        <f>IF(Закуп!D11="","",IF(LEFT(Закуп!D11,1)="0","0",Закуп!D11))</f>
        <v>У</v>
      </c>
      <c r="R11" s="155">
        <f>Закуп!C11</f>
        <v>11</v>
      </c>
    </row>
    <row r="12" spans="1:18" x14ac:dyDescent="0.3">
      <c r="A12" s="131" t="str">
        <f>Закуп!E12</f>
        <v>400х400х200</v>
      </c>
      <c r="B12" s="127">
        <f>INDEX(Calc!$K:$K, (ROW(A11)-1)*5 + COLUMN(A11) + 1 )</f>
        <v>3.55</v>
      </c>
      <c r="C12" s="127">
        <f>INDEX(Calc!$K:$K, (ROW(B11)-1)*5 + COLUMN(B11) + 1 )</f>
        <v>3.22</v>
      </c>
      <c r="D12" s="136">
        <f>INDEX(Calc!$K:$K, (ROW(C11)-1)*5 + COLUMN(C11) + 1 )</f>
        <v>2.89</v>
      </c>
      <c r="E12" s="137">
        <f>INDEX(Calc!$K:$K, (ROW(D11)-1)*5 + COLUMN(D11) + 1 )</f>
        <v>2.71</v>
      </c>
      <c r="F12" s="138">
        <f>INDEX(Calc!$K:$K, (ROW(E11)-1)*5 + COLUMN(E11) + 1 )</f>
        <v>2.5499999999999998</v>
      </c>
      <c r="G12" s="133">
        <f>Закуп!O12</f>
        <v>32</v>
      </c>
      <c r="H12" s="133" t="str">
        <f>Закуп!Q12</f>
        <v>20-50 л</v>
      </c>
      <c r="I12" s="133" t="str">
        <f>Закуп!X12</f>
        <v>400-499 мм</v>
      </c>
      <c r="J12" s="133" t="str">
        <f>Закуп!Y12</f>
        <v>400-499 мм</v>
      </c>
      <c r="K12" s="133" t="str">
        <f>Закуп!Z12</f>
        <v>200-299 мм</v>
      </c>
      <c r="L12" s="133" t="str">
        <f>Закуп!AA12</f>
        <v>Четырехклапанные</v>
      </c>
      <c r="M12" s="133" t="str">
        <f>Закуп!V12</f>
        <v/>
      </c>
      <c r="N12" s="133" t="str">
        <f>Закуп!W12</f>
        <v>Плоские</v>
      </c>
      <c r="O12" s="139" t="str">
        <f>IF(OR(Закуп!L12="",Закуп!L12=0),"",Закуп!L12)</f>
        <v/>
      </c>
      <c r="P12" s="133" t="str">
        <f>Закуп!K12</f>
        <v>K11</v>
      </c>
      <c r="Q12" s="217" t="str">
        <f>IF(Закуп!D12="","",IF(LEFT(Закуп!D12,1)="0","0",Закуп!D12))</f>
        <v>У</v>
      </c>
      <c r="R12" s="155">
        <f>Закуп!C12</f>
        <v>12</v>
      </c>
    </row>
    <row r="13" spans="1:18" x14ac:dyDescent="0.3">
      <c r="A13" s="131" t="str">
        <f>Закуп!E13</f>
        <v>400х400х400</v>
      </c>
      <c r="B13" s="127">
        <f>INDEX(Calc!$K:$K, (ROW(A12)-1)*5 + COLUMN(A12) + 1 )</f>
        <v>4.4800000000000004</v>
      </c>
      <c r="C13" s="127">
        <f>INDEX(Calc!$K:$K, (ROW(B12)-1)*5 + COLUMN(B12) + 1 )</f>
        <v>4.37</v>
      </c>
      <c r="D13" s="136">
        <f>INDEX(Calc!$K:$K, (ROW(C12)-1)*5 + COLUMN(C12) + 1 )</f>
        <v>3.58</v>
      </c>
      <c r="E13" s="137">
        <f>INDEX(Calc!$K:$K, (ROW(D12)-1)*5 + COLUMN(D12) + 1 )</f>
        <v>3.53</v>
      </c>
      <c r="F13" s="138">
        <f>INDEX(Calc!$K:$K, (ROW(E12)-1)*5 + COLUMN(E12) + 1 )</f>
        <v>3.41</v>
      </c>
      <c r="G13" s="133">
        <f>Закуп!O13</f>
        <v>64</v>
      </c>
      <c r="H13" s="133" t="str">
        <f>Закуп!Q13</f>
        <v>50-100 л</v>
      </c>
      <c r="I13" s="133" t="str">
        <f>Закуп!X13</f>
        <v>400-499 мм</v>
      </c>
      <c r="J13" s="133" t="str">
        <f>Закуп!Y13</f>
        <v>400-499 мм</v>
      </c>
      <c r="K13" s="133" t="str">
        <f>Закуп!Z13</f>
        <v>400-499 мм</v>
      </c>
      <c r="L13" s="133" t="str">
        <f>Закуп!AA13</f>
        <v>Четырехклапанные</v>
      </c>
      <c r="M13" s="133" t="str">
        <f>Закуп!V13</f>
        <v/>
      </c>
      <c r="N13" s="133" t="str">
        <f>Закуп!W13</f>
        <v/>
      </c>
      <c r="O13" s="139" t="str">
        <f>IF(OR(Закуп!L13="",Закуп!L13=0),"",Закуп!L13)</f>
        <v/>
      </c>
      <c r="P13" s="133" t="str">
        <f>Закуп!K13</f>
        <v>K12</v>
      </c>
      <c r="Q13" s="217" t="str">
        <f>IF(Закуп!D13="","",IF(LEFT(Закуп!D13,1)="0","0",Закуп!D13))</f>
        <v>У</v>
      </c>
      <c r="R13" s="155">
        <f>Закуп!C13</f>
        <v>13</v>
      </c>
    </row>
    <row r="14" spans="1:18" x14ac:dyDescent="0.3">
      <c r="A14" s="131" t="str">
        <f>Закуп!E14</f>
        <v>50х50х145</v>
      </c>
      <c r="B14" s="127">
        <f>INDEX(Calc!$K:$K, (ROW(A13)-1)*5 + COLUMN(A13) + 1 )</f>
        <v>1.02</v>
      </c>
      <c r="C14" s="127">
        <f>INDEX(Calc!$K:$K, (ROW(B13)-1)*5 + COLUMN(B13) + 1 )</f>
        <v>0.86</v>
      </c>
      <c r="D14" s="136">
        <f>INDEX(Calc!$K:$K, (ROW(C13)-1)*5 + COLUMN(C13) + 1 )</f>
        <v>0.75</v>
      </c>
      <c r="E14" s="137">
        <f>INDEX(Calc!$K:$K, (ROW(D13)-1)*5 + COLUMN(D13) + 1 )</f>
        <v>0.59</v>
      </c>
      <c r="F14" s="138">
        <f>INDEX(Calc!$K:$K, (ROW(E13)-1)*5 + COLUMN(E13) + 1 )</f>
        <v>0.54</v>
      </c>
      <c r="G14" s="133">
        <f>Закуп!O14</f>
        <v>0.36</v>
      </c>
      <c r="H14" s="133" t="str">
        <f>Закуп!Q14</f>
        <v>&lt;1 л</v>
      </c>
      <c r="I14" s="133" t="str">
        <f>Закуп!X14</f>
        <v>100-199 мм</v>
      </c>
      <c r="J14" s="133" t="str">
        <f>Закуп!Y14</f>
        <v>10-99 мм</v>
      </c>
      <c r="K14" s="133" t="str">
        <f>Закуп!Z14</f>
        <v>10-99 мм</v>
      </c>
      <c r="L14" s="133" t="str">
        <f>Закуп!AA14</f>
        <v>Самосборные</v>
      </c>
      <c r="M14" s="133" t="str">
        <f>Закуп!V14</f>
        <v>Длинные</v>
      </c>
      <c r="N14" s="133" t="str">
        <f>Закуп!W14</f>
        <v/>
      </c>
      <c r="O14" s="139" t="str">
        <f>IF(OR(Закуп!L14="",Закуп!L14=0),"",Закуп!L14)</f>
        <v/>
      </c>
      <c r="P14" s="133" t="str">
        <f>Закуп!K14</f>
        <v>K14</v>
      </c>
      <c r="Q14" s="217" t="str">
        <f>IF(Закуп!D14="","",IF(LEFT(Закуп!D14,1)="0","0",Закуп!D14))</f>
        <v>У</v>
      </c>
      <c r="R14" s="155">
        <f>Закуп!C14</f>
        <v>14</v>
      </c>
    </row>
    <row r="15" spans="1:18" x14ac:dyDescent="0.3">
      <c r="A15" s="131" t="str">
        <f>Закуп!E15</f>
        <v>200х90х25</v>
      </c>
      <c r="B15" s="127">
        <f>INDEX(Calc!$K:$K, (ROW(A14)-1)*5 + COLUMN(A14) + 1 )</f>
        <v>1.18</v>
      </c>
      <c r="C15" s="127">
        <f>INDEX(Calc!$K:$K, (ROW(B14)-1)*5 + COLUMN(B14) + 1 )</f>
        <v>1.07</v>
      </c>
      <c r="D15" s="136">
        <f>INDEX(Calc!$K:$K, (ROW(C14)-1)*5 + COLUMN(C14) + 1 )</f>
        <v>0.86</v>
      </c>
      <c r="E15" s="137">
        <f>INDEX(Calc!$K:$K, (ROW(D14)-1)*5 + COLUMN(D14) + 1 )</f>
        <v>0.76</v>
      </c>
      <c r="F15" s="138">
        <f>INDEX(Calc!$K:$K, (ROW(E14)-1)*5 + COLUMN(E14) + 1 )</f>
        <v>0.59</v>
      </c>
      <c r="G15" s="133">
        <f>Закуп!O15</f>
        <v>0.45</v>
      </c>
      <c r="H15" s="133" t="str">
        <f>Закуп!Q15</f>
        <v>&lt;1 л</v>
      </c>
      <c r="I15" s="133" t="str">
        <f>Закуп!X15</f>
        <v>200-299 мм</v>
      </c>
      <c r="J15" s="133" t="str">
        <f>Закуп!Y15</f>
        <v>10-99 мм</v>
      </c>
      <c r="K15" s="133" t="str">
        <f>Закуп!Z15</f>
        <v>10-99 мм</v>
      </c>
      <c r="L15" s="133" t="str">
        <f>Закуп!AA15</f>
        <v>Самосборные</v>
      </c>
      <c r="M15" s="133" t="str">
        <f>Закуп!V15</f>
        <v>Длинные</v>
      </c>
      <c r="N15" s="133" t="str">
        <f>Закуп!W15</f>
        <v>Плоские</v>
      </c>
      <c r="O15" s="139" t="str">
        <f>IF(OR(Закуп!L15="",Закуп!L15=0),"",Закуп!L15)</f>
        <v/>
      </c>
      <c r="P15" s="133" t="str">
        <f>Закуп!K15</f>
        <v>K15</v>
      </c>
      <c r="Q15" s="217" t="str">
        <f>IF(Закуп!D15="","",IF(LEFT(Закуп!D15,1)="0","0",Закуп!D15))</f>
        <v>У</v>
      </c>
      <c r="R15" s="155">
        <f>Закуп!C15</f>
        <v>15</v>
      </c>
    </row>
    <row r="16" spans="1:18" x14ac:dyDescent="0.3">
      <c r="A16" s="131" t="str">
        <f>Закуп!E16</f>
        <v>250х100х320</v>
      </c>
      <c r="B16" s="127">
        <f>INDEX(Calc!$K:$K, (ROW(A15)-1)*5 + COLUMN(A15) + 1 )</f>
        <v>1.53</v>
      </c>
      <c r="C16" s="127">
        <f>INDEX(Calc!$K:$K, (ROW(B15)-1)*5 + COLUMN(B15) + 1 )</f>
        <v>1.39</v>
      </c>
      <c r="D16" s="136">
        <f>INDEX(Calc!$K:$K, (ROW(C15)-1)*5 + COLUMN(C15) + 1 )</f>
        <v>1.0900000000000001</v>
      </c>
      <c r="E16" s="137">
        <f>INDEX(Calc!$K:$K, (ROW(D15)-1)*5 + COLUMN(D15) + 1 )</f>
        <v>1.03</v>
      </c>
      <c r="F16" s="138">
        <f>INDEX(Calc!$K:$K, (ROW(E15)-1)*5 + COLUMN(E15) + 1 )</f>
        <v>0.97</v>
      </c>
      <c r="G16" s="133">
        <f>Закуп!O16</f>
        <v>8</v>
      </c>
      <c r="H16" s="133" t="str">
        <f>Закуп!Q16</f>
        <v>5-10 л</v>
      </c>
      <c r="I16" s="133" t="str">
        <f>Закуп!X16</f>
        <v>300-399 мм</v>
      </c>
      <c r="J16" s="133" t="str">
        <f>Закуп!Y16</f>
        <v>200-299 мм</v>
      </c>
      <c r="K16" s="133" t="str">
        <f>Закуп!Z16</f>
        <v>100-199 мм</v>
      </c>
      <c r="L16" s="133" t="str">
        <f>Закуп!AA16</f>
        <v>Четырехклапанные</v>
      </c>
      <c r="M16" s="133" t="str">
        <f>Закуп!V16</f>
        <v/>
      </c>
      <c r="N16" s="133" t="str">
        <f>Закуп!W16</f>
        <v>Плоские</v>
      </c>
      <c r="O16" s="139" t="str">
        <f>IF(OR(Закуп!L16="",Закуп!L16=0),"",Закуп!L16)</f>
        <v/>
      </c>
      <c r="P16" s="133" t="str">
        <f>Закуп!K16</f>
        <v>K16</v>
      </c>
      <c r="Q16" s="217" t="str">
        <f>IF(Закуп!D16="","",IF(LEFT(Закуп!D16,1)="0","0",Закуп!D16))</f>
        <v>У</v>
      </c>
      <c r="R16" s="155">
        <f>Закуп!C16</f>
        <v>16</v>
      </c>
    </row>
    <row r="17" spans="1:18" x14ac:dyDescent="0.3">
      <c r="A17" s="131" t="str">
        <f>Закуп!E17</f>
        <v>90х80х30</v>
      </c>
      <c r="B17" s="127">
        <f>INDEX(Calc!$K:$K, (ROW(A16)-1)*5 + COLUMN(A16) + 1 )</f>
        <v>0.96</v>
      </c>
      <c r="C17" s="127">
        <f>INDEX(Calc!$K:$K, (ROW(B16)-1)*5 + COLUMN(B16) + 1 )</f>
        <v>0.75</v>
      </c>
      <c r="D17" s="136">
        <f>INDEX(Calc!$K:$K, (ROW(C16)-1)*5 + COLUMN(C16) + 1 )</f>
        <v>0.64</v>
      </c>
      <c r="E17" s="137">
        <f>INDEX(Calc!$K:$K, (ROW(D16)-1)*5 + COLUMN(D16) + 1 )</f>
        <v>0.59</v>
      </c>
      <c r="F17" s="138">
        <f>INDEX(Calc!$K:$K, (ROW(E16)-1)*5 + COLUMN(E16) + 1 )</f>
        <v>0.54</v>
      </c>
      <c r="G17" s="133">
        <f>Закуп!O17</f>
        <v>0.22</v>
      </c>
      <c r="H17" s="133" t="str">
        <f>Закуп!Q17</f>
        <v>&lt;1 л</v>
      </c>
      <c r="I17" s="133" t="str">
        <f>Закуп!X17</f>
        <v>10-99 мм</v>
      </c>
      <c r="J17" s="133" t="str">
        <f>Закуп!Y17</f>
        <v>10-99 мм</v>
      </c>
      <c r="K17" s="133" t="str">
        <f>Закуп!Z17</f>
        <v>10-99 мм</v>
      </c>
      <c r="L17" s="133" t="str">
        <f>Закуп!AA17</f>
        <v>Самосборные</v>
      </c>
      <c r="M17" s="133" t="str">
        <f>Закуп!V17</f>
        <v/>
      </c>
      <c r="N17" s="133" t="str">
        <f>Закуп!W17</f>
        <v>Плоские</v>
      </c>
      <c r="O17" s="139" t="str">
        <f>IF(OR(Закуп!L17="",Закуп!L17=0),"",Закуп!L17)</f>
        <v/>
      </c>
      <c r="P17" s="133" t="str">
        <f>Закуп!K17</f>
        <v>K17</v>
      </c>
      <c r="Q17" s="217" t="str">
        <f>IF(Закуп!D17="","",IF(LEFT(Закуп!D17,1)="0","0",Закуп!D17))</f>
        <v>У</v>
      </c>
      <c r="R17" s="155">
        <f>Закуп!C17</f>
        <v>17</v>
      </c>
    </row>
    <row r="18" spans="1:18" x14ac:dyDescent="0.3">
      <c r="A18" s="131" t="str">
        <f>Закуп!E18</f>
        <v>65х65х40</v>
      </c>
      <c r="B18" s="127">
        <f>INDEX(Calc!$K:$K, (ROW(A17)-1)*5 + COLUMN(A17) + 1 )</f>
        <v>0.96</v>
      </c>
      <c r="C18" s="127">
        <f>INDEX(Calc!$K:$K, (ROW(B17)-1)*5 + COLUMN(B17) + 1 )</f>
        <v>0.75</v>
      </c>
      <c r="D18" s="136">
        <f>INDEX(Calc!$K:$K, (ROW(C17)-1)*5 + COLUMN(C17) + 1 )</f>
        <v>0.64</v>
      </c>
      <c r="E18" s="137">
        <f>INDEX(Calc!$K:$K, (ROW(D17)-1)*5 + COLUMN(D17) + 1 )</f>
        <v>0.59</v>
      </c>
      <c r="F18" s="138">
        <f>INDEX(Calc!$K:$K, (ROW(E17)-1)*5 + COLUMN(E17) + 1 )</f>
        <v>0.54</v>
      </c>
      <c r="G18" s="133">
        <f>Закуп!O18</f>
        <v>0.17</v>
      </c>
      <c r="H18" s="133" t="str">
        <f>Закуп!Q18</f>
        <v>&lt;1 л</v>
      </c>
      <c r="I18" s="133" t="str">
        <f>Закуп!X18</f>
        <v>10-99 мм</v>
      </c>
      <c r="J18" s="133" t="str">
        <f>Закуп!Y18</f>
        <v>10-99 мм</v>
      </c>
      <c r="K18" s="133" t="str">
        <f>Закуп!Z18</f>
        <v>10-99 мм</v>
      </c>
      <c r="L18" s="133" t="str">
        <f>Закуп!AA18</f>
        <v>Самосборные</v>
      </c>
      <c r="M18" s="133" t="str">
        <f>Закуп!V18</f>
        <v/>
      </c>
      <c r="N18" s="133" t="str">
        <f>Закуп!W18</f>
        <v/>
      </c>
      <c r="O18" s="139" t="str">
        <f>IF(OR(Закуп!L18="",Закуп!L18=0),"",Закуп!L18)</f>
        <v/>
      </c>
      <c r="P18" s="133" t="str">
        <f>Закуп!K18</f>
        <v>K18</v>
      </c>
      <c r="Q18" s="217" t="str">
        <f>IF(Закуп!D18="","",IF(LEFT(Закуп!D18,1)="0","0",Закуп!D18))</f>
        <v>У</v>
      </c>
      <c r="R18" s="155">
        <f>Закуп!C18</f>
        <v>18</v>
      </c>
    </row>
    <row r="19" spans="1:18" x14ac:dyDescent="0.3">
      <c r="A19" s="131" t="str">
        <f>Закуп!E19</f>
        <v>178х120х46</v>
      </c>
      <c r="B19" s="127">
        <f>INDEX(Calc!$K:$K, (ROW(A18)-1)*5 + COLUMN(A18) + 1 )</f>
        <v>1</v>
      </c>
      <c r="C19" s="127">
        <f>INDEX(Calc!$K:$K, (ROW(B18)-1)*5 + COLUMN(B18) + 1 )</f>
        <v>0.86</v>
      </c>
      <c r="D19" s="136">
        <f>INDEX(Calc!$K:$K, (ROW(C18)-1)*5 + COLUMN(C18) + 1 )</f>
        <v>0.68</v>
      </c>
      <c r="E19" s="137">
        <f>INDEX(Calc!$K:$K, (ROW(D18)-1)*5 + COLUMN(D18) + 1 )</f>
        <v>0.63</v>
      </c>
      <c r="F19" s="138">
        <f>INDEX(Calc!$K:$K, (ROW(E18)-1)*5 + COLUMN(E18) + 1 )</f>
        <v>0.54</v>
      </c>
      <c r="G19" s="133">
        <f>Закуп!O19</f>
        <v>0.98</v>
      </c>
      <c r="H19" s="133" t="str">
        <f>Закуп!Q19</f>
        <v>&lt;1 л</v>
      </c>
      <c r="I19" s="133" t="str">
        <f>Закуп!X19</f>
        <v>100-199 мм</v>
      </c>
      <c r="J19" s="133" t="str">
        <f>Закуп!Y19</f>
        <v>100-199 мм</v>
      </c>
      <c r="K19" s="133" t="str">
        <f>Закуп!Z19</f>
        <v>10-99 мм</v>
      </c>
      <c r="L19" s="133" t="str">
        <f>Закуп!AA19</f>
        <v>Самосборные</v>
      </c>
      <c r="M19" s="133" t="str">
        <f>Закуп!V19</f>
        <v/>
      </c>
      <c r="N19" s="133" t="str">
        <f>Закуп!W19</f>
        <v>Плоские</v>
      </c>
      <c r="O19" s="139" t="str">
        <f>IF(OR(Закуп!L19="",Закуп!L19=0),"",Закуп!L19)</f>
        <v/>
      </c>
      <c r="P19" s="133" t="str">
        <f>Закуп!K19</f>
        <v>K19</v>
      </c>
      <c r="Q19" s="217" t="str">
        <f>IF(Закуп!D19="","",IF(LEFT(Закуп!D19,1)="0","0",Закуп!D19))</f>
        <v>У</v>
      </c>
      <c r="R19" s="155">
        <f>Закуп!C19</f>
        <v>19</v>
      </c>
    </row>
    <row r="20" spans="1:18" x14ac:dyDescent="0.3">
      <c r="A20" s="131" t="str">
        <f>Закуп!E20</f>
        <v>110х110х87</v>
      </c>
      <c r="B20" s="127">
        <f>INDEX(Calc!$K:$K, (ROW(A19)-1)*5 + COLUMN(A19) + 1 )</f>
        <v>1.07</v>
      </c>
      <c r="C20" s="127">
        <f>INDEX(Calc!$K:$K, (ROW(B19)-1)*5 + COLUMN(B19) + 1 )</f>
        <v>0.91</v>
      </c>
      <c r="D20" s="136">
        <f>INDEX(Calc!$K:$K, (ROW(C19)-1)*5 + COLUMN(C19) + 1 )</f>
        <v>0.68</v>
      </c>
      <c r="E20" s="137">
        <f>INDEX(Calc!$K:$K, (ROW(D19)-1)*5 + COLUMN(D19) + 1 )</f>
        <v>0.63</v>
      </c>
      <c r="F20" s="138">
        <f>INDEX(Calc!$K:$K, (ROW(E19)-1)*5 + COLUMN(E19) + 1 )</f>
        <v>0.59</v>
      </c>
      <c r="G20" s="133">
        <f>Закуп!O20</f>
        <v>1.05</v>
      </c>
      <c r="H20" s="133" t="str">
        <f>Закуп!Q20</f>
        <v>1-2 л</v>
      </c>
      <c r="I20" s="133" t="str">
        <f>Закуп!X20</f>
        <v>100-199 мм</v>
      </c>
      <c r="J20" s="133" t="str">
        <f>Закуп!Y20</f>
        <v>100-199 мм</v>
      </c>
      <c r="K20" s="133" t="str">
        <f>Закуп!Z20</f>
        <v>10-99 мм</v>
      </c>
      <c r="L20" s="133" t="str">
        <f>Закуп!AA20</f>
        <v>Самосборные</v>
      </c>
      <c r="M20" s="133" t="str">
        <f>Закуп!V20</f>
        <v/>
      </c>
      <c r="N20" s="133" t="str">
        <f>Закуп!W20</f>
        <v/>
      </c>
      <c r="O20" s="139" t="str">
        <f>IF(OR(Закуп!L20="",Закуп!L20=0),"",Закуп!L20)</f>
        <v/>
      </c>
      <c r="P20" s="133" t="str">
        <f>Закуп!K20</f>
        <v>K20</v>
      </c>
      <c r="Q20" s="217" t="str">
        <f>IF(Закуп!D20="","",IF(LEFT(Закуп!D20,1)="0","0",Закуп!D20))</f>
        <v>У</v>
      </c>
      <c r="R20" s="155">
        <f>Закуп!C20</f>
        <v>20</v>
      </c>
    </row>
    <row r="21" spans="1:18" x14ac:dyDescent="0.3">
      <c r="A21" s="131" t="str">
        <f>Закуп!E21</f>
        <v>50х50х170</v>
      </c>
      <c r="B21" s="127">
        <f>INDEX(Calc!$K:$K, (ROW(A20)-1)*5 + COLUMN(A20) + 1 )</f>
        <v>1.1200000000000001</v>
      </c>
      <c r="C21" s="127">
        <f>INDEX(Calc!$K:$K, (ROW(B20)-1)*5 + COLUMN(B20) + 1 )</f>
        <v>0.96</v>
      </c>
      <c r="D21" s="136">
        <f>INDEX(Calc!$K:$K, (ROW(C20)-1)*5 + COLUMN(C20) + 1 )</f>
        <v>0.85</v>
      </c>
      <c r="E21" s="137">
        <f>INDEX(Calc!$K:$K, (ROW(D20)-1)*5 + COLUMN(D20) + 1 )</f>
        <v>0.7</v>
      </c>
      <c r="F21" s="138">
        <f>INDEX(Calc!$K:$K, (ROW(E20)-1)*5 + COLUMN(E20) + 1 )</f>
        <v>0.55000000000000004</v>
      </c>
      <c r="G21" s="133">
        <f>Закуп!O21</f>
        <v>0.43</v>
      </c>
      <c r="H21" s="133" t="str">
        <f>Закуп!Q21</f>
        <v>&lt;1 л</v>
      </c>
      <c r="I21" s="133" t="str">
        <f>Закуп!X21</f>
        <v>100-199 мм</v>
      </c>
      <c r="J21" s="133" t="str">
        <f>Закуп!Y21</f>
        <v>10-99 мм</v>
      </c>
      <c r="K21" s="133" t="str">
        <f>Закуп!Z21</f>
        <v>10-99 мм</v>
      </c>
      <c r="L21" s="133" t="str">
        <f>Закуп!AA21</f>
        <v>Самосборные</v>
      </c>
      <c r="M21" s="133" t="str">
        <f>Закуп!V21</f>
        <v>Длинные</v>
      </c>
      <c r="N21" s="133" t="str">
        <f>Закуп!W21</f>
        <v/>
      </c>
      <c r="O21" s="139" t="str">
        <f>IF(OR(Закуп!L21="",Закуп!L21=0),"",Закуп!L21)</f>
        <v/>
      </c>
      <c r="P21" s="133" t="str">
        <f>Закуп!K21</f>
        <v>K21</v>
      </c>
      <c r="Q21" s="217" t="str">
        <f>IF(Закуп!D21="","",IF(LEFT(Закуп!D21,1)="0","0",Закуп!D21))</f>
        <v>У</v>
      </c>
      <c r="R21" s="155">
        <f>Закуп!C21</f>
        <v>21</v>
      </c>
    </row>
    <row r="22" spans="1:18" x14ac:dyDescent="0.3">
      <c r="A22" s="131" t="str">
        <f>Закуп!E22</f>
        <v>80х80х330</v>
      </c>
      <c r="B22" s="127">
        <f>INDEX(Calc!$K:$K, (ROW(A21)-1)*5 + COLUMN(A21) + 1 )</f>
        <v>1.07</v>
      </c>
      <c r="C22" s="127">
        <f>INDEX(Calc!$K:$K, (ROW(B21)-1)*5 + COLUMN(B21) + 1 )</f>
        <v>0.9</v>
      </c>
      <c r="D22" s="136">
        <f>INDEX(Calc!$K:$K, (ROW(C21)-1)*5 + COLUMN(C21) + 1 )</f>
        <v>0.82</v>
      </c>
      <c r="E22" s="137">
        <f>INDEX(Calc!$K:$K, (ROW(D21)-1)*5 + COLUMN(D21) + 1 )</f>
        <v>0.75</v>
      </c>
      <c r="F22" s="138">
        <f>INDEX(Calc!$K:$K, (ROW(E21)-1)*5 + COLUMN(E21) + 1 )</f>
        <v>0.7</v>
      </c>
      <c r="G22" s="133">
        <f>Закуп!O22</f>
        <v>2.11</v>
      </c>
      <c r="H22" s="133" t="str">
        <f>Закуп!Q22</f>
        <v>2-3 л</v>
      </c>
      <c r="I22" s="133" t="str">
        <f>Закуп!X22</f>
        <v>300-399 мм</v>
      </c>
      <c r="J22" s="133" t="str">
        <f>Закуп!Y22</f>
        <v>10-99 мм</v>
      </c>
      <c r="K22" s="133" t="str">
        <f>Закуп!Z22</f>
        <v>10-99 мм</v>
      </c>
      <c r="L22" s="133" t="str">
        <f>Закуп!AA22</f>
        <v>Самосборные</v>
      </c>
      <c r="M22" s="133" t="str">
        <f>Закуп!V22</f>
        <v>Длинные</v>
      </c>
      <c r="N22" s="133" t="str">
        <f>Закуп!W22</f>
        <v/>
      </c>
      <c r="O22" s="139" t="str">
        <f>IF(OR(Закуп!L22="",Закуп!L22=0),"",Закуп!L22)</f>
        <v/>
      </c>
      <c r="P22" s="133" t="str">
        <f>Закуп!K22</f>
        <v>K22</v>
      </c>
      <c r="Q22" s="217" t="str">
        <f>IF(Закуп!D22="","",IF(LEFT(Закуп!D22,1)="0","0",Закуп!D22))</f>
        <v>У</v>
      </c>
      <c r="R22" s="155">
        <f>Закуп!C22</f>
        <v>22</v>
      </c>
    </row>
    <row r="23" spans="1:18" x14ac:dyDescent="0.3">
      <c r="A23" s="131" t="str">
        <f>Закуп!E23</f>
        <v>92х92х54</v>
      </c>
      <c r="B23" s="127">
        <f>INDEX(Calc!$K:$K, (ROW(A22)-1)*5 + COLUMN(A22) + 1 )</f>
        <v>1.07</v>
      </c>
      <c r="C23" s="127">
        <f>INDEX(Calc!$K:$K, (ROW(B22)-1)*5 + COLUMN(B22) + 1 )</f>
        <v>0.96</v>
      </c>
      <c r="D23" s="136">
        <f>INDEX(Calc!$K:$K, (ROW(C22)-1)*5 + COLUMN(C22) + 1 )</f>
        <v>0.86</v>
      </c>
      <c r="E23" s="137">
        <f>INDEX(Calc!$K:$K, (ROW(D22)-1)*5 + COLUMN(D22) + 1 )</f>
        <v>0.7</v>
      </c>
      <c r="F23" s="138">
        <f>INDEX(Calc!$K:$K, (ROW(E22)-1)*5 + COLUMN(E22) + 1 )</f>
        <v>0.54</v>
      </c>
      <c r="G23" s="133">
        <f>Закуп!O23</f>
        <v>0.46</v>
      </c>
      <c r="H23" s="133" t="str">
        <f>Закуп!Q23</f>
        <v>&lt;1 л</v>
      </c>
      <c r="I23" s="133" t="str">
        <f>Закуп!X23</f>
        <v>10-99 мм</v>
      </c>
      <c r="J23" s="133" t="str">
        <f>Закуп!Y23</f>
        <v>10-99 мм</v>
      </c>
      <c r="K23" s="133" t="str">
        <f>Закуп!Z23</f>
        <v>10-99 мм</v>
      </c>
      <c r="L23" s="133" t="str">
        <f>Закуп!AA23</f>
        <v>Самосборные</v>
      </c>
      <c r="M23" s="133" t="str">
        <f>Закуп!V23</f>
        <v/>
      </c>
      <c r="N23" s="133" t="str">
        <f>Закуп!W23</f>
        <v/>
      </c>
      <c r="O23" s="139" t="str">
        <f>IF(OR(Закуп!L23="",Закуп!L23=0),"",Закуп!L23)</f>
        <v/>
      </c>
      <c r="P23" s="133" t="str">
        <f>Закуп!K23</f>
        <v>K23</v>
      </c>
      <c r="Q23" s="217" t="str">
        <f>IF(Закуп!D23="","",IF(LEFT(Закуп!D23,1)="0","0",Закуп!D23))</f>
        <v>У</v>
      </c>
      <c r="R23" s="155">
        <f>Закуп!C23</f>
        <v>23</v>
      </c>
    </row>
    <row r="24" spans="1:18" x14ac:dyDescent="0.3">
      <c r="A24" s="131" t="str">
        <f>Закуп!E24</f>
        <v>309х307х37</v>
      </c>
      <c r="B24" s="127">
        <f>INDEX(Calc!$K:$K, (ROW(A23)-1)*5 + COLUMN(A23) + 1 )</f>
        <v>1.41</v>
      </c>
      <c r="C24" s="127">
        <f>INDEX(Calc!$K:$K, (ROW(B23)-1)*5 + COLUMN(B23) + 1 )</f>
        <v>1.28</v>
      </c>
      <c r="D24" s="136">
        <f>INDEX(Calc!$K:$K, (ROW(C23)-1)*5 + COLUMN(C23) + 1 )</f>
        <v>1.02</v>
      </c>
      <c r="E24" s="137">
        <f>INDEX(Calc!$K:$K, (ROW(D23)-1)*5 + COLUMN(D23) + 1 )</f>
        <v>0.95</v>
      </c>
      <c r="F24" s="138">
        <f>INDEX(Calc!$K:$K, (ROW(E23)-1)*5 + COLUMN(E23) + 1 )</f>
        <v>0.9</v>
      </c>
      <c r="G24" s="133">
        <f>Закуп!O24</f>
        <v>3.51</v>
      </c>
      <c r="H24" s="133" t="str">
        <f>Закуп!Q24</f>
        <v>3-5 л</v>
      </c>
      <c r="I24" s="133" t="str">
        <f>Закуп!X24</f>
        <v>300-399 мм</v>
      </c>
      <c r="J24" s="133" t="str">
        <f>Закуп!Y24</f>
        <v>300-399 мм</v>
      </c>
      <c r="K24" s="133" t="str">
        <f>Закуп!Z24</f>
        <v>10-99 мм</v>
      </c>
      <c r="L24" s="133" t="str">
        <f>Закуп!AA24</f>
        <v>Самосборные</v>
      </c>
      <c r="M24" s="133" t="str">
        <f>Закуп!V24</f>
        <v/>
      </c>
      <c r="N24" s="133" t="str">
        <f>Закуп!W24</f>
        <v>Плоские</v>
      </c>
      <c r="O24" s="139" t="str">
        <f>IF(OR(Закуп!L24="",Закуп!L24=0),"",Закуп!L24)</f>
        <v/>
      </c>
      <c r="P24" s="133" t="str">
        <f>Закуп!K24</f>
        <v>K24</v>
      </c>
      <c r="Q24" s="217" t="str">
        <f>IF(Закуп!D24="","",IF(LEFT(Закуп!D24,1)="0","0",Закуп!D24))</f>
        <v>У</v>
      </c>
      <c r="R24" s="155">
        <f>Закуп!C24</f>
        <v>24</v>
      </c>
    </row>
    <row r="25" spans="1:18" x14ac:dyDescent="0.3">
      <c r="A25" s="131" t="str">
        <f>Закуп!E25</f>
        <v>130х90х620</v>
      </c>
      <c r="B25" s="127">
        <f>INDEX(Calc!$K:$K, (ROW(A24)-1)*5 + COLUMN(A24) + 1 )</f>
        <v>1.69</v>
      </c>
      <c r="C25" s="127">
        <f>INDEX(Calc!$K:$K, (ROW(B24)-1)*5 + COLUMN(B24) + 1 )</f>
        <v>1.54</v>
      </c>
      <c r="D25" s="136">
        <f>INDEX(Calc!$K:$K, (ROW(C24)-1)*5 + COLUMN(C24) + 1 )</f>
        <v>1.22</v>
      </c>
      <c r="E25" s="137">
        <f>INDEX(Calc!$K:$K, (ROW(D24)-1)*5 + COLUMN(D24) + 1 )</f>
        <v>1.1399999999999999</v>
      </c>
      <c r="F25" s="138">
        <f>INDEX(Calc!$K:$K, (ROW(E24)-1)*5 + COLUMN(E24) + 1 )</f>
        <v>1.01</v>
      </c>
      <c r="G25" s="133">
        <f>Закуп!O25</f>
        <v>7.25</v>
      </c>
      <c r="H25" s="133" t="str">
        <f>Закуп!Q25</f>
        <v>5-10 л</v>
      </c>
      <c r="I25" s="133" t="str">
        <f>Закуп!X25</f>
        <v>600-699 мм</v>
      </c>
      <c r="J25" s="133" t="str">
        <f>Закуп!Y25</f>
        <v>100-199 мм</v>
      </c>
      <c r="K25" s="133" t="str">
        <f>Закуп!Z25</f>
        <v>10-99 мм</v>
      </c>
      <c r="L25" s="133" t="str">
        <f>Закуп!AA25</f>
        <v>Четырехклапанные</v>
      </c>
      <c r="M25" s="133" t="str">
        <f>Закуп!V25</f>
        <v>Длинные</v>
      </c>
      <c r="N25" s="133" t="str">
        <f>Закуп!W25</f>
        <v/>
      </c>
      <c r="O25" s="139" t="str">
        <f>IF(OR(Закуп!L25="",Закуп!L25=0),"",Закуп!L25)</f>
        <v/>
      </c>
      <c r="P25" s="133" t="str">
        <f>Закуп!K25</f>
        <v>K25</v>
      </c>
      <c r="Q25" s="217" t="str">
        <f>IF(Закуп!D25="","",IF(LEFT(Закуп!D25,1)="0","0",Закуп!D25))</f>
        <v>У</v>
      </c>
      <c r="R25" s="155">
        <f>Закуп!C25</f>
        <v>25</v>
      </c>
    </row>
    <row r="26" spans="1:18" x14ac:dyDescent="0.3">
      <c r="A26" s="131" t="str">
        <f>Закуп!E26</f>
        <v>215х125х45</v>
      </c>
      <c r="B26" s="127">
        <f>INDEX(Calc!$K:$K, (ROW(A25)-1)*5 + COLUMN(A25) + 1 )</f>
        <v>1.1200000000000001</v>
      </c>
      <c r="C26" s="127">
        <f>INDEX(Calc!$K:$K, (ROW(B25)-1)*5 + COLUMN(B25) + 1 )</f>
        <v>0.93</v>
      </c>
      <c r="D26" s="136">
        <f>INDEX(Calc!$K:$K, (ROW(C25)-1)*5 + COLUMN(C25) + 1 )</f>
        <v>0.81</v>
      </c>
      <c r="E26" s="137">
        <f>INDEX(Calc!$K:$K, (ROW(D25)-1)*5 + COLUMN(D25) + 1 )</f>
        <v>0.73</v>
      </c>
      <c r="F26" s="138">
        <f>INDEX(Calc!$K:$K, (ROW(E25)-1)*5 + COLUMN(E25) + 1 )</f>
        <v>0.65</v>
      </c>
      <c r="G26" s="133">
        <f>Закуп!O26</f>
        <v>1.21</v>
      </c>
      <c r="H26" s="133" t="str">
        <f>Закуп!Q26</f>
        <v>1-2 л</v>
      </c>
      <c r="I26" s="133" t="str">
        <f>Закуп!X26</f>
        <v>200-299 мм</v>
      </c>
      <c r="J26" s="133" t="str">
        <f>Закуп!Y26</f>
        <v>100-199 мм</v>
      </c>
      <c r="K26" s="133" t="str">
        <f>Закуп!Z26</f>
        <v>10-99 мм</v>
      </c>
      <c r="L26" s="133" t="str">
        <f>Закуп!AA26</f>
        <v>Самосборные</v>
      </c>
      <c r="M26" s="133" t="str">
        <f>Закуп!V26</f>
        <v/>
      </c>
      <c r="N26" s="133" t="str">
        <f>Закуп!W26</f>
        <v>Плоские</v>
      </c>
      <c r="O26" s="139" t="str">
        <f>IF(OR(Закуп!L26="",Закуп!L26=0),"",Закуп!L26)</f>
        <v/>
      </c>
      <c r="P26" s="133" t="str">
        <f>Закуп!K26</f>
        <v>K26</v>
      </c>
      <c r="Q26" s="217" t="str">
        <f>IF(Закуп!D26="","",IF(LEFT(Закуп!D26,1)="0","0",Закуп!D26))</f>
        <v>У</v>
      </c>
      <c r="R26" s="155">
        <f>Закуп!C26</f>
        <v>26</v>
      </c>
    </row>
    <row r="27" spans="1:18" x14ac:dyDescent="0.3">
      <c r="A27" s="131" t="str">
        <f>Закуп!E27</f>
        <v>425х55х50</v>
      </c>
      <c r="B27" s="127">
        <f>INDEX(Calc!$K:$K, (ROW(A26)-1)*5 + COLUMN(A26) + 1 )</f>
        <v>1.72</v>
      </c>
      <c r="C27" s="127">
        <f>INDEX(Calc!$K:$K, (ROW(B26)-1)*5 + COLUMN(B26) + 1 )</f>
        <v>1.56</v>
      </c>
      <c r="D27" s="136">
        <f>INDEX(Calc!$K:$K, (ROW(C26)-1)*5 + COLUMN(C26) + 1 )</f>
        <v>1.24</v>
      </c>
      <c r="E27" s="137">
        <f>INDEX(Calc!$K:$K, (ROW(D26)-1)*5 + COLUMN(D26) + 1 )</f>
        <v>1.1599999999999999</v>
      </c>
      <c r="F27" s="138">
        <f>INDEX(Calc!$K:$K, (ROW(E26)-1)*5 + COLUMN(E26) + 1 )</f>
        <v>1.02</v>
      </c>
      <c r="G27" s="133">
        <f>Закуп!O27</f>
        <v>1.17</v>
      </c>
      <c r="H27" s="133" t="str">
        <f>Закуп!Q27</f>
        <v>1-2 л</v>
      </c>
      <c r="I27" s="133" t="str">
        <f>Закуп!X27</f>
        <v>400-499 мм</v>
      </c>
      <c r="J27" s="133" t="str">
        <f>Закуп!Y27</f>
        <v>10-99 мм</v>
      </c>
      <c r="K27" s="133" t="str">
        <f>Закуп!Z27</f>
        <v>10-99 мм</v>
      </c>
      <c r="L27" s="133" t="str">
        <f>Закуп!AA27</f>
        <v>Самосборные</v>
      </c>
      <c r="M27" s="133" t="str">
        <f>Закуп!V27</f>
        <v>Длинные</v>
      </c>
      <c r="N27" s="133" t="str">
        <f>Закуп!W27</f>
        <v/>
      </c>
      <c r="O27" s="139" t="str">
        <f>IF(OR(Закуп!L27="",Закуп!L27=0),"",Закуп!L27)</f>
        <v/>
      </c>
      <c r="P27" s="133" t="str">
        <f>Закуп!K27</f>
        <v>K27</v>
      </c>
      <c r="Q27" s="217" t="str">
        <f>IF(Закуп!D27="","",IF(LEFT(Закуп!D27,1)="0","0",Закуп!D27))</f>
        <v>У</v>
      </c>
      <c r="R27" s="155">
        <f>Закуп!C27</f>
        <v>27</v>
      </c>
    </row>
    <row r="28" spans="1:18" x14ac:dyDescent="0.3">
      <c r="A28" s="131" t="str">
        <f>Закуп!E28</f>
        <v>160х120х100</v>
      </c>
      <c r="B28" s="127">
        <f>INDEX(Calc!$K:$K, (ROW(A27)-1)*5 + COLUMN(A27) + 1 )</f>
        <v>1.72</v>
      </c>
      <c r="C28" s="127">
        <f>INDEX(Calc!$K:$K, (ROW(B27)-1)*5 + COLUMN(B27) + 1 )</f>
        <v>1.56</v>
      </c>
      <c r="D28" s="136">
        <f>INDEX(Calc!$K:$K, (ROW(C27)-1)*5 + COLUMN(C27) + 1 )</f>
        <v>1.24</v>
      </c>
      <c r="E28" s="137">
        <f>INDEX(Calc!$K:$K, (ROW(D27)-1)*5 + COLUMN(D27) + 1 )</f>
        <v>1.1599999999999999</v>
      </c>
      <c r="F28" s="138">
        <f>INDEX(Calc!$K:$K, (ROW(E27)-1)*5 + COLUMN(E27) + 1 )</f>
        <v>1.02</v>
      </c>
      <c r="G28" s="133">
        <f>Закуп!O28</f>
        <v>1.92</v>
      </c>
      <c r="H28" s="133" t="str">
        <f>Закуп!Q28</f>
        <v>1-2 л</v>
      </c>
      <c r="I28" s="133" t="str">
        <f>Закуп!X28</f>
        <v>100-199 мм</v>
      </c>
      <c r="J28" s="133" t="str">
        <f>Закуп!Y28</f>
        <v>100-199 мм</v>
      </c>
      <c r="K28" s="133" t="str">
        <f>Закуп!Z28</f>
        <v>100-199 мм</v>
      </c>
      <c r="L28" s="133" t="str">
        <f>Закуп!AA28</f>
        <v>Самосборные</v>
      </c>
      <c r="M28" s="133" t="str">
        <f>Закуп!V28</f>
        <v/>
      </c>
      <c r="N28" s="133" t="str">
        <f>Закуп!W28</f>
        <v/>
      </c>
      <c r="O28" s="139" t="str">
        <f>IF(OR(Закуп!L28="",Закуп!L28=0),"",Закуп!L28)</f>
        <v/>
      </c>
      <c r="P28" s="133" t="str">
        <f>Закуп!K28</f>
        <v>K28</v>
      </c>
      <c r="Q28" s="217" t="str">
        <f>IF(Закуп!D28="","",IF(LEFT(Закуп!D28,1)="0","0",Закуп!D28))</f>
        <v>У</v>
      </c>
      <c r="R28" s="155">
        <f>Закуп!C28</f>
        <v>28</v>
      </c>
    </row>
    <row r="29" spans="1:18" x14ac:dyDescent="0.3">
      <c r="A29" s="131" t="str">
        <f>Закуп!E29</f>
        <v>277х280х45</v>
      </c>
      <c r="B29" s="127">
        <f>INDEX(Calc!$K:$K, (ROW(A28)-1)*5 + COLUMN(A28) + 1 )</f>
        <v>1.72</v>
      </c>
      <c r="C29" s="127">
        <f>INDEX(Calc!$K:$K, (ROW(B28)-1)*5 + COLUMN(B28) + 1 )</f>
        <v>1.56</v>
      </c>
      <c r="D29" s="136">
        <f>INDEX(Calc!$K:$K, (ROW(C28)-1)*5 + COLUMN(C28) + 1 )</f>
        <v>1.24</v>
      </c>
      <c r="E29" s="137">
        <f>INDEX(Calc!$K:$K, (ROW(D28)-1)*5 + COLUMN(D28) + 1 )</f>
        <v>1.1599999999999999</v>
      </c>
      <c r="F29" s="138">
        <f>INDEX(Calc!$K:$K, (ROW(E28)-1)*5 + COLUMN(E28) + 1 )</f>
        <v>1.02</v>
      </c>
      <c r="G29" s="133">
        <f>Закуп!O29</f>
        <v>3.49</v>
      </c>
      <c r="H29" s="133" t="str">
        <f>Закуп!Q29</f>
        <v>3-5 л</v>
      </c>
      <c r="I29" s="133" t="str">
        <f>Закуп!X29</f>
        <v>200-299 мм</v>
      </c>
      <c r="J29" s="133" t="str">
        <f>Закуп!Y29</f>
        <v>200-299 мм</v>
      </c>
      <c r="K29" s="133" t="str">
        <f>Закуп!Z29</f>
        <v>10-99 мм</v>
      </c>
      <c r="L29" s="133" t="str">
        <f>Закуп!AA29</f>
        <v>Самосборные</v>
      </c>
      <c r="M29" s="133" t="str">
        <f>Закуп!V29</f>
        <v/>
      </c>
      <c r="N29" s="133" t="str">
        <f>Закуп!W29</f>
        <v>Плоские</v>
      </c>
      <c r="O29" s="139" t="str">
        <f>IF(OR(Закуп!L29="",Закуп!L29=0),"",Закуп!L29)</f>
        <v/>
      </c>
      <c r="P29" s="133" t="str">
        <f>Закуп!K29</f>
        <v>K29</v>
      </c>
      <c r="Q29" s="217" t="str">
        <f>IF(Закуп!D29="","",IF(LEFT(Закуп!D29,1)="0","0",Закуп!D29))</f>
        <v>У</v>
      </c>
      <c r="R29" s="155">
        <f>Закуп!C29</f>
        <v>29</v>
      </c>
    </row>
    <row r="30" spans="1:18" x14ac:dyDescent="0.3">
      <c r="A30" s="131" t="str">
        <f>Закуп!E30</f>
        <v>71х71х152</v>
      </c>
      <c r="B30" s="127">
        <f>INDEX(Calc!$K:$K, (ROW(A29)-1)*5 + COLUMN(A29) + 1 )</f>
        <v>1.32</v>
      </c>
      <c r="C30" s="127">
        <f>INDEX(Calc!$K:$K, (ROW(B29)-1)*5 + COLUMN(B29) + 1 )</f>
        <v>1.2</v>
      </c>
      <c r="D30" s="136">
        <f>INDEX(Calc!$K:$K, (ROW(C29)-1)*5 + COLUMN(C29) + 1 )</f>
        <v>0.95</v>
      </c>
      <c r="E30" s="137">
        <f>INDEX(Calc!$K:$K, (ROW(D29)-1)*5 + COLUMN(D29) + 1 )</f>
        <v>0.86</v>
      </c>
      <c r="F30" s="138">
        <f>INDEX(Calc!$K:$K, (ROW(E29)-1)*5 + COLUMN(E29) + 1 )</f>
        <v>0.66</v>
      </c>
      <c r="G30" s="133">
        <f>Закуп!O30</f>
        <v>0.77</v>
      </c>
      <c r="H30" s="133" t="str">
        <f>Закуп!Q30</f>
        <v>&lt;1 л</v>
      </c>
      <c r="I30" s="133" t="str">
        <f>Закуп!X30</f>
        <v>100-199 мм</v>
      </c>
      <c r="J30" s="133" t="str">
        <f>Закуп!Y30</f>
        <v>10-99 мм</v>
      </c>
      <c r="K30" s="133" t="str">
        <f>Закуп!Z30</f>
        <v>10-99 мм</v>
      </c>
      <c r="L30" s="133" t="str">
        <f>Закуп!AA30</f>
        <v>Самосборные</v>
      </c>
      <c r="M30" s="133" t="str">
        <f>Закуп!V30</f>
        <v>Длинные</v>
      </c>
      <c r="N30" s="133" t="str">
        <f>Закуп!W30</f>
        <v/>
      </c>
      <c r="O30" s="139" t="str">
        <f>IF(OR(Закуп!L30="",Закуп!L30=0),"",Закуп!L30)</f>
        <v/>
      </c>
      <c r="P30" s="133" t="str">
        <f>Закуп!K30</f>
        <v>K30</v>
      </c>
      <c r="Q30" s="217" t="str">
        <f>IF(Закуп!D30="","",IF(LEFT(Закуп!D30,1)="0","0",Закуп!D30))</f>
        <v>У</v>
      </c>
      <c r="R30" s="155">
        <f>Закуп!C30</f>
        <v>30</v>
      </c>
    </row>
    <row r="31" spans="1:18" x14ac:dyDescent="0.3">
      <c r="A31" s="131" t="str">
        <f>Закуп!E31</f>
        <v>110х110х110</v>
      </c>
      <c r="B31" s="127">
        <f>INDEX(Calc!$K:$K, (ROW(A30)-1)*5 + COLUMN(A30) + 1 )</f>
        <v>0.95</v>
      </c>
      <c r="C31" s="127">
        <f>INDEX(Calc!$K:$K, (ROW(B30)-1)*5 + COLUMN(B30) + 1 )</f>
        <v>0.85</v>
      </c>
      <c r="D31" s="136">
        <f>INDEX(Calc!$K:$K, (ROW(C30)-1)*5 + COLUMN(C30) + 1 )</f>
        <v>0.75</v>
      </c>
      <c r="E31" s="137">
        <f>INDEX(Calc!$K:$K, (ROW(D30)-1)*5 + COLUMN(D30) + 1 )</f>
        <v>0.65</v>
      </c>
      <c r="F31" s="138">
        <f>INDEX(Calc!$K:$K, (ROW(E30)-1)*5 + COLUMN(E30) + 1 )</f>
        <v>0.55000000000000004</v>
      </c>
      <c r="G31" s="133">
        <f>Закуп!O31</f>
        <v>1.33</v>
      </c>
      <c r="H31" s="133" t="str">
        <f>Закуп!Q31</f>
        <v>1-2 л</v>
      </c>
      <c r="I31" s="133" t="str">
        <f>Закуп!X31</f>
        <v>100-199 мм</v>
      </c>
      <c r="J31" s="133" t="str">
        <f>Закуп!Y31</f>
        <v>100-199 мм</v>
      </c>
      <c r="K31" s="133" t="str">
        <f>Закуп!Z31</f>
        <v>100-199 мм</v>
      </c>
      <c r="L31" s="133" t="str">
        <f>Закуп!AA31</f>
        <v>Четырехклапанные</v>
      </c>
      <c r="M31" s="133" t="str">
        <f>Закуп!V31</f>
        <v/>
      </c>
      <c r="N31" s="133" t="str">
        <f>Закуп!W31</f>
        <v/>
      </c>
      <c r="O31" s="139" t="str">
        <f>IF(OR(Закуп!L31="",Закуп!L31=0),"",Закуп!L31)</f>
        <v/>
      </c>
      <c r="P31" s="133" t="str">
        <f>Закуп!K31</f>
        <v>K31</v>
      </c>
      <c r="Q31" s="217" t="str">
        <f>IF(Закуп!D31="","",IF(LEFT(Закуп!D31,1)="0","0",Закуп!D31))</f>
        <v>У</v>
      </c>
      <c r="R31" s="155">
        <f>Закуп!C31</f>
        <v>31</v>
      </c>
    </row>
    <row r="32" spans="1:18" x14ac:dyDescent="0.3">
      <c r="A32" s="131" t="str">
        <f>Закуп!E32</f>
        <v>130х80х100</v>
      </c>
      <c r="B32" s="127">
        <f>INDEX(Calc!$K:$K, (ROW(A31)-1)*5 + COLUMN(A31) + 1 )</f>
        <v>1.21</v>
      </c>
      <c r="C32" s="127">
        <f>INDEX(Calc!$K:$K, (ROW(B31)-1)*5 + COLUMN(B31) + 1 )</f>
        <v>1.05</v>
      </c>
      <c r="D32" s="136">
        <f>INDEX(Calc!$K:$K, (ROW(C31)-1)*5 + COLUMN(C31) + 1 )</f>
        <v>0.9</v>
      </c>
      <c r="E32" s="137">
        <f>INDEX(Calc!$K:$K, (ROW(D31)-1)*5 + COLUMN(D31) + 1 )</f>
        <v>0.85</v>
      </c>
      <c r="F32" s="138">
        <f>INDEX(Calc!$K:$K, (ROW(E31)-1)*5 + COLUMN(E31) + 1 )</f>
        <v>0.78</v>
      </c>
      <c r="G32" s="133">
        <f>Закуп!O32</f>
        <v>1.04</v>
      </c>
      <c r="H32" s="133" t="str">
        <f>Закуп!Q32</f>
        <v>1-2 л</v>
      </c>
      <c r="I32" s="133" t="str">
        <f>Закуп!X32</f>
        <v>100-199 мм</v>
      </c>
      <c r="J32" s="133" t="str">
        <f>Закуп!Y32</f>
        <v>100-199 мм</v>
      </c>
      <c r="K32" s="133" t="str">
        <f>Закуп!Z32</f>
        <v>10-99 мм</v>
      </c>
      <c r="L32" s="133" t="str">
        <f>Закуп!AA32</f>
        <v>Самосборные</v>
      </c>
      <c r="M32" s="133" t="str">
        <f>Закуп!V32</f>
        <v/>
      </c>
      <c r="N32" s="133" t="str">
        <f>Закуп!W32</f>
        <v/>
      </c>
      <c r="O32" s="139" t="str">
        <f>IF(OR(Закуп!L32="",Закуп!L32=0),"",Закуп!L32)</f>
        <v/>
      </c>
      <c r="P32" s="133" t="str">
        <f>Закуп!K32</f>
        <v>K32</v>
      </c>
      <c r="Q32" s="217" t="str">
        <f>IF(Закуп!D32="","",IF(LEFT(Закуп!D32,1)="0","0",Закуп!D32))</f>
        <v>У</v>
      </c>
      <c r="R32" s="155">
        <f>Закуп!C32</f>
        <v>32</v>
      </c>
    </row>
    <row r="33" spans="1:18" x14ac:dyDescent="0.3">
      <c r="A33" s="131" t="str">
        <f>Закуп!E33</f>
        <v>250х170х90</v>
      </c>
      <c r="B33" s="127">
        <f>INDEX(Calc!$K:$K, (ROW(A32)-1)*5 + COLUMN(A32) + 1 )</f>
        <v>1.1000000000000001</v>
      </c>
      <c r="C33" s="127">
        <f>INDEX(Calc!$K:$K, (ROW(B32)-1)*5 + COLUMN(B32) + 1 )</f>
        <v>1.1000000000000001</v>
      </c>
      <c r="D33" s="136">
        <f>INDEX(Calc!$K:$K, (ROW(C32)-1)*5 + COLUMN(C32) + 1 )</f>
        <v>1.1000000000000001</v>
      </c>
      <c r="E33" s="137">
        <f>INDEX(Calc!$K:$K, (ROW(D32)-1)*5 + COLUMN(D32) + 1 )</f>
        <v>1.1000000000000001</v>
      </c>
      <c r="F33" s="138">
        <f>INDEX(Calc!$K:$K, (ROW(E32)-1)*5 + COLUMN(E32) + 1 )</f>
        <v>1.1000000000000001</v>
      </c>
      <c r="G33" s="133">
        <f>Закуп!O33</f>
        <v>3.83</v>
      </c>
      <c r="H33" s="133" t="str">
        <f>Закуп!Q33</f>
        <v>3-5 л</v>
      </c>
      <c r="I33" s="133" t="str">
        <f>Закуп!X33</f>
        <v>200-299 мм</v>
      </c>
      <c r="J33" s="133" t="str">
        <f>Закуп!Y33</f>
        <v>100-199 мм</v>
      </c>
      <c r="K33" s="133" t="str">
        <f>Закуп!Z33</f>
        <v>10-99 мм</v>
      </c>
      <c r="L33" s="133" t="str">
        <f>Закуп!AA33</f>
        <v>Самосборные</v>
      </c>
      <c r="M33" s="133" t="str">
        <f>Закуп!V33</f>
        <v/>
      </c>
      <c r="N33" s="133" t="str">
        <f>Закуп!W33</f>
        <v/>
      </c>
      <c r="O33" s="139" t="str">
        <f>IF(OR(Закуп!L33="",Закуп!L33=0),"",Закуп!L33)</f>
        <v>Sale</v>
      </c>
      <c r="P33" s="133" t="str">
        <f>Закуп!K33</f>
        <v>K33</v>
      </c>
      <c r="Q33" s="217" t="str">
        <f>IF(Закуп!D33="","",IF(LEFT(Закуп!D33,1)="0","0",Закуп!D33))</f>
        <v>У</v>
      </c>
      <c r="R33" s="155">
        <f>Закуп!C33</f>
        <v>33</v>
      </c>
    </row>
    <row r="34" spans="1:18" x14ac:dyDescent="0.3">
      <c r="A34" s="131" t="str">
        <f>Закуп!E34</f>
        <v>200х80х80</v>
      </c>
      <c r="B34" s="127">
        <f>INDEX(Calc!$K:$K, (ROW(A33)-1)*5 + COLUMN(A33) + 1 )</f>
        <v>1.07</v>
      </c>
      <c r="C34" s="127">
        <f>INDEX(Calc!$K:$K, (ROW(B33)-1)*5 + COLUMN(B33) + 1 )</f>
        <v>0.96</v>
      </c>
      <c r="D34" s="136">
        <f>INDEX(Calc!$K:$K, (ROW(C33)-1)*5 + COLUMN(C33) + 1 )</f>
        <v>0.86</v>
      </c>
      <c r="E34" s="137">
        <f>INDEX(Calc!$K:$K, (ROW(D33)-1)*5 + COLUMN(D33) + 1 )</f>
        <v>0.75</v>
      </c>
      <c r="F34" s="138">
        <f>INDEX(Calc!$K:$K, (ROW(E33)-1)*5 + COLUMN(E33) + 1 )</f>
        <v>0.64</v>
      </c>
      <c r="G34" s="133">
        <f>Закуп!O34</f>
        <v>1.28</v>
      </c>
      <c r="H34" s="133" t="str">
        <f>Закуп!Q34</f>
        <v>1-2 л</v>
      </c>
      <c r="I34" s="133" t="str">
        <f>Закуп!X34</f>
        <v>200-299 мм</v>
      </c>
      <c r="J34" s="133" t="str">
        <f>Закуп!Y34</f>
        <v>10-99 мм</v>
      </c>
      <c r="K34" s="133" t="str">
        <f>Закуп!Z34</f>
        <v>10-99 мм</v>
      </c>
      <c r="L34" s="133" t="str">
        <f>Закуп!AA34</f>
        <v>Самосборные</v>
      </c>
      <c r="M34" s="133" t="str">
        <f>Закуп!V34</f>
        <v>Длинные</v>
      </c>
      <c r="N34" s="133" t="str">
        <f>Закуп!W34</f>
        <v/>
      </c>
      <c r="O34" s="139" t="str">
        <f>IF(OR(Закуп!L34="",Закуп!L34=0),"",Закуп!L34)</f>
        <v/>
      </c>
      <c r="P34" s="133" t="str">
        <f>Закуп!K34</f>
        <v>K34</v>
      </c>
      <c r="Q34" s="217" t="str">
        <f>IF(Закуп!D34="","",IF(LEFT(Закуп!D34,1)="0","0",Закуп!D34))</f>
        <v>У</v>
      </c>
      <c r="R34" s="155">
        <f>Закуп!C34</f>
        <v>34</v>
      </c>
    </row>
    <row r="35" spans="1:18" x14ac:dyDescent="0.3">
      <c r="A35" s="131" t="str">
        <f>Закуп!E35</f>
        <v>690х170х55</v>
      </c>
      <c r="B35" s="127">
        <f>INDEX(Calc!$K:$K, (ROW(A34)-1)*5 + COLUMN(A34) + 1 )</f>
        <v>2.34</v>
      </c>
      <c r="C35" s="127">
        <f>INDEX(Calc!$K:$K, (ROW(B34)-1)*5 + COLUMN(B34) + 1 )</f>
        <v>2.13</v>
      </c>
      <c r="D35" s="136">
        <f>INDEX(Calc!$K:$K, (ROW(C34)-1)*5 + COLUMN(C34) + 1 )</f>
        <v>1.66</v>
      </c>
      <c r="E35" s="137">
        <f>INDEX(Calc!$K:$K, (ROW(D34)-1)*5 + COLUMN(D34) + 1 )</f>
        <v>1.43</v>
      </c>
      <c r="F35" s="138">
        <f>INDEX(Calc!$K:$K, (ROW(E34)-1)*5 + COLUMN(E34) + 1 )</f>
        <v>1.34</v>
      </c>
      <c r="G35" s="133">
        <f>Закуп!O35</f>
        <v>6.45</v>
      </c>
      <c r="H35" s="133" t="str">
        <f>Закуп!Q35</f>
        <v>5-10 л</v>
      </c>
      <c r="I35" s="133" t="str">
        <f>Закуп!X35</f>
        <v>600-699 мм</v>
      </c>
      <c r="J35" s="133" t="str">
        <f>Закуп!Y35</f>
        <v>100-199 мм</v>
      </c>
      <c r="K35" s="133" t="str">
        <f>Закуп!Z35</f>
        <v>10-99 мм</v>
      </c>
      <c r="L35" s="133" t="str">
        <f>Закуп!AA35</f>
        <v>Самосборные</v>
      </c>
      <c r="M35" s="133" t="str">
        <f>Закуп!V35</f>
        <v>Длинные</v>
      </c>
      <c r="N35" s="133" t="str">
        <f>Закуп!W35</f>
        <v>Плоские</v>
      </c>
      <c r="O35" s="139" t="str">
        <f>IF(OR(Закуп!L35="",Закуп!L35=0),"",Закуп!L35)</f>
        <v/>
      </c>
      <c r="P35" s="133" t="str">
        <f>Закуп!K35</f>
        <v>K35</v>
      </c>
      <c r="Q35" s="217" t="str">
        <f>IF(Закуп!D35="","",IF(LEFT(Закуп!D35,1)="0","0",Закуп!D35))</f>
        <v>У</v>
      </c>
      <c r="R35" s="155">
        <f>Закуп!C35</f>
        <v>35</v>
      </c>
    </row>
    <row r="36" spans="1:18" x14ac:dyDescent="0.3">
      <c r="A36" s="131" t="str">
        <f>Закуп!E36</f>
        <v>1110х115х105</v>
      </c>
      <c r="B36" s="127">
        <f>INDEX(Calc!$K:$K, (ROW(A35)-1)*5 + COLUMN(A35) + 1 )</f>
        <v>3.55</v>
      </c>
      <c r="C36" s="127">
        <f>INDEX(Calc!$K:$K, (ROW(B35)-1)*5 + COLUMN(B35) + 1 )</f>
        <v>3.22</v>
      </c>
      <c r="D36" s="136">
        <f>INDEX(Calc!$K:$K, (ROW(C35)-1)*5 + COLUMN(C35) + 1 )</f>
        <v>2.89</v>
      </c>
      <c r="E36" s="137">
        <f>INDEX(Calc!$K:$K, (ROW(D35)-1)*5 + COLUMN(D35) + 1 )</f>
        <v>2.71</v>
      </c>
      <c r="F36" s="138">
        <f>INDEX(Calc!$K:$K, (ROW(E35)-1)*5 + COLUMN(E35) + 1 )</f>
        <v>2.5499999999999998</v>
      </c>
      <c r="G36" s="133">
        <f>Закуп!O36</f>
        <v>13.4</v>
      </c>
      <c r="H36" s="133" t="str">
        <f>Закуп!Q36</f>
        <v>10-20 л</v>
      </c>
      <c r="I36" s="133" t="str">
        <f>Закуп!X36</f>
        <v>1000+ мм</v>
      </c>
      <c r="J36" s="133" t="str">
        <f>Закуп!Y36</f>
        <v>100-199 мм</v>
      </c>
      <c r="K36" s="133" t="str">
        <f>Закуп!Z36</f>
        <v>100-199 мм</v>
      </c>
      <c r="L36" s="133" t="str">
        <f>Закуп!AA36</f>
        <v>Самосборные</v>
      </c>
      <c r="M36" s="133" t="str">
        <f>Закуп!V36</f>
        <v>Длинные</v>
      </c>
      <c r="N36" s="133" t="str">
        <f>Закуп!W36</f>
        <v/>
      </c>
      <c r="O36" s="139" t="str">
        <f>IF(OR(Закуп!L36="",Закуп!L36=0),"",Закуп!L36)</f>
        <v/>
      </c>
      <c r="P36" s="133" t="str">
        <f>Закуп!K36</f>
        <v>K36</v>
      </c>
      <c r="Q36" s="217" t="str">
        <f>IF(Закуп!D36="","",IF(LEFT(Закуп!D36,1)="0","0",Закуп!D36))</f>
        <v>У</v>
      </c>
      <c r="R36" s="155">
        <f>Закуп!C36</f>
        <v>36</v>
      </c>
    </row>
    <row r="37" spans="1:18" x14ac:dyDescent="0.3">
      <c r="A37" s="131" t="str">
        <f>Закуп!E37</f>
        <v>500х500х65</v>
      </c>
      <c r="B37" s="127">
        <f>INDEX(Calc!$K:$K, (ROW(A36)-1)*5 + COLUMN(A36) + 1 )</f>
        <v>3.39</v>
      </c>
      <c r="C37" s="127">
        <f>INDEX(Calc!$K:$K, (ROW(B36)-1)*5 + COLUMN(B36) + 1 )</f>
        <v>3.05</v>
      </c>
      <c r="D37" s="136">
        <f>INDEX(Calc!$K:$K, (ROW(C36)-1)*5 + COLUMN(C36) + 1 )</f>
        <v>2.89</v>
      </c>
      <c r="E37" s="137">
        <f>INDEX(Calc!$K:$K, (ROW(D36)-1)*5 + COLUMN(D36) + 1 )</f>
        <v>2.71</v>
      </c>
      <c r="F37" s="138">
        <f>INDEX(Calc!$K:$K, (ROW(E36)-1)*5 + COLUMN(E36) + 1 )</f>
        <v>2.5499999999999998</v>
      </c>
      <c r="G37" s="133">
        <f>Закуп!O37</f>
        <v>16.25</v>
      </c>
      <c r="H37" s="133" t="str">
        <f>Закуп!Q37</f>
        <v>10-20 л</v>
      </c>
      <c r="I37" s="133" t="str">
        <f>Закуп!X37</f>
        <v>500-599 мм</v>
      </c>
      <c r="J37" s="133" t="str">
        <f>Закуп!Y37</f>
        <v>500-599 мм</v>
      </c>
      <c r="K37" s="133" t="str">
        <f>Закуп!Z37</f>
        <v>10-99 мм</v>
      </c>
      <c r="L37" s="133" t="str">
        <f>Закуп!AA37</f>
        <v>Самосборные</v>
      </c>
      <c r="M37" s="133" t="str">
        <f>Закуп!V37</f>
        <v/>
      </c>
      <c r="N37" s="133" t="str">
        <f>Закуп!W37</f>
        <v>Плоские</v>
      </c>
      <c r="O37" s="139" t="str">
        <f>IF(OR(Закуп!L37="",Закуп!L37=0),"",Закуп!L37)</f>
        <v/>
      </c>
      <c r="P37" s="133" t="str">
        <f>Закуп!K37</f>
        <v>K37</v>
      </c>
      <c r="Q37" s="217" t="str">
        <f>IF(Закуп!D37="","",IF(LEFT(Закуп!D37,1)="0","0",Закуп!D37))</f>
        <v>У</v>
      </c>
      <c r="R37" s="155">
        <f>Закуп!C37</f>
        <v>37</v>
      </c>
    </row>
    <row r="38" spans="1:18" x14ac:dyDescent="0.3">
      <c r="A38" s="131" t="str">
        <f>Закуп!E38</f>
        <v>300х215х65</v>
      </c>
      <c r="B38" s="127">
        <f>INDEX(Calc!$K:$K, (ROW(A37)-1)*5 + COLUMN(A37) + 1 )</f>
        <v>2.09</v>
      </c>
      <c r="C38" s="127">
        <f>INDEX(Calc!$K:$K, (ROW(B37)-1)*5 + COLUMN(B37) + 1 )</f>
        <v>1.88</v>
      </c>
      <c r="D38" s="136">
        <f>INDEX(Calc!$K:$K, (ROW(C37)-1)*5 + COLUMN(C37) + 1 )</f>
        <v>1.68</v>
      </c>
      <c r="E38" s="137">
        <f>INDEX(Calc!$K:$K, (ROW(D37)-1)*5 + COLUMN(D37) + 1 )</f>
        <v>1.59</v>
      </c>
      <c r="F38" s="138">
        <f>INDEX(Calc!$K:$K, (ROW(E37)-1)*5 + COLUMN(E37) + 1 )</f>
        <v>1.49</v>
      </c>
      <c r="G38" s="133">
        <f>Закуп!O38</f>
        <v>4.1900000000000004</v>
      </c>
      <c r="H38" s="133" t="str">
        <f>Закуп!Q38</f>
        <v>3-5 л</v>
      </c>
      <c r="I38" s="133" t="str">
        <f>Закуп!X38</f>
        <v>300-399 мм</v>
      </c>
      <c r="J38" s="133" t="str">
        <f>Закуп!Y38</f>
        <v>200-299 мм</v>
      </c>
      <c r="K38" s="133" t="str">
        <f>Закуп!Z38</f>
        <v>10-99 мм</v>
      </c>
      <c r="L38" s="133" t="str">
        <f>Закуп!AA38</f>
        <v>Самосборные</v>
      </c>
      <c r="M38" s="133" t="str">
        <f>Закуп!V38</f>
        <v/>
      </c>
      <c r="N38" s="133" t="str">
        <f>Закуп!W38</f>
        <v>Плоские</v>
      </c>
      <c r="O38" s="139" t="str">
        <f>IF(OR(Закуп!L38="",Закуп!L38=0),"",Закуп!L38)</f>
        <v/>
      </c>
      <c r="P38" s="133" t="str">
        <f>Закуп!K38</f>
        <v>K38</v>
      </c>
      <c r="Q38" s="217" t="str">
        <f>IF(Закуп!D38="","",IF(LEFT(Закуп!D38,1)="0","0",Закуп!D38))</f>
        <v>У</v>
      </c>
      <c r="R38" s="155">
        <f>Закуп!C38</f>
        <v>38</v>
      </c>
    </row>
    <row r="39" spans="1:18" x14ac:dyDescent="0.3">
      <c r="A39" s="131" t="str">
        <f>Закуп!E39</f>
        <v>120х100х890</v>
      </c>
      <c r="B39" s="127">
        <f>INDEX(Calc!$K:$K, (ROW(A38)-1)*5 + COLUMN(A38) + 1 )</f>
        <v>2.42</v>
      </c>
      <c r="C39" s="127">
        <f>INDEX(Calc!$K:$K, (ROW(B38)-1)*5 + COLUMN(B38) + 1 )</f>
        <v>2.0499999999999998</v>
      </c>
      <c r="D39" s="136">
        <f>INDEX(Calc!$K:$K, (ROW(C38)-1)*5 + COLUMN(C38) + 1 )</f>
        <v>1.79</v>
      </c>
      <c r="E39" s="137">
        <f>INDEX(Calc!$K:$K, (ROW(D38)-1)*5 + COLUMN(D38) + 1 )</f>
        <v>1.61</v>
      </c>
      <c r="F39" s="138">
        <f>INDEX(Calc!$K:$K, (ROW(E38)-1)*5 + COLUMN(E38) + 1 )</f>
        <v>1.52</v>
      </c>
      <c r="G39" s="133">
        <f>Закуп!O39</f>
        <v>10.68</v>
      </c>
      <c r="H39" s="133" t="str">
        <f>Закуп!Q39</f>
        <v>10-20 л</v>
      </c>
      <c r="I39" s="133" t="str">
        <f>Закуп!X39</f>
        <v>700-999 мм</v>
      </c>
      <c r="J39" s="133" t="str">
        <f>Закуп!Y39</f>
        <v>100-199 мм</v>
      </c>
      <c r="K39" s="133" t="str">
        <f>Закуп!Z39</f>
        <v>100-199 мм</v>
      </c>
      <c r="L39" s="133" t="str">
        <f>Закуп!AA39</f>
        <v>Самосборные</v>
      </c>
      <c r="M39" s="133" t="str">
        <f>Закуп!V39</f>
        <v>Длинные</v>
      </c>
      <c r="N39" s="133" t="str">
        <f>Закуп!W39</f>
        <v/>
      </c>
      <c r="O39" s="139" t="str">
        <f>IF(OR(Закуп!L39="",Закуп!L39=0),"",Закуп!L39)</f>
        <v/>
      </c>
      <c r="P39" s="133" t="str">
        <f>Закуп!K39</f>
        <v>K39</v>
      </c>
      <c r="Q39" s="217" t="str">
        <f>IF(Закуп!D39="","",IF(LEFT(Закуп!D39,1)="0","0",Закуп!D39))</f>
        <v>У</v>
      </c>
      <c r="R39" s="155">
        <f>Закуп!C39</f>
        <v>39</v>
      </c>
    </row>
    <row r="40" spans="1:18" x14ac:dyDescent="0.3">
      <c r="A40" s="131" t="str">
        <f>Закуп!E40</f>
        <v>55х55х425</v>
      </c>
      <c r="B40" s="127">
        <f>INDEX(Calc!$K:$K, (ROW(A39)-1)*5 + COLUMN(A39) + 1 )</f>
        <v>1.78</v>
      </c>
      <c r="C40" s="127">
        <f>INDEX(Calc!$K:$K, (ROW(B39)-1)*5 + COLUMN(B39) + 1 )</f>
        <v>1.62</v>
      </c>
      <c r="D40" s="136">
        <f>INDEX(Calc!$K:$K, (ROW(C39)-1)*5 + COLUMN(C39) + 1 )</f>
        <v>1.27</v>
      </c>
      <c r="E40" s="137">
        <f>INDEX(Calc!$K:$K, (ROW(D39)-1)*5 + COLUMN(D39) + 1 )</f>
        <v>1.2</v>
      </c>
      <c r="F40" s="138">
        <f>INDEX(Calc!$K:$K, (ROW(E39)-1)*5 + COLUMN(E39) + 1 )</f>
        <v>1.05</v>
      </c>
      <c r="G40" s="133">
        <f>Закуп!O40</f>
        <v>1.29</v>
      </c>
      <c r="H40" s="133" t="str">
        <f>Закуп!Q40</f>
        <v>1-2 л</v>
      </c>
      <c r="I40" s="133" t="str">
        <f>Закуп!X40</f>
        <v>400-499 мм</v>
      </c>
      <c r="J40" s="133" t="str">
        <f>Закуп!Y40</f>
        <v>10-99 мм</v>
      </c>
      <c r="K40" s="133" t="str">
        <f>Закуп!Z40</f>
        <v>10-99 мм</v>
      </c>
      <c r="L40" s="133" t="str">
        <f>Закуп!AA40</f>
        <v>Самосборные</v>
      </c>
      <c r="M40" s="133" t="str">
        <f>Закуп!V40</f>
        <v>Длинные</v>
      </c>
      <c r="N40" s="133" t="str">
        <f>Закуп!W40</f>
        <v/>
      </c>
      <c r="O40" s="139" t="str">
        <f>IF(OR(Закуп!L40="",Закуп!L40=0),"",Закуп!L40)</f>
        <v/>
      </c>
      <c r="P40" s="133" t="str">
        <f>Закуп!K40</f>
        <v>K40</v>
      </c>
      <c r="Q40" s="217" t="str">
        <f>IF(Закуп!D40="","",IF(LEFT(Закуп!D40,1)="0","0",Закуп!D40))</f>
        <v>У</v>
      </c>
      <c r="R40" s="155">
        <f>Закуп!C40</f>
        <v>40</v>
      </c>
    </row>
    <row r="41" spans="1:18" x14ac:dyDescent="0.3">
      <c r="A41" s="131" t="str">
        <f>Закуп!E41</f>
        <v>245х140х110</v>
      </c>
      <c r="B41" s="127">
        <f>INDEX(Calc!$K:$K, (ROW(A40)-1)*5 + COLUMN(A40) + 1 )</f>
        <v>1.69</v>
      </c>
      <c r="C41" s="127">
        <f>INDEX(Calc!$K:$K, (ROW(B40)-1)*5 + COLUMN(B40) + 1 )</f>
        <v>1.54</v>
      </c>
      <c r="D41" s="136">
        <f>INDEX(Calc!$K:$K, (ROW(C40)-1)*5 + COLUMN(C40) + 1 )</f>
        <v>1.22</v>
      </c>
      <c r="E41" s="137">
        <f>INDEX(Calc!$K:$K, (ROW(D40)-1)*5 + COLUMN(D40) + 1 )</f>
        <v>1.1399999999999999</v>
      </c>
      <c r="F41" s="138">
        <f>INDEX(Calc!$K:$K, (ROW(E40)-1)*5 + COLUMN(E40) + 1 )</f>
        <v>1.01</v>
      </c>
      <c r="G41" s="133">
        <f>Закуп!O41</f>
        <v>3.77</v>
      </c>
      <c r="H41" s="133" t="str">
        <f>Закуп!Q41</f>
        <v>3-5 л</v>
      </c>
      <c r="I41" s="133" t="str">
        <f>Закуп!X41</f>
        <v>200-299 мм</v>
      </c>
      <c r="J41" s="133" t="str">
        <f>Закуп!Y41</f>
        <v>100-199 мм</v>
      </c>
      <c r="K41" s="133" t="str">
        <f>Закуп!Z41</f>
        <v>100-199 мм</v>
      </c>
      <c r="L41" s="133" t="str">
        <f>Закуп!AA41</f>
        <v>Самосборные</v>
      </c>
      <c r="M41" s="133" t="str">
        <f>Закуп!V41</f>
        <v/>
      </c>
      <c r="N41" s="133" t="str">
        <f>Закуп!W41</f>
        <v/>
      </c>
      <c r="O41" s="139" t="str">
        <f>IF(OR(Закуп!L41="",Закуп!L41=0),"",Закуп!L41)</f>
        <v/>
      </c>
      <c r="P41" s="133" t="str">
        <f>Закуп!K41</f>
        <v>K41</v>
      </c>
      <c r="Q41" s="217" t="str">
        <f>IF(Закуп!D41="","",IF(LEFT(Закуп!D41,1)="0","0",Закуп!D41))</f>
        <v>У</v>
      </c>
      <c r="R41" s="155">
        <f>Закуп!C41</f>
        <v>41</v>
      </c>
    </row>
    <row r="42" spans="1:18" x14ac:dyDescent="0.3">
      <c r="A42" s="131" t="str">
        <f>Закуп!E42</f>
        <v>450х220х192</v>
      </c>
      <c r="B42" s="127">
        <f>INDEX(Calc!$K:$K, (ROW(A41)-1)*5 + COLUMN(A41) + 1 )</f>
        <v>2.57</v>
      </c>
      <c r="C42" s="127">
        <f>INDEX(Calc!$K:$K, (ROW(B41)-1)*5 + COLUMN(B41) + 1 )</f>
        <v>2.0499999999999998</v>
      </c>
      <c r="D42" s="136">
        <f>INDEX(Calc!$K:$K, (ROW(C41)-1)*5 + COLUMN(C41) + 1 )</f>
        <v>1.87</v>
      </c>
      <c r="E42" s="137">
        <f>INDEX(Calc!$K:$K, (ROW(D41)-1)*5 + COLUMN(D41) + 1 )</f>
        <v>1.67</v>
      </c>
      <c r="F42" s="138">
        <f>INDEX(Calc!$K:$K, (ROW(E41)-1)*5 + COLUMN(E41) + 1 )</f>
        <v>1.62</v>
      </c>
      <c r="G42" s="133">
        <f>Закуп!O42</f>
        <v>19.010000000000002</v>
      </c>
      <c r="H42" s="133" t="str">
        <f>Закуп!Q42</f>
        <v>10-20 л</v>
      </c>
      <c r="I42" s="133" t="str">
        <f>Закуп!X42</f>
        <v>400-499 мм</v>
      </c>
      <c r="J42" s="133" t="str">
        <f>Закуп!Y42</f>
        <v>200-299 мм</v>
      </c>
      <c r="K42" s="133" t="str">
        <f>Закуп!Z42</f>
        <v>100-199 мм</v>
      </c>
      <c r="L42" s="133" t="str">
        <f>Закуп!AA42</f>
        <v>Самосборные</v>
      </c>
      <c r="M42" s="133" t="str">
        <f>Закуп!V42</f>
        <v>Длинные</v>
      </c>
      <c r="N42" s="133" t="str">
        <f>Закуп!W42</f>
        <v/>
      </c>
      <c r="O42" s="139" t="str">
        <f>IF(OR(Закуп!L42="",Закуп!L42=0),"",Закуп!L42)</f>
        <v/>
      </c>
      <c r="P42" s="133" t="str">
        <f>Закуп!K42</f>
        <v>K42</v>
      </c>
      <c r="Q42" s="217" t="str">
        <f>IF(Закуп!D42="","",IF(LEFT(Закуп!D42,1)="0","0",Закуп!D42))</f>
        <v>У</v>
      </c>
      <c r="R42" s="155">
        <f>Закуп!C42</f>
        <v>42</v>
      </c>
    </row>
    <row r="43" spans="1:18" x14ac:dyDescent="0.3">
      <c r="A43" s="131" t="str">
        <f>Закуп!E43</f>
        <v>200х80х100</v>
      </c>
      <c r="B43" s="127">
        <f>INDEX(Calc!$K:$K, (ROW(A42)-1)*5 + COLUMN(A42) + 1 )</f>
        <v>1.5</v>
      </c>
      <c r="C43" s="127">
        <f>INDEX(Calc!$K:$K, (ROW(B42)-1)*5 + COLUMN(B42) + 1 )</f>
        <v>1.36</v>
      </c>
      <c r="D43" s="136">
        <f>INDEX(Calc!$K:$K, (ROW(C42)-1)*5 + COLUMN(C42) + 1 )</f>
        <v>1.07</v>
      </c>
      <c r="E43" s="137">
        <f>INDEX(Calc!$K:$K, (ROW(D42)-1)*5 + COLUMN(D42) + 1 )</f>
        <v>1.01</v>
      </c>
      <c r="F43" s="138">
        <f>INDEX(Calc!$K:$K, (ROW(E42)-1)*5 + COLUMN(E42) + 1 )</f>
        <v>0.95</v>
      </c>
      <c r="G43" s="133">
        <f>Закуп!O43</f>
        <v>1.6</v>
      </c>
      <c r="H43" s="133" t="str">
        <f>Закуп!Q43</f>
        <v>1-2 л</v>
      </c>
      <c r="I43" s="133" t="str">
        <f>Закуп!X43</f>
        <v>200-299 мм</v>
      </c>
      <c r="J43" s="133" t="str">
        <f>Закуп!Y43</f>
        <v>100-199 мм</v>
      </c>
      <c r="K43" s="133" t="str">
        <f>Закуп!Z43</f>
        <v>10-99 мм</v>
      </c>
      <c r="L43" s="133" t="str">
        <f>Закуп!AA43</f>
        <v>Самосборные</v>
      </c>
      <c r="M43" s="133" t="str">
        <f>Закуп!V43</f>
        <v>Длинные</v>
      </c>
      <c r="N43" s="133" t="str">
        <f>Закуп!W43</f>
        <v/>
      </c>
      <c r="O43" s="139" t="str">
        <f>IF(OR(Закуп!L43="",Закуп!L43=0),"",Закуп!L43)</f>
        <v/>
      </c>
      <c r="P43" s="133" t="str">
        <f>Закуп!K43</f>
        <v>K43</v>
      </c>
      <c r="Q43" s="217" t="str">
        <f>IF(Закуп!D43="","",IF(LEFT(Закуп!D43,1)="0","0",Закуп!D43))</f>
        <v>У</v>
      </c>
      <c r="R43" s="155">
        <f>Закуп!C43</f>
        <v>43</v>
      </c>
    </row>
    <row r="44" spans="1:18" x14ac:dyDescent="0.3">
      <c r="A44" s="131" t="str">
        <f>Закуп!E44</f>
        <v>573х333х85</v>
      </c>
      <c r="B44" s="127">
        <f>INDEX(Calc!$K:$K, (ROW(A43)-1)*5 + COLUMN(A43) + 1 )</f>
        <v>3.96</v>
      </c>
      <c r="C44" s="127">
        <f>INDEX(Calc!$K:$K, (ROW(B43)-1)*5 + COLUMN(B43) + 1 )</f>
        <v>3.55</v>
      </c>
      <c r="D44" s="136">
        <f>INDEX(Calc!$K:$K, (ROW(C43)-1)*5 + COLUMN(C43) + 1 )</f>
        <v>3.37</v>
      </c>
      <c r="E44" s="137">
        <f>INDEX(Calc!$K:$K, (ROW(D43)-1)*5 + COLUMN(D43) + 1 )</f>
        <v>3.17</v>
      </c>
      <c r="F44" s="138">
        <f>INDEX(Calc!$K:$K, (ROW(E43)-1)*5 + COLUMN(E43) + 1 )</f>
        <v>2.96</v>
      </c>
      <c r="G44" s="133">
        <f>Закуп!O44</f>
        <v>16.22</v>
      </c>
      <c r="H44" s="133" t="str">
        <f>Закуп!Q44</f>
        <v>10-20 л</v>
      </c>
      <c r="I44" s="133" t="str">
        <f>Закуп!X44</f>
        <v>500-599 мм</v>
      </c>
      <c r="J44" s="133" t="str">
        <f>Закуп!Y44</f>
        <v>300-399 мм</v>
      </c>
      <c r="K44" s="133" t="str">
        <f>Закуп!Z44</f>
        <v>10-99 мм</v>
      </c>
      <c r="L44" s="133" t="str">
        <f>Закуп!AA44</f>
        <v>Самосборные</v>
      </c>
      <c r="M44" s="133" t="str">
        <f>Закуп!V44</f>
        <v/>
      </c>
      <c r="N44" s="133" t="str">
        <f>Закуп!W44</f>
        <v>Плоские</v>
      </c>
      <c r="O44" s="139" t="str">
        <f>IF(OR(Закуп!L44="",Закуп!L44=0),"",Закуп!L44)</f>
        <v/>
      </c>
      <c r="P44" s="133" t="str">
        <f>Закуп!K44</f>
        <v>K44</v>
      </c>
      <c r="Q44" s="217" t="str">
        <f>IF(Закуп!D44="","",IF(LEFT(Закуп!D44,1)="0","0",Закуп!D44))</f>
        <v>У</v>
      </c>
      <c r="R44" s="155">
        <f>Закуп!C44</f>
        <v>44</v>
      </c>
    </row>
    <row r="45" spans="1:18" x14ac:dyDescent="0.3">
      <c r="A45" s="131" t="str">
        <f>Закуп!E45</f>
        <v>380х155х125</v>
      </c>
      <c r="B45" s="127">
        <f>INDEX(Calc!$K:$K, (ROW(A44)-1)*5 + COLUMN(A44) + 1 )</f>
        <v>2.4</v>
      </c>
      <c r="C45" s="127">
        <f>INDEX(Calc!$K:$K, (ROW(B44)-1)*5 + COLUMN(B44) + 1 )</f>
        <v>2.1800000000000002</v>
      </c>
      <c r="D45" s="136">
        <f>INDEX(Calc!$K:$K, (ROW(C44)-1)*5 + COLUMN(C44) + 1 )</f>
        <v>1.7</v>
      </c>
      <c r="E45" s="137">
        <f>INDEX(Calc!$K:$K, (ROW(D44)-1)*5 + COLUMN(D44) + 1 )</f>
        <v>1.48</v>
      </c>
      <c r="F45" s="138">
        <f>INDEX(Calc!$K:$K, (ROW(E44)-1)*5 + COLUMN(E44) + 1 )</f>
        <v>1.38</v>
      </c>
      <c r="G45" s="133">
        <f>Закуп!O45</f>
        <v>7.36</v>
      </c>
      <c r="H45" s="133" t="str">
        <f>Закуп!Q45</f>
        <v>5-10 л</v>
      </c>
      <c r="I45" s="133" t="str">
        <f>Закуп!X45</f>
        <v>300-399 мм</v>
      </c>
      <c r="J45" s="133" t="str">
        <f>Закуп!Y45</f>
        <v>100-199 мм</v>
      </c>
      <c r="K45" s="133" t="str">
        <f>Закуп!Z45</f>
        <v>100-199 мм</v>
      </c>
      <c r="L45" s="133" t="str">
        <f>Закуп!AA45</f>
        <v>Самосборные</v>
      </c>
      <c r="M45" s="133" t="str">
        <f>Закуп!V45</f>
        <v>Длинные</v>
      </c>
      <c r="N45" s="133" t="str">
        <f>Закуп!W45</f>
        <v/>
      </c>
      <c r="O45" s="139" t="str">
        <f>IF(OR(Закуп!L45="",Закуп!L45=0),"",Закуп!L45)</f>
        <v/>
      </c>
      <c r="P45" s="133" t="str">
        <f>Закуп!K45</f>
        <v>K45</v>
      </c>
      <c r="Q45" s="217" t="str">
        <f>IF(Закуп!D45="","",IF(LEFT(Закуп!D45,1)="0","0",Закуп!D45))</f>
        <v>У</v>
      </c>
      <c r="R45" s="155">
        <f>Закуп!C45</f>
        <v>45</v>
      </c>
    </row>
    <row r="46" spans="1:18" x14ac:dyDescent="0.3">
      <c r="A46" s="131" t="str">
        <f>Закуп!E46</f>
        <v>120х100х770</v>
      </c>
      <c r="B46" s="127">
        <f>INDEX(Calc!$K:$K, (ROW(A45)-1)*5 + COLUMN(A45) + 1 )</f>
        <v>2.4</v>
      </c>
      <c r="C46" s="127">
        <f>INDEX(Calc!$K:$K, (ROW(B45)-1)*5 + COLUMN(B45) + 1 )</f>
        <v>2.1800000000000002</v>
      </c>
      <c r="D46" s="136">
        <f>INDEX(Calc!$K:$K, (ROW(C45)-1)*5 + COLUMN(C45) + 1 )</f>
        <v>1.7</v>
      </c>
      <c r="E46" s="137">
        <f>INDEX(Calc!$K:$K, (ROW(D45)-1)*5 + COLUMN(D45) + 1 )</f>
        <v>1.48</v>
      </c>
      <c r="F46" s="138">
        <f>INDEX(Calc!$K:$K, (ROW(E45)-1)*5 + COLUMN(E45) + 1 )</f>
        <v>1.38</v>
      </c>
      <c r="G46" s="133">
        <f>Закуп!O46</f>
        <v>9.24</v>
      </c>
      <c r="H46" s="133" t="str">
        <f>Закуп!Q46</f>
        <v>5-10 л</v>
      </c>
      <c r="I46" s="133" t="str">
        <f>Закуп!X46</f>
        <v>700-999 мм</v>
      </c>
      <c r="J46" s="133" t="str">
        <f>Закуп!Y46</f>
        <v>100-199 мм</v>
      </c>
      <c r="K46" s="133" t="str">
        <f>Закуп!Z46</f>
        <v>100-199 мм</v>
      </c>
      <c r="L46" s="133" t="str">
        <f>Закуп!AA46</f>
        <v>Самосборные</v>
      </c>
      <c r="M46" s="133" t="str">
        <f>Закуп!V46</f>
        <v>Длинные</v>
      </c>
      <c r="N46" s="133" t="str">
        <f>Закуп!W46</f>
        <v/>
      </c>
      <c r="O46" s="139" t="str">
        <f>IF(OR(Закуп!L46="",Закуп!L46=0),"",Закуп!L46)</f>
        <v/>
      </c>
      <c r="P46" s="133" t="str">
        <f>Закуп!K46</f>
        <v>K46</v>
      </c>
      <c r="Q46" s="217" t="str">
        <f>IF(Закуп!D46="","",IF(LEFT(Закуп!D46,1)="0","0",Закуп!D46))</f>
        <v>У</v>
      </c>
      <c r="R46" s="155">
        <f>Закуп!C46</f>
        <v>46</v>
      </c>
    </row>
    <row r="47" spans="1:18" x14ac:dyDescent="0.3">
      <c r="A47" s="131" t="str">
        <f>Закуп!E47</f>
        <v>500х500х45</v>
      </c>
      <c r="B47" s="127">
        <f>INDEX(Calc!$K:$K, (ROW(A46)-1)*5 + COLUMN(A46) + 1 )</f>
        <v>3.96</v>
      </c>
      <c r="C47" s="127">
        <f>INDEX(Calc!$K:$K, (ROW(B46)-1)*5 + COLUMN(B46) + 1 )</f>
        <v>3.75</v>
      </c>
      <c r="D47" s="136">
        <f>INDEX(Calc!$K:$K, (ROW(C46)-1)*5 + COLUMN(C46) + 1 )</f>
        <v>3.31</v>
      </c>
      <c r="E47" s="137">
        <f>INDEX(Calc!$K:$K, (ROW(D46)-1)*5 + COLUMN(D46) + 1 )</f>
        <v>2.82</v>
      </c>
      <c r="F47" s="138">
        <f>INDEX(Calc!$K:$K, (ROW(E46)-1)*5 + COLUMN(E46) + 1 )</f>
        <v>2.4</v>
      </c>
      <c r="G47" s="133">
        <f>Закуп!O47</f>
        <v>11.25</v>
      </c>
      <c r="H47" s="133" t="str">
        <f>Закуп!Q47</f>
        <v>10-20 л</v>
      </c>
      <c r="I47" s="133" t="str">
        <f>Закуп!X47</f>
        <v>500-599 мм</v>
      </c>
      <c r="J47" s="133" t="str">
        <f>Закуп!Y47</f>
        <v>500-599 мм</v>
      </c>
      <c r="K47" s="133" t="str">
        <f>Закуп!Z47</f>
        <v>10-99 мм</v>
      </c>
      <c r="L47" s="133" t="str">
        <f>Закуп!AA47</f>
        <v>Самосборные</v>
      </c>
      <c r="M47" s="133" t="str">
        <f>Закуп!V47</f>
        <v/>
      </c>
      <c r="N47" s="133" t="str">
        <f>Закуп!W47</f>
        <v>Плоские</v>
      </c>
      <c r="O47" s="139" t="str">
        <f>IF(OR(Закуп!L47="",Закуп!L47=0),"",Закуп!L47)</f>
        <v/>
      </c>
      <c r="P47" s="133" t="str">
        <f>Закуп!K47</f>
        <v>K47</v>
      </c>
      <c r="Q47" s="217" t="str">
        <f>IF(Закуп!D47="","",IF(LEFT(Закуп!D47,1)="0","0",Закуп!D47))</f>
        <v>У</v>
      </c>
      <c r="R47" s="155">
        <f>Закуп!C47</f>
        <v>47</v>
      </c>
    </row>
    <row r="48" spans="1:18" x14ac:dyDescent="0.3">
      <c r="A48" s="131" t="str">
        <f>Закуп!E48</f>
        <v>250х120х900</v>
      </c>
      <c r="B48" s="127">
        <f>INDEX(Calc!$K:$K, (ROW(A47)-1)*5 + COLUMN(A47) + 1 )</f>
        <v>4.13</v>
      </c>
      <c r="C48" s="127">
        <f>INDEX(Calc!$K:$K, (ROW(B47)-1)*5 + COLUMN(B47) + 1 )</f>
        <v>3.26</v>
      </c>
      <c r="D48" s="136">
        <f>INDEX(Calc!$K:$K, (ROW(C47)-1)*5 + COLUMN(C47) + 1 )</f>
        <v>2.75</v>
      </c>
      <c r="E48" s="137">
        <f>INDEX(Calc!$K:$K, (ROW(D47)-1)*5 + COLUMN(D47) + 1 )</f>
        <v>2.6</v>
      </c>
      <c r="F48" s="138">
        <f>INDEX(Calc!$K:$K, (ROW(E47)-1)*5 + COLUMN(E47) + 1 )</f>
        <v>2.5299999999999998</v>
      </c>
      <c r="G48" s="133">
        <f>Закуп!O48</f>
        <v>27</v>
      </c>
      <c r="H48" s="133" t="str">
        <f>Закуп!Q48</f>
        <v>20-50 л</v>
      </c>
      <c r="I48" s="133" t="str">
        <f>Закуп!X48</f>
        <v>700-999 мм</v>
      </c>
      <c r="J48" s="133" t="str">
        <f>Закуп!Y48</f>
        <v>200-299 мм</v>
      </c>
      <c r="K48" s="133" t="str">
        <f>Закуп!Z48</f>
        <v>100-199 мм</v>
      </c>
      <c r="L48" s="133" t="str">
        <f>Закуп!AA48</f>
        <v>Самосборные</v>
      </c>
      <c r="M48" s="133" t="str">
        <f>Закуп!V48</f>
        <v>Длинные</v>
      </c>
      <c r="N48" s="133" t="str">
        <f>Закуп!W48</f>
        <v>Плоские</v>
      </c>
      <c r="O48" s="139" t="str">
        <f>IF(OR(Закуп!L48="",Закуп!L48=0),"",Закуп!L48)</f>
        <v/>
      </c>
      <c r="P48" s="133" t="str">
        <f>Закуп!K48</f>
        <v>K48</v>
      </c>
      <c r="Q48" s="217" t="str">
        <f>IF(Закуп!D48="","",IF(LEFT(Закуп!D48,1)="0","0",Закуп!D48))</f>
        <v>У</v>
      </c>
      <c r="R48" s="155">
        <f>Закуп!C48</f>
        <v>48</v>
      </c>
    </row>
    <row r="49" spans="1:18" x14ac:dyDescent="0.3">
      <c r="A49" s="131" t="str">
        <f>Закуп!E49</f>
        <v>350х350х40</v>
      </c>
      <c r="B49" s="127">
        <f>INDEX(Calc!$K:$K, (ROW(A48)-1)*5 + COLUMN(A48) + 1 )</f>
        <v>2.4300000000000002</v>
      </c>
      <c r="C49" s="127">
        <f>INDEX(Calc!$K:$K, (ROW(B48)-1)*5 + COLUMN(B48) + 1 )</f>
        <v>2.2000000000000002</v>
      </c>
      <c r="D49" s="136">
        <f>INDEX(Calc!$K:$K, (ROW(C48)-1)*5 + COLUMN(C48) + 1 )</f>
        <v>1.72</v>
      </c>
      <c r="E49" s="137">
        <f>INDEX(Calc!$K:$K, (ROW(D48)-1)*5 + COLUMN(D48) + 1 )</f>
        <v>1.49</v>
      </c>
      <c r="F49" s="138">
        <f>INDEX(Calc!$K:$K, (ROW(E48)-1)*5 + COLUMN(E48) + 1 )</f>
        <v>1.39</v>
      </c>
      <c r="G49" s="133">
        <f>Закуп!O49</f>
        <v>4.9000000000000004</v>
      </c>
      <c r="H49" s="133" t="str">
        <f>Закуп!Q49</f>
        <v>3-5 л</v>
      </c>
      <c r="I49" s="133" t="str">
        <f>Закуп!X49</f>
        <v>300-399 мм</v>
      </c>
      <c r="J49" s="133" t="str">
        <f>Закуп!Y49</f>
        <v>300-399 мм</v>
      </c>
      <c r="K49" s="133" t="str">
        <f>Закуп!Z49</f>
        <v>10-99 мм</v>
      </c>
      <c r="L49" s="133" t="str">
        <f>Закуп!AA49</f>
        <v>Самосборные</v>
      </c>
      <c r="M49" s="133" t="str">
        <f>Закуп!V49</f>
        <v/>
      </c>
      <c r="N49" s="133" t="str">
        <f>Закуп!W49</f>
        <v>Плоские</v>
      </c>
      <c r="O49" s="139" t="str">
        <f>IF(OR(Закуп!L49="",Закуп!L49=0),"",Закуп!L49)</f>
        <v/>
      </c>
      <c r="P49" s="133" t="str">
        <f>Закуп!K49</f>
        <v>K49</v>
      </c>
      <c r="Q49" s="217" t="str">
        <f>IF(Закуп!D49="","",IF(LEFT(Закуп!D49,1)="0","0",Закуп!D49))</f>
        <v>У</v>
      </c>
      <c r="R49" s="155">
        <f>Закуп!C49</f>
        <v>49</v>
      </c>
    </row>
    <row r="50" spans="1:18" x14ac:dyDescent="0.3">
      <c r="A50" s="131" t="str">
        <f>Закуп!E50</f>
        <v>935х135х55</v>
      </c>
      <c r="B50" s="127">
        <f>INDEX(Calc!$K:$K, (ROW(A49)-1)*5 + COLUMN(A49) + 1 )</f>
        <v>2.4300000000000002</v>
      </c>
      <c r="C50" s="127">
        <f>INDEX(Calc!$K:$K, (ROW(B49)-1)*5 + COLUMN(B49) + 1 )</f>
        <v>2.2000000000000002</v>
      </c>
      <c r="D50" s="136">
        <f>INDEX(Calc!$K:$K, (ROW(C49)-1)*5 + COLUMN(C49) + 1 )</f>
        <v>1.72</v>
      </c>
      <c r="E50" s="137">
        <f>INDEX(Calc!$K:$K, (ROW(D49)-1)*5 + COLUMN(D49) + 1 )</f>
        <v>1.49</v>
      </c>
      <c r="F50" s="138">
        <f>INDEX(Calc!$K:$K, (ROW(E49)-1)*5 + COLUMN(E49) + 1 )</f>
        <v>1.39</v>
      </c>
      <c r="G50" s="133">
        <f>Закуп!O50</f>
        <v>6.94</v>
      </c>
      <c r="H50" s="133" t="str">
        <f>Закуп!Q50</f>
        <v>5-10 л</v>
      </c>
      <c r="I50" s="133" t="str">
        <f>Закуп!X50</f>
        <v>700-999 мм</v>
      </c>
      <c r="J50" s="133" t="str">
        <f>Закуп!Y50</f>
        <v>100-199 мм</v>
      </c>
      <c r="K50" s="133" t="str">
        <f>Закуп!Z50</f>
        <v>10-99 мм</v>
      </c>
      <c r="L50" s="133" t="str">
        <f>Закуп!AA50</f>
        <v>Самосборные</v>
      </c>
      <c r="M50" s="133" t="str">
        <f>Закуп!V50</f>
        <v>Длинные</v>
      </c>
      <c r="N50" s="133" t="str">
        <f>Закуп!W50</f>
        <v>Плоские</v>
      </c>
      <c r="O50" s="139" t="str">
        <f>IF(OR(Закуп!L50="",Закуп!L50=0),"",Закуп!L50)</f>
        <v/>
      </c>
      <c r="P50" s="133" t="str">
        <f>Закуп!K50</f>
        <v>K50</v>
      </c>
      <c r="Q50" s="217" t="str">
        <f>IF(Закуп!D50="","",IF(LEFT(Закуп!D50,1)="0","0",Закуп!D50))</f>
        <v>У</v>
      </c>
      <c r="R50" s="155">
        <f>Закуп!C50</f>
        <v>50</v>
      </c>
    </row>
    <row r="51" spans="1:18" x14ac:dyDescent="0.3">
      <c r="A51" s="131" t="str">
        <f>Закуп!E51</f>
        <v>80х80х80</v>
      </c>
      <c r="B51" s="127">
        <f>INDEX(Calc!$K:$K, (ROW(A50)-1)*5 + COLUMN(A50) + 1 )</f>
        <v>1.07</v>
      </c>
      <c r="C51" s="127">
        <f>INDEX(Calc!$K:$K, (ROW(B50)-1)*5 + COLUMN(B50) + 1 )</f>
        <v>0.91</v>
      </c>
      <c r="D51" s="136">
        <f>INDEX(Calc!$K:$K, (ROW(C50)-1)*5 + COLUMN(C50) + 1 )</f>
        <v>0.75</v>
      </c>
      <c r="E51" s="137">
        <f>INDEX(Calc!$K:$K, (ROW(D50)-1)*5 + COLUMN(D50) + 1 )</f>
        <v>0.64</v>
      </c>
      <c r="F51" s="138">
        <f>INDEX(Calc!$K:$K, (ROW(E50)-1)*5 + COLUMN(E50) + 1 )</f>
        <v>0.54</v>
      </c>
      <c r="G51" s="133">
        <f>Закуп!O51</f>
        <v>0.51</v>
      </c>
      <c r="H51" s="133" t="str">
        <f>Закуп!Q51</f>
        <v>&lt;1 л</v>
      </c>
      <c r="I51" s="133" t="str">
        <f>Закуп!X51</f>
        <v>10-99 мм</v>
      </c>
      <c r="J51" s="133" t="str">
        <f>Закуп!Y51</f>
        <v>10-99 мм</v>
      </c>
      <c r="K51" s="133" t="str">
        <f>Закуп!Z51</f>
        <v>10-99 мм</v>
      </c>
      <c r="L51" s="133" t="str">
        <f>Закуп!AA51</f>
        <v>Самосборные</v>
      </c>
      <c r="M51" s="133" t="str">
        <f>Закуп!V51</f>
        <v/>
      </c>
      <c r="N51" s="133" t="str">
        <f>Закуп!W51</f>
        <v/>
      </c>
      <c r="O51" s="139" t="str">
        <f>IF(OR(Закуп!L51="",Закуп!L51=0),"",Закуп!L51)</f>
        <v/>
      </c>
      <c r="P51" s="133" t="str">
        <f>Закуп!K51</f>
        <v>K51</v>
      </c>
      <c r="Q51" s="217" t="str">
        <f>IF(Закуп!D51="","",IF(LEFT(Закуп!D51,1)="0","0",Закуп!D51))</f>
        <v>У</v>
      </c>
      <c r="R51" s="155">
        <f>Закуп!C51</f>
        <v>51</v>
      </c>
    </row>
    <row r="52" spans="1:18" x14ac:dyDescent="0.3">
      <c r="A52" s="131" t="str">
        <f>Закуп!E52</f>
        <v>205х60х60</v>
      </c>
      <c r="B52" s="127">
        <f>INDEX(Calc!$K:$K, (ROW(A51)-1)*5 + COLUMN(A51) + 1 )</f>
        <v>1.07</v>
      </c>
      <c r="C52" s="127">
        <f>INDEX(Calc!$K:$K, (ROW(B51)-1)*5 + COLUMN(B51) + 1 )</f>
        <v>0.96</v>
      </c>
      <c r="D52" s="136">
        <f>INDEX(Calc!$K:$K, (ROW(C51)-1)*5 + COLUMN(C51) + 1 )</f>
        <v>0.86</v>
      </c>
      <c r="E52" s="137">
        <f>INDEX(Calc!$K:$K, (ROW(D51)-1)*5 + COLUMN(D51) + 1 )</f>
        <v>0.75</v>
      </c>
      <c r="F52" s="138">
        <f>INDEX(Calc!$K:$K, (ROW(E51)-1)*5 + COLUMN(E51) + 1 )</f>
        <v>0.64</v>
      </c>
      <c r="G52" s="133">
        <f>Закуп!O52</f>
        <v>0.74</v>
      </c>
      <c r="H52" s="133" t="str">
        <f>Закуп!Q52</f>
        <v>&lt;1 л</v>
      </c>
      <c r="I52" s="133" t="str">
        <f>Закуп!X52</f>
        <v>200-299 мм</v>
      </c>
      <c r="J52" s="133" t="str">
        <f>Закуп!Y52</f>
        <v>10-99 мм</v>
      </c>
      <c r="K52" s="133" t="str">
        <f>Закуп!Z52</f>
        <v>10-99 мм</v>
      </c>
      <c r="L52" s="133" t="str">
        <f>Закуп!AA52</f>
        <v>Самосборные</v>
      </c>
      <c r="M52" s="133" t="str">
        <f>Закуп!V52</f>
        <v>Длинные</v>
      </c>
      <c r="N52" s="133" t="str">
        <f>Закуп!W52</f>
        <v/>
      </c>
      <c r="O52" s="139" t="str">
        <f>IF(OR(Закуп!L52="",Закуп!L52=0),"",Закуп!L52)</f>
        <v/>
      </c>
      <c r="P52" s="133" t="str">
        <f>Закуп!K52</f>
        <v>K52</v>
      </c>
      <c r="Q52" s="217" t="str">
        <f>IF(Закуп!D52="","",IF(LEFT(Закуп!D52,1)="0","0",Закуп!D52))</f>
        <v>У</v>
      </c>
      <c r="R52" s="155">
        <f>Закуп!C52</f>
        <v>52</v>
      </c>
    </row>
    <row r="53" spans="1:18" x14ac:dyDescent="0.3">
      <c r="A53" s="131" t="str">
        <f>Закуп!E53</f>
        <v>245х75х75</v>
      </c>
      <c r="B53" s="127">
        <f>INDEX(Calc!$K:$K, (ROW(A52)-1)*5 + COLUMN(A52) + 1 )</f>
        <v>1.03</v>
      </c>
      <c r="C53" s="127">
        <f>INDEX(Calc!$K:$K, (ROW(B52)-1)*5 + COLUMN(B52) + 1 )</f>
        <v>0.89</v>
      </c>
      <c r="D53" s="136">
        <f>INDEX(Calc!$K:$K, (ROW(C52)-1)*5 + COLUMN(C52) + 1 )</f>
        <v>0.71</v>
      </c>
      <c r="E53" s="137">
        <f>INDEX(Calc!$K:$K, (ROW(D52)-1)*5 + COLUMN(D52) + 1 )</f>
        <v>0.65</v>
      </c>
      <c r="F53" s="138">
        <f>INDEX(Calc!$K:$K, (ROW(E52)-1)*5 + COLUMN(E52) + 1 )</f>
        <v>0.56000000000000005</v>
      </c>
      <c r="G53" s="133">
        <f>Закуп!O53</f>
        <v>1.38</v>
      </c>
      <c r="H53" s="133" t="str">
        <f>Закуп!Q53</f>
        <v>1-2 л</v>
      </c>
      <c r="I53" s="133" t="str">
        <f>Закуп!X53</f>
        <v>200-299 мм</v>
      </c>
      <c r="J53" s="133" t="str">
        <f>Закуп!Y53</f>
        <v>10-99 мм</v>
      </c>
      <c r="K53" s="133" t="str">
        <f>Закуп!Z53</f>
        <v>10-99 мм</v>
      </c>
      <c r="L53" s="133" t="str">
        <f>Закуп!AA53</f>
        <v>Самосборные</v>
      </c>
      <c r="M53" s="133" t="str">
        <f>Закуп!V53</f>
        <v>Длинные</v>
      </c>
      <c r="N53" s="133" t="str">
        <f>Закуп!W53</f>
        <v/>
      </c>
      <c r="O53" s="139" t="str">
        <f>IF(OR(Закуп!L53="",Закуп!L53=0),"",Закуп!L53)</f>
        <v/>
      </c>
      <c r="P53" s="133" t="str">
        <f>Закуп!K53</f>
        <v>K53</v>
      </c>
      <c r="Q53" s="217" t="str">
        <f>IF(Закуп!D53="","",IF(LEFT(Закуп!D53,1)="0","0",Закуп!D53))</f>
        <v>У</v>
      </c>
      <c r="R53" s="155">
        <f>Закуп!C53</f>
        <v>53</v>
      </c>
    </row>
    <row r="54" spans="1:18" x14ac:dyDescent="0.3">
      <c r="A54" s="131" t="str">
        <f>Закуп!E54</f>
        <v>145х115х115</v>
      </c>
      <c r="B54" s="127">
        <f>INDEX(Calc!$K:$K, (ROW(A53)-1)*5 + COLUMN(A53) + 1 )</f>
        <v>1.24</v>
      </c>
      <c r="C54" s="127">
        <f>INDEX(Calc!$K:$K, (ROW(B53)-1)*5 + COLUMN(B53) + 1 )</f>
        <v>1.08</v>
      </c>
      <c r="D54" s="136">
        <f>INDEX(Calc!$K:$K, (ROW(C53)-1)*5 + COLUMN(C53) + 1 )</f>
        <v>0.92</v>
      </c>
      <c r="E54" s="137">
        <f>INDEX(Calc!$K:$K, (ROW(D53)-1)*5 + COLUMN(D53) + 1 )</f>
        <v>0.87</v>
      </c>
      <c r="F54" s="138">
        <f>INDEX(Calc!$K:$K, (ROW(E53)-1)*5 + COLUMN(E53) + 1 )</f>
        <v>0.8</v>
      </c>
      <c r="G54" s="133">
        <f>Закуп!O54</f>
        <v>1.92</v>
      </c>
      <c r="H54" s="133" t="str">
        <f>Закуп!Q54</f>
        <v>1-2 л</v>
      </c>
      <c r="I54" s="133" t="str">
        <f>Закуп!X54</f>
        <v>100-199 мм</v>
      </c>
      <c r="J54" s="133" t="str">
        <f>Закуп!Y54</f>
        <v>100-199 мм</v>
      </c>
      <c r="K54" s="133" t="str">
        <f>Закуп!Z54</f>
        <v>100-199 мм</v>
      </c>
      <c r="L54" s="133" t="str">
        <f>Закуп!AA54</f>
        <v>Самосборные</v>
      </c>
      <c r="M54" s="133" t="str">
        <f>Закуп!V54</f>
        <v/>
      </c>
      <c r="N54" s="133" t="str">
        <f>Закуп!W54</f>
        <v/>
      </c>
      <c r="O54" s="139" t="str">
        <f>IF(OR(Закуп!L54="",Закуп!L54=0),"",Закуп!L54)</f>
        <v/>
      </c>
      <c r="P54" s="133" t="str">
        <f>Закуп!K54</f>
        <v>K54</v>
      </c>
      <c r="Q54" s="217" t="str">
        <f>IF(Закуп!D54="","",IF(LEFT(Закуп!D54,1)="0","0",Закуп!D54))</f>
        <v>У</v>
      </c>
      <c r="R54" s="155">
        <f>Закуп!C54</f>
        <v>54</v>
      </c>
    </row>
    <row r="55" spans="1:18" x14ac:dyDescent="0.3">
      <c r="A55" s="131" t="str">
        <f>Закуп!E55</f>
        <v>320х170х75</v>
      </c>
      <c r="B55" s="127">
        <f>INDEX(Calc!$K:$K, (ROW(A54)-1)*5 + COLUMN(A54) + 1 )</f>
        <v>1.39</v>
      </c>
      <c r="C55" s="127">
        <f>INDEX(Calc!$K:$K, (ROW(B54)-1)*5 + COLUMN(B54) + 1 )</f>
        <v>1.21</v>
      </c>
      <c r="D55" s="136">
        <f>INDEX(Calc!$K:$K, (ROW(C54)-1)*5 + COLUMN(C54) + 1 )</f>
        <v>1.03</v>
      </c>
      <c r="E55" s="137">
        <f>INDEX(Calc!$K:$K, (ROW(D54)-1)*5 + COLUMN(D54) + 1 )</f>
        <v>0.96</v>
      </c>
      <c r="F55" s="138">
        <f>INDEX(Calc!$K:$K, (ROW(E54)-1)*5 + COLUMN(E54) + 1 )</f>
        <v>0.9</v>
      </c>
      <c r="G55" s="133">
        <f>Закуп!O55</f>
        <v>4.08</v>
      </c>
      <c r="H55" s="133" t="str">
        <f>Закуп!Q55</f>
        <v>3-5 л</v>
      </c>
      <c r="I55" s="133" t="str">
        <f>Закуп!X55</f>
        <v>300-399 мм</v>
      </c>
      <c r="J55" s="133" t="str">
        <f>Закуп!Y55</f>
        <v>100-199 мм</v>
      </c>
      <c r="K55" s="133" t="str">
        <f>Закуп!Z55</f>
        <v>10-99 мм</v>
      </c>
      <c r="L55" s="133" t="str">
        <f>Закуп!AA55</f>
        <v>Самосборные</v>
      </c>
      <c r="M55" s="133" t="str">
        <f>Закуп!V55</f>
        <v/>
      </c>
      <c r="N55" s="133" t="str">
        <f>Закуп!W55</f>
        <v>Плоские</v>
      </c>
      <c r="O55" s="139" t="str">
        <f>IF(OR(Закуп!L55="",Закуп!L55=0),"",Закуп!L55)</f>
        <v/>
      </c>
      <c r="P55" s="133" t="str">
        <f>Закуп!K55</f>
        <v>K55</v>
      </c>
      <c r="Q55" s="217" t="str">
        <f>IF(Закуп!D55="","",IF(LEFT(Закуп!D55,1)="0","0",Закуп!D55))</f>
        <v>У</v>
      </c>
      <c r="R55" s="155">
        <f>Закуп!C55</f>
        <v>55</v>
      </c>
    </row>
    <row r="56" spans="1:18" x14ac:dyDescent="0.3">
      <c r="A56" s="131" t="str">
        <f>Закуп!E56</f>
        <v>820х110х110</v>
      </c>
      <c r="B56" s="127">
        <f>INDEX(Calc!$K:$K, (ROW(A55)-1)*5 + COLUMN(A55) + 1 )</f>
        <v>2.62</v>
      </c>
      <c r="C56" s="127">
        <f>INDEX(Calc!$K:$K, (ROW(B55)-1)*5 + COLUMN(B55) + 1 )</f>
        <v>2.1</v>
      </c>
      <c r="D56" s="136">
        <f>INDEX(Calc!$K:$K, (ROW(C55)-1)*5 + COLUMN(C55) + 1 )</f>
        <v>1.92</v>
      </c>
      <c r="E56" s="137">
        <f>INDEX(Calc!$K:$K, (ROW(D55)-1)*5 + COLUMN(D55) + 1 )</f>
        <v>1.7</v>
      </c>
      <c r="F56" s="138">
        <f>INDEX(Calc!$K:$K, (ROW(E55)-1)*5 + COLUMN(E55) + 1 )</f>
        <v>1.65</v>
      </c>
      <c r="G56" s="133">
        <f>Закуп!O56</f>
        <v>9.92</v>
      </c>
      <c r="H56" s="133" t="str">
        <f>Закуп!Q56</f>
        <v>5-10 л</v>
      </c>
      <c r="I56" s="133" t="str">
        <f>Закуп!X56</f>
        <v>700-999 мм</v>
      </c>
      <c r="J56" s="133" t="str">
        <f>Закуп!Y56</f>
        <v>100-199 мм</v>
      </c>
      <c r="K56" s="133" t="str">
        <f>Закуп!Z56</f>
        <v>100-199 мм</v>
      </c>
      <c r="L56" s="133" t="str">
        <f>Закуп!AA56</f>
        <v>Самосборные</v>
      </c>
      <c r="M56" s="133" t="str">
        <f>Закуп!V56</f>
        <v>Длинные</v>
      </c>
      <c r="N56" s="133" t="str">
        <f>Закуп!W56</f>
        <v/>
      </c>
      <c r="O56" s="139" t="str">
        <f>IF(OR(Закуп!L56="",Закуп!L56=0),"",Закуп!L56)</f>
        <v/>
      </c>
      <c r="P56" s="133" t="str">
        <f>Закуп!K56</f>
        <v>K56</v>
      </c>
      <c r="Q56" s="217" t="str">
        <f>IF(Закуп!D56="","",IF(LEFT(Закуп!D56,1)="0","0",Закуп!D56))</f>
        <v>У</v>
      </c>
      <c r="R56" s="155">
        <f>Закуп!C56</f>
        <v>56</v>
      </c>
    </row>
    <row r="57" spans="1:18" x14ac:dyDescent="0.3">
      <c r="A57" s="131" t="str">
        <f>Закуп!E57</f>
        <v>440х330х386</v>
      </c>
      <c r="B57" s="127">
        <f>INDEX(Calc!$K:$K, (ROW(A56)-1)*5 + COLUMN(A56) + 1 )</f>
        <v>4.13</v>
      </c>
      <c r="C57" s="127">
        <f>INDEX(Calc!$K:$K, (ROW(B56)-1)*5 + COLUMN(B56) + 1 )</f>
        <v>4.0199999999999996</v>
      </c>
      <c r="D57" s="136">
        <f>INDEX(Calc!$K:$K, (ROW(C56)-1)*5 + COLUMN(C56) + 1 )</f>
        <v>3.36</v>
      </c>
      <c r="E57" s="137">
        <f>INDEX(Calc!$K:$K, (ROW(D56)-1)*5 + COLUMN(D56) + 1 )</f>
        <v>3.25</v>
      </c>
      <c r="F57" s="138">
        <f>INDEX(Calc!$K:$K, (ROW(E56)-1)*5 + COLUMN(E56) + 1 )</f>
        <v>3.15</v>
      </c>
      <c r="G57" s="133">
        <f>Закуп!O57</f>
        <v>56.05</v>
      </c>
      <c r="H57" s="133" t="str">
        <f>Закуп!Q57</f>
        <v>50-100 л</v>
      </c>
      <c r="I57" s="133" t="str">
        <f>Закуп!X57</f>
        <v>400-499 мм</v>
      </c>
      <c r="J57" s="133" t="str">
        <f>Закуп!Y57</f>
        <v>300-399 мм</v>
      </c>
      <c r="K57" s="133" t="str">
        <f>Закуп!Z57</f>
        <v>300-399 мм</v>
      </c>
      <c r="L57" s="133" t="str">
        <f>Закуп!AA57</f>
        <v>Четырехклапанные</v>
      </c>
      <c r="M57" s="133" t="str">
        <f>Закуп!V57</f>
        <v/>
      </c>
      <c r="N57" s="133" t="str">
        <f>Закуп!W57</f>
        <v/>
      </c>
      <c r="O57" s="139" t="str">
        <f>IF(OR(Закуп!L57="",Закуп!L57=0),"",Закуп!L57)</f>
        <v/>
      </c>
      <c r="P57" s="133" t="str">
        <f>Закуп!K57</f>
        <v>K57</v>
      </c>
      <c r="Q57" s="217" t="str">
        <f>IF(Закуп!D57="","",IF(LEFT(Закуп!D57,1)="0","0",Закуп!D57))</f>
        <v>У</v>
      </c>
      <c r="R57" s="155">
        <f>Закуп!C57</f>
        <v>57</v>
      </c>
    </row>
    <row r="58" spans="1:18" x14ac:dyDescent="0.3">
      <c r="A58" s="131" t="str">
        <f>Закуп!E58</f>
        <v>795х510х870</v>
      </c>
      <c r="B58" s="127">
        <f>INDEX(Calc!$K:$K, (ROW(A57)-1)*5 + COLUMN(A57) + 1 )</f>
        <v>11.1</v>
      </c>
      <c r="C58" s="127">
        <f>INDEX(Calc!$K:$K, (ROW(B57)-1)*5 + COLUMN(B57) + 1 )</f>
        <v>10.71</v>
      </c>
      <c r="D58" s="136">
        <f>INDEX(Calc!$K:$K, (ROW(C57)-1)*5 + COLUMN(C57) + 1 )</f>
        <v>10.34</v>
      </c>
      <c r="E58" s="137">
        <f>INDEX(Calc!$K:$K, (ROW(D57)-1)*5 + COLUMN(D57) + 1 )</f>
        <v>9.9499999999999993</v>
      </c>
      <c r="F58" s="138">
        <f>INDEX(Calc!$K:$K, (ROW(E57)-1)*5 + COLUMN(E57) + 1 )</f>
        <v>9.57</v>
      </c>
      <c r="G58" s="133">
        <f>Закуп!O58</f>
        <v>352.74</v>
      </c>
      <c r="H58" s="133" t="str">
        <f>Закуп!Q58</f>
        <v>100+ л</v>
      </c>
      <c r="I58" s="133" t="str">
        <f>Закуп!X58</f>
        <v>700-999 мм</v>
      </c>
      <c r="J58" s="133" t="str">
        <f>Закуп!Y58</f>
        <v>700-999 мм</v>
      </c>
      <c r="K58" s="133" t="str">
        <f>Закуп!Z58</f>
        <v>500-599 мм</v>
      </c>
      <c r="L58" s="133" t="str">
        <f>Закуп!AA58</f>
        <v>Четырехклапанные</v>
      </c>
      <c r="M58" s="133" t="str">
        <f>Закуп!V58</f>
        <v/>
      </c>
      <c r="N58" s="133" t="str">
        <f>Закуп!W58</f>
        <v/>
      </c>
      <c r="O58" s="139" t="str">
        <f>IF(OR(Закуп!L58="",Закуп!L58=0),"",Закуп!L58)</f>
        <v/>
      </c>
      <c r="P58" s="133" t="str">
        <f>Закуп!K58</f>
        <v>K58</v>
      </c>
      <c r="Q58" s="217" t="str">
        <f>IF(Закуп!D58="","",IF(LEFT(Закуп!D58,1)="0","0",Закуп!D58))</f>
        <v>У</v>
      </c>
      <c r="R58" s="155">
        <f>Закуп!C58</f>
        <v>58</v>
      </c>
    </row>
    <row r="59" spans="1:18" x14ac:dyDescent="0.3">
      <c r="A59" s="131" t="str">
        <f>Закуп!E59</f>
        <v>795х510х870</v>
      </c>
      <c r="B59" s="127">
        <f>INDEX(Calc!$K:$K, (ROW(A58)-1)*5 + COLUMN(A58) + 1 )</f>
        <v>13.04</v>
      </c>
      <c r="C59" s="127">
        <f>INDEX(Calc!$K:$K, (ROW(B58)-1)*5 + COLUMN(B58) + 1 )</f>
        <v>12.59</v>
      </c>
      <c r="D59" s="136">
        <f>INDEX(Calc!$K:$K, (ROW(C58)-1)*5 + COLUMN(C58) + 1 )</f>
        <v>12.13</v>
      </c>
      <c r="E59" s="137">
        <f>INDEX(Calc!$K:$K, (ROW(D58)-1)*5 + COLUMN(D58) + 1 )</f>
        <v>11.68</v>
      </c>
      <c r="F59" s="138">
        <f>INDEX(Calc!$K:$K, (ROW(E58)-1)*5 + COLUMN(E58) + 1 )</f>
        <v>11.25</v>
      </c>
      <c r="G59" s="133">
        <f>Закуп!O59</f>
        <v>352.74</v>
      </c>
      <c r="H59" s="133" t="str">
        <f>Закуп!Q59</f>
        <v>100+ л</v>
      </c>
      <c r="I59" s="133" t="str">
        <f>Закуп!X59</f>
        <v>700-999 мм</v>
      </c>
      <c r="J59" s="133" t="str">
        <f>Закуп!Y59</f>
        <v>700-999 мм</v>
      </c>
      <c r="K59" s="133" t="str">
        <f>Закуп!Z59</f>
        <v>500-599 мм</v>
      </c>
      <c r="L59" s="133" t="str">
        <f>Закуп!AA59</f>
        <v>Четырехклапанные</v>
      </c>
      <c r="M59" s="133" t="str">
        <f>Закуп!V59</f>
        <v/>
      </c>
      <c r="N59" s="133" t="str">
        <f>Закуп!W59</f>
        <v/>
      </c>
      <c r="O59" s="139" t="str">
        <f>IF(OR(Закуп!L59="",Закуп!L59=0),"",Закуп!L59)</f>
        <v/>
      </c>
      <c r="P59" s="133" t="str">
        <f>Закуп!K59</f>
        <v>K59</v>
      </c>
      <c r="Q59" s="217" t="str">
        <f>IF(Закуп!D59="","",IF(LEFT(Закуп!D59,1)="0","0",Закуп!D59))</f>
        <v>У</v>
      </c>
      <c r="R59" s="155">
        <f>Закуп!C59</f>
        <v>59</v>
      </c>
    </row>
    <row r="60" spans="1:18" x14ac:dyDescent="0.3">
      <c r="A60" s="131" t="str">
        <f>Закуп!E60</f>
        <v>795х510х870</v>
      </c>
      <c r="B60" s="127">
        <f>INDEX(Calc!$K:$K, (ROW(A59)-1)*5 + COLUMN(A59) + 1 )</f>
        <v>9.2100000000000009</v>
      </c>
      <c r="C60" s="127">
        <f>INDEX(Calc!$K:$K, (ROW(B59)-1)*5 + COLUMN(B59) + 1 )</f>
        <v>8.9</v>
      </c>
      <c r="D60" s="136">
        <f>INDEX(Calc!$K:$K, (ROW(C59)-1)*5 + COLUMN(C59) + 1 )</f>
        <v>8.58</v>
      </c>
      <c r="E60" s="137">
        <f>INDEX(Calc!$K:$K, (ROW(D59)-1)*5 + COLUMN(D59) + 1 )</f>
        <v>8.26</v>
      </c>
      <c r="F60" s="138">
        <f>INDEX(Calc!$K:$K, (ROW(E59)-1)*5 + COLUMN(E59) + 1 )</f>
        <v>7.95</v>
      </c>
      <c r="G60" s="133">
        <f>Закуп!O60</f>
        <v>352.74</v>
      </c>
      <c r="H60" s="133" t="str">
        <f>Закуп!Q60</f>
        <v>100+ л</v>
      </c>
      <c r="I60" s="133" t="str">
        <f>Закуп!X60</f>
        <v>700-999 мм</v>
      </c>
      <c r="J60" s="133" t="str">
        <f>Закуп!Y60</f>
        <v>700-999 мм</v>
      </c>
      <c r="K60" s="133" t="str">
        <f>Закуп!Z60</f>
        <v>500-599 мм</v>
      </c>
      <c r="L60" s="133" t="str">
        <f>Закуп!AA60</f>
        <v>Четырехклапанные</v>
      </c>
      <c r="M60" s="133" t="str">
        <f>Закуп!V60</f>
        <v/>
      </c>
      <c r="N60" s="133" t="str">
        <f>Закуп!W60</f>
        <v/>
      </c>
      <c r="O60" s="139" t="str">
        <f>IF(OR(Закуп!L60="",Закуп!L60=0),"",Закуп!L60)</f>
        <v/>
      </c>
      <c r="P60" s="133" t="str">
        <f>Закуп!K60</f>
        <v>K60</v>
      </c>
      <c r="Q60" s="217" t="str">
        <f>IF(Закуп!D60="","",IF(LEFT(Закуп!D60,1)="0","0",Закуп!D60))</f>
        <v>У</v>
      </c>
      <c r="R60" s="155">
        <f>Закуп!C60</f>
        <v>60</v>
      </c>
    </row>
    <row r="61" spans="1:18" x14ac:dyDescent="0.3">
      <c r="A61" s="131" t="str">
        <f>Закуп!E61</f>
        <v>795х510х870</v>
      </c>
      <c r="B61" s="127">
        <f>INDEX(Calc!$K:$K, (ROW(A60)-1)*5 + COLUMN(A60) + 1 )</f>
        <v>10.85</v>
      </c>
      <c r="C61" s="127">
        <f>INDEX(Calc!$K:$K, (ROW(B60)-1)*5 + COLUMN(B60) + 1 )</f>
        <v>10.48</v>
      </c>
      <c r="D61" s="136">
        <f>INDEX(Calc!$K:$K, (ROW(C60)-1)*5 + COLUMN(C60) + 1 )</f>
        <v>10.11</v>
      </c>
      <c r="E61" s="137">
        <f>INDEX(Calc!$K:$K, (ROW(D60)-1)*5 + COLUMN(D60) + 1 )</f>
        <v>9.74</v>
      </c>
      <c r="F61" s="138">
        <f>INDEX(Calc!$K:$K, (ROW(E60)-1)*5 + COLUMN(E60) + 1 )</f>
        <v>9.36</v>
      </c>
      <c r="G61" s="133">
        <f>Закуп!O61</f>
        <v>352.74</v>
      </c>
      <c r="H61" s="133" t="str">
        <f>Закуп!Q61</f>
        <v>100+ л</v>
      </c>
      <c r="I61" s="133" t="str">
        <f>Закуп!X61</f>
        <v>700-999 мм</v>
      </c>
      <c r="J61" s="133" t="str">
        <f>Закуп!Y61</f>
        <v>700-999 мм</v>
      </c>
      <c r="K61" s="133" t="str">
        <f>Закуп!Z61</f>
        <v>500-599 мм</v>
      </c>
      <c r="L61" s="133" t="str">
        <f>Закуп!AA61</f>
        <v>Четырехклапанные</v>
      </c>
      <c r="M61" s="133" t="str">
        <f>Закуп!V61</f>
        <v/>
      </c>
      <c r="N61" s="133" t="str">
        <f>Закуп!W61</f>
        <v/>
      </c>
      <c r="O61" s="139" t="str">
        <f>IF(OR(Закуп!L61="",Закуп!L61=0),"",Закуп!L61)</f>
        <v/>
      </c>
      <c r="P61" s="133" t="str">
        <f>Закуп!K61</f>
        <v>K61</v>
      </c>
      <c r="Q61" s="217" t="str">
        <f>IF(Закуп!D61="","",IF(LEFT(Закуп!D61,1)="0","0",Закуп!D61))</f>
        <v>У</v>
      </c>
      <c r="R61" s="155">
        <f>Закуп!C61</f>
        <v>61</v>
      </c>
    </row>
    <row r="62" spans="1:18" x14ac:dyDescent="0.3">
      <c r="A62" s="131" t="str">
        <f>Закуп!E62</f>
        <v>1100х700х1000</v>
      </c>
      <c r="B62" s="127">
        <f>INDEX(Calc!$K:$K, (ROW(A61)-1)*5 + COLUMN(A61) + 1 )</f>
        <v>14.45</v>
      </c>
      <c r="C62" s="127">
        <f>INDEX(Calc!$K:$K, (ROW(B61)-1)*5 + COLUMN(B61) + 1 )</f>
        <v>13.91</v>
      </c>
      <c r="D62" s="136">
        <f>INDEX(Calc!$K:$K, (ROW(C61)-1)*5 + COLUMN(C61) + 1 )</f>
        <v>13.59</v>
      </c>
      <c r="E62" s="137">
        <f>INDEX(Calc!$K:$K, (ROW(D61)-1)*5 + COLUMN(D61) + 1 )</f>
        <v>13.27</v>
      </c>
      <c r="F62" s="138">
        <f>INDEX(Calc!$K:$K, (ROW(E61)-1)*5 + COLUMN(E61) + 1 )</f>
        <v>12.84</v>
      </c>
      <c r="G62" s="133">
        <f>Закуп!O62</f>
        <v>770</v>
      </c>
      <c r="H62" s="133" t="str">
        <f>Закуп!Q62</f>
        <v>100+ л</v>
      </c>
      <c r="I62" s="133" t="str">
        <f>Закуп!X62</f>
        <v>1000+ мм</v>
      </c>
      <c r="J62" s="133" t="str">
        <f>Закуп!Y62</f>
        <v>1000+ мм</v>
      </c>
      <c r="K62" s="133" t="str">
        <f>Закуп!Z62</f>
        <v>700-999 мм</v>
      </c>
      <c r="L62" s="133" t="str">
        <f>Закуп!AA62</f>
        <v>Четырехклапанные</v>
      </c>
      <c r="M62" s="133" t="str">
        <f>Закуп!V62</f>
        <v/>
      </c>
      <c r="N62" s="133" t="str">
        <f>Закуп!W62</f>
        <v/>
      </c>
      <c r="O62" s="139" t="str">
        <f>IF(OR(Закуп!L62="",Закуп!L62=0),"",Закуп!L62)</f>
        <v/>
      </c>
      <c r="P62" s="133" t="str">
        <f>Закуп!K62</f>
        <v>K62</v>
      </c>
      <c r="Q62" s="217" t="str">
        <f>IF(Закуп!D62="","",IF(LEFT(Закуп!D62,1)="0","0",Закуп!D62))</f>
        <v>У</v>
      </c>
      <c r="R62" s="155">
        <f>Закуп!C62</f>
        <v>62</v>
      </c>
    </row>
    <row r="63" spans="1:18" x14ac:dyDescent="0.3">
      <c r="A63" s="131" t="str">
        <f>Закуп!E63</f>
        <v>1100х700х1000</v>
      </c>
      <c r="B63" s="127">
        <f>INDEX(Calc!$K:$K, (ROW(A62)-1)*5 + COLUMN(A62) + 1 )</f>
        <v>22.47</v>
      </c>
      <c r="C63" s="127">
        <f>INDEX(Calc!$K:$K, (ROW(B62)-1)*5 + COLUMN(B62) + 1 )</f>
        <v>21.94</v>
      </c>
      <c r="D63" s="136">
        <f>INDEX(Calc!$K:$K, (ROW(C62)-1)*5 + COLUMN(C62) + 1 )</f>
        <v>21.4</v>
      </c>
      <c r="E63" s="137">
        <f>INDEX(Calc!$K:$K, (ROW(D62)-1)*5 + COLUMN(D62) + 1 )</f>
        <v>21.19</v>
      </c>
      <c r="F63" s="138">
        <f>INDEX(Calc!$K:$K, (ROW(E62)-1)*5 + COLUMN(E62) + 1 )</f>
        <v>20.97</v>
      </c>
      <c r="G63" s="133">
        <f>Закуп!O63</f>
        <v>770</v>
      </c>
      <c r="H63" s="133" t="str">
        <f>Закуп!Q63</f>
        <v>100+ л</v>
      </c>
      <c r="I63" s="133" t="str">
        <f>Закуп!X63</f>
        <v>1000+ мм</v>
      </c>
      <c r="J63" s="133" t="str">
        <f>Закуп!Y63</f>
        <v>1000+ мм</v>
      </c>
      <c r="K63" s="133" t="str">
        <f>Закуп!Z63</f>
        <v>700-999 мм</v>
      </c>
      <c r="L63" s="133" t="str">
        <f>Закуп!AA63</f>
        <v>Четырехклапанные</v>
      </c>
      <c r="M63" s="133" t="str">
        <f>Закуп!V63</f>
        <v/>
      </c>
      <c r="N63" s="133" t="str">
        <f>Закуп!W63</f>
        <v/>
      </c>
      <c r="O63" s="139" t="str">
        <f>IF(OR(Закуп!L63="",Закуп!L63=0),"",Закуп!L63)</f>
        <v/>
      </c>
      <c r="P63" s="133" t="str">
        <f>Закуп!K63</f>
        <v>K63</v>
      </c>
      <c r="Q63" s="217" t="str">
        <f>IF(Закуп!D63="","",IF(LEFT(Закуп!D63,1)="0","0",Закуп!D63))</f>
        <v>У</v>
      </c>
      <c r="R63" s="155">
        <f>Закуп!C63</f>
        <v>63</v>
      </c>
    </row>
    <row r="64" spans="1:18" x14ac:dyDescent="0.3">
      <c r="A64" s="131" t="str">
        <f>Закуп!E64</f>
        <v>1100х700х1000</v>
      </c>
      <c r="B64" s="127">
        <f>INDEX(Calc!$K:$K, (ROW(A63)-1)*5 + COLUMN(A63) + 1 )</f>
        <v>16.05</v>
      </c>
      <c r="C64" s="127">
        <f>INDEX(Calc!$K:$K, (ROW(B63)-1)*5 + COLUMN(B63) + 1 )</f>
        <v>15.84</v>
      </c>
      <c r="D64" s="136">
        <f>INDEX(Calc!$K:$K, (ROW(C63)-1)*5 + COLUMN(C63) + 1 )</f>
        <v>15.41</v>
      </c>
      <c r="E64" s="137">
        <f>INDEX(Calc!$K:$K, (ROW(D63)-1)*5 + COLUMN(D63) + 1 )</f>
        <v>14.98</v>
      </c>
      <c r="F64" s="138">
        <f>INDEX(Calc!$K:$K, (ROW(E63)-1)*5 + COLUMN(E63) + 1 )</f>
        <v>14.77</v>
      </c>
      <c r="G64" s="133">
        <f>Закуп!O64</f>
        <v>770</v>
      </c>
      <c r="H64" s="133" t="str">
        <f>Закуп!Q64</f>
        <v>100+ л</v>
      </c>
      <c r="I64" s="133" t="str">
        <f>Закуп!X64</f>
        <v>1000+ мм</v>
      </c>
      <c r="J64" s="133" t="str">
        <f>Закуп!Y64</f>
        <v>1000+ мм</v>
      </c>
      <c r="K64" s="133" t="str">
        <f>Закуп!Z64</f>
        <v>700-999 мм</v>
      </c>
      <c r="L64" s="133" t="str">
        <f>Закуп!AA64</f>
        <v>Четырехклапанные</v>
      </c>
      <c r="M64" s="133" t="str">
        <f>Закуп!V64</f>
        <v/>
      </c>
      <c r="N64" s="133" t="str">
        <f>Закуп!W64</f>
        <v/>
      </c>
      <c r="O64" s="139" t="str">
        <f>IF(OR(Закуп!L64="",Закуп!L64=0),"",Закуп!L64)</f>
        <v/>
      </c>
      <c r="P64" s="133" t="str">
        <f>Закуп!K64</f>
        <v>K64</v>
      </c>
      <c r="Q64" s="217" t="str">
        <f>IF(Закуп!D64="","",IF(LEFT(Закуп!D64,1)="0","0",Закуп!D64))</f>
        <v>У</v>
      </c>
      <c r="R64" s="155">
        <f>Закуп!C64</f>
        <v>64</v>
      </c>
    </row>
    <row r="65" spans="1:18" x14ac:dyDescent="0.3">
      <c r="A65" s="131" t="str">
        <f>Закуп!E65</f>
        <v>1100х700х1000</v>
      </c>
      <c r="B65" s="127">
        <f>INDEX(Calc!$K:$K, (ROW(A64)-1)*5 + COLUMN(A64) + 1 )</f>
        <v>25.04</v>
      </c>
      <c r="C65" s="127">
        <f>INDEX(Calc!$K:$K, (ROW(B64)-1)*5 + COLUMN(B64) + 1 )</f>
        <v>24.61</v>
      </c>
      <c r="D65" s="136">
        <f>INDEX(Calc!$K:$K, (ROW(C64)-1)*5 + COLUMN(C64) + 1 )</f>
        <v>24.18</v>
      </c>
      <c r="E65" s="137">
        <f>INDEX(Calc!$K:$K, (ROW(D64)-1)*5 + COLUMN(D64) + 1 )</f>
        <v>23.86</v>
      </c>
      <c r="F65" s="138">
        <f>INDEX(Calc!$K:$K, (ROW(E64)-1)*5 + COLUMN(E64) + 1 )</f>
        <v>23.54</v>
      </c>
      <c r="G65" s="133">
        <f>Закуп!O65</f>
        <v>770</v>
      </c>
      <c r="H65" s="133" t="str">
        <f>Закуп!Q65</f>
        <v>100+ л</v>
      </c>
      <c r="I65" s="133" t="str">
        <f>Закуп!X65</f>
        <v>1000+ мм</v>
      </c>
      <c r="J65" s="133" t="str">
        <f>Закуп!Y65</f>
        <v>1000+ мм</v>
      </c>
      <c r="K65" s="133" t="str">
        <f>Закуп!Z65</f>
        <v>700-999 мм</v>
      </c>
      <c r="L65" s="133" t="str">
        <f>Закуп!AA65</f>
        <v>Четырехклапанные</v>
      </c>
      <c r="M65" s="133" t="str">
        <f>Закуп!V65</f>
        <v/>
      </c>
      <c r="N65" s="133" t="str">
        <f>Закуп!W65</f>
        <v/>
      </c>
      <c r="O65" s="139" t="str">
        <f>IF(OR(Закуп!L65="",Закуп!L65=0),"",Закуп!L65)</f>
        <v/>
      </c>
      <c r="P65" s="133" t="str">
        <f>Закуп!K65</f>
        <v>K65</v>
      </c>
      <c r="Q65" s="217" t="str">
        <f>IF(Закуп!D65="","",IF(LEFT(Закуп!D65,1)="0","0",Закуп!D65))</f>
        <v>У</v>
      </c>
      <c r="R65" s="155">
        <f>Закуп!C65</f>
        <v>65</v>
      </c>
    </row>
    <row r="66" spans="1:18" x14ac:dyDescent="0.3">
      <c r="A66" s="131" t="str">
        <f>Закуп!E66</f>
        <v>340х420х25</v>
      </c>
      <c r="B66" s="127">
        <f>INDEX(Calc!$K:$K, (ROW(A65)-1)*5 + COLUMN(A65) + 1 )</f>
        <v>2.4</v>
      </c>
      <c r="C66" s="127">
        <f>INDEX(Calc!$K:$K, (ROW(B65)-1)*5 + COLUMN(B65) + 1 )</f>
        <v>2.1800000000000002</v>
      </c>
      <c r="D66" s="136">
        <f>INDEX(Calc!$K:$K, (ROW(C65)-1)*5 + COLUMN(C65) + 1 )</f>
        <v>1.7</v>
      </c>
      <c r="E66" s="137">
        <f>INDEX(Calc!$K:$K, (ROW(D65)-1)*5 + COLUMN(D65) + 1 )</f>
        <v>1.48</v>
      </c>
      <c r="F66" s="138">
        <f>INDEX(Calc!$K:$K, (ROW(E65)-1)*5 + COLUMN(E65) + 1 )</f>
        <v>1.38</v>
      </c>
      <c r="G66" s="133">
        <f>Закуп!O66</f>
        <v>3.57</v>
      </c>
      <c r="H66" s="133" t="str">
        <f>Закуп!Q66</f>
        <v>3-5 л</v>
      </c>
      <c r="I66" s="133" t="str">
        <f>Закуп!X66</f>
        <v>400-499 мм</v>
      </c>
      <c r="J66" s="133" t="str">
        <f>Закуп!Y66</f>
        <v>300-399 мм</v>
      </c>
      <c r="K66" s="133" t="str">
        <f>Закуп!Z66</f>
        <v>10-99 мм</v>
      </c>
      <c r="L66" s="133" t="str">
        <f>Закуп!AA66</f>
        <v>Самосборные</v>
      </c>
      <c r="M66" s="133" t="str">
        <f>Закуп!V66</f>
        <v/>
      </c>
      <c r="N66" s="133" t="str">
        <f>Закуп!W66</f>
        <v>Плоские</v>
      </c>
      <c r="O66" s="139" t="str">
        <f>IF(OR(Закуп!L66="",Закуп!L66=0),"",Закуп!L66)</f>
        <v/>
      </c>
      <c r="P66" s="133" t="str">
        <f>Закуп!K66</f>
        <v>K66</v>
      </c>
      <c r="Q66" s="217" t="str">
        <f>IF(Закуп!D66="","",IF(LEFT(Закуп!D66,1)="0","0",Закуп!D66))</f>
        <v>У</v>
      </c>
      <c r="R66" s="155">
        <f>Закуп!C66</f>
        <v>66</v>
      </c>
    </row>
    <row r="67" spans="1:18" x14ac:dyDescent="0.3">
      <c r="A67" s="131" t="str">
        <f>Закуп!E67</f>
        <v>440х440х85</v>
      </c>
      <c r="B67" s="127">
        <f>INDEX(Calc!$K:$K, (ROW(A66)-1)*5 + COLUMN(A66) + 1 )</f>
        <v>3.28</v>
      </c>
      <c r="C67" s="127">
        <f>INDEX(Calc!$K:$K, (ROW(B66)-1)*5 + COLUMN(B66) + 1 )</f>
        <v>2.63</v>
      </c>
      <c r="D67" s="136">
        <f>INDEX(Calc!$K:$K, (ROW(C66)-1)*5 + COLUMN(C66) + 1 )</f>
        <v>2.36</v>
      </c>
      <c r="E67" s="137">
        <f>INDEX(Calc!$K:$K, (ROW(D66)-1)*5 + COLUMN(D66) + 1 )</f>
        <v>2.14</v>
      </c>
      <c r="F67" s="138">
        <f>INDEX(Calc!$K:$K, (ROW(E66)-1)*5 + COLUMN(E66) + 1 )</f>
        <v>2.0299999999999998</v>
      </c>
      <c r="G67" s="133">
        <f>Закуп!O67</f>
        <v>16.46</v>
      </c>
      <c r="H67" s="133" t="str">
        <f>Закуп!Q67</f>
        <v>10-20 л</v>
      </c>
      <c r="I67" s="133" t="str">
        <f>Закуп!X67</f>
        <v>400-499 мм</v>
      </c>
      <c r="J67" s="133" t="str">
        <f>Закуп!Y67</f>
        <v>400-499 мм</v>
      </c>
      <c r="K67" s="133" t="str">
        <f>Закуп!Z67</f>
        <v>10-99 мм</v>
      </c>
      <c r="L67" s="133" t="str">
        <f>Закуп!AA67</f>
        <v>Самосборные</v>
      </c>
      <c r="M67" s="133" t="str">
        <f>Закуп!V67</f>
        <v/>
      </c>
      <c r="N67" s="133" t="str">
        <f>Закуп!W67</f>
        <v>Плоские</v>
      </c>
      <c r="O67" s="139" t="str">
        <f>IF(OR(Закуп!L67="",Закуп!L67=0),"",Закуп!L67)</f>
        <v/>
      </c>
      <c r="P67" s="133" t="str">
        <f>Закуп!K67</f>
        <v>K67</v>
      </c>
      <c r="Q67" s="217" t="str">
        <f>IF(Закуп!D67="","",IF(LEFT(Закуп!D67,1)="0","0",Закуп!D67))</f>
        <v>У</v>
      </c>
      <c r="R67" s="155">
        <f>Закуп!C67</f>
        <v>67</v>
      </c>
    </row>
    <row r="68" spans="1:18" x14ac:dyDescent="0.3">
      <c r="A68" s="131" t="str">
        <f>Закуп!E68</f>
        <v>450х350х40</v>
      </c>
      <c r="B68" s="127">
        <f>INDEX(Calc!$K:$K, (ROW(A67)-1)*5 + COLUMN(A67) + 1 )</f>
        <v>2.46</v>
      </c>
      <c r="C68" s="127">
        <f>INDEX(Calc!$K:$K, (ROW(B67)-1)*5 + COLUMN(B67) + 1 )</f>
        <v>2.2400000000000002</v>
      </c>
      <c r="D68" s="136">
        <f>INDEX(Calc!$K:$K, (ROW(C67)-1)*5 + COLUMN(C67) + 1 )</f>
        <v>1.74</v>
      </c>
      <c r="E68" s="137">
        <f>INDEX(Calc!$K:$K, (ROW(D67)-1)*5 + COLUMN(D67) + 1 )</f>
        <v>1.51</v>
      </c>
      <c r="F68" s="138">
        <f>INDEX(Calc!$K:$K, (ROW(E67)-1)*5 + COLUMN(E67) + 1 )</f>
        <v>1.41</v>
      </c>
      <c r="G68" s="133">
        <f>Закуп!O68</f>
        <v>6.3</v>
      </c>
      <c r="H68" s="133" t="str">
        <f>Закуп!Q68</f>
        <v>5-10 л</v>
      </c>
      <c r="I68" s="133" t="str">
        <f>Закуп!X68</f>
        <v>400-499 мм</v>
      </c>
      <c r="J68" s="133" t="str">
        <f>Закуп!Y68</f>
        <v>300-399 мм</v>
      </c>
      <c r="K68" s="133" t="str">
        <f>Закуп!Z68</f>
        <v>10-99 мм</v>
      </c>
      <c r="L68" s="133" t="str">
        <f>Закуп!AA68</f>
        <v>Самосборные</v>
      </c>
      <c r="M68" s="133" t="str">
        <f>Закуп!V68</f>
        <v/>
      </c>
      <c r="N68" s="133" t="str">
        <f>Закуп!W68</f>
        <v>Плоские</v>
      </c>
      <c r="O68" s="139" t="str">
        <f>IF(OR(Закуп!L68="",Закуп!L68=0),"",Закуп!L68)</f>
        <v/>
      </c>
      <c r="P68" s="133" t="str">
        <f>Закуп!K68</f>
        <v>K68</v>
      </c>
      <c r="Q68" s="217" t="str">
        <f>IF(Закуп!D68="","",IF(LEFT(Закуп!D68,1)="0","0",Закуп!D68))</f>
        <v>У</v>
      </c>
      <c r="R68" s="155">
        <f>Закуп!C68</f>
        <v>68</v>
      </c>
    </row>
    <row r="69" spans="1:18" x14ac:dyDescent="0.3">
      <c r="A69" s="131" t="str">
        <f>Закуп!E69</f>
        <v>1050х180х70</v>
      </c>
      <c r="B69" s="127">
        <f>INDEX(Calc!$K:$K, (ROW(A68)-1)*5 + COLUMN(A68) + 1 )</f>
        <v>3.65</v>
      </c>
      <c r="C69" s="127">
        <f>INDEX(Calc!$K:$K, (ROW(B68)-1)*5 + COLUMN(B68) + 1 )</f>
        <v>2.92</v>
      </c>
      <c r="D69" s="136">
        <f>INDEX(Calc!$K:$K, (ROW(C68)-1)*5 + COLUMN(C68) + 1 )</f>
        <v>2.46</v>
      </c>
      <c r="E69" s="137">
        <f>INDEX(Calc!$K:$K, (ROW(D68)-1)*5 + COLUMN(D68) + 1 )</f>
        <v>2.33</v>
      </c>
      <c r="F69" s="138">
        <f>INDEX(Calc!$K:$K, (ROW(E68)-1)*5 + COLUMN(E68) + 1 )</f>
        <v>2.23</v>
      </c>
      <c r="G69" s="133">
        <f>Закуп!O69</f>
        <v>13.23</v>
      </c>
      <c r="H69" s="133" t="str">
        <f>Закуп!Q69</f>
        <v>10-20 л</v>
      </c>
      <c r="I69" s="133" t="str">
        <f>Закуп!X69</f>
        <v>1000+ мм</v>
      </c>
      <c r="J69" s="133" t="str">
        <f>Закуп!Y69</f>
        <v>100-199 мм</v>
      </c>
      <c r="K69" s="133" t="str">
        <f>Закуп!Z69</f>
        <v>10-99 мм</v>
      </c>
      <c r="L69" s="133" t="str">
        <f>Закуп!AA69</f>
        <v>Самосборные</v>
      </c>
      <c r="M69" s="133" t="str">
        <f>Закуп!V69</f>
        <v>Длинные</v>
      </c>
      <c r="N69" s="133" t="str">
        <f>Закуп!W69</f>
        <v>Плоские</v>
      </c>
      <c r="O69" s="139" t="str">
        <f>IF(OR(Закуп!L69="",Закуп!L69=0),"",Закуп!L69)</f>
        <v/>
      </c>
      <c r="P69" s="133" t="str">
        <f>Закуп!K69</f>
        <v>K69</v>
      </c>
      <c r="Q69" s="217" t="str">
        <f>IF(Закуп!D69="","",IF(LEFT(Закуп!D69,1)="0","0",Закуп!D69))</f>
        <v>У</v>
      </c>
      <c r="R69" s="155">
        <f>Закуп!C69</f>
        <v>69</v>
      </c>
    </row>
    <row r="70" spans="1:18" x14ac:dyDescent="0.3">
      <c r="A70" s="131" t="str">
        <f>Закуп!E70</f>
        <v>305х55х55</v>
      </c>
      <c r="B70" s="127">
        <f>INDEX(Calc!$K:$K, (ROW(A69)-1)*5 + COLUMN(A69) + 1 )</f>
        <v>1.02</v>
      </c>
      <c r="C70" s="127">
        <f>INDEX(Calc!$K:$K, (ROW(B69)-1)*5 + COLUMN(B69) + 1 )</f>
        <v>0.91</v>
      </c>
      <c r="D70" s="136">
        <f>INDEX(Calc!$K:$K, (ROW(C69)-1)*5 + COLUMN(C69) + 1 )</f>
        <v>0.8</v>
      </c>
      <c r="E70" s="137">
        <f>INDEX(Calc!$K:$K, (ROW(D69)-1)*5 + COLUMN(D69) + 1 )</f>
        <v>0.7</v>
      </c>
      <c r="F70" s="138">
        <f>INDEX(Calc!$K:$K, (ROW(E69)-1)*5 + COLUMN(E69) + 1 )</f>
        <v>0.59</v>
      </c>
      <c r="G70" s="133">
        <f>Закуп!O70</f>
        <v>0.92</v>
      </c>
      <c r="H70" s="133" t="str">
        <f>Закуп!Q70</f>
        <v>&lt;1 л</v>
      </c>
      <c r="I70" s="133" t="str">
        <f>Закуп!X70</f>
        <v>300-399 мм</v>
      </c>
      <c r="J70" s="133" t="str">
        <f>Закуп!Y70</f>
        <v>10-99 мм</v>
      </c>
      <c r="K70" s="133" t="str">
        <f>Закуп!Z70</f>
        <v>10-99 мм</v>
      </c>
      <c r="L70" s="133" t="str">
        <f>Закуп!AA70</f>
        <v>Самосборные</v>
      </c>
      <c r="M70" s="133" t="str">
        <f>Закуп!V70</f>
        <v>Длинные</v>
      </c>
      <c r="N70" s="133" t="str">
        <f>Закуп!W70</f>
        <v/>
      </c>
      <c r="O70" s="139" t="str">
        <f>IF(OR(Закуп!L70="",Закуп!L70=0),"",Закуп!L70)</f>
        <v/>
      </c>
      <c r="P70" s="133" t="str">
        <f>Закуп!K70</f>
        <v>K70</v>
      </c>
      <c r="Q70" s="217" t="str">
        <f>IF(Закуп!D70="","",IF(LEFT(Закуп!D70,1)="0","0",Закуп!D70))</f>
        <v>У</v>
      </c>
      <c r="R70" s="155">
        <f>Закуп!C70</f>
        <v>70</v>
      </c>
    </row>
    <row r="71" spans="1:18" x14ac:dyDescent="0.3">
      <c r="A71" s="131" t="str">
        <f>Закуп!E71</f>
        <v>370х140х130</v>
      </c>
      <c r="B71" s="127">
        <f>INDEX(Calc!$K:$K, (ROW(A70)-1)*5 + COLUMN(A70) + 1 )</f>
        <v>1.86</v>
      </c>
      <c r="C71" s="127">
        <f>INDEX(Calc!$K:$K, (ROW(B70)-1)*5 + COLUMN(B70) + 1 )</f>
        <v>1.69</v>
      </c>
      <c r="D71" s="136">
        <f>INDEX(Calc!$K:$K, (ROW(C70)-1)*5 + COLUMN(C70) + 1 )</f>
        <v>1.54</v>
      </c>
      <c r="E71" s="137">
        <f>INDEX(Calc!$K:$K, (ROW(D70)-1)*5 + COLUMN(D70) + 1 )</f>
        <v>1.42</v>
      </c>
      <c r="F71" s="138">
        <f>INDEX(Calc!$K:$K, (ROW(E70)-1)*5 + COLUMN(E70) + 1 )</f>
        <v>1.26</v>
      </c>
      <c r="G71" s="133">
        <f>Закуп!O71</f>
        <v>6.73</v>
      </c>
      <c r="H71" s="133" t="str">
        <f>Закуп!Q71</f>
        <v>5-10 л</v>
      </c>
      <c r="I71" s="133" t="str">
        <f>Закуп!X71</f>
        <v>300-399 мм</v>
      </c>
      <c r="J71" s="133" t="str">
        <f>Закуп!Y71</f>
        <v>100-199 мм</v>
      </c>
      <c r="K71" s="133" t="str">
        <f>Закуп!Z71</f>
        <v>100-199 мм</v>
      </c>
      <c r="L71" s="133" t="str">
        <f>Закуп!AA71</f>
        <v>Самосборные</v>
      </c>
      <c r="M71" s="133" t="str">
        <f>Закуп!V71</f>
        <v>Длинные</v>
      </c>
      <c r="N71" s="133" t="str">
        <f>Закуп!W71</f>
        <v/>
      </c>
      <c r="O71" s="139" t="str">
        <f>IF(OR(Закуп!L71="",Закуп!L71=0),"",Закуп!L71)</f>
        <v/>
      </c>
      <c r="P71" s="133" t="str">
        <f>Закуп!K71</f>
        <v>K71</v>
      </c>
      <c r="Q71" s="217" t="str">
        <f>IF(Закуп!D71="","",IF(LEFT(Закуп!D71,1)="0","0",Закуп!D71))</f>
        <v>У</v>
      </c>
      <c r="R71" s="155">
        <f>Закуп!C71</f>
        <v>71</v>
      </c>
    </row>
    <row r="72" spans="1:18" x14ac:dyDescent="0.3">
      <c r="A72" s="131" t="str">
        <f>Закуп!E72</f>
        <v>178х118х152</v>
      </c>
      <c r="B72" s="127">
        <f>INDEX(Calc!$K:$K, (ROW(A71)-1)*5 + COLUMN(A71) + 1 )</f>
        <v>1.29</v>
      </c>
      <c r="C72" s="127">
        <f>INDEX(Calc!$K:$K, (ROW(B71)-1)*5 + COLUMN(B71) + 1 )</f>
        <v>1.1299999999999999</v>
      </c>
      <c r="D72" s="136">
        <f>INDEX(Calc!$K:$K, (ROW(C71)-1)*5 + COLUMN(C71) + 1 )</f>
        <v>0.96</v>
      </c>
      <c r="E72" s="137">
        <f>INDEX(Calc!$K:$K, (ROW(D71)-1)*5 + COLUMN(D71) + 1 )</f>
        <v>0.9</v>
      </c>
      <c r="F72" s="138">
        <f>INDEX(Calc!$K:$K, (ROW(E71)-1)*5 + COLUMN(E71) + 1 )</f>
        <v>0.85</v>
      </c>
      <c r="G72" s="133">
        <f>Закуп!O72</f>
        <v>3.19</v>
      </c>
      <c r="H72" s="133" t="str">
        <f>Закуп!Q72</f>
        <v>3-5 л</v>
      </c>
      <c r="I72" s="133" t="str">
        <f>Закуп!X72</f>
        <v>100-199 мм</v>
      </c>
      <c r="J72" s="133" t="str">
        <f>Закуп!Y72</f>
        <v>100-199 мм</v>
      </c>
      <c r="K72" s="133" t="str">
        <f>Закуп!Z72</f>
        <v>100-199 мм</v>
      </c>
      <c r="L72" s="133" t="str">
        <f>Закуп!AA72</f>
        <v>Самосборные</v>
      </c>
      <c r="M72" s="133" t="str">
        <f>Закуп!V72</f>
        <v/>
      </c>
      <c r="N72" s="133" t="str">
        <f>Закуп!W72</f>
        <v/>
      </c>
      <c r="O72" s="139" t="str">
        <f>IF(OR(Закуп!L72="",Закуп!L72=0),"",Закуп!L72)</f>
        <v/>
      </c>
      <c r="P72" s="133" t="str">
        <f>Закуп!K72</f>
        <v>K72</v>
      </c>
      <c r="Q72" s="217" t="str">
        <f>IF(Закуп!D72="","",IF(LEFT(Закуп!D72,1)="0","0",Закуп!D72))</f>
        <v>У</v>
      </c>
      <c r="R72" s="155">
        <f>Закуп!C72</f>
        <v>72</v>
      </c>
    </row>
    <row r="73" spans="1:18" x14ac:dyDescent="0.3">
      <c r="A73" s="131" t="str">
        <f>Закуп!E73</f>
        <v>1100х250х100</v>
      </c>
      <c r="B73" s="127">
        <f>INDEX(Calc!$K:$K, (ROW(A72)-1)*5 + COLUMN(A72) + 1 )</f>
        <v>4.24</v>
      </c>
      <c r="C73" s="127">
        <f>INDEX(Calc!$K:$K, (ROW(B72)-1)*5 + COLUMN(B72) + 1 )</f>
        <v>3.35</v>
      </c>
      <c r="D73" s="136">
        <f>INDEX(Calc!$K:$K, (ROW(C72)-1)*5 + COLUMN(C72) + 1 )</f>
        <v>2.81</v>
      </c>
      <c r="E73" s="137">
        <f>INDEX(Calc!$K:$K, (ROW(D72)-1)*5 + COLUMN(D72) + 1 )</f>
        <v>2.66</v>
      </c>
      <c r="F73" s="138">
        <f>INDEX(Calc!$K:$K, (ROW(E72)-1)*5 + COLUMN(E72) + 1 )</f>
        <v>2.59</v>
      </c>
      <c r="G73" s="133">
        <f>Закуп!O73</f>
        <v>27.5</v>
      </c>
      <c r="H73" s="133" t="str">
        <f>Закуп!Q73</f>
        <v>20-50 л</v>
      </c>
      <c r="I73" s="133" t="str">
        <f>Закуп!X73</f>
        <v>1000+ мм</v>
      </c>
      <c r="J73" s="133" t="str">
        <f>Закуп!Y73</f>
        <v>200-299 мм</v>
      </c>
      <c r="K73" s="133" t="str">
        <f>Закуп!Z73</f>
        <v>100-199 мм</v>
      </c>
      <c r="L73" s="133" t="str">
        <f>Закуп!AA73</f>
        <v>Самосборные</v>
      </c>
      <c r="M73" s="133" t="str">
        <f>Закуп!V73</f>
        <v>Длинные</v>
      </c>
      <c r="N73" s="133" t="str">
        <f>Закуп!W73</f>
        <v>Плоские</v>
      </c>
      <c r="O73" s="139" t="str">
        <f>IF(OR(Закуп!L73="",Закуп!L73=0),"",Закуп!L73)</f>
        <v/>
      </c>
      <c r="P73" s="133" t="str">
        <f>Закуп!K73</f>
        <v>K73</v>
      </c>
      <c r="Q73" s="217" t="str">
        <f>IF(Закуп!D73="","",IF(LEFT(Закуп!D73,1)="0","0",Закуп!D73))</f>
        <v>У</v>
      </c>
      <c r="R73" s="155">
        <f>Закуп!C73</f>
        <v>73</v>
      </c>
    </row>
    <row r="74" spans="1:18" x14ac:dyDescent="0.3">
      <c r="A74" s="131" t="str">
        <f>Закуп!E74</f>
        <v>460х280х60</v>
      </c>
      <c r="B74" s="127">
        <f>INDEX(Calc!$K:$K, (ROW(A73)-1)*5 + COLUMN(A73) + 1 )</f>
        <v>2.85</v>
      </c>
      <c r="C74" s="127">
        <f>INDEX(Calc!$K:$K, (ROW(B73)-1)*5 + COLUMN(B73) + 1 )</f>
        <v>2.2799999999999998</v>
      </c>
      <c r="D74" s="136">
        <f>INDEX(Calc!$K:$K, (ROW(C73)-1)*5 + COLUMN(C73) + 1 )</f>
        <v>2.08</v>
      </c>
      <c r="E74" s="137">
        <f>INDEX(Calc!$K:$K, (ROW(D73)-1)*5 + COLUMN(D73) + 1 )</f>
        <v>1.85</v>
      </c>
      <c r="F74" s="138">
        <f>INDEX(Calc!$K:$K, (ROW(E73)-1)*5 + COLUMN(E73) + 1 )</f>
        <v>1.77</v>
      </c>
      <c r="G74" s="133">
        <f>Закуп!O74</f>
        <v>7.73</v>
      </c>
      <c r="H74" s="133" t="str">
        <f>Закуп!Q74</f>
        <v>5-10 л</v>
      </c>
      <c r="I74" s="133" t="str">
        <f>Закуп!X74</f>
        <v>400-499 мм</v>
      </c>
      <c r="J74" s="133" t="str">
        <f>Закуп!Y74</f>
        <v>200-299 мм</v>
      </c>
      <c r="K74" s="133" t="str">
        <f>Закуп!Z74</f>
        <v>10-99 мм</v>
      </c>
      <c r="L74" s="133" t="str">
        <f>Закуп!AA74</f>
        <v>Самосборные</v>
      </c>
      <c r="M74" s="133" t="str">
        <f>Закуп!V74</f>
        <v/>
      </c>
      <c r="N74" s="133" t="str">
        <f>Закуп!W74</f>
        <v>Плоские</v>
      </c>
      <c r="O74" s="139" t="str">
        <f>IF(OR(Закуп!L74="",Закуп!L74=0),"",Закуп!L74)</f>
        <v/>
      </c>
      <c r="P74" s="133" t="str">
        <f>Закуп!K74</f>
        <v>K74</v>
      </c>
      <c r="Q74" s="217" t="str">
        <f>IF(Закуп!D74="","",IF(LEFT(Закуп!D74,1)="0","0",Закуп!D74))</f>
        <v>У</v>
      </c>
      <c r="R74" s="155">
        <f>Закуп!C74</f>
        <v>74</v>
      </c>
    </row>
    <row r="75" spans="1:18" x14ac:dyDescent="0.3">
      <c r="A75" s="131" t="str">
        <f>Закуп!E75</f>
        <v>600х115х105</v>
      </c>
      <c r="B75" s="127">
        <f>INDEX(Calc!$K:$K, (ROW(A74)-1)*5 + COLUMN(A74) + 1 )</f>
        <v>2.57</v>
      </c>
      <c r="C75" s="127">
        <f>INDEX(Calc!$K:$K, (ROW(B74)-1)*5 + COLUMN(B74) + 1 )</f>
        <v>2.0499999999999998</v>
      </c>
      <c r="D75" s="136">
        <f>INDEX(Calc!$K:$K, (ROW(C74)-1)*5 + COLUMN(C74) + 1 )</f>
        <v>1.87</v>
      </c>
      <c r="E75" s="137">
        <f>INDEX(Calc!$K:$K, (ROW(D74)-1)*5 + COLUMN(D74) + 1 )</f>
        <v>1.67</v>
      </c>
      <c r="F75" s="138">
        <f>INDEX(Calc!$K:$K, (ROW(E74)-1)*5 + COLUMN(E74) + 1 )</f>
        <v>1.62</v>
      </c>
      <c r="G75" s="133">
        <f>Закуп!O75</f>
        <v>7.25</v>
      </c>
      <c r="H75" s="133" t="str">
        <f>Закуп!Q75</f>
        <v>5-10 л</v>
      </c>
      <c r="I75" s="133" t="str">
        <f>Закуп!X75</f>
        <v>600-699 мм</v>
      </c>
      <c r="J75" s="133" t="str">
        <f>Закуп!Y75</f>
        <v>100-199 мм</v>
      </c>
      <c r="K75" s="133" t="str">
        <f>Закуп!Z75</f>
        <v>100-199 мм</v>
      </c>
      <c r="L75" s="133" t="str">
        <f>Закуп!AA75</f>
        <v>Самосборные</v>
      </c>
      <c r="M75" s="133" t="str">
        <f>Закуп!V75</f>
        <v>Длинные</v>
      </c>
      <c r="N75" s="133" t="str">
        <f>Закуп!W75</f>
        <v/>
      </c>
      <c r="O75" s="139" t="str">
        <f>IF(OR(Закуп!L75="",Закуп!L75=0),"",Закуп!L75)</f>
        <v/>
      </c>
      <c r="P75" s="133" t="str">
        <f>Закуп!K75</f>
        <v>K75</v>
      </c>
      <c r="Q75" s="217" t="str">
        <f>IF(Закуп!D75="","",IF(LEFT(Закуп!D75,1)="0","0",Закуп!D75))</f>
        <v>У</v>
      </c>
      <c r="R75" s="155">
        <f>Закуп!C75</f>
        <v>75</v>
      </c>
    </row>
    <row r="76" spans="1:18" x14ac:dyDescent="0.3">
      <c r="A76" s="131" t="str">
        <f>Закуп!E76</f>
        <v>170х170х90</v>
      </c>
      <c r="B76" s="127">
        <f>INDEX(Calc!$K:$K, (ROW(A75)-1)*5 + COLUMN(A75) + 1 )</f>
        <v>1.93</v>
      </c>
      <c r="C76" s="127">
        <f>INDEX(Calc!$K:$K, (ROW(B75)-1)*5 + COLUMN(B75) + 1 )</f>
        <v>1.74</v>
      </c>
      <c r="D76" s="136">
        <f>INDEX(Calc!$K:$K, (ROW(C75)-1)*5 + COLUMN(C75) + 1 )</f>
        <v>1.38</v>
      </c>
      <c r="E76" s="137">
        <f>INDEX(Calc!$K:$K, (ROW(D75)-1)*5 + COLUMN(D75) + 1 )</f>
        <v>1.29</v>
      </c>
      <c r="F76" s="138">
        <f>INDEX(Calc!$K:$K, (ROW(E75)-1)*5 + COLUMN(E75) + 1 )</f>
        <v>1.1299999999999999</v>
      </c>
      <c r="G76" s="133">
        <f>Закуп!O76</f>
        <v>2.6</v>
      </c>
      <c r="H76" s="133" t="str">
        <f>Закуп!Q76</f>
        <v>2-3 л</v>
      </c>
      <c r="I76" s="133" t="str">
        <f>Закуп!X76</f>
        <v>100-199 мм</v>
      </c>
      <c r="J76" s="133" t="str">
        <f>Закуп!Y76</f>
        <v>100-199 мм</v>
      </c>
      <c r="K76" s="133" t="str">
        <f>Закуп!Z76</f>
        <v>10-99 мм</v>
      </c>
      <c r="L76" s="133" t="str">
        <f>Закуп!AA76</f>
        <v>Самосборные</v>
      </c>
      <c r="M76" s="133" t="str">
        <f>Закуп!V76</f>
        <v/>
      </c>
      <c r="N76" s="133" t="str">
        <f>Закуп!W76</f>
        <v/>
      </c>
      <c r="O76" s="139" t="str">
        <f>IF(OR(Закуп!L76="",Закуп!L76=0),"",Закуп!L76)</f>
        <v/>
      </c>
      <c r="P76" s="133" t="str">
        <f>Закуп!K76</f>
        <v>K76</v>
      </c>
      <c r="Q76" s="217" t="str">
        <f>IF(Закуп!D76="","",IF(LEFT(Закуп!D76,1)="0","0",Закуп!D76))</f>
        <v>У</v>
      </c>
      <c r="R76" s="155">
        <f>Закуп!C76</f>
        <v>76</v>
      </c>
    </row>
    <row r="77" spans="1:18" x14ac:dyDescent="0.3">
      <c r="A77" s="131" t="str">
        <f>Закуп!E77</f>
        <v>780х130х84</v>
      </c>
      <c r="B77" s="127">
        <f>INDEX(Calc!$K:$K, (ROW(A76)-1)*5 + COLUMN(A76) + 1 )</f>
        <v>2.59</v>
      </c>
      <c r="C77" s="127">
        <f>INDEX(Calc!$K:$K, (ROW(B76)-1)*5 + COLUMN(B76) + 1 )</f>
        <v>2.08</v>
      </c>
      <c r="D77" s="136">
        <f>INDEX(Calc!$K:$K, (ROW(C76)-1)*5 + COLUMN(C76) + 1 )</f>
        <v>1.89</v>
      </c>
      <c r="E77" s="137">
        <f>INDEX(Calc!$K:$K, (ROW(D76)-1)*5 + COLUMN(D76) + 1 )</f>
        <v>1.69</v>
      </c>
      <c r="F77" s="138">
        <f>INDEX(Calc!$K:$K, (ROW(E76)-1)*5 + COLUMN(E76) + 1 )</f>
        <v>1.64</v>
      </c>
      <c r="G77" s="133">
        <f>Закуп!O77</f>
        <v>8.52</v>
      </c>
      <c r="H77" s="133" t="str">
        <f>Закуп!Q77</f>
        <v>5-10 л</v>
      </c>
      <c r="I77" s="133" t="str">
        <f>Закуп!X77</f>
        <v>700-999 мм</v>
      </c>
      <c r="J77" s="133" t="str">
        <f>Закуп!Y77</f>
        <v>100-199 мм</v>
      </c>
      <c r="K77" s="133" t="str">
        <f>Закуп!Z77</f>
        <v>10-99 мм</v>
      </c>
      <c r="L77" s="133" t="str">
        <f>Закуп!AA77</f>
        <v>Самосборные</v>
      </c>
      <c r="M77" s="133" t="str">
        <f>Закуп!V77</f>
        <v>Длинные</v>
      </c>
      <c r="N77" s="133" t="str">
        <f>Закуп!W77</f>
        <v/>
      </c>
      <c r="O77" s="139" t="str">
        <f>IF(OR(Закуп!L77="",Закуп!L77=0),"",Закуп!L77)</f>
        <v/>
      </c>
      <c r="P77" s="133" t="str">
        <f>Закуп!K77</f>
        <v>K77</v>
      </c>
      <c r="Q77" s="217" t="str">
        <f>IF(Закуп!D77="","",IF(LEFT(Закуп!D77,1)="0","0",Закуп!D77))</f>
        <v>У</v>
      </c>
      <c r="R77" s="155">
        <f>Закуп!C77</f>
        <v>77</v>
      </c>
    </row>
    <row r="78" spans="1:18" x14ac:dyDescent="0.3">
      <c r="A78" s="131" t="str">
        <f>Закуп!E78</f>
        <v>300х100х60</v>
      </c>
      <c r="B78" s="127">
        <f>INDEX(Calc!$K:$K, (ROW(A77)-1)*5 + COLUMN(A77) + 1 )</f>
        <v>1.39</v>
      </c>
      <c r="C78" s="127">
        <f>INDEX(Calc!$K:$K, (ROW(B77)-1)*5 + COLUMN(B77) + 1 )</f>
        <v>1.21</v>
      </c>
      <c r="D78" s="136">
        <f>INDEX(Calc!$K:$K, (ROW(C77)-1)*5 + COLUMN(C77) + 1 )</f>
        <v>1.03</v>
      </c>
      <c r="E78" s="137">
        <f>INDEX(Calc!$K:$K, (ROW(D77)-1)*5 + COLUMN(D77) + 1 )</f>
        <v>0.96</v>
      </c>
      <c r="F78" s="138">
        <f>INDEX(Calc!$K:$K, (ROW(E77)-1)*5 + COLUMN(E77) + 1 )</f>
        <v>0.9</v>
      </c>
      <c r="G78" s="133">
        <f>Закуп!O78</f>
        <v>1.8</v>
      </c>
      <c r="H78" s="133" t="str">
        <f>Закуп!Q78</f>
        <v>1-2 л</v>
      </c>
      <c r="I78" s="133" t="str">
        <f>Закуп!X78</f>
        <v>300-399 мм</v>
      </c>
      <c r="J78" s="133" t="str">
        <f>Закуп!Y78</f>
        <v>100-199 мм</v>
      </c>
      <c r="K78" s="133" t="str">
        <f>Закуп!Z78</f>
        <v>10-99 мм</v>
      </c>
      <c r="L78" s="133" t="str">
        <f>Закуп!AA78</f>
        <v>Самосборные</v>
      </c>
      <c r="M78" s="133" t="str">
        <f>Закуп!V78</f>
        <v>Длинные</v>
      </c>
      <c r="N78" s="133" t="str">
        <f>Закуп!W78</f>
        <v/>
      </c>
      <c r="O78" s="139" t="str">
        <f>IF(OR(Закуп!L78="",Закуп!L78=0),"",Закуп!L78)</f>
        <v/>
      </c>
      <c r="P78" s="133" t="str">
        <f>Закуп!K78</f>
        <v>K78</v>
      </c>
      <c r="Q78" s="217" t="str">
        <f>IF(Закуп!D78="","",IF(LEFT(Закуп!D78,1)="0","0",Закуп!D78))</f>
        <v>У</v>
      </c>
      <c r="R78" s="155">
        <f>Закуп!C78</f>
        <v>78</v>
      </c>
    </row>
    <row r="79" spans="1:18" x14ac:dyDescent="0.3">
      <c r="A79" s="131" t="str">
        <f>Закуп!E79</f>
        <v>280х100х100</v>
      </c>
      <c r="B79" s="127">
        <f>INDEX(Calc!$K:$K, (ROW(A78)-1)*5 + COLUMN(A78) + 1 )</f>
        <v>1.71</v>
      </c>
      <c r="C79" s="127">
        <f>INDEX(Calc!$K:$K, (ROW(B78)-1)*5 + COLUMN(B78) + 1 )</f>
        <v>1.56</v>
      </c>
      <c r="D79" s="136">
        <f>INDEX(Calc!$K:$K, (ROW(C78)-1)*5 + COLUMN(C78) + 1 )</f>
        <v>1.42</v>
      </c>
      <c r="E79" s="137">
        <f>INDEX(Calc!$K:$K, (ROW(D78)-1)*5 + COLUMN(D78) + 1 )</f>
        <v>1.32</v>
      </c>
      <c r="F79" s="138">
        <f>INDEX(Calc!$K:$K, (ROW(E78)-1)*5 + COLUMN(E78) + 1 )</f>
        <v>1.17</v>
      </c>
      <c r="G79" s="133">
        <f>Закуп!O79</f>
        <v>2.8</v>
      </c>
      <c r="H79" s="133" t="str">
        <f>Закуп!Q79</f>
        <v>2-3 л</v>
      </c>
      <c r="I79" s="133" t="str">
        <f>Закуп!X79</f>
        <v>200-299 мм</v>
      </c>
      <c r="J79" s="133" t="str">
        <f>Закуп!Y79</f>
        <v>100-199 мм</v>
      </c>
      <c r="K79" s="133" t="str">
        <f>Закуп!Z79</f>
        <v>100-199 мм</v>
      </c>
      <c r="L79" s="133" t="str">
        <f>Закуп!AA79</f>
        <v>Самосборные</v>
      </c>
      <c r="M79" s="133" t="str">
        <f>Закуп!V79</f>
        <v>Длинные</v>
      </c>
      <c r="N79" s="133" t="str">
        <f>Закуп!W79</f>
        <v/>
      </c>
      <c r="O79" s="139" t="str">
        <f>IF(OR(Закуп!L79="",Закуп!L79=0),"",Закуп!L79)</f>
        <v/>
      </c>
      <c r="P79" s="133" t="str">
        <f>Закуп!K79</f>
        <v>K79</v>
      </c>
      <c r="Q79" s="217" t="str">
        <f>IF(Закуп!D79="","",IF(LEFT(Закуп!D79,1)="0","0",Закуп!D79))</f>
        <v>У</v>
      </c>
      <c r="R79" s="155">
        <f>Закуп!C79</f>
        <v>79</v>
      </c>
    </row>
    <row r="80" spans="1:18" x14ac:dyDescent="0.3">
      <c r="A80" s="131" t="str">
        <f>Закуп!E80</f>
        <v>320х210х45</v>
      </c>
      <c r="B80" s="127">
        <f>INDEX(Calc!$K:$K, (ROW(A79)-1)*5 + COLUMN(A79) + 1 )</f>
        <v>1.61</v>
      </c>
      <c r="C80" s="127">
        <f>INDEX(Calc!$K:$K, (ROW(B79)-1)*5 + COLUMN(B79) + 1 )</f>
        <v>1.47</v>
      </c>
      <c r="D80" s="136">
        <f>INDEX(Calc!$K:$K, (ROW(C79)-1)*5 + COLUMN(C79) + 1 )</f>
        <v>1.1599999999999999</v>
      </c>
      <c r="E80" s="137">
        <f>INDEX(Calc!$K:$K, (ROW(D79)-1)*5 + COLUMN(D79) + 1 )</f>
        <v>1.08</v>
      </c>
      <c r="F80" s="138">
        <f>INDEX(Calc!$K:$K, (ROW(E79)-1)*5 + COLUMN(E79) + 1 )</f>
        <v>1.03</v>
      </c>
      <c r="G80" s="133">
        <f>Закуп!O80</f>
        <v>3.02</v>
      </c>
      <c r="H80" s="133" t="str">
        <f>Закуп!Q80</f>
        <v>3-5 л</v>
      </c>
      <c r="I80" s="133" t="str">
        <f>Закуп!X80</f>
        <v>300-399 мм</v>
      </c>
      <c r="J80" s="133" t="str">
        <f>Закуп!Y80</f>
        <v>200-299 мм</v>
      </c>
      <c r="K80" s="133" t="str">
        <f>Закуп!Z80</f>
        <v>10-99 мм</v>
      </c>
      <c r="L80" s="133" t="str">
        <f>Закуп!AA80</f>
        <v>Самосборные</v>
      </c>
      <c r="M80" s="133" t="str">
        <f>Закуп!V80</f>
        <v/>
      </c>
      <c r="N80" s="133" t="str">
        <f>Закуп!W80</f>
        <v>Плоские</v>
      </c>
      <c r="O80" s="139" t="str">
        <f>IF(OR(Закуп!L80="",Закуп!L80=0),"",Закуп!L80)</f>
        <v/>
      </c>
      <c r="P80" s="133" t="str">
        <f>Закуп!K80</f>
        <v>K80</v>
      </c>
      <c r="Q80" s="217" t="str">
        <f>IF(Закуп!D80="","",IF(LEFT(Закуп!D80,1)="0","0",Закуп!D80))</f>
        <v>У</v>
      </c>
      <c r="R80" s="155">
        <f>Закуп!C80</f>
        <v>80</v>
      </c>
    </row>
    <row r="81" spans="1:18" x14ac:dyDescent="0.3">
      <c r="A81" s="131" t="str">
        <f>Закуп!E81</f>
        <v>325х170х115</v>
      </c>
      <c r="B81" s="127">
        <f>INDEX(Calc!$K:$K, (ROW(A80)-1)*5 + COLUMN(A80) + 1 )</f>
        <v>2.2599999999999998</v>
      </c>
      <c r="C81" s="127">
        <f>INDEX(Calc!$K:$K, (ROW(B80)-1)*5 + COLUMN(B80) + 1 )</f>
        <v>2.0499999999999998</v>
      </c>
      <c r="D81" s="136">
        <f>INDEX(Calc!$K:$K, (ROW(C80)-1)*5 + COLUMN(C80) + 1 )</f>
        <v>1.61</v>
      </c>
      <c r="E81" s="137">
        <f>INDEX(Calc!$K:$K, (ROW(D80)-1)*5 + COLUMN(D80) + 1 )</f>
        <v>1.39</v>
      </c>
      <c r="F81" s="138">
        <f>INDEX(Calc!$K:$K, (ROW(E80)-1)*5 + COLUMN(E80) + 1 )</f>
        <v>1.29</v>
      </c>
      <c r="G81" s="133">
        <f>Закуп!O81</f>
        <v>6.35</v>
      </c>
      <c r="H81" s="133" t="str">
        <f>Закуп!Q81</f>
        <v>5-10 л</v>
      </c>
      <c r="I81" s="133" t="str">
        <f>Закуп!X81</f>
        <v>300-399 мм</v>
      </c>
      <c r="J81" s="133" t="str">
        <f>Закуп!Y81</f>
        <v>100-199 мм</v>
      </c>
      <c r="K81" s="133" t="str">
        <f>Закуп!Z81</f>
        <v>100-199 мм</v>
      </c>
      <c r="L81" s="133" t="str">
        <f>Закуп!AA81</f>
        <v>Самосборные</v>
      </c>
      <c r="M81" s="133" t="str">
        <f>Закуп!V81</f>
        <v/>
      </c>
      <c r="N81" s="133" t="str">
        <f>Закуп!W81</f>
        <v/>
      </c>
      <c r="O81" s="139" t="str">
        <f>IF(OR(Закуп!L81="",Закуп!L81=0),"",Закуп!L81)</f>
        <v/>
      </c>
      <c r="P81" s="133" t="str">
        <f>Закуп!K81</f>
        <v>K81</v>
      </c>
      <c r="Q81" s="217" t="str">
        <f>IF(Закуп!D81="","",IF(LEFT(Закуп!D81,1)="0","0",Закуп!D81))</f>
        <v>У</v>
      </c>
      <c r="R81" s="155">
        <f>Закуп!C81</f>
        <v>81</v>
      </c>
    </row>
    <row r="82" spans="1:18" x14ac:dyDescent="0.3">
      <c r="A82" s="131" t="str">
        <f>Закуп!E82</f>
        <v>140х90х90</v>
      </c>
      <c r="B82" s="127">
        <f>INDEX(Calc!$K:$K, (ROW(A81)-1)*5 + COLUMN(A81) + 1 )</f>
        <v>1.41</v>
      </c>
      <c r="C82" s="127">
        <f>INDEX(Calc!$K:$K, (ROW(B81)-1)*5 + COLUMN(B81) + 1 )</f>
        <v>1.23</v>
      </c>
      <c r="D82" s="136">
        <f>INDEX(Calc!$K:$K, (ROW(C81)-1)*5 + COLUMN(C81) + 1 )</f>
        <v>1.05</v>
      </c>
      <c r="E82" s="137">
        <f>INDEX(Calc!$K:$K, (ROW(D81)-1)*5 + COLUMN(D81) + 1 )</f>
        <v>0.98</v>
      </c>
      <c r="F82" s="138">
        <f>INDEX(Calc!$K:$K, (ROW(E81)-1)*5 + COLUMN(E81) + 1 )</f>
        <v>0.92</v>
      </c>
      <c r="G82" s="133">
        <f>Закуп!O82</f>
        <v>1.1299999999999999</v>
      </c>
      <c r="H82" s="133" t="str">
        <f>Закуп!Q82</f>
        <v>1-2 л</v>
      </c>
      <c r="I82" s="133" t="str">
        <f>Закуп!X82</f>
        <v>100-199 мм</v>
      </c>
      <c r="J82" s="133" t="str">
        <f>Закуп!Y82</f>
        <v>10-99 мм</v>
      </c>
      <c r="K82" s="133" t="str">
        <f>Закуп!Z82</f>
        <v>10-99 мм</v>
      </c>
      <c r="L82" s="133" t="str">
        <f>Закуп!AA82</f>
        <v>Самосборные</v>
      </c>
      <c r="M82" s="133" t="str">
        <f>Закуп!V82</f>
        <v/>
      </c>
      <c r="N82" s="133" t="str">
        <f>Закуп!W82</f>
        <v/>
      </c>
      <c r="O82" s="139" t="str">
        <f>IF(OR(Закуп!L82="",Закуп!L82=0),"",Закуп!L82)</f>
        <v/>
      </c>
      <c r="P82" s="133" t="str">
        <f>Закуп!K82</f>
        <v>K82</v>
      </c>
      <c r="Q82" s="217" t="str">
        <f>IF(Закуп!D82="","",IF(LEFT(Закуп!D82,1)="0","0",Закуп!D82))</f>
        <v>У</v>
      </c>
      <c r="R82" s="155">
        <f>Закуп!C82</f>
        <v>82</v>
      </c>
    </row>
    <row r="83" spans="1:18" x14ac:dyDescent="0.3">
      <c r="A83" s="131" t="str">
        <f>Закуп!E83</f>
        <v>305х155х55</v>
      </c>
      <c r="B83" s="127">
        <f>INDEX(Calc!$K:$K, (ROW(A82)-1)*5 + COLUMN(A82) + 1 )</f>
        <v>1.41</v>
      </c>
      <c r="C83" s="127">
        <f>INDEX(Calc!$K:$K, (ROW(B82)-1)*5 + COLUMN(B82) + 1 )</f>
        <v>1.23</v>
      </c>
      <c r="D83" s="136">
        <f>INDEX(Calc!$K:$K, (ROW(C82)-1)*5 + COLUMN(C82) + 1 )</f>
        <v>1.05</v>
      </c>
      <c r="E83" s="137">
        <f>INDEX(Calc!$K:$K, (ROW(D82)-1)*5 + COLUMN(D82) + 1 )</f>
        <v>0.98</v>
      </c>
      <c r="F83" s="138">
        <f>INDEX(Calc!$K:$K, (ROW(E82)-1)*5 + COLUMN(E82) + 1 )</f>
        <v>0.92</v>
      </c>
      <c r="G83" s="133">
        <f>Закуп!O83</f>
        <v>2.6</v>
      </c>
      <c r="H83" s="133" t="str">
        <f>Закуп!Q83</f>
        <v>2-3 л</v>
      </c>
      <c r="I83" s="133" t="str">
        <f>Закуп!X83</f>
        <v>300-399 мм</v>
      </c>
      <c r="J83" s="133" t="str">
        <f>Закуп!Y83</f>
        <v>100-199 мм</v>
      </c>
      <c r="K83" s="133" t="str">
        <f>Закуп!Z83</f>
        <v>10-99 мм</v>
      </c>
      <c r="L83" s="133" t="str">
        <f>Закуп!AA83</f>
        <v>Самосборные</v>
      </c>
      <c r="M83" s="133" t="str">
        <f>Закуп!V83</f>
        <v/>
      </c>
      <c r="N83" s="133" t="str">
        <f>Закуп!W83</f>
        <v>Плоские</v>
      </c>
      <c r="O83" s="139" t="str">
        <f>IF(OR(Закуп!L83="",Закуп!L83=0),"",Закуп!L83)</f>
        <v/>
      </c>
      <c r="P83" s="133" t="str">
        <f>Закуп!K83</f>
        <v>K83</v>
      </c>
      <c r="Q83" s="217" t="str">
        <f>IF(Закуп!D83="","",IF(LEFT(Закуп!D83,1)="0","0",Закуп!D83))</f>
        <v>У</v>
      </c>
      <c r="R83" s="155">
        <f>Закуп!C83</f>
        <v>83</v>
      </c>
    </row>
    <row r="84" spans="1:18" x14ac:dyDescent="0.3">
      <c r="A84" s="131" t="str">
        <f>Закуп!E84</f>
        <v>155х110х40</v>
      </c>
      <c r="B84" s="127">
        <f>INDEX(Calc!$K:$K, (ROW(A83)-1)*5 + COLUMN(A83) + 1 )</f>
        <v>0.96</v>
      </c>
      <c r="C84" s="127">
        <f>INDEX(Calc!$K:$K, (ROW(B83)-1)*5 + COLUMN(B83) + 1 )</f>
        <v>0.86</v>
      </c>
      <c r="D84" s="136">
        <f>INDEX(Calc!$K:$K, (ROW(C83)-1)*5 + COLUMN(C83) + 1 )</f>
        <v>0.75</v>
      </c>
      <c r="E84" s="137">
        <f>INDEX(Calc!$K:$K, (ROW(D83)-1)*5 + COLUMN(D83) + 1 )</f>
        <v>0.64</v>
      </c>
      <c r="F84" s="138">
        <f>INDEX(Calc!$K:$K, (ROW(E83)-1)*5 + COLUMN(E83) + 1 )</f>
        <v>0.54</v>
      </c>
      <c r="G84" s="133">
        <f>Закуп!O84</f>
        <v>0.68</v>
      </c>
      <c r="H84" s="133" t="str">
        <f>Закуп!Q84</f>
        <v>&lt;1 л</v>
      </c>
      <c r="I84" s="133" t="str">
        <f>Закуп!X84</f>
        <v>100-199 мм</v>
      </c>
      <c r="J84" s="133" t="str">
        <f>Закуп!Y84</f>
        <v>100-199 мм</v>
      </c>
      <c r="K84" s="133" t="str">
        <f>Закуп!Z84</f>
        <v>10-99 мм</v>
      </c>
      <c r="L84" s="133" t="str">
        <f>Закуп!AA84</f>
        <v>Самосборные</v>
      </c>
      <c r="M84" s="133" t="str">
        <f>Закуп!V84</f>
        <v/>
      </c>
      <c r="N84" s="133" t="str">
        <f>Закуп!W84</f>
        <v>Плоские</v>
      </c>
      <c r="O84" s="139" t="str">
        <f>IF(OR(Закуп!L84="",Закуп!L84=0),"",Закуп!L84)</f>
        <v/>
      </c>
      <c r="P84" s="133" t="str">
        <f>Закуп!K84</f>
        <v>K84</v>
      </c>
      <c r="Q84" s="217" t="str">
        <f>IF(Закуп!D84="","",IF(LEFT(Закуп!D84,1)="0","0",Закуп!D84))</f>
        <v>У</v>
      </c>
      <c r="R84" s="155">
        <f>Закуп!C84</f>
        <v>84</v>
      </c>
    </row>
    <row r="85" spans="1:18" x14ac:dyDescent="0.3">
      <c r="A85" s="131" t="str">
        <f>Закуп!E85</f>
        <v>60х60х210</v>
      </c>
      <c r="B85" s="127">
        <f>INDEX(Calc!$K:$K, (ROW(A84)-1)*5 + COLUMN(A84) + 1 )</f>
        <v>0.96</v>
      </c>
      <c r="C85" s="127">
        <f>INDEX(Calc!$K:$K, (ROW(B84)-1)*5 + COLUMN(B84) + 1 )</f>
        <v>0.83</v>
      </c>
      <c r="D85" s="136">
        <f>INDEX(Calc!$K:$K, (ROW(C84)-1)*5 + COLUMN(C84) + 1 )</f>
        <v>0.72</v>
      </c>
      <c r="E85" s="137">
        <f>INDEX(Calc!$K:$K, (ROW(D84)-1)*5 + COLUMN(D84) + 1 )</f>
        <v>0.65</v>
      </c>
      <c r="F85" s="138">
        <f>INDEX(Calc!$K:$K, (ROW(E84)-1)*5 + COLUMN(E84) + 1 )</f>
        <v>0.59</v>
      </c>
      <c r="G85" s="133">
        <f>Закуп!O85</f>
        <v>0.76</v>
      </c>
      <c r="H85" s="133" t="str">
        <f>Закуп!Q85</f>
        <v>&lt;1 л</v>
      </c>
      <c r="I85" s="133" t="str">
        <f>Закуп!X85</f>
        <v>200-299 мм</v>
      </c>
      <c r="J85" s="133" t="str">
        <f>Закуп!Y85</f>
        <v>10-99 мм</v>
      </c>
      <c r="K85" s="133" t="str">
        <f>Закуп!Z85</f>
        <v>10-99 мм</v>
      </c>
      <c r="L85" s="133" t="str">
        <f>Закуп!AA85</f>
        <v>Самосборные</v>
      </c>
      <c r="M85" s="133" t="str">
        <f>Закуп!V85</f>
        <v>Длинные</v>
      </c>
      <c r="N85" s="133" t="str">
        <f>Закуп!W85</f>
        <v/>
      </c>
      <c r="O85" s="139" t="str">
        <f>IF(OR(Закуп!L85="",Закуп!L85=0),"",Закуп!L85)</f>
        <v/>
      </c>
      <c r="P85" s="133" t="str">
        <f>Закуп!K85</f>
        <v>K85</v>
      </c>
      <c r="Q85" s="217" t="str">
        <f>IF(Закуп!D85="","",IF(LEFT(Закуп!D85,1)="0","0",Закуп!D85))</f>
        <v>У</v>
      </c>
      <c r="R85" s="155">
        <f>Закуп!C85</f>
        <v>85</v>
      </c>
    </row>
    <row r="86" spans="1:18" x14ac:dyDescent="0.3">
      <c r="A86" s="131" t="str">
        <f>Закуп!E86</f>
        <v>250х250х55</v>
      </c>
      <c r="B86" s="127">
        <f>INDEX(Calc!$K:$K, (ROW(A85)-1)*5 + COLUMN(A85) + 1 )</f>
        <v>1.37</v>
      </c>
      <c r="C86" s="127">
        <f>INDEX(Calc!$K:$K, (ROW(B85)-1)*5 + COLUMN(B85) + 1 )</f>
        <v>1.22</v>
      </c>
      <c r="D86" s="136">
        <f>INDEX(Calc!$K:$K, (ROW(C85)-1)*5 + COLUMN(C85) + 1 )</f>
        <v>1.1000000000000001</v>
      </c>
      <c r="E86" s="137">
        <f>INDEX(Calc!$K:$K, (ROW(D85)-1)*5 + COLUMN(D85) + 1 )</f>
        <v>1.05</v>
      </c>
      <c r="F86" s="138">
        <f>INDEX(Calc!$K:$K, (ROW(E85)-1)*5 + COLUMN(E85) + 1 )</f>
        <v>0.97</v>
      </c>
      <c r="G86" s="133">
        <f>Закуп!O86</f>
        <v>3.44</v>
      </c>
      <c r="H86" s="133" t="str">
        <f>Закуп!Q86</f>
        <v>3-5 л</v>
      </c>
      <c r="I86" s="133" t="str">
        <f>Закуп!X86</f>
        <v>200-299 мм</v>
      </c>
      <c r="J86" s="133" t="str">
        <f>Закуп!Y86</f>
        <v>200-299 мм</v>
      </c>
      <c r="K86" s="133" t="str">
        <f>Закуп!Z86</f>
        <v>10-99 мм</v>
      </c>
      <c r="L86" s="133" t="str">
        <f>Закуп!AA86</f>
        <v>Самосборные</v>
      </c>
      <c r="M86" s="133" t="str">
        <f>Закуп!V86</f>
        <v/>
      </c>
      <c r="N86" s="133" t="str">
        <f>Закуп!W86</f>
        <v>Плоские</v>
      </c>
      <c r="O86" s="139" t="str">
        <f>IF(OR(Закуп!L86="",Закуп!L86=0),"",Закуп!L86)</f>
        <v/>
      </c>
      <c r="P86" s="133" t="str">
        <f>Закуп!K86</f>
        <v>K86</v>
      </c>
      <c r="Q86" s="217" t="str">
        <f>IF(Закуп!D86="","",IF(LEFT(Закуп!D86,1)="0","0",Закуп!D86))</f>
        <v>У</v>
      </c>
      <c r="R86" s="155">
        <f>Закуп!C86</f>
        <v>86</v>
      </c>
    </row>
    <row r="87" spans="1:18" x14ac:dyDescent="0.3">
      <c r="A87" s="131" t="str">
        <f>Закуп!E87</f>
        <v>370х280х60</v>
      </c>
      <c r="B87" s="127">
        <f>INDEX(Calc!$K:$K, (ROW(A86)-1)*5 + COLUMN(A86) + 1 )</f>
        <v>1.95</v>
      </c>
      <c r="C87" s="127">
        <f>INDEX(Calc!$K:$K, (ROW(B86)-1)*5 + COLUMN(B86) + 1 )</f>
        <v>1.78</v>
      </c>
      <c r="D87" s="136">
        <f>INDEX(Calc!$K:$K, (ROW(C86)-1)*5 + COLUMN(C86) + 1 )</f>
        <v>1.4</v>
      </c>
      <c r="E87" s="137">
        <f>INDEX(Calc!$K:$K, (ROW(D86)-1)*5 + COLUMN(D86) + 1 )</f>
        <v>1.32</v>
      </c>
      <c r="F87" s="138">
        <f>INDEX(Calc!$K:$K, (ROW(E86)-1)*5 + COLUMN(E86) + 1 )</f>
        <v>1.1599999999999999</v>
      </c>
      <c r="G87" s="133">
        <f>Закуп!O87</f>
        <v>6.22</v>
      </c>
      <c r="H87" s="133" t="str">
        <f>Закуп!Q87</f>
        <v>5-10 л</v>
      </c>
      <c r="I87" s="133" t="str">
        <f>Закуп!X87</f>
        <v>300-399 мм</v>
      </c>
      <c r="J87" s="133" t="str">
        <f>Закуп!Y87</f>
        <v>200-299 мм</v>
      </c>
      <c r="K87" s="133" t="str">
        <f>Закуп!Z87</f>
        <v>10-99 мм</v>
      </c>
      <c r="L87" s="133" t="str">
        <f>Закуп!AA87</f>
        <v>Самосборные</v>
      </c>
      <c r="M87" s="133" t="str">
        <f>Закуп!V87</f>
        <v/>
      </c>
      <c r="N87" s="133" t="str">
        <f>Закуп!W87</f>
        <v>Плоские</v>
      </c>
      <c r="O87" s="139" t="str">
        <f>IF(OR(Закуп!L87="",Закуп!L87=0),"",Закуп!L87)</f>
        <v/>
      </c>
      <c r="P87" s="133" t="str">
        <f>Закуп!K87</f>
        <v>K87</v>
      </c>
      <c r="Q87" s="217" t="str">
        <f>IF(Закуп!D87="","",IF(LEFT(Закуп!D87,1)="0","0",Закуп!D87))</f>
        <v>У</v>
      </c>
      <c r="R87" s="155">
        <f>Закуп!C87</f>
        <v>87</v>
      </c>
    </row>
    <row r="88" spans="1:18" x14ac:dyDescent="0.3">
      <c r="A88" s="131" t="str">
        <f>Закуп!E88</f>
        <v>125х125х90</v>
      </c>
      <c r="B88" s="127">
        <f>INDEX(Calc!$K:$K, (ROW(A87)-1)*5 + COLUMN(A87) + 1 )</f>
        <v>1.07</v>
      </c>
      <c r="C88" s="127">
        <f>INDEX(Calc!$K:$K, (ROW(B87)-1)*5 + COLUMN(B87) + 1 )</f>
        <v>0.9</v>
      </c>
      <c r="D88" s="136">
        <f>INDEX(Calc!$K:$K, (ROW(C87)-1)*5 + COLUMN(C87) + 1 )</f>
        <v>0.82</v>
      </c>
      <c r="E88" s="137">
        <f>INDEX(Calc!$K:$K, (ROW(D87)-1)*5 + COLUMN(D87) + 1 )</f>
        <v>0.75</v>
      </c>
      <c r="F88" s="138">
        <f>INDEX(Calc!$K:$K, (ROW(E87)-1)*5 + COLUMN(E87) + 1 )</f>
        <v>0.7</v>
      </c>
      <c r="G88" s="133">
        <f>Закуп!O88</f>
        <v>1.41</v>
      </c>
      <c r="H88" s="133" t="str">
        <f>Закуп!Q88</f>
        <v>1-2 л</v>
      </c>
      <c r="I88" s="133" t="str">
        <f>Закуп!X88</f>
        <v>100-199 мм</v>
      </c>
      <c r="J88" s="133" t="str">
        <f>Закуп!Y88</f>
        <v>100-199 мм</v>
      </c>
      <c r="K88" s="133" t="str">
        <f>Закуп!Z88</f>
        <v>10-99 мм</v>
      </c>
      <c r="L88" s="133" t="str">
        <f>Закуп!AA88</f>
        <v>Самосборные</v>
      </c>
      <c r="M88" s="133" t="str">
        <f>Закуп!V88</f>
        <v/>
      </c>
      <c r="N88" s="133" t="str">
        <f>Закуп!W88</f>
        <v/>
      </c>
      <c r="O88" s="139" t="str">
        <f>IF(OR(Закуп!L88="",Закуп!L88=0),"",Закуп!L88)</f>
        <v/>
      </c>
      <c r="P88" s="133" t="str">
        <f>Закуп!K88</f>
        <v>K88</v>
      </c>
      <c r="Q88" s="217" t="str">
        <f>IF(Закуп!D88="","",IF(LEFT(Закуп!D88,1)="0","0",Закуп!D88))</f>
        <v>У</v>
      </c>
      <c r="R88" s="155">
        <f>Закуп!C88</f>
        <v>88</v>
      </c>
    </row>
    <row r="89" spans="1:18" x14ac:dyDescent="0.3">
      <c r="A89" s="131" t="str">
        <f>Закуп!E89</f>
        <v>495х90х300</v>
      </c>
      <c r="B89" s="127">
        <f>INDEX(Calc!$K:$K, (ROW(A88)-1)*5 + COLUMN(A88) + 1 )</f>
        <v>2.31</v>
      </c>
      <c r="C89" s="127">
        <f>INDEX(Calc!$K:$K, (ROW(B88)-1)*5 + COLUMN(B88) + 1 )</f>
        <v>2.11</v>
      </c>
      <c r="D89" s="136">
        <f>INDEX(Calc!$K:$K, (ROW(C88)-1)*5 + COLUMN(C88) + 1 )</f>
        <v>1.65</v>
      </c>
      <c r="E89" s="137">
        <f>INDEX(Calc!$K:$K, (ROW(D88)-1)*5 + COLUMN(D88) + 1 )</f>
        <v>1.42</v>
      </c>
      <c r="F89" s="138">
        <f>INDEX(Calc!$K:$K, (ROW(E88)-1)*5 + COLUMN(E88) + 1 )</f>
        <v>1.33</v>
      </c>
      <c r="G89" s="133">
        <f>Закуп!O89</f>
        <v>13.37</v>
      </c>
      <c r="H89" s="133" t="str">
        <f>Закуп!Q89</f>
        <v>10-20 л</v>
      </c>
      <c r="I89" s="133" t="str">
        <f>Закуп!X89</f>
        <v>400-499 мм</v>
      </c>
      <c r="J89" s="133" t="str">
        <f>Закуп!Y89</f>
        <v>300-399 мм</v>
      </c>
      <c r="K89" s="133" t="str">
        <f>Закуп!Z89</f>
        <v>10-99 мм</v>
      </c>
      <c r="L89" s="133" t="str">
        <f>Закуп!AA89</f>
        <v>Четырехклапанные</v>
      </c>
      <c r="M89" s="133" t="str">
        <f>Закуп!V89</f>
        <v/>
      </c>
      <c r="N89" s="133" t="str">
        <f>Закуп!W89</f>
        <v>Плоские</v>
      </c>
      <c r="O89" s="139" t="str">
        <f>IF(OR(Закуп!L89="",Закуп!L89=0),"",Закуп!L89)</f>
        <v/>
      </c>
      <c r="P89" s="133" t="str">
        <f>Закуп!K89</f>
        <v>K89</v>
      </c>
      <c r="Q89" s="217" t="str">
        <f>IF(Закуп!D89="","",IF(LEFT(Закуп!D89,1)="0","0",Закуп!D89))</f>
        <v>У</v>
      </c>
      <c r="R89" s="155">
        <f>Закуп!C89</f>
        <v>89</v>
      </c>
    </row>
    <row r="90" spans="1:18" x14ac:dyDescent="0.3">
      <c r="A90" s="131" t="str">
        <f>Закуп!E90</f>
        <v>175х175х90</v>
      </c>
      <c r="B90" s="127">
        <f>INDEX(Calc!$K:$K, (ROW(A89)-1)*5 + COLUMN(A89) + 1 )</f>
        <v>1.39</v>
      </c>
      <c r="C90" s="127">
        <f>INDEX(Calc!$K:$K, (ROW(B89)-1)*5 + COLUMN(B89) + 1 )</f>
        <v>1.21</v>
      </c>
      <c r="D90" s="136">
        <f>INDEX(Calc!$K:$K, (ROW(C89)-1)*5 + COLUMN(C89) + 1 )</f>
        <v>1.03</v>
      </c>
      <c r="E90" s="137">
        <f>INDEX(Calc!$K:$K, (ROW(D89)-1)*5 + COLUMN(D89) + 1 )</f>
        <v>0.96</v>
      </c>
      <c r="F90" s="138">
        <f>INDEX(Calc!$K:$K, (ROW(E89)-1)*5 + COLUMN(E89) + 1 )</f>
        <v>0.9</v>
      </c>
      <c r="G90" s="133">
        <f>Закуп!O90</f>
        <v>2.76</v>
      </c>
      <c r="H90" s="133" t="str">
        <f>Закуп!Q90</f>
        <v>2-3 л</v>
      </c>
      <c r="I90" s="133" t="str">
        <f>Закуп!X90</f>
        <v>100-199 мм</v>
      </c>
      <c r="J90" s="133" t="str">
        <f>Закуп!Y90</f>
        <v>100-199 мм</v>
      </c>
      <c r="K90" s="133" t="str">
        <f>Закуп!Z90</f>
        <v>10-99 мм</v>
      </c>
      <c r="L90" s="133" t="str">
        <f>Закуп!AA90</f>
        <v>Самосборные</v>
      </c>
      <c r="M90" s="133" t="str">
        <f>Закуп!V90</f>
        <v/>
      </c>
      <c r="N90" s="133" t="str">
        <f>Закуп!W90</f>
        <v/>
      </c>
      <c r="O90" s="139" t="str">
        <f>IF(OR(Закуп!L90="",Закуп!L90=0),"",Закуп!L90)</f>
        <v/>
      </c>
      <c r="P90" s="133" t="str">
        <f>Закуп!K90</f>
        <v>K90</v>
      </c>
      <c r="Q90" s="217" t="str">
        <f>IF(Закуп!D90="","",IF(LEFT(Закуп!D90,1)="0","0",Закуп!D90))</f>
        <v>У</v>
      </c>
      <c r="R90" s="155">
        <f>Закуп!C90</f>
        <v>90</v>
      </c>
    </row>
    <row r="91" spans="1:18" x14ac:dyDescent="0.3">
      <c r="A91" s="131" t="str">
        <f>Закуп!E91</f>
        <v>220х120х155</v>
      </c>
      <c r="B91" s="127">
        <f>INDEX(Calc!$K:$K, (ROW(A90)-1)*5 + COLUMN(A90) + 1 )</f>
        <v>1.39</v>
      </c>
      <c r="C91" s="127">
        <f>INDEX(Calc!$K:$K, (ROW(B90)-1)*5 + COLUMN(B90) + 1 )</f>
        <v>1.21</v>
      </c>
      <c r="D91" s="136">
        <f>INDEX(Calc!$K:$K, (ROW(C90)-1)*5 + COLUMN(C90) + 1 )</f>
        <v>1.03</v>
      </c>
      <c r="E91" s="137">
        <f>INDEX(Calc!$K:$K, (ROW(D90)-1)*5 + COLUMN(D90) + 1 )</f>
        <v>0.96</v>
      </c>
      <c r="F91" s="138">
        <f>INDEX(Calc!$K:$K, (ROW(E90)-1)*5 + COLUMN(E90) + 1 )</f>
        <v>0.9</v>
      </c>
      <c r="G91" s="133">
        <f>Закуп!O91</f>
        <v>4.09</v>
      </c>
      <c r="H91" s="133" t="str">
        <f>Закуп!Q91</f>
        <v>3-5 л</v>
      </c>
      <c r="I91" s="133" t="str">
        <f>Закуп!X91</f>
        <v>200-299 мм</v>
      </c>
      <c r="J91" s="133" t="str">
        <f>Закуп!Y91</f>
        <v>100-199 мм</v>
      </c>
      <c r="K91" s="133" t="str">
        <f>Закуп!Z91</f>
        <v>100-199 мм</v>
      </c>
      <c r="L91" s="133" t="str">
        <f>Закуп!AA91</f>
        <v>Самосборные</v>
      </c>
      <c r="M91" s="133" t="str">
        <f>Закуп!V91</f>
        <v/>
      </c>
      <c r="N91" s="133" t="str">
        <f>Закуп!W91</f>
        <v/>
      </c>
      <c r="O91" s="139" t="str">
        <f>IF(OR(Закуп!L91="",Закуп!L91=0),"",Закуп!L91)</f>
        <v/>
      </c>
      <c r="P91" s="133" t="str">
        <f>Закуп!K91</f>
        <v>K91</v>
      </c>
      <c r="Q91" s="217" t="str">
        <f>IF(Закуп!D91="","",IF(LEFT(Закуп!D91,1)="0","0",Закуп!D91))</f>
        <v>У</v>
      </c>
      <c r="R91" s="155">
        <f>Закуп!C91</f>
        <v>91</v>
      </c>
    </row>
    <row r="92" spans="1:18" x14ac:dyDescent="0.3">
      <c r="A92" s="131" t="str">
        <f>Закуп!E92</f>
        <v>390х325х370</v>
      </c>
      <c r="B92" s="127">
        <f>INDEX(Calc!$K:$K, (ROW(A91)-1)*5 + COLUMN(A91) + 1 )</f>
        <v>4.57</v>
      </c>
      <c r="C92" s="127">
        <f>INDEX(Calc!$K:$K, (ROW(B91)-1)*5 + COLUMN(B91) + 1 )</f>
        <v>3.61</v>
      </c>
      <c r="D92" s="136">
        <f>INDEX(Calc!$K:$K, (ROW(C91)-1)*5 + COLUMN(C91) + 1 )</f>
        <v>2.97</v>
      </c>
      <c r="E92" s="137">
        <f>INDEX(Calc!$K:$K, (ROW(D91)-1)*5 + COLUMN(D91) + 1 )</f>
        <v>2.88</v>
      </c>
      <c r="F92" s="138">
        <f>INDEX(Calc!$K:$K, (ROW(E91)-1)*5 + COLUMN(E91) + 1 )</f>
        <v>2.79</v>
      </c>
      <c r="G92" s="133">
        <f>Закуп!O92</f>
        <v>46.9</v>
      </c>
      <c r="H92" s="133" t="str">
        <f>Закуп!Q92</f>
        <v>20-50 л</v>
      </c>
      <c r="I92" s="133" t="str">
        <f>Закуп!X92</f>
        <v>300-399 мм</v>
      </c>
      <c r="J92" s="133" t="str">
        <f>Закуп!Y92</f>
        <v>300-399 мм</v>
      </c>
      <c r="K92" s="133" t="str">
        <f>Закуп!Z92</f>
        <v>300-399 мм</v>
      </c>
      <c r="L92" s="133" t="str">
        <f>Закуп!AA92</f>
        <v>Четырехклапанные</v>
      </c>
      <c r="M92" s="133" t="str">
        <f>Закуп!V92</f>
        <v/>
      </c>
      <c r="N92" s="133" t="str">
        <f>Закуп!W92</f>
        <v/>
      </c>
      <c r="O92" s="139" t="str">
        <f>IF(OR(Закуп!L92="",Закуп!L92=0),"",Закуп!L92)</f>
        <v/>
      </c>
      <c r="P92" s="133" t="str">
        <f>Закуп!K92</f>
        <v>K92</v>
      </c>
      <c r="Q92" s="217" t="str">
        <f>IF(Закуп!D92="","",IF(LEFT(Закуп!D92,1)="0","0",Закуп!D92))</f>
        <v>У</v>
      </c>
      <c r="R92" s="155">
        <f>Закуп!C92</f>
        <v>92</v>
      </c>
    </row>
    <row r="93" spans="1:18" x14ac:dyDescent="0.3">
      <c r="A93" s="131" t="str">
        <f>Закуп!E93</f>
        <v>570х350х190</v>
      </c>
      <c r="B93" s="127">
        <f>INDEX(Calc!$K:$K, (ROW(A92)-1)*5 + COLUMN(A92) + 1 )</f>
        <v>4.55</v>
      </c>
      <c r="C93" s="127">
        <f>INDEX(Calc!$K:$K, (ROW(B92)-1)*5 + COLUMN(B92) + 1 )</f>
        <v>3.6</v>
      </c>
      <c r="D93" s="136">
        <f>INDEX(Calc!$K:$K, (ROW(C92)-1)*5 + COLUMN(C92) + 1 )</f>
        <v>2.95</v>
      </c>
      <c r="E93" s="137">
        <f>INDEX(Calc!$K:$K, (ROW(D92)-1)*5 + COLUMN(D92) + 1 )</f>
        <v>2.87</v>
      </c>
      <c r="F93" s="138">
        <f>INDEX(Calc!$K:$K, (ROW(E92)-1)*5 + COLUMN(E92) + 1 )</f>
        <v>2.77</v>
      </c>
      <c r="G93" s="133">
        <f>Закуп!O93</f>
        <v>37.909999999999997</v>
      </c>
      <c r="H93" s="133" t="str">
        <f>Закуп!Q93</f>
        <v>20-50 л</v>
      </c>
      <c r="I93" s="133" t="str">
        <f>Закуп!X93</f>
        <v>500-599 мм</v>
      </c>
      <c r="J93" s="133" t="str">
        <f>Закуп!Y93</f>
        <v>300-399 мм</v>
      </c>
      <c r="K93" s="133" t="str">
        <f>Закуп!Z93</f>
        <v>100-199 мм</v>
      </c>
      <c r="L93" s="133" t="str">
        <f>Закуп!AA93</f>
        <v>Четырехклапанные</v>
      </c>
      <c r="M93" s="133" t="str">
        <f>Закуп!V93</f>
        <v/>
      </c>
      <c r="N93" s="133" t="str">
        <f>Закуп!W93</f>
        <v/>
      </c>
      <c r="O93" s="139" t="str">
        <f>IF(OR(Закуп!L93="",Закуп!L93=0),"",Закуп!L93)</f>
        <v/>
      </c>
      <c r="P93" s="133" t="str">
        <f>Закуп!K93</f>
        <v>K93</v>
      </c>
      <c r="Q93" s="217" t="str">
        <f>IF(Закуп!D93="","",IF(LEFT(Закуп!D93,1)="0","0",Закуп!D93))</f>
        <v>У</v>
      </c>
      <c r="R93" s="155">
        <f>Закуп!C93</f>
        <v>93</v>
      </c>
    </row>
    <row r="94" spans="1:18" x14ac:dyDescent="0.3">
      <c r="A94" s="131" t="str">
        <f>Закуп!E94</f>
        <v>200х90х40</v>
      </c>
      <c r="B94" s="127">
        <f>INDEX(Calc!$K:$K, (ROW(A93)-1)*5 + COLUMN(A93) + 1 )</f>
        <v>1.03</v>
      </c>
      <c r="C94" s="127">
        <f>INDEX(Calc!$K:$K, (ROW(B93)-1)*5 + COLUMN(B93) + 1 )</f>
        <v>0.89</v>
      </c>
      <c r="D94" s="136">
        <f>INDEX(Calc!$K:$K, (ROW(C93)-1)*5 + COLUMN(C93) + 1 )</f>
        <v>0.71</v>
      </c>
      <c r="E94" s="137">
        <f>INDEX(Calc!$K:$K, (ROW(D93)-1)*5 + COLUMN(D93) + 1 )</f>
        <v>0.65</v>
      </c>
      <c r="F94" s="138">
        <f>INDEX(Calc!$K:$K, (ROW(E93)-1)*5 + COLUMN(E93) + 1 )</f>
        <v>0.56000000000000005</v>
      </c>
      <c r="G94" s="133">
        <f>Закуп!O94</f>
        <v>0.72</v>
      </c>
      <c r="H94" s="133" t="str">
        <f>Закуп!Q94</f>
        <v>&lt;1 л</v>
      </c>
      <c r="I94" s="133" t="str">
        <f>Закуп!X94</f>
        <v>200-299 мм</v>
      </c>
      <c r="J94" s="133" t="str">
        <f>Закуп!Y94</f>
        <v>10-99 мм</v>
      </c>
      <c r="K94" s="133" t="str">
        <f>Закуп!Z94</f>
        <v>10-99 мм</v>
      </c>
      <c r="L94" s="133" t="str">
        <f>Закуп!AA94</f>
        <v>Самосборные</v>
      </c>
      <c r="M94" s="133" t="str">
        <f>Закуп!V94</f>
        <v>Длинные</v>
      </c>
      <c r="N94" s="133" t="str">
        <f>Закуп!W94</f>
        <v>Плоские</v>
      </c>
      <c r="O94" s="139" t="str">
        <f>IF(OR(Закуп!L94="",Закуп!L94=0),"",Закуп!L94)</f>
        <v/>
      </c>
      <c r="P94" s="133" t="str">
        <f>Закуп!K94</f>
        <v>K94</v>
      </c>
      <c r="Q94" s="217" t="str">
        <f>IF(Закуп!D94="","",IF(LEFT(Закуп!D94,1)="0","0",Закуп!D94))</f>
        <v>У</v>
      </c>
      <c r="R94" s="155">
        <f>Закуп!C94</f>
        <v>94</v>
      </c>
    </row>
    <row r="95" spans="1:18" x14ac:dyDescent="0.3">
      <c r="A95" s="131" t="str">
        <f>Закуп!E95</f>
        <v>74х71х247</v>
      </c>
      <c r="B95" s="127">
        <f>INDEX(Calc!$K:$K, (ROW(A94)-1)*5 + COLUMN(A94) + 1 )</f>
        <v>1.03</v>
      </c>
      <c r="C95" s="127">
        <f>INDEX(Calc!$K:$K, (ROW(B94)-1)*5 + COLUMN(B94) + 1 )</f>
        <v>0.89</v>
      </c>
      <c r="D95" s="136">
        <f>INDEX(Calc!$K:$K, (ROW(C94)-1)*5 + COLUMN(C94) + 1 )</f>
        <v>0.71</v>
      </c>
      <c r="E95" s="137">
        <f>INDEX(Calc!$K:$K, (ROW(D94)-1)*5 + COLUMN(D94) + 1 )</f>
        <v>0.65</v>
      </c>
      <c r="F95" s="138">
        <f>INDEX(Calc!$K:$K, (ROW(E94)-1)*5 + COLUMN(E94) + 1 )</f>
        <v>0.56000000000000005</v>
      </c>
      <c r="G95" s="133">
        <f>Закуп!O95</f>
        <v>1.3</v>
      </c>
      <c r="H95" s="133" t="str">
        <f>Закуп!Q95</f>
        <v>1-2 л</v>
      </c>
      <c r="I95" s="133" t="str">
        <f>Закуп!X95</f>
        <v>200-299 мм</v>
      </c>
      <c r="J95" s="133" t="str">
        <f>Закуп!Y95</f>
        <v>10-99 мм</v>
      </c>
      <c r="K95" s="133" t="str">
        <f>Закуп!Z95</f>
        <v>10-99 мм</v>
      </c>
      <c r="L95" s="133" t="str">
        <f>Закуп!AA95</f>
        <v>Самосборные</v>
      </c>
      <c r="M95" s="133" t="str">
        <f>Закуп!V95</f>
        <v>Длинные</v>
      </c>
      <c r="N95" s="133" t="str">
        <f>Закуп!W95</f>
        <v/>
      </c>
      <c r="O95" s="139" t="str">
        <f>IF(OR(Закуп!L95="",Закуп!L95=0),"",Закуп!L95)</f>
        <v/>
      </c>
      <c r="P95" s="133" t="str">
        <f>Закуп!K95</f>
        <v>K95</v>
      </c>
      <c r="Q95" s="217" t="str">
        <f>IF(Закуп!D95="","",IF(LEFT(Закуп!D95,1)="0","0",Закуп!D95))</f>
        <v>У</v>
      </c>
      <c r="R95" s="155">
        <f>Закуп!C95</f>
        <v>95</v>
      </c>
    </row>
    <row r="96" spans="1:18" x14ac:dyDescent="0.3">
      <c r="A96" s="131" t="str">
        <f>Закуп!E96</f>
        <v>235х35х35</v>
      </c>
      <c r="B96" s="127">
        <f>INDEX(Calc!$K:$K, (ROW(A95)-1)*5 + COLUMN(A95) + 1 )</f>
        <v>1.1599999999999999</v>
      </c>
      <c r="C96" s="127">
        <f>INDEX(Calc!$K:$K, (ROW(B95)-1)*5 + COLUMN(B95) + 1 )</f>
        <v>1.02</v>
      </c>
      <c r="D96" s="136">
        <f>INDEX(Calc!$K:$K, (ROW(C95)-1)*5 + COLUMN(C95) + 1 )</f>
        <v>0.87</v>
      </c>
      <c r="E96" s="137">
        <f>INDEX(Calc!$K:$K, (ROW(D95)-1)*5 + COLUMN(D95) + 1 )</f>
        <v>0.73</v>
      </c>
      <c r="F96" s="138">
        <f>INDEX(Calc!$K:$K, (ROW(E95)-1)*5 + COLUMN(E95) + 1 )</f>
        <v>0.59</v>
      </c>
      <c r="G96" s="133">
        <f>Закуп!O96</f>
        <v>0.28999999999999998</v>
      </c>
      <c r="H96" s="133" t="str">
        <f>Закуп!Q96</f>
        <v>&lt;1 л</v>
      </c>
      <c r="I96" s="133" t="str">
        <f>Закуп!X96</f>
        <v>200-299 мм</v>
      </c>
      <c r="J96" s="133" t="str">
        <f>Закуп!Y96</f>
        <v>10-99 мм</v>
      </c>
      <c r="K96" s="133" t="str">
        <f>Закуп!Z96</f>
        <v>10-99 мм</v>
      </c>
      <c r="L96" s="133" t="str">
        <f>Закуп!AA96</f>
        <v>Самосборные</v>
      </c>
      <c r="M96" s="133" t="str">
        <f>Закуп!V96</f>
        <v>Длинные</v>
      </c>
      <c r="N96" s="133" t="str">
        <f>Закуп!W96</f>
        <v/>
      </c>
      <c r="O96" s="139" t="str">
        <f>IF(OR(Закуп!L96="",Закуп!L96=0),"",Закуп!L96)</f>
        <v/>
      </c>
      <c r="P96" s="133" t="str">
        <f>Закуп!K96</f>
        <v>K96</v>
      </c>
      <c r="Q96" s="217" t="str">
        <f>IF(Закуп!D96="","",IF(LEFT(Закуп!D96,1)="0","0",Закуп!D96))</f>
        <v>У</v>
      </c>
      <c r="R96" s="155">
        <f>Закуп!C96</f>
        <v>96</v>
      </c>
    </row>
    <row r="97" spans="1:18" x14ac:dyDescent="0.3">
      <c r="A97" s="131" t="str">
        <f>Закуп!E97</f>
        <v>290х230х155</v>
      </c>
      <c r="B97" s="127">
        <f>INDEX(Calc!$K:$K, (ROW(A96)-1)*5 + COLUMN(A96) + 1 )</f>
        <v>1.77</v>
      </c>
      <c r="C97" s="127">
        <f>INDEX(Calc!$K:$K, (ROW(B96)-1)*5 + COLUMN(B96) + 1 )</f>
        <v>1.61</v>
      </c>
      <c r="D97" s="136">
        <f>INDEX(Calc!$K:$K, (ROW(C96)-1)*5 + COLUMN(C96) + 1 )</f>
        <v>1.47</v>
      </c>
      <c r="E97" s="137">
        <f>INDEX(Calc!$K:$K, (ROW(D96)-1)*5 + COLUMN(D96) + 1 )</f>
        <v>1.35</v>
      </c>
      <c r="F97" s="138">
        <f>INDEX(Calc!$K:$K, (ROW(E96)-1)*5 + COLUMN(E96) + 1 )</f>
        <v>1.2</v>
      </c>
      <c r="G97" s="133">
        <f>Закуп!O97</f>
        <v>10.34</v>
      </c>
      <c r="H97" s="133" t="str">
        <f>Закуп!Q97</f>
        <v>10-20 л</v>
      </c>
      <c r="I97" s="133" t="str">
        <f>Закуп!X97</f>
        <v>200-299 мм</v>
      </c>
      <c r="J97" s="133" t="str">
        <f>Закуп!Y97</f>
        <v>200-299 мм</v>
      </c>
      <c r="K97" s="133" t="str">
        <f>Закуп!Z97</f>
        <v>100-199 мм</v>
      </c>
      <c r="L97" s="133" t="str">
        <f>Закуп!AA97</f>
        <v>Четырехклапанные</v>
      </c>
      <c r="M97" s="133" t="str">
        <f>Закуп!V97</f>
        <v/>
      </c>
      <c r="N97" s="133" t="str">
        <f>Закуп!W97</f>
        <v/>
      </c>
      <c r="O97" s="139" t="str">
        <f>IF(OR(Закуп!L97="",Закуп!L97=0),"",Закуп!L97)</f>
        <v/>
      </c>
      <c r="P97" s="133" t="str">
        <f>Закуп!K97</f>
        <v>K97</v>
      </c>
      <c r="Q97" s="217" t="str">
        <f>IF(Закуп!D97="","",IF(LEFT(Закуп!D97,1)="0","0",Закуп!D97))</f>
        <v>У</v>
      </c>
      <c r="R97" s="155">
        <f>Закуп!C97</f>
        <v>97</v>
      </c>
    </row>
    <row r="98" spans="1:18" x14ac:dyDescent="0.3">
      <c r="A98" s="131" t="str">
        <f>Закуп!E98</f>
        <v>600х270х280</v>
      </c>
      <c r="B98" s="127">
        <f>INDEX(Calc!$K:$K, (ROW(A97)-1)*5 + COLUMN(A97) + 1 )</f>
        <v>4.3899999999999997</v>
      </c>
      <c r="C98" s="127">
        <f>INDEX(Calc!$K:$K, (ROW(B97)-1)*5 + COLUMN(B97) + 1 )</f>
        <v>3.47</v>
      </c>
      <c r="D98" s="136">
        <f>INDEX(Calc!$K:$K, (ROW(C97)-1)*5 + COLUMN(C97) + 1 )</f>
        <v>2.86</v>
      </c>
      <c r="E98" s="137">
        <f>INDEX(Calc!$K:$K, (ROW(D97)-1)*5 + COLUMN(D97) + 1 )</f>
        <v>2.77</v>
      </c>
      <c r="F98" s="138">
        <f>INDEX(Calc!$K:$K, (ROW(E97)-1)*5 + COLUMN(E97) + 1 )</f>
        <v>2.68</v>
      </c>
      <c r="G98" s="133">
        <f>Закуп!O98</f>
        <v>45.36</v>
      </c>
      <c r="H98" s="133" t="str">
        <f>Закуп!Q98</f>
        <v>20-50 л</v>
      </c>
      <c r="I98" s="133" t="str">
        <f>Закуп!X98</f>
        <v>600-699 мм</v>
      </c>
      <c r="J98" s="133" t="str">
        <f>Закуп!Y98</f>
        <v>200-299 мм</v>
      </c>
      <c r="K98" s="133" t="str">
        <f>Закуп!Z98</f>
        <v>200-299 мм</v>
      </c>
      <c r="L98" s="133" t="str">
        <f>Закуп!AA98</f>
        <v>Четырехклапанные</v>
      </c>
      <c r="M98" s="133" t="str">
        <f>Закуп!V98</f>
        <v>Длинные</v>
      </c>
      <c r="N98" s="133" t="str">
        <f>Закуп!W98</f>
        <v/>
      </c>
      <c r="O98" s="139" t="str">
        <f>IF(OR(Закуп!L98="",Закуп!L98=0),"",Закуп!L98)</f>
        <v/>
      </c>
      <c r="P98" s="133" t="str">
        <f>Закуп!K98</f>
        <v>K98</v>
      </c>
      <c r="Q98" s="217" t="str">
        <f>IF(Закуп!D98="","",IF(LEFT(Закуп!D98,1)="0","0",Закуп!D98))</f>
        <v>У</v>
      </c>
      <c r="R98" s="155">
        <f>Закуп!C98</f>
        <v>98</v>
      </c>
    </row>
    <row r="99" spans="1:18" x14ac:dyDescent="0.3">
      <c r="A99" s="131" t="str">
        <f>Закуп!E99</f>
        <v>175х175х200</v>
      </c>
      <c r="B99" s="127">
        <f>INDEX(Calc!$K:$K, (ROW(A98)-1)*5 + COLUMN(A98) + 1 )</f>
        <v>1.44</v>
      </c>
      <c r="C99" s="127">
        <f>INDEX(Calc!$K:$K, (ROW(B98)-1)*5 + COLUMN(B98) + 1 )</f>
        <v>1.26</v>
      </c>
      <c r="D99" s="136">
        <f>INDEX(Calc!$K:$K, (ROW(C98)-1)*5 + COLUMN(C98) + 1 )</f>
        <v>1.07</v>
      </c>
      <c r="E99" s="137">
        <f>INDEX(Calc!$K:$K, (ROW(D98)-1)*5 + COLUMN(D98) + 1 )</f>
        <v>1.01</v>
      </c>
      <c r="F99" s="138">
        <f>INDEX(Calc!$K:$K, (ROW(E98)-1)*5 + COLUMN(E98) + 1 )</f>
        <v>0.94</v>
      </c>
      <c r="G99" s="133">
        <f>Закуп!O99</f>
        <v>6.13</v>
      </c>
      <c r="H99" s="133" t="str">
        <f>Закуп!Q99</f>
        <v>5-10 л</v>
      </c>
      <c r="I99" s="133" t="str">
        <f>Закуп!X99</f>
        <v>200-299 мм</v>
      </c>
      <c r="J99" s="133" t="str">
        <f>Закуп!Y99</f>
        <v>100-199 мм</v>
      </c>
      <c r="K99" s="133" t="str">
        <f>Закуп!Z99</f>
        <v>100-199 мм</v>
      </c>
      <c r="L99" s="133" t="str">
        <f>Закуп!AA99</f>
        <v>Четырехклапанные</v>
      </c>
      <c r="M99" s="133" t="str">
        <f>Закуп!V99</f>
        <v/>
      </c>
      <c r="N99" s="133" t="str">
        <f>Закуп!W99</f>
        <v/>
      </c>
      <c r="O99" s="139" t="str">
        <f>IF(OR(Закуп!L99="",Закуп!L99=0),"",Закуп!L99)</f>
        <v/>
      </c>
      <c r="P99" s="133" t="str">
        <f>Закуп!K99</f>
        <v>K99</v>
      </c>
      <c r="Q99" s="217" t="str">
        <f>IF(Закуп!D99="","",IF(LEFT(Закуп!D99,1)="0","0",Закуп!D99))</f>
        <v>У</v>
      </c>
      <c r="R99" s="155">
        <f>Закуп!C99</f>
        <v>99</v>
      </c>
    </row>
    <row r="100" spans="1:18" x14ac:dyDescent="0.3">
      <c r="A100" s="131" t="str">
        <f>Закуп!E100</f>
        <v>390х290х290</v>
      </c>
      <c r="B100" s="127">
        <f>INDEX(Calc!$K:$K, (ROW(A99)-1)*5 + COLUMN(A99) + 1 )</f>
        <v>3.62</v>
      </c>
      <c r="C100" s="127">
        <f>INDEX(Calc!$K:$K, (ROW(B99)-1)*5 + COLUMN(B99) + 1 )</f>
        <v>2.9</v>
      </c>
      <c r="D100" s="136">
        <f>INDEX(Calc!$K:$K, (ROW(C99)-1)*5 + COLUMN(C99) + 1 )</f>
        <v>2.44</v>
      </c>
      <c r="E100" s="137">
        <f>INDEX(Calc!$K:$K, (ROW(D99)-1)*5 + COLUMN(D99) + 1 )</f>
        <v>2.3199999999999998</v>
      </c>
      <c r="F100" s="138">
        <f>INDEX(Calc!$K:$K, (ROW(E99)-1)*5 + COLUMN(E99) + 1 )</f>
        <v>2.2000000000000002</v>
      </c>
      <c r="G100" s="133">
        <f>Закуп!O100</f>
        <v>32.799999999999997</v>
      </c>
      <c r="H100" s="133" t="str">
        <f>Закуп!Q100</f>
        <v>20-50 л</v>
      </c>
      <c r="I100" s="133" t="str">
        <f>Закуп!X100</f>
        <v>300-399 мм</v>
      </c>
      <c r="J100" s="133" t="str">
        <f>Закуп!Y100</f>
        <v>200-299 мм</v>
      </c>
      <c r="K100" s="133" t="str">
        <f>Закуп!Z100</f>
        <v>200-299 мм</v>
      </c>
      <c r="L100" s="133" t="str">
        <f>Закуп!AA100</f>
        <v>Четырехклапанные</v>
      </c>
      <c r="M100" s="133" t="str">
        <f>Закуп!V100</f>
        <v/>
      </c>
      <c r="N100" s="133" t="str">
        <f>Закуп!W100</f>
        <v/>
      </c>
      <c r="O100" s="139" t="str">
        <f>IF(OR(Закуп!L100="",Закуп!L100=0),"",Закуп!L100)</f>
        <v/>
      </c>
      <c r="P100" s="133" t="str">
        <f>Закуп!K100</f>
        <v>K100</v>
      </c>
      <c r="Q100" s="217" t="str">
        <f>IF(Закуп!D100="","",IF(LEFT(Закуп!D100,1)="0","0",Закуп!D100))</f>
        <v>У</v>
      </c>
      <c r="R100" s="155">
        <f>Закуп!C100</f>
        <v>100</v>
      </c>
    </row>
    <row r="101" spans="1:18" x14ac:dyDescent="0.3">
      <c r="A101" s="131" t="str">
        <f>Закуп!E101</f>
        <v>290х225х230</v>
      </c>
      <c r="B101" s="127">
        <f>INDEX(Calc!$K:$K, (ROW(A100)-1)*5 + COLUMN(A100) + 1 )</f>
        <v>2.4</v>
      </c>
      <c r="C101" s="127">
        <f>INDEX(Calc!$K:$K, (ROW(B100)-1)*5 + COLUMN(B100) + 1 )</f>
        <v>2.1800000000000002</v>
      </c>
      <c r="D101" s="136">
        <f>INDEX(Calc!$K:$K, (ROW(C100)-1)*5 + COLUMN(C100) + 1 )</f>
        <v>1.7</v>
      </c>
      <c r="E101" s="137">
        <f>INDEX(Calc!$K:$K, (ROW(D100)-1)*5 + COLUMN(D100) + 1 )</f>
        <v>1.48</v>
      </c>
      <c r="F101" s="138">
        <f>INDEX(Calc!$K:$K, (ROW(E100)-1)*5 + COLUMN(E100) + 1 )</f>
        <v>1.38</v>
      </c>
      <c r="G101" s="133">
        <f>Закуп!O101</f>
        <v>15.01</v>
      </c>
      <c r="H101" s="133" t="str">
        <f>Закуп!Q101</f>
        <v>10-20 л</v>
      </c>
      <c r="I101" s="133" t="str">
        <f>Закуп!X101</f>
        <v>200-299 мм</v>
      </c>
      <c r="J101" s="133" t="str">
        <f>Закуп!Y101</f>
        <v>200-299 мм</v>
      </c>
      <c r="K101" s="133" t="str">
        <f>Закуп!Z101</f>
        <v>200-299 мм</v>
      </c>
      <c r="L101" s="133" t="str">
        <f>Закуп!AA101</f>
        <v>Четырехклапанные</v>
      </c>
      <c r="M101" s="133" t="str">
        <f>Закуп!V101</f>
        <v/>
      </c>
      <c r="N101" s="133" t="str">
        <f>Закуп!W101</f>
        <v/>
      </c>
      <c r="O101" s="139" t="str">
        <f>IF(OR(Закуп!L101="",Закуп!L101=0),"",Закуп!L101)</f>
        <v/>
      </c>
      <c r="P101" s="133" t="str">
        <f>Закуп!K101</f>
        <v>K101</v>
      </c>
      <c r="Q101" s="217" t="str">
        <f>IF(Закуп!D101="","",IF(LEFT(Закуп!D101,1)="0","0",Закуп!D101))</f>
        <v>У</v>
      </c>
      <c r="R101" s="155">
        <f>Закуп!C101</f>
        <v>101</v>
      </c>
    </row>
    <row r="102" spans="1:18" x14ac:dyDescent="0.3">
      <c r="A102" s="131" t="str">
        <f>Закуп!E102</f>
        <v>100х100х100</v>
      </c>
      <c r="B102" s="127">
        <f>INDEX(Calc!$K:$K, (ROW(A101)-1)*5 + COLUMN(A101) + 1 )</f>
        <v>0.98</v>
      </c>
      <c r="C102" s="127">
        <f>INDEX(Calc!$K:$K, (ROW(B101)-1)*5 + COLUMN(B101) + 1 )</f>
        <v>0.86</v>
      </c>
      <c r="D102" s="136">
        <f>INDEX(Calc!$K:$K, (ROW(C101)-1)*5 + COLUMN(C101) + 1 )</f>
        <v>0.74</v>
      </c>
      <c r="E102" s="137">
        <f>INDEX(Calc!$K:$K, (ROW(D101)-1)*5 + COLUMN(D101) + 1 )</f>
        <v>0.67</v>
      </c>
      <c r="F102" s="138">
        <f>INDEX(Calc!$K:$K, (ROW(E101)-1)*5 + COLUMN(E101) + 1 )</f>
        <v>0.59</v>
      </c>
      <c r="G102" s="133">
        <f>Закуп!O102</f>
        <v>1</v>
      </c>
      <c r="H102" s="133" t="str">
        <f>Закуп!Q102</f>
        <v>1-2 л</v>
      </c>
      <c r="I102" s="133" t="str">
        <f>Закуп!X102</f>
        <v>100-199 мм</v>
      </c>
      <c r="J102" s="133" t="str">
        <f>Закуп!Y102</f>
        <v>100-199 мм</v>
      </c>
      <c r="K102" s="133" t="str">
        <f>Закуп!Z102</f>
        <v>100-199 мм</v>
      </c>
      <c r="L102" s="133" t="str">
        <f>Закуп!AA102</f>
        <v>Самосборные</v>
      </c>
      <c r="M102" s="133" t="str">
        <f>Закуп!V102</f>
        <v/>
      </c>
      <c r="N102" s="133" t="str">
        <f>Закуп!W102</f>
        <v/>
      </c>
      <c r="O102" s="139" t="str">
        <f>IF(OR(Закуп!L102="",Закуп!L102=0),"",Закуп!L102)</f>
        <v/>
      </c>
      <c r="P102" s="133" t="str">
        <f>Закуп!K102</f>
        <v>K102</v>
      </c>
      <c r="Q102" s="217" t="str">
        <f>IF(Закуп!D102="","",IF(LEFT(Закуп!D102,1)="0","0",Закуп!D102))</f>
        <v>У</v>
      </c>
      <c r="R102" s="155">
        <f>Закуп!C102</f>
        <v>102</v>
      </c>
    </row>
    <row r="103" spans="1:18" x14ac:dyDescent="0.3">
      <c r="A103" s="131" t="str">
        <f>Закуп!E103</f>
        <v>150х115х135</v>
      </c>
      <c r="B103" s="127">
        <f>INDEX(Calc!$K:$K, (ROW(A102)-1)*5 + COLUMN(A102) + 1 )</f>
        <v>0.89</v>
      </c>
      <c r="C103" s="127">
        <f>INDEX(Calc!$K:$K, (ROW(B102)-1)*5 + COLUMN(B102) + 1 )</f>
        <v>0.76</v>
      </c>
      <c r="D103" s="136">
        <f>INDEX(Calc!$K:$K, (ROW(C102)-1)*5 + COLUMN(C102) + 1 )</f>
        <v>0.61</v>
      </c>
      <c r="E103" s="137">
        <f>INDEX(Calc!$K:$K, (ROW(D102)-1)*5 + COLUMN(D102) + 1 )</f>
        <v>0.56999999999999995</v>
      </c>
      <c r="F103" s="138">
        <f>INDEX(Calc!$K:$K, (ROW(E102)-1)*5 + COLUMN(E102) + 1 )</f>
        <v>0.48</v>
      </c>
      <c r="G103" s="133">
        <f>Закуп!O103</f>
        <v>2.33</v>
      </c>
      <c r="H103" s="133" t="str">
        <f>Закуп!Q103</f>
        <v>2-3 л</v>
      </c>
      <c r="I103" s="133" t="str">
        <f>Закуп!X103</f>
        <v>100-199 мм</v>
      </c>
      <c r="J103" s="133" t="str">
        <f>Закуп!Y103</f>
        <v>100-199 мм</v>
      </c>
      <c r="K103" s="133" t="str">
        <f>Закуп!Z103</f>
        <v>100-199 мм</v>
      </c>
      <c r="L103" s="133" t="str">
        <f>Закуп!AA103</f>
        <v>Четырехклапанные</v>
      </c>
      <c r="M103" s="133" t="str">
        <f>Закуп!V103</f>
        <v/>
      </c>
      <c r="N103" s="133" t="str">
        <f>Закуп!W103</f>
        <v/>
      </c>
      <c r="O103" s="139" t="str">
        <f>IF(OR(Закуп!L103="",Закуп!L103=0),"",Закуп!L103)</f>
        <v/>
      </c>
      <c r="P103" s="133" t="str">
        <f>Закуп!K103</f>
        <v>K103</v>
      </c>
      <c r="Q103" s="217" t="str">
        <f>IF(Закуп!D103="","",IF(LEFT(Закуп!D103,1)="0","0",Закуп!D103))</f>
        <v>У</v>
      </c>
      <c r="R103" s="155">
        <f>Закуп!C103</f>
        <v>103</v>
      </c>
    </row>
    <row r="104" spans="1:18" x14ac:dyDescent="0.3">
      <c r="A104" s="131" t="str">
        <f>Закуп!E104</f>
        <v>290х225х110</v>
      </c>
      <c r="B104" s="127">
        <f>INDEX(Calc!$K:$K, (ROW(A103)-1)*5 + COLUMN(A103) + 1 )</f>
        <v>1.78</v>
      </c>
      <c r="C104" s="127">
        <f>INDEX(Calc!$K:$K, (ROW(B103)-1)*5 + COLUMN(B103) + 1 )</f>
        <v>1.62</v>
      </c>
      <c r="D104" s="136">
        <f>INDEX(Calc!$K:$K, (ROW(C103)-1)*5 + COLUMN(C103) + 1 )</f>
        <v>1.27</v>
      </c>
      <c r="E104" s="137">
        <f>INDEX(Calc!$K:$K, (ROW(D103)-1)*5 + COLUMN(D103) + 1 )</f>
        <v>1.2</v>
      </c>
      <c r="F104" s="138">
        <f>INDEX(Calc!$K:$K, (ROW(E103)-1)*5 + COLUMN(E103) + 1 )</f>
        <v>1.05</v>
      </c>
      <c r="G104" s="133">
        <f>Закуп!O104</f>
        <v>7.18</v>
      </c>
      <c r="H104" s="133" t="str">
        <f>Закуп!Q104</f>
        <v>5-10 л</v>
      </c>
      <c r="I104" s="133" t="str">
        <f>Закуп!X104</f>
        <v>200-299 мм</v>
      </c>
      <c r="J104" s="133" t="str">
        <f>Закуп!Y104</f>
        <v>200-299 мм</v>
      </c>
      <c r="K104" s="133" t="str">
        <f>Закуп!Z104</f>
        <v>100-199 мм</v>
      </c>
      <c r="L104" s="133" t="str">
        <f>Закуп!AA104</f>
        <v>Четырехклапанные</v>
      </c>
      <c r="M104" s="133" t="str">
        <f>Закуп!V104</f>
        <v/>
      </c>
      <c r="N104" s="133" t="str">
        <f>Закуп!W104</f>
        <v>Плоские</v>
      </c>
      <c r="O104" s="139" t="str">
        <f>IF(OR(Закуп!L104="",Закуп!L104=0),"",Закуп!L104)</f>
        <v/>
      </c>
      <c r="P104" s="133" t="str">
        <f>Закуп!K104</f>
        <v>K104</v>
      </c>
      <c r="Q104" s="217" t="str">
        <f>IF(Закуп!D104="","",IF(LEFT(Закуп!D104,1)="0","0",Закуп!D104))</f>
        <v>У</v>
      </c>
      <c r="R104" s="155">
        <f>Закуп!C104</f>
        <v>104</v>
      </c>
    </row>
    <row r="105" spans="1:18" x14ac:dyDescent="0.3">
      <c r="A105" s="131" t="str">
        <f>Закуп!E105</f>
        <v>330х180х95</v>
      </c>
      <c r="B105" s="127">
        <f>INDEX(Calc!$K:$K, (ROW(A104)-1)*5 + COLUMN(A104) + 1 )</f>
        <v>1.44</v>
      </c>
      <c r="C105" s="127">
        <f>INDEX(Calc!$K:$K, (ROW(B104)-1)*5 + COLUMN(B104) + 1 )</f>
        <v>1.31</v>
      </c>
      <c r="D105" s="136">
        <f>INDEX(Calc!$K:$K, (ROW(C104)-1)*5 + COLUMN(C104) + 1 )</f>
        <v>1.04</v>
      </c>
      <c r="E105" s="137">
        <f>INDEX(Calc!$K:$K, (ROW(D104)-1)*5 + COLUMN(D104) + 1 )</f>
        <v>0.97</v>
      </c>
      <c r="F105" s="138">
        <f>INDEX(Calc!$K:$K, (ROW(E104)-1)*5 + COLUMN(E104) + 1 )</f>
        <v>0.92</v>
      </c>
      <c r="G105" s="133">
        <f>Закуп!O105</f>
        <v>5.64</v>
      </c>
      <c r="H105" s="133" t="str">
        <f>Закуп!Q105</f>
        <v>5-10 л</v>
      </c>
      <c r="I105" s="133" t="str">
        <f>Закуп!X105</f>
        <v>300-399 мм</v>
      </c>
      <c r="J105" s="133" t="str">
        <f>Закуп!Y105</f>
        <v>100-199 мм</v>
      </c>
      <c r="K105" s="133" t="str">
        <f>Закуп!Z105</f>
        <v>10-99 мм</v>
      </c>
      <c r="L105" s="133" t="str">
        <f>Закуп!AA105</f>
        <v>Четырехклапанные</v>
      </c>
      <c r="M105" s="133" t="str">
        <f>Закуп!V105</f>
        <v/>
      </c>
      <c r="N105" s="133" t="str">
        <f>Закуп!W105</f>
        <v/>
      </c>
      <c r="O105" s="139" t="str">
        <f>IF(OR(Закуп!L105="",Закуп!L105=0),"",Закуп!L105)</f>
        <v/>
      </c>
      <c r="P105" s="133" t="str">
        <f>Закуп!K105</f>
        <v>K105</v>
      </c>
      <c r="Q105" s="217" t="str">
        <f>IF(Закуп!D105="","",IF(LEFT(Закуп!D105,1)="0","0",Закуп!D105))</f>
        <v>У</v>
      </c>
      <c r="R105" s="155">
        <f>Закуп!C105</f>
        <v>105</v>
      </c>
    </row>
    <row r="106" spans="1:18" x14ac:dyDescent="0.3">
      <c r="A106" s="131" t="str">
        <f>Закуп!E106</f>
        <v>515х200х200</v>
      </c>
      <c r="B106" s="127">
        <f>INDEX(Calc!$K:$K, (ROW(A105)-1)*5 + COLUMN(A105) + 1 )</f>
        <v>2.64</v>
      </c>
      <c r="C106" s="127">
        <f>INDEX(Calc!$K:$K, (ROW(B105)-1)*5 + COLUMN(B105) + 1 )</f>
        <v>2.12</v>
      </c>
      <c r="D106" s="136">
        <f>INDEX(Calc!$K:$K, (ROW(C105)-1)*5 + COLUMN(C105) + 1 )</f>
        <v>1.93</v>
      </c>
      <c r="E106" s="137">
        <f>INDEX(Calc!$K:$K, (ROW(D105)-1)*5 + COLUMN(D105) + 1 )</f>
        <v>1.72</v>
      </c>
      <c r="F106" s="138">
        <f>INDEX(Calc!$K:$K, (ROW(E105)-1)*5 + COLUMN(E105) + 1 )</f>
        <v>1.67</v>
      </c>
      <c r="G106" s="133">
        <f>Закуп!O106</f>
        <v>20.6</v>
      </c>
      <c r="H106" s="133" t="str">
        <f>Закуп!Q106</f>
        <v>20-50 л</v>
      </c>
      <c r="I106" s="133" t="str">
        <f>Закуп!X106</f>
        <v>500-599 мм</v>
      </c>
      <c r="J106" s="133" t="str">
        <f>Закуп!Y106</f>
        <v>200-299 мм</v>
      </c>
      <c r="K106" s="133" t="str">
        <f>Закуп!Z106</f>
        <v>200-299 мм</v>
      </c>
      <c r="L106" s="133" t="str">
        <f>Закуп!AA106</f>
        <v>Четырехклапанные</v>
      </c>
      <c r="M106" s="133" t="str">
        <f>Закуп!V106</f>
        <v>Длинные</v>
      </c>
      <c r="N106" s="133" t="str">
        <f>Закуп!W106</f>
        <v/>
      </c>
      <c r="O106" s="139" t="str">
        <f>IF(OR(Закуп!L106="",Закуп!L106=0),"",Закуп!L106)</f>
        <v/>
      </c>
      <c r="P106" s="133" t="str">
        <f>Закуп!K106</f>
        <v>K106</v>
      </c>
      <c r="Q106" s="217" t="str">
        <f>IF(Закуп!D106="","",IF(LEFT(Закуп!D106,1)="0","0",Закуп!D106))</f>
        <v>У</v>
      </c>
      <c r="R106" s="155">
        <f>Закуп!C106</f>
        <v>106</v>
      </c>
    </row>
    <row r="107" spans="1:18" x14ac:dyDescent="0.3">
      <c r="A107" s="131" t="str">
        <f>Закуп!E107</f>
        <v>350х265х320</v>
      </c>
      <c r="B107" s="127">
        <f>INDEX(Calc!$K:$K, (ROW(A106)-1)*5 + COLUMN(A106) + 1 )</f>
        <v>3.32</v>
      </c>
      <c r="C107" s="127">
        <f>INDEX(Calc!$K:$K, (ROW(B106)-1)*5 + COLUMN(B106) + 1 )</f>
        <v>2.65</v>
      </c>
      <c r="D107" s="136">
        <f>INDEX(Calc!$K:$K, (ROW(C106)-1)*5 + COLUMN(C106) + 1 )</f>
        <v>2.39</v>
      </c>
      <c r="E107" s="137">
        <f>INDEX(Calc!$K:$K, (ROW(D106)-1)*5 + COLUMN(D106) + 1 )</f>
        <v>2.15</v>
      </c>
      <c r="F107" s="138">
        <f>INDEX(Calc!$K:$K, (ROW(E106)-1)*5 + COLUMN(E106) + 1 )</f>
        <v>2.0499999999999998</v>
      </c>
      <c r="G107" s="133">
        <f>Закуп!O107</f>
        <v>29.68</v>
      </c>
      <c r="H107" s="133" t="str">
        <f>Закуп!Q107</f>
        <v>20-50 л</v>
      </c>
      <c r="I107" s="133" t="str">
        <f>Закуп!X107</f>
        <v>300-399 мм</v>
      </c>
      <c r="J107" s="133" t="str">
        <f>Закуп!Y107</f>
        <v>300-399 мм</v>
      </c>
      <c r="K107" s="133" t="str">
        <f>Закуп!Z107</f>
        <v>200-299 мм</v>
      </c>
      <c r="L107" s="133" t="str">
        <f>Закуп!AA107</f>
        <v>Четырехклапанные</v>
      </c>
      <c r="M107" s="133" t="str">
        <f>Закуп!V107</f>
        <v/>
      </c>
      <c r="N107" s="133" t="str">
        <f>Закуп!W107</f>
        <v/>
      </c>
      <c r="O107" s="139" t="str">
        <f>IF(OR(Закуп!L107="",Закуп!L107=0),"",Закуп!L107)</f>
        <v/>
      </c>
      <c r="P107" s="133" t="str">
        <f>Закуп!K107</f>
        <v>K107</v>
      </c>
      <c r="Q107" s="217" t="str">
        <f>IF(Закуп!D107="","",IF(LEFT(Закуп!D107,1)="0","0",Закуп!D107))</f>
        <v>У</v>
      </c>
      <c r="R107" s="155">
        <f>Закуп!C107</f>
        <v>107</v>
      </c>
    </row>
    <row r="108" spans="1:18" x14ac:dyDescent="0.3">
      <c r="A108" s="131" t="str">
        <f>Закуп!E108</f>
        <v>500х335х185</v>
      </c>
      <c r="B108" s="127">
        <f>INDEX(Calc!$K:$K, (ROW(A107)-1)*5 + COLUMN(A107) + 1 )</f>
        <v>3.98</v>
      </c>
      <c r="C108" s="127">
        <f>INDEX(Calc!$K:$K, (ROW(B107)-1)*5 + COLUMN(B107) + 1 )</f>
        <v>3.15</v>
      </c>
      <c r="D108" s="136">
        <f>INDEX(Calc!$K:$K, (ROW(C107)-1)*5 + COLUMN(C107) + 1 )</f>
        <v>2.64</v>
      </c>
      <c r="E108" s="137">
        <f>INDEX(Calc!$K:$K, (ROW(D107)-1)*5 + COLUMN(D107) + 1 )</f>
        <v>2.5</v>
      </c>
      <c r="F108" s="138">
        <f>INDEX(Calc!$K:$K, (ROW(E107)-1)*5 + COLUMN(E107) + 1 )</f>
        <v>2.4300000000000002</v>
      </c>
      <c r="G108" s="133">
        <f>Закуп!O108</f>
        <v>30.99</v>
      </c>
      <c r="H108" s="133" t="str">
        <f>Закуп!Q108</f>
        <v>20-50 л</v>
      </c>
      <c r="I108" s="133" t="str">
        <f>Закуп!X108</f>
        <v>500-599 мм</v>
      </c>
      <c r="J108" s="133" t="str">
        <f>Закуп!Y108</f>
        <v>300-399 мм</v>
      </c>
      <c r="K108" s="133" t="str">
        <f>Закуп!Z108</f>
        <v>100-199 мм</v>
      </c>
      <c r="L108" s="133" t="str">
        <f>Закуп!AA108</f>
        <v>Четырехклапанные</v>
      </c>
      <c r="M108" s="133" t="str">
        <f>Закуп!V108</f>
        <v/>
      </c>
      <c r="N108" s="133" t="str">
        <f>Закуп!W108</f>
        <v/>
      </c>
      <c r="O108" s="139" t="str">
        <f>IF(OR(Закуп!L108="",Закуп!L108=0),"",Закуп!L108)</f>
        <v/>
      </c>
      <c r="P108" s="133" t="str">
        <f>Закуп!K108</f>
        <v>K108</v>
      </c>
      <c r="Q108" s="217" t="str">
        <f>IF(Закуп!D108="","",IF(LEFT(Закуп!D108,1)="0","0",Закуп!D108))</f>
        <v>У</v>
      </c>
      <c r="R108" s="155">
        <f>Закуп!C108</f>
        <v>108</v>
      </c>
    </row>
    <row r="109" spans="1:18" x14ac:dyDescent="0.3">
      <c r="A109" s="131" t="str">
        <f>Закуп!E109</f>
        <v>985х585х450</v>
      </c>
      <c r="B109" s="127">
        <f>INDEX(Calc!$K:$K, (ROW(A108)-1)*5 + COLUMN(A108) + 1 )</f>
        <v>9.8699999999999992</v>
      </c>
      <c r="C109" s="127">
        <f>INDEX(Calc!$K:$K, (ROW(B108)-1)*5 + COLUMN(B108) + 1 )</f>
        <v>9.52</v>
      </c>
      <c r="D109" s="136">
        <f>INDEX(Calc!$K:$K, (ROW(C108)-1)*5 + COLUMN(C108) + 1 )</f>
        <v>9.18</v>
      </c>
      <c r="E109" s="137">
        <f>INDEX(Calc!$K:$K, (ROW(D108)-1)*5 + COLUMN(D108) + 1 )</f>
        <v>8.84</v>
      </c>
      <c r="F109" s="138">
        <f>INDEX(Calc!$K:$K, (ROW(E108)-1)*5 + COLUMN(E108) + 1 )</f>
        <v>8.51</v>
      </c>
      <c r="G109" s="133">
        <f>Закуп!O109</f>
        <v>259.3</v>
      </c>
      <c r="H109" s="133" t="str">
        <f>Закуп!Q109</f>
        <v>100+ л</v>
      </c>
      <c r="I109" s="133" t="str">
        <f>Закуп!X109</f>
        <v>700-999 мм</v>
      </c>
      <c r="J109" s="133" t="str">
        <f>Закуп!Y109</f>
        <v>500-599 мм</v>
      </c>
      <c r="K109" s="133" t="str">
        <f>Закуп!Z109</f>
        <v>400-499 мм</v>
      </c>
      <c r="L109" s="133" t="str">
        <f>Закуп!AA109</f>
        <v>Четырехклапанные</v>
      </c>
      <c r="M109" s="133" t="str">
        <f>Закуп!V109</f>
        <v/>
      </c>
      <c r="N109" s="133" t="str">
        <f>Закуп!W109</f>
        <v/>
      </c>
      <c r="O109" s="139" t="str">
        <f>IF(OR(Закуп!L109="",Закуп!L109=0),"",Закуп!L109)</f>
        <v/>
      </c>
      <c r="P109" s="133" t="str">
        <f>Закуп!K109</f>
        <v>K110</v>
      </c>
      <c r="Q109" s="217" t="str">
        <f>IF(Закуп!D109="","",IF(LEFT(Закуп!D109,1)="0","0",Закуп!D109))</f>
        <v>У</v>
      </c>
      <c r="R109" s="155">
        <f>Закуп!C109</f>
        <v>109</v>
      </c>
    </row>
    <row r="110" spans="1:18" x14ac:dyDescent="0.3">
      <c r="A110" s="131" t="str">
        <f>Закуп!E110</f>
        <v>400х400х100</v>
      </c>
      <c r="B110" s="127">
        <f>INDEX(Calc!$K:$K, (ROW(A109)-1)*5 + COLUMN(A109) + 1 )</f>
        <v>3.67</v>
      </c>
      <c r="C110" s="127">
        <f>INDEX(Calc!$K:$K, (ROW(B109)-1)*5 + COLUMN(B109) + 1 )</f>
        <v>2.94</v>
      </c>
      <c r="D110" s="136">
        <f>INDEX(Calc!$K:$K, (ROW(C109)-1)*5 + COLUMN(C109) + 1 )</f>
        <v>2.48</v>
      </c>
      <c r="E110" s="137">
        <f>INDEX(Calc!$K:$K, (ROW(D109)-1)*5 + COLUMN(D109) + 1 )</f>
        <v>2.35</v>
      </c>
      <c r="F110" s="138">
        <f>INDEX(Calc!$K:$K, (ROW(E109)-1)*5 + COLUMN(E109) + 1 )</f>
        <v>2.2400000000000002</v>
      </c>
      <c r="G110" s="133">
        <f>Закуп!O110</f>
        <v>16</v>
      </c>
      <c r="H110" s="133" t="str">
        <f>Закуп!Q110</f>
        <v>10-20 л</v>
      </c>
      <c r="I110" s="133" t="str">
        <f>Закуп!X110</f>
        <v>400-499 мм</v>
      </c>
      <c r="J110" s="133" t="str">
        <f>Закуп!Y110</f>
        <v>400-499 мм</v>
      </c>
      <c r="K110" s="133" t="str">
        <f>Закуп!Z110</f>
        <v>100-199 мм</v>
      </c>
      <c r="L110" s="133" t="str">
        <f>Закуп!AA110</f>
        <v>Четырехклапанные</v>
      </c>
      <c r="M110" s="133" t="str">
        <f>Закуп!V110</f>
        <v/>
      </c>
      <c r="N110" s="133" t="str">
        <f>Закуп!W110</f>
        <v>Плоские</v>
      </c>
      <c r="O110" s="139" t="str">
        <f>IF(OR(Закуп!L110="",Закуп!L110=0),"",Закуп!L110)</f>
        <v/>
      </c>
      <c r="P110" s="133" t="str">
        <f>Закуп!K110</f>
        <v>K111</v>
      </c>
      <c r="Q110" s="217" t="str">
        <f>IF(Закуп!D110="","",IF(LEFT(Закуп!D110,1)="0","0",Закуп!D110))</f>
        <v>У</v>
      </c>
      <c r="R110" s="155">
        <f>Закуп!C110</f>
        <v>110</v>
      </c>
    </row>
    <row r="111" spans="1:18" x14ac:dyDescent="0.3">
      <c r="A111" s="131" t="str">
        <f>Закуп!E111</f>
        <v>125х110х95</v>
      </c>
      <c r="B111" s="127">
        <f>INDEX(Calc!$K:$K, (ROW(A110)-1)*5 + COLUMN(A110) + 1 )</f>
        <v>1.07</v>
      </c>
      <c r="C111" s="127">
        <f>INDEX(Calc!$K:$K, (ROW(B110)-1)*5 + COLUMN(B110) + 1 )</f>
        <v>0.87</v>
      </c>
      <c r="D111" s="136">
        <f>INDEX(Calc!$K:$K, (ROW(C110)-1)*5 + COLUMN(C110) + 1 )</f>
        <v>0.68</v>
      </c>
      <c r="E111" s="137">
        <f>INDEX(Calc!$K:$K, (ROW(D110)-1)*5 + COLUMN(D110) + 1 )</f>
        <v>0.63</v>
      </c>
      <c r="F111" s="138">
        <f>INDEX(Calc!$K:$K, (ROW(E110)-1)*5 + COLUMN(E110) + 1 )</f>
        <v>0.59</v>
      </c>
      <c r="G111" s="133">
        <f>Закуп!O111</f>
        <v>1.31</v>
      </c>
      <c r="H111" s="133" t="str">
        <f>Закуп!Q111</f>
        <v>1-2 л</v>
      </c>
      <c r="I111" s="133" t="str">
        <f>Закуп!X111</f>
        <v>100-199 мм</v>
      </c>
      <c r="J111" s="133" t="str">
        <f>Закуп!Y111</f>
        <v>100-199 мм</v>
      </c>
      <c r="K111" s="133" t="str">
        <f>Закуп!Z111</f>
        <v>10-99 мм</v>
      </c>
      <c r="L111" s="133" t="str">
        <f>Закуп!AA111</f>
        <v>Самосборные</v>
      </c>
      <c r="M111" s="133" t="str">
        <f>Закуп!V111</f>
        <v/>
      </c>
      <c r="N111" s="133" t="str">
        <f>Закуп!W111</f>
        <v/>
      </c>
      <c r="O111" s="139" t="str">
        <f>IF(OR(Закуп!L111="",Закуп!L111=0),"",Закуп!L111)</f>
        <v/>
      </c>
      <c r="P111" s="133" t="str">
        <f>Закуп!K111</f>
        <v>K112</v>
      </c>
      <c r="Q111" s="217" t="str">
        <f>IF(Закуп!D111="","",IF(LEFT(Закуп!D111,1)="0","0",Закуп!D111))</f>
        <v>У</v>
      </c>
      <c r="R111" s="155">
        <f>Закуп!C111</f>
        <v>111</v>
      </c>
    </row>
    <row r="112" spans="1:18" x14ac:dyDescent="0.3">
      <c r="A112" s="131" t="str">
        <f>Закуп!E112</f>
        <v>375х250х230</v>
      </c>
      <c r="B112" s="127">
        <f>INDEX(Calc!$K:$K, (ROW(A111)-1)*5 + COLUMN(A111) + 1 )</f>
        <v>2.77</v>
      </c>
      <c r="C112" s="127">
        <f>INDEX(Calc!$K:$K, (ROW(B111)-1)*5 + COLUMN(B111) + 1 )</f>
        <v>2.21</v>
      </c>
      <c r="D112" s="136">
        <f>INDEX(Calc!$K:$K, (ROW(C111)-1)*5 + COLUMN(C111) + 1 )</f>
        <v>2.02</v>
      </c>
      <c r="E112" s="137">
        <f>INDEX(Calc!$K:$K, (ROW(D111)-1)*5 + COLUMN(D111) + 1 )</f>
        <v>1.8</v>
      </c>
      <c r="F112" s="138">
        <f>INDEX(Calc!$K:$K, (ROW(E111)-1)*5 + COLUMN(E111) + 1 )</f>
        <v>1.74</v>
      </c>
      <c r="G112" s="133">
        <f>Закуп!O112</f>
        <v>21.56</v>
      </c>
      <c r="H112" s="133" t="str">
        <f>Закуп!Q112</f>
        <v>20-50 л</v>
      </c>
      <c r="I112" s="133" t="str">
        <f>Закуп!X112</f>
        <v>300-399 мм</v>
      </c>
      <c r="J112" s="133" t="str">
        <f>Закуп!Y112</f>
        <v>200-299 мм</v>
      </c>
      <c r="K112" s="133" t="str">
        <f>Закуп!Z112</f>
        <v>200-299 мм</v>
      </c>
      <c r="L112" s="133" t="str">
        <f>Закуп!AA112</f>
        <v>Четырехклапанные</v>
      </c>
      <c r="M112" s="133" t="str">
        <f>Закуп!V112</f>
        <v/>
      </c>
      <c r="N112" s="133" t="str">
        <f>Закуп!W112</f>
        <v/>
      </c>
      <c r="O112" s="139" t="str">
        <f>IF(OR(Закуп!L112="",Закуп!L112=0),"",Закуп!L112)</f>
        <v/>
      </c>
      <c r="P112" s="133" t="str">
        <f>Закуп!K112</f>
        <v>K113</v>
      </c>
      <c r="Q112" s="217" t="str">
        <f>IF(Закуп!D112="","",IF(LEFT(Закуп!D112,1)="0","0",Закуп!D112))</f>
        <v>У</v>
      </c>
      <c r="R112" s="155">
        <f>Закуп!C112</f>
        <v>112</v>
      </c>
    </row>
    <row r="113" spans="1:18" x14ac:dyDescent="0.3">
      <c r="A113" s="131" t="str">
        <f>Закуп!E113</f>
        <v>720х650х360</v>
      </c>
      <c r="B113" s="127">
        <f>INDEX(Calc!$K:$K, (ROW(A112)-1)*5 + COLUMN(A112) + 1 )</f>
        <v>9.7799999999999994</v>
      </c>
      <c r="C113" s="127">
        <f>INDEX(Calc!$K:$K, (ROW(B112)-1)*5 + COLUMN(B112) + 1 )</f>
        <v>8.34</v>
      </c>
      <c r="D113" s="136">
        <f>INDEX(Calc!$K:$K, (ROW(C112)-1)*5 + COLUMN(C112) + 1 )</f>
        <v>7.64</v>
      </c>
      <c r="E113" s="137">
        <f>INDEX(Calc!$K:$K, (ROW(D112)-1)*5 + COLUMN(D112) + 1 )</f>
        <v>7.52</v>
      </c>
      <c r="F113" s="138">
        <f>INDEX(Calc!$K:$K, (ROW(E112)-1)*5 + COLUMN(E112) + 1 )</f>
        <v>7.46</v>
      </c>
      <c r="G113" s="133">
        <f>Закуп!O113</f>
        <v>168.48</v>
      </c>
      <c r="H113" s="133" t="str">
        <f>Закуп!Q113</f>
        <v>100+ л</v>
      </c>
      <c r="I113" s="133" t="str">
        <f>Закуп!X113</f>
        <v>700-999 мм</v>
      </c>
      <c r="J113" s="133" t="str">
        <f>Закуп!Y113</f>
        <v>600-699 мм</v>
      </c>
      <c r="K113" s="133" t="str">
        <f>Закуп!Z113</f>
        <v>300-399 мм</v>
      </c>
      <c r="L113" s="133" t="str">
        <f>Закуп!AA113</f>
        <v>Четырехклапанные</v>
      </c>
      <c r="M113" s="133" t="str">
        <f>Закуп!V113</f>
        <v/>
      </c>
      <c r="N113" s="133" t="str">
        <f>Закуп!W113</f>
        <v/>
      </c>
      <c r="O113" s="139" t="str">
        <f>IF(OR(Закуп!L113="",Закуп!L113=0),"",Закуп!L113)</f>
        <v/>
      </c>
      <c r="P113" s="133" t="str">
        <f>Закуп!K113</f>
        <v>K114</v>
      </c>
      <c r="Q113" s="217" t="str">
        <f>IF(Закуп!D113="","",IF(LEFT(Закуп!D113,1)="0","0",Закуп!D113))</f>
        <v>У</v>
      </c>
      <c r="R113" s="155">
        <f>Закуп!C113</f>
        <v>113</v>
      </c>
    </row>
    <row r="114" spans="1:18" x14ac:dyDescent="0.3">
      <c r="A114" s="131" t="str">
        <f>Закуп!E114</f>
        <v>1200х550х775</v>
      </c>
      <c r="B114" s="127">
        <f>INDEX(Calc!$K:$K, (ROW(A113)-1)*5 + COLUMN(A113) + 1 )</f>
        <v>16.37</v>
      </c>
      <c r="C114" s="127">
        <f>INDEX(Calc!$K:$K, (ROW(B113)-1)*5 + COLUMN(B113) + 1 )</f>
        <v>15.28</v>
      </c>
      <c r="D114" s="136">
        <f>INDEX(Calc!$K:$K, (ROW(C113)-1)*5 + COLUMN(C113) + 1 )</f>
        <v>14.72</v>
      </c>
      <c r="E114" s="137">
        <f>INDEX(Calc!$K:$K, (ROW(D113)-1)*5 + COLUMN(D113) + 1 )</f>
        <v>14.19</v>
      </c>
      <c r="F114" s="138">
        <f>INDEX(Calc!$K:$K, (ROW(E113)-1)*5 + COLUMN(E113) + 1 )</f>
        <v>13.64</v>
      </c>
      <c r="G114" s="133">
        <f>Закуп!O114</f>
        <v>511.5</v>
      </c>
      <c r="H114" s="133" t="str">
        <f>Закуп!Q114</f>
        <v>100+ л</v>
      </c>
      <c r="I114" s="133" t="str">
        <f>Закуп!X114</f>
        <v>1000+ мм</v>
      </c>
      <c r="J114" s="133" t="str">
        <f>Закуп!Y114</f>
        <v>700-999 мм</v>
      </c>
      <c r="K114" s="133" t="str">
        <f>Закуп!Z114</f>
        <v>500-599 мм</v>
      </c>
      <c r="L114" s="133" t="str">
        <f>Закуп!AA114</f>
        <v>Четырехклапанные</v>
      </c>
      <c r="M114" s="133" t="str">
        <f>Закуп!V114</f>
        <v/>
      </c>
      <c r="N114" s="133" t="str">
        <f>Закуп!W114</f>
        <v/>
      </c>
      <c r="O114" s="139" t="str">
        <f>IF(OR(Закуп!L114="",Закуп!L114=0),"",Закуп!L114)</f>
        <v/>
      </c>
      <c r="P114" s="133" t="str">
        <f>Закуп!K114</f>
        <v>K115</v>
      </c>
      <c r="Q114" s="217" t="str">
        <f>IF(Закуп!D114="","",IF(LEFT(Закуп!D114,1)="0","0",Закуп!D114))</f>
        <v>У</v>
      </c>
      <c r="R114" s="155">
        <f>Закуп!C114</f>
        <v>114</v>
      </c>
    </row>
    <row r="115" spans="1:18" x14ac:dyDescent="0.3">
      <c r="A115" s="131" t="str">
        <f>Закуп!E115</f>
        <v>300х300х300</v>
      </c>
      <c r="B115" s="127">
        <f>INDEX(Calc!$K:$K, (ROW(A114)-1)*5 + COLUMN(A114) + 1 )</f>
        <v>3.34</v>
      </c>
      <c r="C115" s="127">
        <f>INDEX(Calc!$K:$K, (ROW(B114)-1)*5 + COLUMN(B114) + 1 )</f>
        <v>2.68</v>
      </c>
      <c r="D115" s="136">
        <f>INDEX(Calc!$K:$K, (ROW(C114)-1)*5 + COLUMN(C114) + 1 )</f>
        <v>2.41</v>
      </c>
      <c r="E115" s="137">
        <f>INDEX(Calc!$K:$K, (ROW(D114)-1)*5 + COLUMN(D114) + 1 )</f>
        <v>2.17</v>
      </c>
      <c r="F115" s="138">
        <f>INDEX(Calc!$K:$K, (ROW(E114)-1)*5 + COLUMN(E114) + 1 )</f>
        <v>2.0699999999999998</v>
      </c>
      <c r="G115" s="133">
        <f>Закуп!O115</f>
        <v>27</v>
      </c>
      <c r="H115" s="133" t="str">
        <f>Закуп!Q115</f>
        <v>20-50 л</v>
      </c>
      <c r="I115" s="133" t="str">
        <f>Закуп!X115</f>
        <v>300-399 мм</v>
      </c>
      <c r="J115" s="133" t="str">
        <f>Закуп!Y115</f>
        <v>300-399 мм</v>
      </c>
      <c r="K115" s="133" t="str">
        <f>Закуп!Z115</f>
        <v>300-399 мм</v>
      </c>
      <c r="L115" s="133" t="str">
        <f>Закуп!AA115</f>
        <v>Четырехклапанные</v>
      </c>
      <c r="M115" s="133" t="str">
        <f>Закуп!V115</f>
        <v/>
      </c>
      <c r="N115" s="133" t="str">
        <f>Закуп!W115</f>
        <v/>
      </c>
      <c r="O115" s="139" t="str">
        <f>IF(OR(Закуп!L115="",Закуп!L115=0),"",Закуп!L115)</f>
        <v/>
      </c>
      <c r="P115" s="133" t="str">
        <f>Закуп!K115</f>
        <v>K116</v>
      </c>
      <c r="Q115" s="217" t="str">
        <f>IF(Закуп!D115="","",IF(LEFT(Закуп!D115,1)="0","0",Закуп!D115))</f>
        <v>У</v>
      </c>
      <c r="R115" s="155">
        <f>Закуп!C115</f>
        <v>115</v>
      </c>
    </row>
    <row r="116" spans="1:18" x14ac:dyDescent="0.3">
      <c r="A116" s="131" t="str">
        <f>Закуп!E116</f>
        <v>1022х518х720</v>
      </c>
      <c r="B116" s="127">
        <f>INDEX(Calc!$K:$K, (ROW(A115)-1)*5 + COLUMN(A115) + 1 )</f>
        <v>11.57</v>
      </c>
      <c r="C116" s="127">
        <f>INDEX(Calc!$K:$K, (ROW(B115)-1)*5 + COLUMN(B115) + 1 )</f>
        <v>11.17</v>
      </c>
      <c r="D116" s="136">
        <f>INDEX(Calc!$K:$K, (ROW(C115)-1)*5 + COLUMN(C115) + 1 )</f>
        <v>10.77</v>
      </c>
      <c r="E116" s="137">
        <f>INDEX(Calc!$K:$K, (ROW(D115)-1)*5 + COLUMN(D115) + 1 )</f>
        <v>10.37</v>
      </c>
      <c r="F116" s="138">
        <f>INDEX(Calc!$K:$K, (ROW(E115)-1)*5 + COLUMN(E115) + 1 )</f>
        <v>9.98</v>
      </c>
      <c r="G116" s="133">
        <f>Закуп!O116</f>
        <v>381.17</v>
      </c>
      <c r="H116" s="133" t="str">
        <f>Закуп!Q116</f>
        <v>100+ л</v>
      </c>
      <c r="I116" s="133" t="str">
        <f>Закуп!X116</f>
        <v>1000+ мм</v>
      </c>
      <c r="J116" s="133" t="str">
        <f>Закуп!Y116</f>
        <v>700-999 мм</v>
      </c>
      <c r="K116" s="133" t="str">
        <f>Закуп!Z116</f>
        <v>500-599 мм</v>
      </c>
      <c r="L116" s="133" t="str">
        <f>Закуп!AA116</f>
        <v>Четырехклапанные</v>
      </c>
      <c r="M116" s="133" t="str">
        <f>Закуп!V116</f>
        <v/>
      </c>
      <c r="N116" s="133" t="str">
        <f>Закуп!W116</f>
        <v/>
      </c>
      <c r="O116" s="139" t="str">
        <f>IF(OR(Закуп!L116="",Закуп!L116=0),"",Закуп!L116)</f>
        <v/>
      </c>
      <c r="P116" s="133" t="str">
        <f>Закуп!K116</f>
        <v>K117</v>
      </c>
      <c r="Q116" s="217" t="str">
        <f>IF(Закуп!D116="","",IF(LEFT(Закуп!D116,1)="0","0",Закуп!D116))</f>
        <v>У</v>
      </c>
      <c r="R116" s="155">
        <f>Закуп!C116</f>
        <v>116</v>
      </c>
    </row>
    <row r="117" spans="1:18" x14ac:dyDescent="0.3">
      <c r="A117" s="131" t="str">
        <f>Закуп!E117</f>
        <v>400х400х300</v>
      </c>
      <c r="B117" s="127">
        <f>INDEX(Calc!$K:$K, (ROW(A116)-1)*5 + COLUMN(A116) + 1 )</f>
        <v>4.1100000000000003</v>
      </c>
      <c r="C117" s="127">
        <f>INDEX(Calc!$K:$K, (ROW(B116)-1)*5 + COLUMN(B116) + 1 )</f>
        <v>4</v>
      </c>
      <c r="D117" s="136">
        <f>INDEX(Calc!$K:$K, (ROW(C116)-1)*5 + COLUMN(C116) + 1 )</f>
        <v>3.34</v>
      </c>
      <c r="E117" s="137">
        <f>INDEX(Calc!$K:$K, (ROW(D116)-1)*5 + COLUMN(D116) + 1 )</f>
        <v>3.23</v>
      </c>
      <c r="F117" s="138">
        <f>INDEX(Calc!$K:$K, (ROW(E116)-1)*5 + COLUMN(E116) + 1 )</f>
        <v>3.14</v>
      </c>
      <c r="G117" s="133">
        <f>Закуп!O117</f>
        <v>48</v>
      </c>
      <c r="H117" s="133" t="str">
        <f>Закуп!Q117</f>
        <v>20-50 л</v>
      </c>
      <c r="I117" s="133" t="str">
        <f>Закуп!X117</f>
        <v>400-499 мм</v>
      </c>
      <c r="J117" s="133" t="str">
        <f>Закуп!Y117</f>
        <v>400-499 мм</v>
      </c>
      <c r="K117" s="133" t="str">
        <f>Закуп!Z117</f>
        <v>300-399 мм</v>
      </c>
      <c r="L117" s="133" t="str">
        <f>Закуп!AA117</f>
        <v>Четырехклапанные</v>
      </c>
      <c r="M117" s="133" t="str">
        <f>Закуп!V117</f>
        <v/>
      </c>
      <c r="N117" s="133" t="str">
        <f>Закуп!W117</f>
        <v/>
      </c>
      <c r="O117" s="139" t="str">
        <f>IF(OR(Закуп!L117="",Закуп!L117=0),"",Закуп!L117)</f>
        <v/>
      </c>
      <c r="P117" s="133" t="str">
        <f>Закуп!K117</f>
        <v>K118</v>
      </c>
      <c r="Q117" s="217" t="str">
        <f>IF(Закуп!D117="","",IF(LEFT(Закуп!D117,1)="0","0",Закуп!D117))</f>
        <v>У</v>
      </c>
      <c r="R117" s="155">
        <f>Закуп!C117</f>
        <v>117</v>
      </c>
    </row>
    <row r="118" spans="1:18" x14ac:dyDescent="0.3">
      <c r="A118" s="131" t="str">
        <f>Закуп!E118</f>
        <v>35х35х235</v>
      </c>
      <c r="B118" s="127">
        <f>INDEX(Calc!$K:$K, (ROW(A117)-1)*5 + COLUMN(A117) + 1 )</f>
        <v>1.1599999999999999</v>
      </c>
      <c r="C118" s="127">
        <f>INDEX(Calc!$K:$K, (ROW(B117)-1)*5 + COLUMN(B117) + 1 )</f>
        <v>1.02</v>
      </c>
      <c r="D118" s="136">
        <f>INDEX(Calc!$K:$K, (ROW(C117)-1)*5 + COLUMN(C117) + 1 )</f>
        <v>0.87</v>
      </c>
      <c r="E118" s="137">
        <f>INDEX(Calc!$K:$K, (ROW(D117)-1)*5 + COLUMN(D117) + 1 )</f>
        <v>0.73</v>
      </c>
      <c r="F118" s="138">
        <f>INDEX(Calc!$K:$K, (ROW(E117)-1)*5 + COLUMN(E117) + 1 )</f>
        <v>0.59</v>
      </c>
      <c r="G118" s="133">
        <f>Закуп!O118</f>
        <v>0.28999999999999998</v>
      </c>
      <c r="H118" s="133" t="str">
        <f>Закуп!Q118</f>
        <v>&lt;1 л</v>
      </c>
      <c r="I118" s="133" t="str">
        <f>Закуп!X118</f>
        <v>200-299 мм</v>
      </c>
      <c r="J118" s="133" t="str">
        <f>Закуп!Y118</f>
        <v>10-99 мм</v>
      </c>
      <c r="K118" s="133" t="str">
        <f>Закуп!Z118</f>
        <v>10-99 мм</v>
      </c>
      <c r="L118" s="133" t="str">
        <f>Закуп!AA118</f>
        <v>Самосборные</v>
      </c>
      <c r="M118" s="133" t="str">
        <f>Закуп!V118</f>
        <v>Длинные</v>
      </c>
      <c r="N118" s="133" t="str">
        <f>Закуп!W118</f>
        <v/>
      </c>
      <c r="O118" s="139" t="str">
        <f>IF(OR(Закуп!L118="",Закуп!L118=0),"",Закуп!L118)</f>
        <v/>
      </c>
      <c r="P118" s="133" t="str">
        <f>Закуп!K118</f>
        <v>K119</v>
      </c>
      <c r="Q118" s="217" t="str">
        <f>IF(Закуп!D118="","",IF(LEFT(Закуп!D118,1)="0","0",Закуп!D118))</f>
        <v>У</v>
      </c>
      <c r="R118" s="155">
        <f>Закуп!C118</f>
        <v>118</v>
      </c>
    </row>
    <row r="119" spans="1:18" x14ac:dyDescent="0.3">
      <c r="A119" s="131" t="str">
        <f>Закуп!E119</f>
        <v>255х204х131</v>
      </c>
      <c r="B119" s="127">
        <f>INDEX(Calc!$K:$K, (ROW(A118)-1)*5 + COLUMN(A118) + 1 )</f>
        <v>1.58</v>
      </c>
      <c r="C119" s="127">
        <f>INDEX(Calc!$K:$K, (ROW(B118)-1)*5 + COLUMN(B118) + 1 )</f>
        <v>1.43</v>
      </c>
      <c r="D119" s="136">
        <f>INDEX(Calc!$K:$K, (ROW(C118)-1)*5 + COLUMN(C118) + 1 )</f>
        <v>1.1299999999999999</v>
      </c>
      <c r="E119" s="137">
        <f>INDEX(Calc!$K:$K, (ROW(D118)-1)*5 + COLUMN(D118) + 1 )</f>
        <v>1.06</v>
      </c>
      <c r="F119" s="138">
        <f>INDEX(Calc!$K:$K, (ROW(E118)-1)*5 + COLUMN(E118) + 1 )</f>
        <v>1.01</v>
      </c>
      <c r="G119" s="133">
        <f>Закуп!O119</f>
        <v>6.81</v>
      </c>
      <c r="H119" s="133" t="str">
        <f>Закуп!Q119</f>
        <v>5-10 л</v>
      </c>
      <c r="I119" s="133" t="str">
        <f>Закуп!X119</f>
        <v>200-299 мм</v>
      </c>
      <c r="J119" s="133" t="str">
        <f>Закуп!Y119</f>
        <v>200-299 мм</v>
      </c>
      <c r="K119" s="133" t="str">
        <f>Закуп!Z119</f>
        <v>100-199 мм</v>
      </c>
      <c r="L119" s="133" t="str">
        <f>Закуп!AA119</f>
        <v>Четырехклапанные</v>
      </c>
      <c r="M119" s="133" t="str">
        <f>Закуп!V119</f>
        <v/>
      </c>
      <c r="N119" s="133" t="str">
        <f>Закуп!W119</f>
        <v/>
      </c>
      <c r="O119" s="139" t="str">
        <f>IF(OR(Закуп!L119="",Закуп!L119=0),"",Закуп!L119)</f>
        <v/>
      </c>
      <c r="P119" s="133" t="str">
        <f>Закуп!K119</f>
        <v>K120</v>
      </c>
      <c r="Q119" s="217" t="str">
        <f>IF(Закуп!D119="","",IF(LEFT(Закуп!D119,1)="0","0",Закуп!D119))</f>
        <v>У</v>
      </c>
      <c r="R119" s="155">
        <f>Закуп!C119</f>
        <v>119</v>
      </c>
    </row>
    <row r="120" spans="1:18" x14ac:dyDescent="0.3">
      <c r="A120" s="131" t="str">
        <f>Закуп!E120</f>
        <v>540х325х130</v>
      </c>
      <c r="B120" s="127">
        <f>INDEX(Calc!$K:$K, (ROW(A119)-1)*5 + COLUMN(A119) + 1 )</f>
        <v>3.62</v>
      </c>
      <c r="C120" s="127">
        <f>INDEX(Calc!$K:$K, (ROW(B119)-1)*5 + COLUMN(B119) + 1 )</f>
        <v>2.9</v>
      </c>
      <c r="D120" s="136">
        <f>INDEX(Calc!$K:$K, (ROW(C119)-1)*5 + COLUMN(C119) + 1 )</f>
        <v>2.44</v>
      </c>
      <c r="E120" s="137">
        <f>INDEX(Calc!$K:$K, (ROW(D119)-1)*5 + COLUMN(D119) + 1 )</f>
        <v>2.3199999999999998</v>
      </c>
      <c r="F120" s="138">
        <f>INDEX(Calc!$K:$K, (ROW(E119)-1)*5 + COLUMN(E119) + 1 )</f>
        <v>2.2000000000000002</v>
      </c>
      <c r="G120" s="133">
        <f>Закуп!O120</f>
        <v>22.82</v>
      </c>
      <c r="H120" s="133" t="str">
        <f>Закуп!Q120</f>
        <v>20-50 л</v>
      </c>
      <c r="I120" s="133" t="str">
        <f>Закуп!X120</f>
        <v>500-599 мм</v>
      </c>
      <c r="J120" s="133" t="str">
        <f>Закуп!Y120</f>
        <v>300-399 мм</v>
      </c>
      <c r="K120" s="133" t="str">
        <f>Закуп!Z120</f>
        <v>100-199 мм</v>
      </c>
      <c r="L120" s="133" t="str">
        <f>Закуп!AA120</f>
        <v>Четырехклапанные</v>
      </c>
      <c r="M120" s="133" t="str">
        <f>Закуп!V120</f>
        <v/>
      </c>
      <c r="N120" s="133" t="str">
        <f>Закуп!W120</f>
        <v>Плоские</v>
      </c>
      <c r="O120" s="139" t="str">
        <f>IF(OR(Закуп!L120="",Закуп!L120=0),"",Закуп!L120)</f>
        <v/>
      </c>
      <c r="P120" s="133" t="str">
        <f>Закуп!K120</f>
        <v>K121</v>
      </c>
      <c r="Q120" s="217" t="str">
        <f>IF(Закуп!D120="","",IF(LEFT(Закуп!D120,1)="0","0",Закуп!D120))</f>
        <v>У</v>
      </c>
      <c r="R120" s="155">
        <f>Закуп!C120</f>
        <v>120</v>
      </c>
    </row>
    <row r="121" spans="1:18" x14ac:dyDescent="0.3">
      <c r="A121" s="131" t="str">
        <f>Закуп!E121</f>
        <v>190х180х360</v>
      </c>
      <c r="B121" s="127">
        <f>INDEX(Calc!$K:$K, (ROW(A120)-1)*5 + COLUMN(A120) + 1 )</f>
        <v>1.77</v>
      </c>
      <c r="C121" s="127">
        <f>INDEX(Calc!$K:$K, (ROW(B120)-1)*5 + COLUMN(B120) + 1 )</f>
        <v>1.61</v>
      </c>
      <c r="D121" s="136">
        <f>INDEX(Calc!$K:$K, (ROW(C120)-1)*5 + COLUMN(C120) + 1 )</f>
        <v>1.47</v>
      </c>
      <c r="E121" s="137">
        <f>INDEX(Calc!$K:$K, (ROW(D120)-1)*5 + COLUMN(D120) + 1 )</f>
        <v>1.35</v>
      </c>
      <c r="F121" s="138">
        <f>INDEX(Calc!$K:$K, (ROW(E120)-1)*5 + COLUMN(E120) + 1 )</f>
        <v>1.2</v>
      </c>
      <c r="G121" s="133">
        <f>Закуп!O121</f>
        <v>12.31</v>
      </c>
      <c r="H121" s="133" t="str">
        <f>Закуп!Q121</f>
        <v>10-20 л</v>
      </c>
      <c r="I121" s="133" t="str">
        <f>Закуп!X121</f>
        <v>300-399 мм</v>
      </c>
      <c r="J121" s="133" t="str">
        <f>Закуп!Y121</f>
        <v>100-199 мм</v>
      </c>
      <c r="K121" s="133" t="str">
        <f>Закуп!Z121</f>
        <v>100-199 мм</v>
      </c>
      <c r="L121" s="133" t="str">
        <f>Закуп!AA121</f>
        <v>Четырехклапанные</v>
      </c>
      <c r="M121" s="133" t="str">
        <f>Закуп!V121</f>
        <v/>
      </c>
      <c r="N121" s="133" t="str">
        <f>Закуп!W121</f>
        <v/>
      </c>
      <c r="O121" s="139" t="str">
        <f>IF(OR(Закуп!L121="",Закуп!L121=0),"",Закуп!L121)</f>
        <v/>
      </c>
      <c r="P121" s="133" t="str">
        <f>Закуп!K121</f>
        <v>K122</v>
      </c>
      <c r="Q121" s="217" t="str">
        <f>IF(Закуп!D121="","",IF(LEFT(Закуп!D121,1)="0","0",Закуп!D121))</f>
        <v>У</v>
      </c>
      <c r="R121" s="155">
        <f>Закуп!C121</f>
        <v>121</v>
      </c>
    </row>
    <row r="122" spans="1:18" x14ac:dyDescent="0.3">
      <c r="A122" s="131" t="str">
        <f>Закуп!E122</f>
        <v>230х140х180</v>
      </c>
      <c r="B122" s="127">
        <f>INDEX(Calc!$K:$K, (ROW(A121)-1)*5 + COLUMN(A121) + 1 )</f>
        <v>1.29</v>
      </c>
      <c r="C122" s="127">
        <f>INDEX(Calc!$K:$K, (ROW(B121)-1)*5 + COLUMN(B121) + 1 )</f>
        <v>1.1299999999999999</v>
      </c>
      <c r="D122" s="136">
        <f>INDEX(Calc!$K:$K, (ROW(C121)-1)*5 + COLUMN(C121) + 1 )</f>
        <v>0.96</v>
      </c>
      <c r="E122" s="137">
        <f>INDEX(Calc!$K:$K, (ROW(D121)-1)*5 + COLUMN(D121) + 1 )</f>
        <v>0.9</v>
      </c>
      <c r="F122" s="138">
        <f>INDEX(Calc!$K:$K, (ROW(E121)-1)*5 + COLUMN(E121) + 1 )</f>
        <v>0.85</v>
      </c>
      <c r="G122" s="133">
        <f>Закуп!O122</f>
        <v>5.8</v>
      </c>
      <c r="H122" s="133" t="str">
        <f>Закуп!Q122</f>
        <v>5-10 л</v>
      </c>
      <c r="I122" s="133" t="str">
        <f>Закуп!X122</f>
        <v>200-299 мм</v>
      </c>
      <c r="J122" s="133" t="str">
        <f>Закуп!Y122</f>
        <v>100-199 мм</v>
      </c>
      <c r="K122" s="133" t="str">
        <f>Закуп!Z122</f>
        <v>100-199 мм</v>
      </c>
      <c r="L122" s="133" t="str">
        <f>Закуп!AA122</f>
        <v>Четырехклапанные</v>
      </c>
      <c r="M122" s="133" t="str">
        <f>Закуп!V122</f>
        <v/>
      </c>
      <c r="N122" s="133" t="str">
        <f>Закуп!W122</f>
        <v/>
      </c>
      <c r="O122" s="139" t="str">
        <f>IF(OR(Закуп!L122="",Закуп!L122=0),"",Закуп!L122)</f>
        <v/>
      </c>
      <c r="P122" s="133" t="str">
        <f>Закуп!K122</f>
        <v>K123</v>
      </c>
      <c r="Q122" s="217" t="str">
        <f>IF(Закуп!D122="","",IF(LEFT(Закуп!D122,1)="0","0",Закуп!D122))</f>
        <v>У</v>
      </c>
      <c r="R122" s="155">
        <f>Закуп!C122</f>
        <v>122</v>
      </c>
    </row>
    <row r="123" spans="1:18" x14ac:dyDescent="0.3">
      <c r="A123" s="131" t="str">
        <f>Закуп!E123</f>
        <v>170х160х210</v>
      </c>
      <c r="B123" s="127">
        <f>INDEX(Calc!$K:$K, (ROW(A122)-1)*5 + COLUMN(A122) + 1 )</f>
        <v>1.33</v>
      </c>
      <c r="C123" s="127">
        <f>INDEX(Calc!$K:$K, (ROW(B122)-1)*5 + COLUMN(B122) + 1 )</f>
        <v>1.1599999999999999</v>
      </c>
      <c r="D123" s="136">
        <f>INDEX(Calc!$K:$K, (ROW(C122)-1)*5 + COLUMN(C122) + 1 )</f>
        <v>0.98</v>
      </c>
      <c r="E123" s="137">
        <f>INDEX(Calc!$K:$K, (ROW(D122)-1)*5 + COLUMN(D122) + 1 )</f>
        <v>0.92</v>
      </c>
      <c r="F123" s="138">
        <f>INDEX(Calc!$K:$K, (ROW(E122)-1)*5 + COLUMN(E122) + 1 )</f>
        <v>0.86</v>
      </c>
      <c r="G123" s="133">
        <f>Закуп!O123</f>
        <v>5.71</v>
      </c>
      <c r="H123" s="133" t="str">
        <f>Закуп!Q123</f>
        <v>5-10 л</v>
      </c>
      <c r="I123" s="133" t="str">
        <f>Закуп!X123</f>
        <v>200-299 мм</v>
      </c>
      <c r="J123" s="133" t="str">
        <f>Закуп!Y123</f>
        <v>100-199 мм</v>
      </c>
      <c r="K123" s="133" t="str">
        <f>Закуп!Z123</f>
        <v>100-199 мм</v>
      </c>
      <c r="L123" s="133" t="str">
        <f>Закуп!AA123</f>
        <v>Четырехклапанные</v>
      </c>
      <c r="M123" s="133" t="str">
        <f>Закуп!V123</f>
        <v/>
      </c>
      <c r="N123" s="133" t="str">
        <f>Закуп!W123</f>
        <v/>
      </c>
      <c r="O123" s="139" t="str">
        <f>IF(OR(Закуп!L123="",Закуп!L123=0),"",Закуп!L123)</f>
        <v/>
      </c>
      <c r="P123" s="133" t="str">
        <f>Закуп!K123</f>
        <v>K124</v>
      </c>
      <c r="Q123" s="217" t="str">
        <f>IF(Закуп!D123="","",IF(LEFT(Закуп!D123,1)="0","0",Закуп!D123))</f>
        <v>У</v>
      </c>
      <c r="R123" s="155">
        <f>Закуп!C123</f>
        <v>123</v>
      </c>
    </row>
    <row r="124" spans="1:18" x14ac:dyDescent="0.3">
      <c r="A124" s="131" t="str">
        <f>Закуп!E124</f>
        <v>70х70х70</v>
      </c>
      <c r="B124" s="127">
        <f>INDEX(Calc!$K:$K, (ROW(A123)-1)*5 + COLUMN(A123) + 1 )</f>
        <v>1.04</v>
      </c>
      <c r="C124" s="127">
        <f>INDEX(Calc!$K:$K, (ROW(B123)-1)*5 + COLUMN(B123) + 1 )</f>
        <v>0.94</v>
      </c>
      <c r="D124" s="136">
        <f>INDEX(Calc!$K:$K, (ROW(C123)-1)*5 + COLUMN(C123) + 1 )</f>
        <v>0.75</v>
      </c>
      <c r="E124" s="137">
        <f>INDEX(Calc!$K:$K, (ROW(D123)-1)*5 + COLUMN(D123) + 1 )</f>
        <v>0.67</v>
      </c>
      <c r="F124" s="138">
        <f>INDEX(Calc!$K:$K, (ROW(E123)-1)*5 + COLUMN(E123) + 1 )</f>
        <v>0.52</v>
      </c>
      <c r="G124" s="133">
        <f>Закуп!O124</f>
        <v>0.34</v>
      </c>
      <c r="H124" s="133" t="str">
        <f>Закуп!Q124</f>
        <v>&lt;1 л</v>
      </c>
      <c r="I124" s="133" t="str">
        <f>Закуп!X124</f>
        <v>10-99 мм</v>
      </c>
      <c r="J124" s="133" t="str">
        <f>Закуп!Y124</f>
        <v>10-99 мм</v>
      </c>
      <c r="K124" s="133" t="str">
        <f>Закуп!Z124</f>
        <v>10-99 мм</v>
      </c>
      <c r="L124" s="133" t="str">
        <f>Закуп!AA124</f>
        <v>Самосборные</v>
      </c>
      <c r="M124" s="133" t="str">
        <f>Закуп!V124</f>
        <v/>
      </c>
      <c r="N124" s="133" t="str">
        <f>Закуп!W124</f>
        <v/>
      </c>
      <c r="O124" s="139" t="str">
        <f>IF(OR(Закуп!L124="",Закуп!L124=0),"",Закуп!L124)</f>
        <v/>
      </c>
      <c r="P124" s="133" t="str">
        <f>Закуп!K124</f>
        <v>K125</v>
      </c>
      <c r="Q124" s="217" t="str">
        <f>IF(Закуп!D124="","",IF(LEFT(Закуп!D124,1)="0","0",Закуп!D124))</f>
        <v>У</v>
      </c>
      <c r="R124" s="155">
        <f>Закуп!C124</f>
        <v>124</v>
      </c>
    </row>
    <row r="125" spans="1:18" x14ac:dyDescent="0.3">
      <c r="A125" s="131" t="str">
        <f>Закуп!E125</f>
        <v>410х100х390</v>
      </c>
      <c r="B125" s="127">
        <f>INDEX(Calc!$K:$K, (ROW(A124)-1)*5 + COLUMN(A124) + 1 )</f>
        <v>2.33</v>
      </c>
      <c r="C125" s="127">
        <f>INDEX(Calc!$K:$K, (ROW(B124)-1)*5 + COLUMN(B124) + 1 )</f>
        <v>1.99</v>
      </c>
      <c r="D125" s="136">
        <f>INDEX(Calc!$K:$K, (ROW(C124)-1)*5 + COLUMN(C124) + 1 )</f>
        <v>1.73</v>
      </c>
      <c r="E125" s="137">
        <f>INDEX(Calc!$K:$K, (ROW(D124)-1)*5 + COLUMN(D124) + 1 )</f>
        <v>1.55</v>
      </c>
      <c r="F125" s="138">
        <f>INDEX(Calc!$K:$K, (ROW(E124)-1)*5 + COLUMN(E124) + 1 )</f>
        <v>1.48</v>
      </c>
      <c r="G125" s="133">
        <f>Закуп!O125</f>
        <v>15.99</v>
      </c>
      <c r="H125" s="133" t="str">
        <f>Закуп!Q125</f>
        <v>10-20 л</v>
      </c>
      <c r="I125" s="133" t="str">
        <f>Закуп!X125</f>
        <v>400-499 мм</v>
      </c>
      <c r="J125" s="133" t="str">
        <f>Закуп!Y125</f>
        <v>300-399 мм</v>
      </c>
      <c r="K125" s="133" t="str">
        <f>Закуп!Z125</f>
        <v>100-199 мм</v>
      </c>
      <c r="L125" s="133" t="str">
        <f>Закуп!AA125</f>
        <v>Четырехклапанные</v>
      </c>
      <c r="M125" s="133" t="str">
        <f>Закуп!V125</f>
        <v/>
      </c>
      <c r="N125" s="133" t="str">
        <f>Закуп!W125</f>
        <v>Плоские</v>
      </c>
      <c r="O125" s="139" t="str">
        <f>IF(OR(Закуп!L125="",Закуп!L125=0),"",Закуп!L125)</f>
        <v/>
      </c>
      <c r="P125" s="133" t="str">
        <f>Закуп!K125</f>
        <v>K126</v>
      </c>
      <c r="Q125" s="217" t="str">
        <f>IF(Закуп!D125="","",IF(LEFT(Закуп!D125,1)="0","0",Закуп!D125))</f>
        <v>У</v>
      </c>
      <c r="R125" s="155">
        <f>Закуп!C125</f>
        <v>125</v>
      </c>
    </row>
    <row r="126" spans="1:18" x14ac:dyDescent="0.3">
      <c r="A126" s="131" t="str">
        <f>Закуп!E126</f>
        <v>210х190х355</v>
      </c>
      <c r="B126" s="127">
        <f>INDEX(Calc!$K:$K, (ROW(A125)-1)*5 + COLUMN(A125) + 1 )</f>
        <v>1.86</v>
      </c>
      <c r="C126" s="127">
        <f>INDEX(Calc!$K:$K, (ROW(B125)-1)*5 + COLUMN(B125) + 1 )</f>
        <v>1.69</v>
      </c>
      <c r="D126" s="136">
        <f>INDEX(Calc!$K:$K, (ROW(C125)-1)*5 + COLUMN(C125) + 1 )</f>
        <v>1.54</v>
      </c>
      <c r="E126" s="137">
        <f>INDEX(Calc!$K:$K, (ROW(D125)-1)*5 + COLUMN(D125) + 1 )</f>
        <v>1.42</v>
      </c>
      <c r="F126" s="138">
        <f>INDEX(Calc!$K:$K, (ROW(E125)-1)*5 + COLUMN(E125) + 1 )</f>
        <v>1.26</v>
      </c>
      <c r="G126" s="133">
        <f>Закуп!O126</f>
        <v>14.16</v>
      </c>
      <c r="H126" s="133" t="str">
        <f>Закуп!Q126</f>
        <v>10-20 л</v>
      </c>
      <c r="I126" s="133" t="str">
        <f>Закуп!X126</f>
        <v>300-399 мм</v>
      </c>
      <c r="J126" s="133" t="str">
        <f>Закуп!Y126</f>
        <v>200-299 мм</v>
      </c>
      <c r="K126" s="133" t="str">
        <f>Закуп!Z126</f>
        <v>100-199 мм</v>
      </c>
      <c r="L126" s="133" t="str">
        <f>Закуп!AA126</f>
        <v>Четырехклапанные</v>
      </c>
      <c r="M126" s="133" t="str">
        <f>Закуп!V126</f>
        <v/>
      </c>
      <c r="N126" s="133" t="str">
        <f>Закуп!W126</f>
        <v/>
      </c>
      <c r="O126" s="139" t="str">
        <f>IF(OR(Закуп!L126="",Закуп!L126=0),"",Закуп!L126)</f>
        <v/>
      </c>
      <c r="P126" s="133" t="str">
        <f>Закуп!K126</f>
        <v>K127</v>
      </c>
      <c r="Q126" s="217" t="str">
        <f>IF(Закуп!D126="","",IF(LEFT(Закуп!D126,1)="0","0",Закуп!D126))</f>
        <v>У</v>
      </c>
      <c r="R126" s="155">
        <f>Закуп!C126</f>
        <v>126</v>
      </c>
    </row>
    <row r="127" spans="1:18" x14ac:dyDescent="0.3">
      <c r="A127" s="131" t="str">
        <f>Закуп!E127</f>
        <v>465х305х490</v>
      </c>
      <c r="B127" s="127">
        <f>INDEX(Calc!$K:$K, (ROW(A126)-1)*5 + COLUMN(A126) + 1 )</f>
        <v>4.4800000000000004</v>
      </c>
      <c r="C127" s="127">
        <f>INDEX(Calc!$K:$K, (ROW(B126)-1)*5 + COLUMN(B126) + 1 )</f>
        <v>4.37</v>
      </c>
      <c r="D127" s="136">
        <f>INDEX(Calc!$K:$K, (ROW(C126)-1)*5 + COLUMN(C126) + 1 )</f>
        <v>3.58</v>
      </c>
      <c r="E127" s="137">
        <f>INDEX(Calc!$K:$K, (ROW(D126)-1)*5 + COLUMN(D126) + 1 )</f>
        <v>3.53</v>
      </c>
      <c r="F127" s="138">
        <f>INDEX(Calc!$K:$K, (ROW(E126)-1)*5 + COLUMN(E126) + 1 )</f>
        <v>3.41</v>
      </c>
      <c r="G127" s="133">
        <f>Закуп!O127</f>
        <v>69.489999999999995</v>
      </c>
      <c r="H127" s="133" t="str">
        <f>Закуп!Q127</f>
        <v>50-100 л</v>
      </c>
      <c r="I127" s="133" t="str">
        <f>Закуп!X127</f>
        <v>400-499 мм</v>
      </c>
      <c r="J127" s="133" t="str">
        <f>Закуп!Y127</f>
        <v>400-499 мм</v>
      </c>
      <c r="K127" s="133" t="str">
        <f>Закуп!Z127</f>
        <v>300-399 мм</v>
      </c>
      <c r="L127" s="133" t="str">
        <f>Закуп!AA127</f>
        <v>Четырехклапанные</v>
      </c>
      <c r="M127" s="133" t="str">
        <f>Закуп!V127</f>
        <v/>
      </c>
      <c r="N127" s="133" t="str">
        <f>Закуп!W127</f>
        <v/>
      </c>
      <c r="O127" s="139" t="str">
        <f>IF(OR(Закуп!L127="",Закуп!L127=0),"",Закуп!L127)</f>
        <v/>
      </c>
      <c r="P127" s="133" t="str">
        <f>Закуп!K127</f>
        <v>K128</v>
      </c>
      <c r="Q127" s="217" t="str">
        <f>IF(Закуп!D127="","",IF(LEFT(Закуп!D127,1)="0","0",Закуп!D127))</f>
        <v>У</v>
      </c>
      <c r="R127" s="155">
        <f>Закуп!C127</f>
        <v>127</v>
      </c>
    </row>
    <row r="128" spans="1:18" x14ac:dyDescent="0.3">
      <c r="A128" s="131" t="str">
        <f>Закуп!E128</f>
        <v>225х225х135</v>
      </c>
      <c r="B128" s="127">
        <f>INDEX(Calc!$K:$K, (ROW(A127)-1)*5 + COLUMN(A127) + 1 )</f>
        <v>1.67</v>
      </c>
      <c r="C128" s="127">
        <f>INDEX(Calc!$K:$K, (ROW(B127)-1)*5 + COLUMN(B127) + 1 )</f>
        <v>1.52</v>
      </c>
      <c r="D128" s="136">
        <f>INDEX(Calc!$K:$K, (ROW(C127)-1)*5 + COLUMN(C127) + 1 )</f>
        <v>1.2</v>
      </c>
      <c r="E128" s="137">
        <f>INDEX(Calc!$K:$K, (ROW(D127)-1)*5 + COLUMN(D127) + 1 )</f>
        <v>1.1200000000000001</v>
      </c>
      <c r="F128" s="138">
        <f>INDEX(Calc!$K:$K, (ROW(E127)-1)*5 + COLUMN(E127) + 1 )</f>
        <v>1.06</v>
      </c>
      <c r="G128" s="133">
        <f>Закуп!O128</f>
        <v>6.83</v>
      </c>
      <c r="H128" s="133" t="str">
        <f>Закуп!Q128</f>
        <v>5-10 л</v>
      </c>
      <c r="I128" s="133" t="str">
        <f>Закуп!X128</f>
        <v>200-299 мм</v>
      </c>
      <c r="J128" s="133" t="str">
        <f>Закуп!Y128</f>
        <v>200-299 мм</v>
      </c>
      <c r="K128" s="133" t="str">
        <f>Закуп!Z128</f>
        <v>100-199 мм</v>
      </c>
      <c r="L128" s="133" t="str">
        <f>Закуп!AA128</f>
        <v>Четырехклапанные</v>
      </c>
      <c r="M128" s="133" t="str">
        <f>Закуп!V128</f>
        <v/>
      </c>
      <c r="N128" s="133" t="str">
        <f>Закуп!W128</f>
        <v/>
      </c>
      <c r="O128" s="139" t="str">
        <f>IF(OR(Закуп!L128="",Закуп!L128=0),"",Закуп!L128)</f>
        <v/>
      </c>
      <c r="P128" s="133" t="str">
        <f>Закуп!K128</f>
        <v>K129</v>
      </c>
      <c r="Q128" s="217" t="str">
        <f>IF(Закуп!D128="","",IF(LEFT(Закуп!D128,1)="0","0",Закуп!D128))</f>
        <v>У</v>
      </c>
      <c r="R128" s="155">
        <f>Закуп!C128</f>
        <v>128</v>
      </c>
    </row>
    <row r="129" spans="1:18" x14ac:dyDescent="0.3">
      <c r="A129" s="131" t="str">
        <f>Закуп!E129</f>
        <v>320х230х335</v>
      </c>
      <c r="B129" s="127">
        <f>INDEX(Calc!$K:$K, (ROW(A128)-1)*5 + COLUMN(A128) + 1 )</f>
        <v>2.88</v>
      </c>
      <c r="C129" s="127">
        <f>INDEX(Calc!$K:$K, (ROW(B128)-1)*5 + COLUMN(B128) + 1 )</f>
        <v>2.2999999999999998</v>
      </c>
      <c r="D129" s="136">
        <f>INDEX(Calc!$K:$K, (ROW(C128)-1)*5 + COLUMN(C128) + 1 )</f>
        <v>2.1</v>
      </c>
      <c r="E129" s="137">
        <f>INDEX(Calc!$K:$K, (ROW(D128)-1)*5 + COLUMN(D128) + 1 )</f>
        <v>1.87</v>
      </c>
      <c r="F129" s="138">
        <f>INDEX(Calc!$K:$K, (ROW(E128)-1)*5 + COLUMN(E128) + 1 )</f>
        <v>1.79</v>
      </c>
      <c r="G129" s="133">
        <f>Закуп!O129</f>
        <v>24.66</v>
      </c>
      <c r="H129" s="133" t="str">
        <f>Закуп!Q129</f>
        <v>20-50 л</v>
      </c>
      <c r="I129" s="133" t="str">
        <f>Закуп!X129</f>
        <v>300-399 мм</v>
      </c>
      <c r="J129" s="133" t="str">
        <f>Закуп!Y129</f>
        <v>300-399 мм</v>
      </c>
      <c r="K129" s="133" t="str">
        <f>Закуп!Z129</f>
        <v>200-299 мм</v>
      </c>
      <c r="L129" s="133" t="str">
        <f>Закуп!AA129</f>
        <v>Четырехклапанные</v>
      </c>
      <c r="M129" s="133" t="str">
        <f>Закуп!V129</f>
        <v/>
      </c>
      <c r="N129" s="133" t="str">
        <f>Закуп!W129</f>
        <v/>
      </c>
      <c r="O129" s="139" t="str">
        <f>IF(OR(Закуп!L129="",Закуп!L129=0),"",Закуп!L129)</f>
        <v/>
      </c>
      <c r="P129" s="133" t="str">
        <f>Закуп!K129</f>
        <v>K130</v>
      </c>
      <c r="Q129" s="217" t="str">
        <f>IF(Закуп!D129="","",IF(LEFT(Закуп!D129,1)="0","0",Закуп!D129))</f>
        <v>У</v>
      </c>
      <c r="R129" s="155">
        <f>Закуп!C129</f>
        <v>129</v>
      </c>
    </row>
    <row r="130" spans="1:18" x14ac:dyDescent="0.3">
      <c r="A130" s="131" t="str">
        <f>Закуп!E130</f>
        <v>320х160х35</v>
      </c>
      <c r="B130" s="127">
        <f>INDEX(Calc!$K:$K, (ROW(A129)-1)*5 + COLUMN(A129) + 1 )</f>
        <v>1.04</v>
      </c>
      <c r="C130" s="127">
        <f>INDEX(Calc!$K:$K, (ROW(B129)-1)*5 + COLUMN(B129) + 1 )</f>
        <v>0.88</v>
      </c>
      <c r="D130" s="136">
        <f>INDEX(Calc!$K:$K, (ROW(C129)-1)*5 + COLUMN(C129) + 1 )</f>
        <v>0.8</v>
      </c>
      <c r="E130" s="137">
        <f>INDEX(Calc!$K:$K, (ROW(D129)-1)*5 + COLUMN(D129) + 1 )</f>
        <v>0.73</v>
      </c>
      <c r="F130" s="138">
        <f>INDEX(Calc!$K:$K, (ROW(E129)-1)*5 + COLUMN(E129) + 1 )</f>
        <v>0.67</v>
      </c>
      <c r="G130" s="133">
        <f>Закуп!O130</f>
        <v>1.79</v>
      </c>
      <c r="H130" s="133" t="str">
        <f>Закуп!Q130</f>
        <v>1-2 л</v>
      </c>
      <c r="I130" s="133" t="str">
        <f>Закуп!X130</f>
        <v>300-399 мм</v>
      </c>
      <c r="J130" s="133" t="str">
        <f>Закуп!Y130</f>
        <v>100-199 мм</v>
      </c>
      <c r="K130" s="133" t="str">
        <f>Закуп!Z130</f>
        <v>10-99 мм</v>
      </c>
      <c r="L130" s="133" t="str">
        <f>Закуп!AA130</f>
        <v>Самосборные</v>
      </c>
      <c r="M130" s="133" t="str">
        <f>Закуп!V130</f>
        <v>Длинные</v>
      </c>
      <c r="N130" s="133" t="str">
        <f>Закуп!W130</f>
        <v>Плоские</v>
      </c>
      <c r="O130" s="139" t="str">
        <f>IF(OR(Закуп!L130="",Закуп!L130=0),"",Закуп!L130)</f>
        <v/>
      </c>
      <c r="P130" s="133" t="str">
        <f>Закуп!K130</f>
        <v>K131</v>
      </c>
      <c r="Q130" s="217" t="str">
        <f>IF(Закуп!D130="","",IF(LEFT(Закуп!D130,1)="0","0",Закуп!D130))</f>
        <v>У</v>
      </c>
      <c r="R130" s="155">
        <f>Закуп!C130</f>
        <v>130</v>
      </c>
    </row>
    <row r="131" spans="1:18" x14ac:dyDescent="0.3">
      <c r="A131" s="131" t="str">
        <f>Закуп!E131</f>
        <v>380х285х70</v>
      </c>
      <c r="B131" s="127">
        <f>INDEX(Calc!$K:$K, (ROW(A130)-1)*5 + COLUMN(A130) + 1 )</f>
        <v>2.4</v>
      </c>
      <c r="C131" s="127">
        <f>INDEX(Calc!$K:$K, (ROW(B130)-1)*5 + COLUMN(B130) + 1 )</f>
        <v>2.1800000000000002</v>
      </c>
      <c r="D131" s="136">
        <f>INDEX(Calc!$K:$K, (ROW(C130)-1)*5 + COLUMN(C130) + 1 )</f>
        <v>1.7</v>
      </c>
      <c r="E131" s="137">
        <f>INDEX(Calc!$K:$K, (ROW(D130)-1)*5 + COLUMN(D130) + 1 )</f>
        <v>1.48</v>
      </c>
      <c r="F131" s="138">
        <f>INDEX(Calc!$K:$K, (ROW(E130)-1)*5 + COLUMN(E130) + 1 )</f>
        <v>1.38</v>
      </c>
      <c r="G131" s="133">
        <f>Закуп!O131</f>
        <v>7.58</v>
      </c>
      <c r="H131" s="133" t="str">
        <f>Закуп!Q131</f>
        <v>5-10 л</v>
      </c>
      <c r="I131" s="133" t="str">
        <f>Закуп!X131</f>
        <v>300-399 мм</v>
      </c>
      <c r="J131" s="133" t="str">
        <f>Закуп!Y131</f>
        <v>200-299 мм</v>
      </c>
      <c r="K131" s="133" t="str">
        <f>Закуп!Z131</f>
        <v>10-99 мм</v>
      </c>
      <c r="L131" s="133" t="str">
        <f>Закуп!AA131</f>
        <v>Четырехклапанные</v>
      </c>
      <c r="M131" s="133" t="str">
        <f>Закуп!V131</f>
        <v/>
      </c>
      <c r="N131" s="133" t="str">
        <f>Закуп!W131</f>
        <v>Плоские</v>
      </c>
      <c r="O131" s="139" t="str">
        <f>IF(OR(Закуп!L131="",Закуп!L131=0),"",Закуп!L131)</f>
        <v/>
      </c>
      <c r="P131" s="133" t="str">
        <f>Закуп!K131</f>
        <v>K132</v>
      </c>
      <c r="Q131" s="217" t="str">
        <f>IF(Закуп!D131="","",IF(LEFT(Закуп!D131,1)="0","0",Закуп!D131))</f>
        <v>У</v>
      </c>
      <c r="R131" s="155">
        <f>Закуп!C131</f>
        <v>131</v>
      </c>
    </row>
    <row r="132" spans="1:18" x14ac:dyDescent="0.3">
      <c r="A132" s="131" t="str">
        <f>Закуп!E132</f>
        <v>230х145х240</v>
      </c>
      <c r="B132" s="127">
        <f>INDEX(Calc!$K:$K, (ROW(A131)-1)*5 + COLUMN(A131) + 1 )</f>
        <v>1.5</v>
      </c>
      <c r="C132" s="127">
        <f>INDEX(Calc!$K:$K, (ROW(B131)-1)*5 + COLUMN(B131) + 1 )</f>
        <v>1.36</v>
      </c>
      <c r="D132" s="136">
        <f>INDEX(Calc!$K:$K, (ROW(C131)-1)*5 + COLUMN(C131) + 1 )</f>
        <v>1.07</v>
      </c>
      <c r="E132" s="137">
        <f>INDEX(Calc!$K:$K, (ROW(D131)-1)*5 + COLUMN(D131) + 1 )</f>
        <v>1.01</v>
      </c>
      <c r="F132" s="138">
        <f>INDEX(Calc!$K:$K, (ROW(E131)-1)*5 + COLUMN(E131) + 1 )</f>
        <v>0.95</v>
      </c>
      <c r="G132" s="133">
        <f>Закуп!O132</f>
        <v>8</v>
      </c>
      <c r="H132" s="133" t="str">
        <f>Закуп!Q132</f>
        <v>5-10 л</v>
      </c>
      <c r="I132" s="133" t="str">
        <f>Закуп!X132</f>
        <v>200-299 мм</v>
      </c>
      <c r="J132" s="133" t="str">
        <f>Закуп!Y132</f>
        <v>200-299 мм</v>
      </c>
      <c r="K132" s="133" t="str">
        <f>Закуп!Z132</f>
        <v>100-199 мм</v>
      </c>
      <c r="L132" s="133" t="str">
        <f>Закуп!AA132</f>
        <v>Четырехклапанные</v>
      </c>
      <c r="M132" s="133" t="str">
        <f>Закуп!V132</f>
        <v/>
      </c>
      <c r="N132" s="133" t="str">
        <f>Закуп!W132</f>
        <v/>
      </c>
      <c r="O132" s="139" t="str">
        <f>IF(OR(Закуп!L132="",Закуп!L132=0),"",Закуп!L132)</f>
        <v/>
      </c>
      <c r="P132" s="133" t="str">
        <f>Закуп!K132</f>
        <v>K133</v>
      </c>
      <c r="Q132" s="217" t="str">
        <f>IF(Закуп!D132="","",IF(LEFT(Закуп!D132,1)="0","0",Закуп!D132))</f>
        <v>У</v>
      </c>
      <c r="R132" s="155">
        <f>Закуп!C132</f>
        <v>132</v>
      </c>
    </row>
    <row r="133" spans="1:18" x14ac:dyDescent="0.3">
      <c r="A133" s="131" t="str">
        <f>Закуп!E133</f>
        <v>380х285х310</v>
      </c>
      <c r="B133" s="127">
        <f>INDEX(Calc!$K:$K, (ROW(A132)-1)*5 + COLUMN(A132) + 1 )</f>
        <v>3.65</v>
      </c>
      <c r="C133" s="127">
        <f>INDEX(Calc!$K:$K, (ROW(B132)-1)*5 + COLUMN(B132) + 1 )</f>
        <v>2.92</v>
      </c>
      <c r="D133" s="136">
        <f>INDEX(Calc!$K:$K, (ROW(C132)-1)*5 + COLUMN(C132) + 1 )</f>
        <v>2.46</v>
      </c>
      <c r="E133" s="137">
        <f>INDEX(Calc!$K:$K, (ROW(D132)-1)*5 + COLUMN(D132) + 1 )</f>
        <v>2.33</v>
      </c>
      <c r="F133" s="138">
        <f>INDEX(Calc!$K:$K, (ROW(E132)-1)*5 + COLUMN(E132) + 1 )</f>
        <v>2.23</v>
      </c>
      <c r="G133" s="133">
        <f>Закуп!O133</f>
        <v>33.57</v>
      </c>
      <c r="H133" s="133" t="str">
        <f>Закуп!Q133</f>
        <v>20-50 л</v>
      </c>
      <c r="I133" s="133" t="str">
        <f>Закуп!X133</f>
        <v>300-399 мм</v>
      </c>
      <c r="J133" s="133" t="str">
        <f>Закуп!Y133</f>
        <v>300-399 мм</v>
      </c>
      <c r="K133" s="133" t="str">
        <f>Закуп!Z133</f>
        <v>200-299 мм</v>
      </c>
      <c r="L133" s="133" t="str">
        <f>Закуп!AA133</f>
        <v>Четырехклапанные</v>
      </c>
      <c r="M133" s="133" t="str">
        <f>Закуп!V133</f>
        <v/>
      </c>
      <c r="N133" s="133" t="str">
        <f>Закуп!W133</f>
        <v/>
      </c>
      <c r="O133" s="139" t="str">
        <f>IF(OR(Закуп!L133="",Закуп!L133=0),"",Закуп!L133)</f>
        <v/>
      </c>
      <c r="P133" s="133" t="str">
        <f>Закуп!K133</f>
        <v>K134</v>
      </c>
      <c r="Q133" s="217" t="str">
        <f>IF(Закуп!D133="","",IF(LEFT(Закуп!D133,1)="0","0",Закуп!D133))</f>
        <v>У</v>
      </c>
      <c r="R133" s="155">
        <f>Закуп!C133</f>
        <v>133</v>
      </c>
    </row>
    <row r="134" spans="1:18" x14ac:dyDescent="0.3">
      <c r="A134" s="131" t="str">
        <f>Закуп!E134</f>
        <v>420х270х160</v>
      </c>
      <c r="B134" s="127">
        <f>INDEX(Calc!$K:$K, (ROW(A133)-1)*5 + COLUMN(A133) + 1 )</f>
        <v>2.75</v>
      </c>
      <c r="C134" s="127">
        <f>INDEX(Calc!$K:$K, (ROW(B133)-1)*5 + COLUMN(B133) + 1 )</f>
        <v>2.19</v>
      </c>
      <c r="D134" s="136">
        <f>INDEX(Calc!$K:$K, (ROW(C133)-1)*5 + COLUMN(C133) + 1 )</f>
        <v>2</v>
      </c>
      <c r="E134" s="137">
        <f>INDEX(Calc!$K:$K, (ROW(D133)-1)*5 + COLUMN(D133) + 1 )</f>
        <v>1.79</v>
      </c>
      <c r="F134" s="138">
        <f>INDEX(Calc!$K:$K, (ROW(E133)-1)*5 + COLUMN(E133) + 1 )</f>
        <v>1.73</v>
      </c>
      <c r="G134" s="133">
        <f>Закуп!O134</f>
        <v>18.14</v>
      </c>
      <c r="H134" s="133" t="str">
        <f>Закуп!Q134</f>
        <v>10-20 л</v>
      </c>
      <c r="I134" s="133" t="str">
        <f>Закуп!X134</f>
        <v>400-499 мм</v>
      </c>
      <c r="J134" s="133" t="str">
        <f>Закуп!Y134</f>
        <v>200-299 мм</v>
      </c>
      <c r="K134" s="133" t="str">
        <f>Закуп!Z134</f>
        <v>100-199 мм</v>
      </c>
      <c r="L134" s="133" t="str">
        <f>Закуп!AA134</f>
        <v>Четырехклапанные</v>
      </c>
      <c r="M134" s="133" t="str">
        <f>Закуп!V134</f>
        <v/>
      </c>
      <c r="N134" s="133" t="str">
        <f>Закуп!W134</f>
        <v/>
      </c>
      <c r="O134" s="139" t="str">
        <f>IF(OR(Закуп!L134="",Закуп!L134=0),"",Закуп!L134)</f>
        <v/>
      </c>
      <c r="P134" s="133" t="str">
        <f>Закуп!K134</f>
        <v>K135</v>
      </c>
      <c r="Q134" s="217" t="str">
        <f>IF(Закуп!D134="","",IF(LEFT(Закуп!D134,1)="0","0",Закуп!D134))</f>
        <v>У</v>
      </c>
      <c r="R134" s="155">
        <f>Закуп!C134</f>
        <v>134</v>
      </c>
    </row>
    <row r="135" spans="1:18" x14ac:dyDescent="0.3">
      <c r="A135" s="131" t="str">
        <f>Закуп!E135</f>
        <v>380х285х237</v>
      </c>
      <c r="B135" s="127">
        <f>INDEX(Calc!$K:$K, (ROW(A134)-1)*5 + COLUMN(A134) + 1 )</f>
        <v>3.21</v>
      </c>
      <c r="C135" s="127">
        <f>INDEX(Calc!$K:$K, (ROW(B134)-1)*5 + COLUMN(B134) + 1 )</f>
        <v>2.57</v>
      </c>
      <c r="D135" s="136">
        <f>INDEX(Calc!$K:$K, (ROW(C134)-1)*5 + COLUMN(C134) + 1 )</f>
        <v>2.31</v>
      </c>
      <c r="E135" s="137">
        <f>INDEX(Calc!$K:$K, (ROW(D134)-1)*5 + COLUMN(D134) + 1 )</f>
        <v>2.09</v>
      </c>
      <c r="F135" s="138">
        <f>INDEX(Calc!$K:$K, (ROW(E134)-1)*5 + COLUMN(E134) + 1 )</f>
        <v>1.99</v>
      </c>
      <c r="G135" s="133">
        <f>Закуп!O135</f>
        <v>25.67</v>
      </c>
      <c r="H135" s="133" t="str">
        <f>Закуп!Q135</f>
        <v>20-50 л</v>
      </c>
      <c r="I135" s="133" t="str">
        <f>Закуп!X135</f>
        <v>300-399 мм</v>
      </c>
      <c r="J135" s="133" t="str">
        <f>Закуп!Y135</f>
        <v>200-299 мм</v>
      </c>
      <c r="K135" s="133" t="str">
        <f>Закуп!Z135</f>
        <v>200-299 мм</v>
      </c>
      <c r="L135" s="133" t="str">
        <f>Закуп!AA135</f>
        <v>Четырехклапанные</v>
      </c>
      <c r="M135" s="133" t="str">
        <f>Закуп!V135</f>
        <v/>
      </c>
      <c r="N135" s="133" t="str">
        <f>Закуп!W135</f>
        <v/>
      </c>
      <c r="O135" s="139" t="str">
        <f>IF(OR(Закуп!L135="",Закуп!L135=0),"",Закуп!L135)</f>
        <v/>
      </c>
      <c r="P135" s="133" t="str">
        <f>Закуп!K135</f>
        <v>K136</v>
      </c>
      <c r="Q135" s="217" t="str">
        <f>IF(Закуп!D135="","",IF(LEFT(Закуп!D135,1)="0","0",Закуп!D135))</f>
        <v>У</v>
      </c>
      <c r="R135" s="155">
        <f>Закуп!C135</f>
        <v>135</v>
      </c>
    </row>
    <row r="136" spans="1:18" x14ac:dyDescent="0.3">
      <c r="A136" s="131" t="str">
        <f>Закуп!E136</f>
        <v>200х160х250</v>
      </c>
      <c r="B136" s="127">
        <f>INDEX(Calc!$K:$K, (ROW(A135)-1)*5 + COLUMN(A135) + 1 )</f>
        <v>1.53</v>
      </c>
      <c r="C136" s="127">
        <f>INDEX(Calc!$K:$K, (ROW(B135)-1)*5 + COLUMN(B135) + 1 )</f>
        <v>1.39</v>
      </c>
      <c r="D136" s="136">
        <f>INDEX(Calc!$K:$K, (ROW(C135)-1)*5 + COLUMN(C135) + 1 )</f>
        <v>1.0900000000000001</v>
      </c>
      <c r="E136" s="137">
        <f>INDEX(Calc!$K:$K, (ROW(D135)-1)*5 + COLUMN(D135) + 1 )</f>
        <v>1.03</v>
      </c>
      <c r="F136" s="138">
        <f>INDEX(Calc!$K:$K, (ROW(E135)-1)*5 + COLUMN(E135) + 1 )</f>
        <v>0.97</v>
      </c>
      <c r="G136" s="133">
        <f>Закуп!O136</f>
        <v>8</v>
      </c>
      <c r="H136" s="133" t="str">
        <f>Закуп!Q136</f>
        <v>5-10 л</v>
      </c>
      <c r="I136" s="133" t="str">
        <f>Закуп!X136</f>
        <v>200-299 мм</v>
      </c>
      <c r="J136" s="133" t="str">
        <f>Закуп!Y136</f>
        <v>200-299 мм</v>
      </c>
      <c r="K136" s="133" t="str">
        <f>Закуп!Z136</f>
        <v>100-199 мм</v>
      </c>
      <c r="L136" s="133" t="str">
        <f>Закуп!AA136</f>
        <v>Четырехклапанные</v>
      </c>
      <c r="M136" s="133" t="str">
        <f>Закуп!V136</f>
        <v/>
      </c>
      <c r="N136" s="133" t="str">
        <f>Закуп!W136</f>
        <v/>
      </c>
      <c r="O136" s="139" t="str">
        <f>IF(OR(Закуп!L136="",Закуп!L136=0),"",Закуп!L136)</f>
        <v/>
      </c>
      <c r="P136" s="133" t="str">
        <f>Закуп!K136</f>
        <v>K137</v>
      </c>
      <c r="Q136" s="217" t="str">
        <f>IF(Закуп!D136="","",IF(LEFT(Закуп!D136,1)="0","0",Закуп!D136))</f>
        <v>У</v>
      </c>
      <c r="R136" s="155">
        <f>Закуп!C136</f>
        <v>136</v>
      </c>
    </row>
    <row r="137" spans="1:18" x14ac:dyDescent="0.3">
      <c r="A137" s="131" t="str">
        <f>Закуп!E137</f>
        <v>295х225х160</v>
      </c>
      <c r="B137" s="127">
        <f>INDEX(Calc!$K:$K, (ROW(A136)-1)*5 + COLUMN(A136) + 1 )</f>
        <v>1.77</v>
      </c>
      <c r="C137" s="127">
        <f>INDEX(Calc!$K:$K, (ROW(B136)-1)*5 + COLUMN(B136) + 1 )</f>
        <v>1.61</v>
      </c>
      <c r="D137" s="136">
        <f>INDEX(Calc!$K:$K, (ROW(C136)-1)*5 + COLUMN(C136) + 1 )</f>
        <v>1.47</v>
      </c>
      <c r="E137" s="137">
        <f>INDEX(Calc!$K:$K, (ROW(D136)-1)*5 + COLUMN(D136) + 1 )</f>
        <v>1.35</v>
      </c>
      <c r="F137" s="138">
        <f>INDEX(Calc!$K:$K, (ROW(E136)-1)*5 + COLUMN(E136) + 1 )</f>
        <v>1.2</v>
      </c>
      <c r="G137" s="133">
        <f>Закуп!O137</f>
        <v>10.62</v>
      </c>
      <c r="H137" s="133" t="str">
        <f>Закуп!Q137</f>
        <v>10-20 л</v>
      </c>
      <c r="I137" s="133" t="str">
        <f>Закуп!X137</f>
        <v>200-299 мм</v>
      </c>
      <c r="J137" s="133" t="str">
        <f>Закуп!Y137</f>
        <v>200-299 мм</v>
      </c>
      <c r="K137" s="133" t="str">
        <f>Закуп!Z137</f>
        <v>100-199 мм</v>
      </c>
      <c r="L137" s="133" t="str">
        <f>Закуп!AA137</f>
        <v>Четырехклапанные</v>
      </c>
      <c r="M137" s="133" t="str">
        <f>Закуп!V137</f>
        <v/>
      </c>
      <c r="N137" s="133" t="str">
        <f>Закуп!W137</f>
        <v/>
      </c>
      <c r="O137" s="139" t="str">
        <f>IF(OR(Закуп!L137="",Закуп!L137=0),"",Закуп!L137)</f>
        <v/>
      </c>
      <c r="P137" s="133" t="str">
        <f>Закуп!K137</f>
        <v>K138</v>
      </c>
      <c r="Q137" s="217" t="str">
        <f>IF(Закуп!D137="","",IF(LEFT(Закуп!D137,1)="0","0",Закуп!D137))</f>
        <v>У</v>
      </c>
      <c r="R137" s="155">
        <f>Закуп!C137</f>
        <v>137</v>
      </c>
    </row>
    <row r="138" spans="1:18" x14ac:dyDescent="0.3">
      <c r="A138" s="131" t="str">
        <f>Закуп!E138</f>
        <v>400х370х230</v>
      </c>
      <c r="B138" s="127">
        <f>INDEX(Calc!$K:$K, (ROW(A137)-1)*5 + COLUMN(A137) + 1 )</f>
        <v>4.24</v>
      </c>
      <c r="C138" s="127">
        <f>INDEX(Calc!$K:$K, (ROW(B137)-1)*5 + COLUMN(B137) + 1 )</f>
        <v>3.35</v>
      </c>
      <c r="D138" s="136">
        <f>INDEX(Calc!$K:$K, (ROW(C137)-1)*5 + COLUMN(C137) + 1 )</f>
        <v>2.81</v>
      </c>
      <c r="E138" s="137">
        <f>INDEX(Calc!$K:$K, (ROW(D137)-1)*5 + COLUMN(D137) + 1 )</f>
        <v>2.66</v>
      </c>
      <c r="F138" s="138">
        <f>INDEX(Calc!$K:$K, (ROW(E137)-1)*5 + COLUMN(E137) + 1 )</f>
        <v>2.59</v>
      </c>
      <c r="G138" s="133">
        <f>Закуп!O138</f>
        <v>34.04</v>
      </c>
      <c r="H138" s="133" t="str">
        <f>Закуп!Q138</f>
        <v>20-50 л</v>
      </c>
      <c r="I138" s="133" t="str">
        <f>Закуп!X138</f>
        <v>400-499 мм</v>
      </c>
      <c r="J138" s="133" t="str">
        <f>Закуп!Y138</f>
        <v>300-399 мм</v>
      </c>
      <c r="K138" s="133" t="str">
        <f>Закуп!Z138</f>
        <v>200-299 мм</v>
      </c>
      <c r="L138" s="133" t="str">
        <f>Закуп!AA138</f>
        <v>Четырехклапанные</v>
      </c>
      <c r="M138" s="133" t="str">
        <f>Закуп!V138</f>
        <v/>
      </c>
      <c r="N138" s="133" t="str">
        <f>Закуп!W138</f>
        <v/>
      </c>
      <c r="O138" s="139" t="str">
        <f>IF(OR(Закуп!L138="",Закуп!L138=0),"",Закуп!L138)</f>
        <v/>
      </c>
      <c r="P138" s="133" t="str">
        <f>Закуп!K138</f>
        <v>K139</v>
      </c>
      <c r="Q138" s="217" t="str">
        <f>IF(Закуп!D138="","",IF(LEFT(Закуп!D138,1)="0","0",Закуп!D138))</f>
        <v>У</v>
      </c>
      <c r="R138" s="155">
        <f>Закуп!C138</f>
        <v>138</v>
      </c>
    </row>
    <row r="139" spans="1:18" x14ac:dyDescent="0.3">
      <c r="A139" s="131" t="str">
        <f>Закуп!E139</f>
        <v>630х320х340</v>
      </c>
      <c r="B139" s="127">
        <f>INDEX(Calc!$K:$K, (ROW(A138)-1)*5 + COLUMN(A138) + 1 )</f>
        <v>4.58</v>
      </c>
      <c r="C139" s="127">
        <f>INDEX(Calc!$K:$K, (ROW(B138)-1)*5 + COLUMN(B138) + 1 )</f>
        <v>4.46</v>
      </c>
      <c r="D139" s="136">
        <f>INDEX(Calc!$K:$K, (ROW(C138)-1)*5 + COLUMN(C138) + 1 )</f>
        <v>3.67</v>
      </c>
      <c r="E139" s="137">
        <f>INDEX(Calc!$K:$K, (ROW(D138)-1)*5 + COLUMN(D138) + 1 )</f>
        <v>3.61</v>
      </c>
      <c r="F139" s="138">
        <f>INDEX(Calc!$K:$K, (ROW(E138)-1)*5 + COLUMN(E138) + 1 )</f>
        <v>3.49</v>
      </c>
      <c r="G139" s="133">
        <f>Закуп!O139</f>
        <v>68.540000000000006</v>
      </c>
      <c r="H139" s="133" t="str">
        <f>Закуп!Q139</f>
        <v>50-100 л</v>
      </c>
      <c r="I139" s="133" t="str">
        <f>Закуп!X139</f>
        <v>600-699 мм</v>
      </c>
      <c r="J139" s="133" t="str">
        <f>Закуп!Y139</f>
        <v>300-399 мм</v>
      </c>
      <c r="K139" s="133" t="str">
        <f>Закуп!Z139</f>
        <v>300-399 мм</v>
      </c>
      <c r="L139" s="133" t="str">
        <f>Закуп!AA139</f>
        <v>Четырехклапанные</v>
      </c>
      <c r="M139" s="133" t="str">
        <f>Закуп!V139</f>
        <v/>
      </c>
      <c r="N139" s="133" t="str">
        <f>Закуп!W139</f>
        <v/>
      </c>
      <c r="O139" s="139" t="str">
        <f>IF(OR(Закуп!L139="",Закуп!L139=0),"",Закуп!L139)</f>
        <v/>
      </c>
      <c r="P139" s="133" t="str">
        <f>Закуп!K139</f>
        <v>K140</v>
      </c>
      <c r="Q139" s="217" t="str">
        <f>IF(Закуп!D139="","",IF(LEFT(Закуп!D139,1)="0","0",Закуп!D139))</f>
        <v>У</v>
      </c>
      <c r="R139" s="155">
        <f>Закуп!C139</f>
        <v>139</v>
      </c>
    </row>
    <row r="140" spans="1:18" x14ac:dyDescent="0.3">
      <c r="A140" s="131" t="str">
        <f>Закуп!E140</f>
        <v>350х340х190</v>
      </c>
      <c r="B140" s="127">
        <f>INDEX(Calc!$K:$K, (ROW(A139)-1)*5 + COLUMN(A139) + 1 )</f>
        <v>3.36</v>
      </c>
      <c r="C140" s="127">
        <f>INDEX(Calc!$K:$K, (ROW(B139)-1)*5 + COLUMN(B139) + 1 )</f>
        <v>2.7</v>
      </c>
      <c r="D140" s="136">
        <f>INDEX(Calc!$K:$K, (ROW(C139)-1)*5 + COLUMN(C139) + 1 )</f>
        <v>2.42</v>
      </c>
      <c r="E140" s="137">
        <f>INDEX(Calc!$K:$K, (ROW(D139)-1)*5 + COLUMN(D139) + 1 )</f>
        <v>2.1800000000000002</v>
      </c>
      <c r="F140" s="138">
        <f>INDEX(Calc!$K:$K, (ROW(E139)-1)*5 + COLUMN(E139) + 1 )</f>
        <v>2.09</v>
      </c>
      <c r="G140" s="133">
        <f>Закуп!O140</f>
        <v>22.61</v>
      </c>
      <c r="H140" s="133" t="str">
        <f>Закуп!Q140</f>
        <v>20-50 л</v>
      </c>
      <c r="I140" s="133" t="str">
        <f>Закуп!X140</f>
        <v>300-399 мм</v>
      </c>
      <c r="J140" s="133" t="str">
        <f>Закуп!Y140</f>
        <v>300-399 мм</v>
      </c>
      <c r="K140" s="133" t="str">
        <f>Закуп!Z140</f>
        <v>100-199 мм</v>
      </c>
      <c r="L140" s="133" t="str">
        <f>Закуп!AA140</f>
        <v>Четырехклапанные</v>
      </c>
      <c r="M140" s="133" t="str">
        <f>Закуп!V140</f>
        <v/>
      </c>
      <c r="N140" s="133" t="str">
        <f>Закуп!W140</f>
        <v/>
      </c>
      <c r="O140" s="139" t="str">
        <f>IF(OR(Закуп!L140="",Закуп!L140=0),"",Закуп!L140)</f>
        <v/>
      </c>
      <c r="P140" s="133" t="str">
        <f>Закуп!K140</f>
        <v>K141</v>
      </c>
      <c r="Q140" s="217" t="str">
        <f>IF(Закуп!D140="","",IF(LEFT(Закуп!D140,1)="0","0",Закуп!D140))</f>
        <v>У</v>
      </c>
      <c r="R140" s="155">
        <f>Закуп!C140</f>
        <v>140</v>
      </c>
    </row>
    <row r="141" spans="1:18" x14ac:dyDescent="0.3">
      <c r="A141" s="131" t="str">
        <f>Закуп!E141</f>
        <v>103х103х130</v>
      </c>
      <c r="B141" s="127">
        <f>INDEX(Calc!$K:$K, (ROW(A140)-1)*5 + COLUMN(A140) + 1 )</f>
        <v>0.98</v>
      </c>
      <c r="C141" s="127">
        <f>INDEX(Calc!$K:$K, (ROW(B140)-1)*5 + COLUMN(B140) + 1 )</f>
        <v>0.86</v>
      </c>
      <c r="D141" s="136">
        <f>INDEX(Calc!$K:$K, (ROW(C140)-1)*5 + COLUMN(C140) + 1 )</f>
        <v>0.74</v>
      </c>
      <c r="E141" s="137">
        <f>INDEX(Calc!$K:$K, (ROW(D140)-1)*5 + COLUMN(D140) + 1 )</f>
        <v>0.67</v>
      </c>
      <c r="F141" s="138">
        <f>INDEX(Calc!$K:$K, (ROW(E140)-1)*5 + COLUMN(E140) + 1 )</f>
        <v>0.59</v>
      </c>
      <c r="G141" s="133">
        <f>Закуп!O141</f>
        <v>1.38</v>
      </c>
      <c r="H141" s="133" t="str">
        <f>Закуп!Q141</f>
        <v>1-2 л</v>
      </c>
      <c r="I141" s="133" t="str">
        <f>Закуп!X141</f>
        <v>100-199 мм</v>
      </c>
      <c r="J141" s="133" t="str">
        <f>Закуп!Y141</f>
        <v>100-199 мм</v>
      </c>
      <c r="K141" s="133" t="str">
        <f>Закуп!Z141</f>
        <v>100-199 мм</v>
      </c>
      <c r="L141" s="133" t="str">
        <f>Закуп!AA141</f>
        <v>Четырехклапанные</v>
      </c>
      <c r="M141" s="133" t="str">
        <f>Закуп!V141</f>
        <v/>
      </c>
      <c r="N141" s="133" t="str">
        <f>Закуп!W141</f>
        <v/>
      </c>
      <c r="O141" s="139" t="str">
        <f>IF(OR(Закуп!L141="",Закуп!L141=0),"",Закуп!L141)</f>
        <v/>
      </c>
      <c r="P141" s="133" t="str">
        <f>Закуп!K141</f>
        <v>K142</v>
      </c>
      <c r="Q141" s="217" t="str">
        <f>IF(Закуп!D141="","",IF(LEFT(Закуп!D141,1)="0","0",Закуп!D141))</f>
        <v>У</v>
      </c>
      <c r="R141" s="155">
        <f>Закуп!C141</f>
        <v>141</v>
      </c>
    </row>
    <row r="142" spans="1:18" x14ac:dyDescent="0.3">
      <c r="A142" s="131" t="str">
        <f>Закуп!E142</f>
        <v>200х120х200</v>
      </c>
      <c r="B142" s="127">
        <f>INDEX(Calc!$K:$K, (ROW(A141)-1)*5 + COLUMN(A141) + 1 )</f>
        <v>1.17</v>
      </c>
      <c r="C142" s="127">
        <f>INDEX(Calc!$K:$K, (ROW(B141)-1)*5 + COLUMN(B141) + 1 )</f>
        <v>0.97</v>
      </c>
      <c r="D142" s="136">
        <f>INDEX(Calc!$K:$K, (ROW(C141)-1)*5 + COLUMN(C141) + 1 )</f>
        <v>0.89</v>
      </c>
      <c r="E142" s="137">
        <f>INDEX(Calc!$K:$K, (ROW(D141)-1)*5 + COLUMN(D141) + 1 )</f>
        <v>0.81</v>
      </c>
      <c r="F142" s="138">
        <f>INDEX(Calc!$K:$K, (ROW(E141)-1)*5 + COLUMN(E141) + 1 )</f>
        <v>0.76</v>
      </c>
      <c r="G142" s="133">
        <f>Закуп!O142</f>
        <v>4.8</v>
      </c>
      <c r="H142" s="133" t="str">
        <f>Закуп!Q142</f>
        <v>3-5 л</v>
      </c>
      <c r="I142" s="133" t="str">
        <f>Закуп!X142</f>
        <v>200-299 мм</v>
      </c>
      <c r="J142" s="133" t="str">
        <f>Закуп!Y142</f>
        <v>200-299 мм</v>
      </c>
      <c r="K142" s="133" t="str">
        <f>Закуп!Z142</f>
        <v>100-199 мм</v>
      </c>
      <c r="L142" s="133" t="str">
        <f>Закуп!AA142</f>
        <v>Четырехклапанные</v>
      </c>
      <c r="M142" s="133" t="str">
        <f>Закуп!V142</f>
        <v/>
      </c>
      <c r="N142" s="133" t="str">
        <f>Закуп!W142</f>
        <v/>
      </c>
      <c r="O142" s="139" t="str">
        <f>IF(OR(Закуп!L142="",Закуп!L142=0),"",Закуп!L142)</f>
        <v/>
      </c>
      <c r="P142" s="133" t="str">
        <f>Закуп!K142</f>
        <v>K143</v>
      </c>
      <c r="Q142" s="217" t="str">
        <f>IF(Закуп!D142="","",IF(LEFT(Закуп!D142,1)="0","0",Закуп!D142))</f>
        <v>У</v>
      </c>
      <c r="R142" s="155">
        <f>Закуп!C142</f>
        <v>142</v>
      </c>
    </row>
    <row r="143" spans="1:18" x14ac:dyDescent="0.3">
      <c r="A143" s="131" t="str">
        <f>Закуп!E143</f>
        <v>380х285х190</v>
      </c>
      <c r="B143" s="127">
        <f>INDEX(Calc!$K:$K, (ROW(A142)-1)*5 + COLUMN(A142) + 1 )</f>
        <v>2.93</v>
      </c>
      <c r="C143" s="127">
        <f>INDEX(Calc!$K:$K, (ROW(B142)-1)*5 + COLUMN(B142) + 1 )</f>
        <v>2.34</v>
      </c>
      <c r="D143" s="136">
        <f>INDEX(Calc!$K:$K, (ROW(C142)-1)*5 + COLUMN(C142) + 1 )</f>
        <v>2.14</v>
      </c>
      <c r="E143" s="137">
        <f>INDEX(Calc!$K:$K, (ROW(D142)-1)*5 + COLUMN(D142) + 1 )</f>
        <v>1.9</v>
      </c>
      <c r="F143" s="138">
        <f>INDEX(Calc!$K:$K, (ROW(E142)-1)*5 + COLUMN(E142) + 1 )</f>
        <v>1.82</v>
      </c>
      <c r="G143" s="133">
        <f>Закуп!O143</f>
        <v>20.58</v>
      </c>
      <c r="H143" s="133" t="str">
        <f>Закуп!Q143</f>
        <v>20-50 л</v>
      </c>
      <c r="I143" s="133" t="str">
        <f>Закуп!X143</f>
        <v>300-399 мм</v>
      </c>
      <c r="J143" s="133" t="str">
        <f>Закуп!Y143</f>
        <v>200-299 мм</v>
      </c>
      <c r="K143" s="133" t="str">
        <f>Закуп!Z143</f>
        <v>100-199 мм</v>
      </c>
      <c r="L143" s="133" t="str">
        <f>Закуп!AA143</f>
        <v>Четырехклапанные</v>
      </c>
      <c r="M143" s="133" t="str">
        <f>Закуп!V143</f>
        <v/>
      </c>
      <c r="N143" s="133" t="str">
        <f>Закуп!W143</f>
        <v/>
      </c>
      <c r="O143" s="139" t="str">
        <f>IF(OR(Закуп!L143="",Закуп!L143=0),"",Закуп!L143)</f>
        <v/>
      </c>
      <c r="P143" s="133" t="str">
        <f>Закуп!K143</f>
        <v>K144</v>
      </c>
      <c r="Q143" s="217" t="str">
        <f>IF(Закуп!D143="","",IF(LEFT(Закуп!D143,1)="0","0",Закуп!D143))</f>
        <v>У</v>
      </c>
      <c r="R143" s="155">
        <f>Закуп!C143</f>
        <v>143</v>
      </c>
    </row>
    <row r="144" spans="1:18" x14ac:dyDescent="0.3">
      <c r="A144" s="131" t="str">
        <f>Закуп!E144</f>
        <v>540х325х110</v>
      </c>
      <c r="B144" s="127">
        <f>INDEX(Calc!$K:$K, (ROW(A143)-1)*5 + COLUMN(A143) + 1 )</f>
        <v>3.45</v>
      </c>
      <c r="C144" s="127">
        <f>INDEX(Calc!$K:$K, (ROW(B143)-1)*5 + COLUMN(B143) + 1 )</f>
        <v>2.75</v>
      </c>
      <c r="D144" s="136">
        <f>INDEX(Calc!$K:$K, (ROW(C143)-1)*5 + COLUMN(C143) + 1 )</f>
        <v>2.48</v>
      </c>
      <c r="E144" s="137">
        <f>INDEX(Calc!$K:$K, (ROW(D143)-1)*5 + COLUMN(D143) + 1 )</f>
        <v>2.2400000000000002</v>
      </c>
      <c r="F144" s="138">
        <f>INDEX(Calc!$K:$K, (ROW(E143)-1)*5 + COLUMN(E143) + 1 )</f>
        <v>2.13</v>
      </c>
      <c r="G144" s="133">
        <f>Закуп!O144</f>
        <v>19.309999999999999</v>
      </c>
      <c r="H144" s="133" t="str">
        <f>Закуп!Q144</f>
        <v>10-20 л</v>
      </c>
      <c r="I144" s="133" t="str">
        <f>Закуп!X144</f>
        <v>500-599 мм</v>
      </c>
      <c r="J144" s="133" t="str">
        <f>Закуп!Y144</f>
        <v>300-399 мм</v>
      </c>
      <c r="K144" s="133" t="str">
        <f>Закуп!Z144</f>
        <v>100-199 мм</v>
      </c>
      <c r="L144" s="133" t="str">
        <f>Закуп!AA144</f>
        <v>Четырехклапанные</v>
      </c>
      <c r="M144" s="133" t="str">
        <f>Закуп!V144</f>
        <v/>
      </c>
      <c r="N144" s="133" t="str">
        <f>Закуп!W144</f>
        <v>Плоские</v>
      </c>
      <c r="O144" s="139" t="str">
        <f>IF(OR(Закуп!L144="",Закуп!L144=0),"",Закуп!L144)</f>
        <v/>
      </c>
      <c r="P144" s="133" t="str">
        <f>Закуп!K144</f>
        <v>K145</v>
      </c>
      <c r="Q144" s="217" t="str">
        <f>IF(Закуп!D144="","",IF(LEFT(Закуп!D144,1)="0","0",Закуп!D144))</f>
        <v>У</v>
      </c>
      <c r="R144" s="155">
        <f>Закуп!C144</f>
        <v>144</v>
      </c>
    </row>
    <row r="145" spans="1:18" x14ac:dyDescent="0.3">
      <c r="A145" s="131" t="str">
        <f>Закуп!E145</f>
        <v>260х230х420</v>
      </c>
      <c r="B145" s="127">
        <f>INDEX(Calc!$K:$K, (ROW(A144)-1)*5 + COLUMN(A144) + 1 )</f>
        <v>2.95</v>
      </c>
      <c r="C145" s="127">
        <f>INDEX(Calc!$K:$K, (ROW(B144)-1)*5 + COLUMN(B144) + 1 )</f>
        <v>2.36</v>
      </c>
      <c r="D145" s="136">
        <f>INDEX(Calc!$K:$K, (ROW(C144)-1)*5 + COLUMN(C144) + 1 )</f>
        <v>2.15</v>
      </c>
      <c r="E145" s="137">
        <f>INDEX(Calc!$K:$K, (ROW(D144)-1)*5 + COLUMN(D144) + 1 )</f>
        <v>1.92</v>
      </c>
      <c r="F145" s="138">
        <f>INDEX(Calc!$K:$K, (ROW(E144)-1)*5 + COLUMN(E144) + 1 )</f>
        <v>1.83</v>
      </c>
      <c r="G145" s="133">
        <f>Закуп!O145</f>
        <v>25.12</v>
      </c>
      <c r="H145" s="133" t="str">
        <f>Закуп!Q145</f>
        <v>20-50 л</v>
      </c>
      <c r="I145" s="133" t="str">
        <f>Закуп!X145</f>
        <v>400-499 мм</v>
      </c>
      <c r="J145" s="133" t="str">
        <f>Закуп!Y145</f>
        <v>200-299 мм</v>
      </c>
      <c r="K145" s="133" t="str">
        <f>Закуп!Z145</f>
        <v>200-299 мм</v>
      </c>
      <c r="L145" s="133" t="str">
        <f>Закуп!AA145</f>
        <v>Четырехклапанные</v>
      </c>
      <c r="M145" s="133" t="str">
        <f>Закуп!V145</f>
        <v/>
      </c>
      <c r="N145" s="133" t="str">
        <f>Закуп!W145</f>
        <v/>
      </c>
      <c r="O145" s="139" t="str">
        <f>IF(OR(Закуп!L145="",Закуп!L145=0),"",Закуп!L145)</f>
        <v/>
      </c>
      <c r="P145" s="133" t="str">
        <f>Закуп!K145</f>
        <v>K146</v>
      </c>
      <c r="Q145" s="217" t="str">
        <f>IF(Закуп!D145="","",IF(LEFT(Закуп!D145,1)="0","0",Закуп!D145))</f>
        <v>У</v>
      </c>
      <c r="R145" s="155">
        <f>Закуп!C145</f>
        <v>145</v>
      </c>
    </row>
    <row r="146" spans="1:18" x14ac:dyDescent="0.3">
      <c r="A146" s="131" t="str">
        <f>Закуп!E146</f>
        <v>200х150х305</v>
      </c>
      <c r="B146" s="127">
        <f>INDEX(Calc!$K:$K, (ROW(A145)-1)*5 + COLUMN(A145) + 1 )</f>
        <v>1.67</v>
      </c>
      <c r="C146" s="127">
        <f>INDEX(Calc!$K:$K, (ROW(B145)-1)*5 + COLUMN(B145) + 1 )</f>
        <v>1.52</v>
      </c>
      <c r="D146" s="136">
        <f>INDEX(Calc!$K:$K, (ROW(C145)-1)*5 + COLUMN(C145) + 1 )</f>
        <v>1.2</v>
      </c>
      <c r="E146" s="137">
        <f>INDEX(Calc!$K:$K, (ROW(D145)-1)*5 + COLUMN(D145) + 1 )</f>
        <v>1.1200000000000001</v>
      </c>
      <c r="F146" s="138">
        <f>INDEX(Calc!$K:$K, (ROW(E145)-1)*5 + COLUMN(E145) + 1 )</f>
        <v>1.06</v>
      </c>
      <c r="G146" s="133">
        <f>Закуп!O146</f>
        <v>9.15</v>
      </c>
      <c r="H146" s="133" t="str">
        <f>Закуп!Q146</f>
        <v>5-10 л</v>
      </c>
      <c r="I146" s="133" t="str">
        <f>Закуп!X146</f>
        <v>300-399 мм</v>
      </c>
      <c r="J146" s="133" t="str">
        <f>Закуп!Y146</f>
        <v>200-299 мм</v>
      </c>
      <c r="K146" s="133" t="str">
        <f>Закуп!Z146</f>
        <v>100-199 мм</v>
      </c>
      <c r="L146" s="133" t="str">
        <f>Закуп!AA146</f>
        <v>Четырехклапанные</v>
      </c>
      <c r="M146" s="133" t="str">
        <f>Закуп!V146</f>
        <v/>
      </c>
      <c r="N146" s="133" t="str">
        <f>Закуп!W146</f>
        <v/>
      </c>
      <c r="O146" s="139" t="str">
        <f>IF(OR(Закуп!L146="",Закуп!L146=0),"",Закуп!L146)</f>
        <v/>
      </c>
      <c r="P146" s="133" t="str">
        <f>Закуп!K146</f>
        <v>K147</v>
      </c>
      <c r="Q146" s="217" t="str">
        <f>IF(Закуп!D146="","",IF(LEFT(Закуп!D146,1)="0","0",Закуп!D146))</f>
        <v>У</v>
      </c>
      <c r="R146" s="155">
        <f>Закуп!C146</f>
        <v>146</v>
      </c>
    </row>
    <row r="147" spans="1:18" x14ac:dyDescent="0.3">
      <c r="A147" s="131" t="str">
        <f>Закуп!E147</f>
        <v>380х130х192</v>
      </c>
      <c r="B147" s="127">
        <f>INDEX(Calc!$K:$K, (ROW(A146)-1)*5 + COLUMN(A146) + 1 )</f>
        <v>1.69</v>
      </c>
      <c r="C147" s="127">
        <f>INDEX(Calc!$K:$K, (ROW(B146)-1)*5 + COLUMN(B146) + 1 )</f>
        <v>1.54</v>
      </c>
      <c r="D147" s="136">
        <f>INDEX(Calc!$K:$K, (ROW(C146)-1)*5 + COLUMN(C146) + 1 )</f>
        <v>1.22</v>
      </c>
      <c r="E147" s="137">
        <f>INDEX(Calc!$K:$K, (ROW(D146)-1)*5 + COLUMN(D146) + 1 )</f>
        <v>1.1399999999999999</v>
      </c>
      <c r="F147" s="138">
        <f>INDEX(Calc!$K:$K, (ROW(E146)-1)*5 + COLUMN(E146) + 1 )</f>
        <v>1.01</v>
      </c>
      <c r="G147" s="133">
        <f>Закуп!O147</f>
        <v>9.48</v>
      </c>
      <c r="H147" s="133" t="str">
        <f>Закуп!Q147</f>
        <v>5-10 л</v>
      </c>
      <c r="I147" s="133" t="str">
        <f>Закуп!X147</f>
        <v>300-399 мм</v>
      </c>
      <c r="J147" s="133" t="str">
        <f>Закуп!Y147</f>
        <v>100-199 мм</v>
      </c>
      <c r="K147" s="133" t="str">
        <f>Закуп!Z147</f>
        <v>100-199 мм</v>
      </c>
      <c r="L147" s="133" t="str">
        <f>Закуп!AA147</f>
        <v>Четырехклапанные</v>
      </c>
      <c r="M147" s="133" t="str">
        <f>Закуп!V147</f>
        <v/>
      </c>
      <c r="N147" s="133" t="str">
        <f>Закуп!W147</f>
        <v/>
      </c>
      <c r="O147" s="139" t="str">
        <f>IF(OR(Закуп!L147="",Закуп!L147=0),"",Закуп!L147)</f>
        <v/>
      </c>
      <c r="P147" s="133" t="str">
        <f>Закуп!K147</f>
        <v>K148</v>
      </c>
      <c r="Q147" s="217" t="str">
        <f>IF(Закуп!D147="","",IF(LEFT(Закуп!D147,1)="0","0",Закуп!D147))</f>
        <v>У</v>
      </c>
      <c r="R147" s="155">
        <f>Закуп!C147</f>
        <v>147</v>
      </c>
    </row>
    <row r="148" spans="1:18" x14ac:dyDescent="0.3">
      <c r="A148" s="131" t="str">
        <f>Закуп!E148</f>
        <v>535х215х165</v>
      </c>
      <c r="B148" s="127">
        <f>INDEX(Calc!$K:$K, (ROW(A147)-1)*5 + COLUMN(A147) + 1 )</f>
        <v>2.62</v>
      </c>
      <c r="C148" s="127">
        <f>INDEX(Calc!$K:$K, (ROW(B147)-1)*5 + COLUMN(B147) + 1 )</f>
        <v>2.1</v>
      </c>
      <c r="D148" s="136">
        <f>INDEX(Calc!$K:$K, (ROW(C147)-1)*5 + COLUMN(C147) + 1 )</f>
        <v>1.92</v>
      </c>
      <c r="E148" s="137">
        <f>INDEX(Calc!$K:$K, (ROW(D147)-1)*5 + COLUMN(D147) + 1 )</f>
        <v>1.7</v>
      </c>
      <c r="F148" s="138">
        <f>INDEX(Calc!$K:$K, (ROW(E147)-1)*5 + COLUMN(E147) + 1 )</f>
        <v>1.65</v>
      </c>
      <c r="G148" s="133">
        <f>Закуп!O148</f>
        <v>18.98</v>
      </c>
      <c r="H148" s="133" t="str">
        <f>Закуп!Q148</f>
        <v>10-20 л</v>
      </c>
      <c r="I148" s="133" t="str">
        <f>Закуп!X148</f>
        <v>500-599 мм</v>
      </c>
      <c r="J148" s="133" t="str">
        <f>Закуп!Y148</f>
        <v>200-299 мм</v>
      </c>
      <c r="K148" s="133" t="str">
        <f>Закуп!Z148</f>
        <v>100-199 мм</v>
      </c>
      <c r="L148" s="133" t="str">
        <f>Закуп!AA148</f>
        <v>Четырехклапанные</v>
      </c>
      <c r="M148" s="133" t="str">
        <f>Закуп!V148</f>
        <v>Длинные</v>
      </c>
      <c r="N148" s="133" t="str">
        <f>Закуп!W148</f>
        <v/>
      </c>
      <c r="O148" s="139" t="str">
        <f>IF(OR(Закуп!L148="",Закуп!L148=0),"",Закуп!L148)</f>
        <v/>
      </c>
      <c r="P148" s="133" t="str">
        <f>Закуп!K148</f>
        <v>K149</v>
      </c>
      <c r="Q148" s="217" t="str">
        <f>IF(Закуп!D148="","",IF(LEFT(Закуп!D148,1)="0","0",Закуп!D148))</f>
        <v>У</v>
      </c>
      <c r="R148" s="155">
        <f>Закуп!C148</f>
        <v>148</v>
      </c>
    </row>
    <row r="149" spans="1:18" x14ac:dyDescent="0.3">
      <c r="A149" s="131" t="str">
        <f>Закуп!E149</f>
        <v>560х360х390</v>
      </c>
      <c r="B149" s="127">
        <f>INDEX(Calc!$K:$K, (ROW(A148)-1)*5 + COLUMN(A148) + 1 )</f>
        <v>5.03</v>
      </c>
      <c r="C149" s="127">
        <f>INDEX(Calc!$K:$K, (ROW(B148)-1)*5 + COLUMN(B148) + 1 )</f>
        <v>4.6500000000000004</v>
      </c>
      <c r="D149" s="136">
        <f>INDEX(Calc!$K:$K, (ROW(C148)-1)*5 + COLUMN(C148) + 1 )</f>
        <v>3.96</v>
      </c>
      <c r="E149" s="137">
        <f>INDEX(Calc!$K:$K, (ROW(D148)-1)*5 + COLUMN(D148) + 1 )</f>
        <v>3.84</v>
      </c>
      <c r="F149" s="138">
        <f>INDEX(Calc!$K:$K, (ROW(E148)-1)*5 + COLUMN(E148) + 1 )</f>
        <v>3.78</v>
      </c>
      <c r="G149" s="133">
        <f>Закуп!O149</f>
        <v>78.62</v>
      </c>
      <c r="H149" s="133" t="str">
        <f>Закуп!Q149</f>
        <v>50-100 л</v>
      </c>
      <c r="I149" s="133" t="str">
        <f>Закуп!X149</f>
        <v>500-599 мм</v>
      </c>
      <c r="J149" s="133" t="str">
        <f>Закуп!Y149</f>
        <v>300-399 мм</v>
      </c>
      <c r="K149" s="133" t="str">
        <f>Закуп!Z149</f>
        <v>300-399 мм</v>
      </c>
      <c r="L149" s="133" t="str">
        <f>Закуп!AA149</f>
        <v>Четырехклапанные</v>
      </c>
      <c r="M149" s="133" t="str">
        <f>Закуп!V149</f>
        <v/>
      </c>
      <c r="N149" s="133" t="str">
        <f>Закуп!W149</f>
        <v/>
      </c>
      <c r="O149" s="139" t="str">
        <f>IF(OR(Закуп!L149="",Закуп!L149=0),"",Закуп!L149)</f>
        <v/>
      </c>
      <c r="P149" s="133" t="str">
        <f>Закуп!K149</f>
        <v>K150</v>
      </c>
      <c r="Q149" s="217" t="str">
        <f>IF(Закуп!D149="","",IF(LEFT(Закуп!D149,1)="0","0",Закуп!D149))</f>
        <v>0</v>
      </c>
      <c r="R149" s="155">
        <f>Закуп!C149</f>
        <v>149</v>
      </c>
    </row>
    <row r="150" spans="1:18" x14ac:dyDescent="0.3">
      <c r="A150" s="131" t="str">
        <f>Закуп!E150</f>
        <v>340х265х110</v>
      </c>
      <c r="B150" s="127">
        <f>INDEX(Calc!$K:$K, (ROW(A149)-1)*5 + COLUMN(A149) + 1 )</f>
        <v>2.31</v>
      </c>
      <c r="C150" s="127">
        <f>INDEX(Calc!$K:$K, (ROW(B149)-1)*5 + COLUMN(B149) + 1 )</f>
        <v>2.11</v>
      </c>
      <c r="D150" s="136">
        <f>INDEX(Calc!$K:$K, (ROW(C149)-1)*5 + COLUMN(C149) + 1 )</f>
        <v>1.65</v>
      </c>
      <c r="E150" s="137">
        <f>INDEX(Calc!$K:$K, (ROW(D149)-1)*5 + COLUMN(D149) + 1 )</f>
        <v>1.42</v>
      </c>
      <c r="F150" s="138">
        <f>INDEX(Calc!$K:$K, (ROW(E149)-1)*5 + COLUMN(E149) + 1 )</f>
        <v>1.33</v>
      </c>
      <c r="G150" s="133">
        <f>Закуп!O150</f>
        <v>9.91</v>
      </c>
      <c r="H150" s="133" t="str">
        <f>Закуп!Q150</f>
        <v>5-10 л</v>
      </c>
      <c r="I150" s="133" t="str">
        <f>Закуп!X150</f>
        <v>300-399 мм</v>
      </c>
      <c r="J150" s="133" t="str">
        <f>Закуп!Y150</f>
        <v>200-299 мм</v>
      </c>
      <c r="K150" s="133" t="str">
        <f>Закуп!Z150</f>
        <v>100-199 мм</v>
      </c>
      <c r="L150" s="133" t="str">
        <f>Закуп!AA150</f>
        <v>Четырехклапанные</v>
      </c>
      <c r="M150" s="133" t="str">
        <f>Закуп!V150</f>
        <v/>
      </c>
      <c r="N150" s="133" t="str">
        <f>Закуп!W150</f>
        <v>Плоские</v>
      </c>
      <c r="O150" s="139" t="str">
        <f>IF(OR(Закуп!L150="",Закуп!L150=0),"",Закуп!L150)</f>
        <v/>
      </c>
      <c r="P150" s="133" t="str">
        <f>Закуп!K150</f>
        <v>K151</v>
      </c>
      <c r="Q150" s="217" t="str">
        <f>IF(Закуп!D150="","",IF(LEFT(Закуп!D150,1)="0","0",Закуп!D150))</f>
        <v>У</v>
      </c>
      <c r="R150" s="155">
        <f>Закуп!C150</f>
        <v>150</v>
      </c>
    </row>
    <row r="151" spans="1:18" x14ac:dyDescent="0.3">
      <c r="A151" s="131" t="str">
        <f>Закуп!E151</f>
        <v>160х80х80</v>
      </c>
      <c r="B151" s="127">
        <f>INDEX(Calc!$K:$K, (ROW(A150)-1)*5 + COLUMN(A150) + 1 )</f>
        <v>1.1200000000000001</v>
      </c>
      <c r="C151" s="127">
        <f>INDEX(Calc!$K:$K, (ROW(B150)-1)*5 + COLUMN(B150) + 1 )</f>
        <v>0.93</v>
      </c>
      <c r="D151" s="136">
        <f>INDEX(Calc!$K:$K, (ROW(C150)-1)*5 + COLUMN(C150) + 1 )</f>
        <v>0.81</v>
      </c>
      <c r="E151" s="137">
        <f>INDEX(Calc!$K:$K, (ROW(D150)-1)*5 + COLUMN(D150) + 1 )</f>
        <v>0.73</v>
      </c>
      <c r="F151" s="138">
        <f>INDEX(Calc!$K:$K, (ROW(E150)-1)*5 + COLUMN(E150) + 1 )</f>
        <v>0.65</v>
      </c>
      <c r="G151" s="133">
        <f>Закуп!O151</f>
        <v>1.02</v>
      </c>
      <c r="H151" s="133" t="str">
        <f>Закуп!Q151</f>
        <v>1-2 л</v>
      </c>
      <c r="I151" s="133" t="str">
        <f>Закуп!X151</f>
        <v>100-199 мм</v>
      </c>
      <c r="J151" s="133" t="str">
        <f>Закуп!Y151</f>
        <v>10-99 мм</v>
      </c>
      <c r="K151" s="133" t="str">
        <f>Закуп!Z151</f>
        <v>10-99 мм</v>
      </c>
      <c r="L151" s="133" t="str">
        <f>Закуп!AA151</f>
        <v>Четырехклапанные</v>
      </c>
      <c r="M151" s="133" t="str">
        <f>Закуп!V151</f>
        <v>Длинные</v>
      </c>
      <c r="N151" s="133" t="str">
        <f>Закуп!W151</f>
        <v/>
      </c>
      <c r="O151" s="139" t="str">
        <f>IF(OR(Закуп!L151="",Закуп!L151=0),"",Закуп!L151)</f>
        <v/>
      </c>
      <c r="P151" s="133" t="str">
        <f>Закуп!K151</f>
        <v>K152</v>
      </c>
      <c r="Q151" s="217" t="str">
        <f>IF(Закуп!D151="","",IF(LEFT(Закуп!D151,1)="0","0",Закуп!D151))</f>
        <v>У</v>
      </c>
      <c r="R151" s="155">
        <f>Закуп!C151</f>
        <v>151</v>
      </c>
    </row>
    <row r="152" spans="1:18" x14ac:dyDescent="0.3">
      <c r="A152" s="131" t="str">
        <f>Закуп!E152</f>
        <v>370х370х290</v>
      </c>
      <c r="B152" s="127">
        <f>INDEX(Calc!$K:$K, (ROW(A151)-1)*5 + COLUMN(A151) + 1 )</f>
        <v>4.49</v>
      </c>
      <c r="C152" s="127">
        <f>INDEX(Calc!$K:$K, (ROW(B151)-1)*5 + COLUMN(B151) + 1 )</f>
        <v>3.55</v>
      </c>
      <c r="D152" s="136">
        <f>INDEX(Calc!$K:$K, (ROW(C151)-1)*5 + COLUMN(C151) + 1 )</f>
        <v>2.92</v>
      </c>
      <c r="E152" s="137">
        <f>INDEX(Calc!$K:$K, (ROW(D151)-1)*5 + COLUMN(D151) + 1 )</f>
        <v>2.84</v>
      </c>
      <c r="F152" s="138">
        <f>INDEX(Calc!$K:$K, (ROW(E151)-1)*5 + COLUMN(E151) + 1 )</f>
        <v>2.74</v>
      </c>
      <c r="G152" s="133">
        <f>Закуп!O152</f>
        <v>39.700000000000003</v>
      </c>
      <c r="H152" s="133" t="str">
        <f>Закуп!Q152</f>
        <v>20-50 л</v>
      </c>
      <c r="I152" s="133" t="str">
        <f>Закуп!X152</f>
        <v>300-399 мм</v>
      </c>
      <c r="J152" s="133" t="str">
        <f>Закуп!Y152</f>
        <v>300-399 мм</v>
      </c>
      <c r="K152" s="133" t="str">
        <f>Закуп!Z152</f>
        <v>200-299 мм</v>
      </c>
      <c r="L152" s="133" t="str">
        <f>Закуп!AA152</f>
        <v>Четырехклапанные</v>
      </c>
      <c r="M152" s="133" t="str">
        <f>Закуп!V152</f>
        <v/>
      </c>
      <c r="N152" s="133" t="str">
        <f>Закуп!W152</f>
        <v/>
      </c>
      <c r="O152" s="139" t="str">
        <f>IF(OR(Закуп!L152="",Закуп!L152=0),"",Закуп!L152)</f>
        <v/>
      </c>
      <c r="P152" s="133" t="str">
        <f>Закуп!K152</f>
        <v>K153</v>
      </c>
      <c r="Q152" s="217" t="str">
        <f>IF(Закуп!D152="","",IF(LEFT(Закуп!D152,1)="0","0",Закуп!D152))</f>
        <v>У</v>
      </c>
      <c r="R152" s="155">
        <f>Закуп!C152</f>
        <v>152</v>
      </c>
    </row>
    <row r="153" spans="1:18" x14ac:dyDescent="0.3">
      <c r="A153" s="131" t="str">
        <f>Закуп!E153</f>
        <v>240х240х150</v>
      </c>
      <c r="B153" s="127">
        <f>INDEX(Calc!$K:$K, (ROW(A152)-1)*5 + COLUMN(A152) + 1 )</f>
        <v>1.93</v>
      </c>
      <c r="C153" s="127">
        <f>INDEX(Calc!$K:$K, (ROW(B152)-1)*5 + COLUMN(B152) + 1 )</f>
        <v>1.74</v>
      </c>
      <c r="D153" s="136">
        <f>INDEX(Calc!$K:$K, (ROW(C152)-1)*5 + COLUMN(C152) + 1 )</f>
        <v>1.38</v>
      </c>
      <c r="E153" s="137">
        <f>INDEX(Calc!$K:$K, (ROW(D152)-1)*5 + COLUMN(D152) + 1 )</f>
        <v>1.29</v>
      </c>
      <c r="F153" s="138">
        <f>INDEX(Calc!$K:$K, (ROW(E152)-1)*5 + COLUMN(E152) + 1 )</f>
        <v>1.1299999999999999</v>
      </c>
      <c r="G153" s="133">
        <f>Закуп!O153</f>
        <v>8.64</v>
      </c>
      <c r="H153" s="133" t="str">
        <f>Закуп!Q153</f>
        <v>5-10 л</v>
      </c>
      <c r="I153" s="133" t="str">
        <f>Закуп!X153</f>
        <v>200-299 мм</v>
      </c>
      <c r="J153" s="133" t="str">
        <f>Закуп!Y153</f>
        <v>200-299 мм</v>
      </c>
      <c r="K153" s="133" t="str">
        <f>Закуп!Z153</f>
        <v>100-199 мм</v>
      </c>
      <c r="L153" s="133" t="str">
        <f>Закуп!AA153</f>
        <v>Четырехклапанные</v>
      </c>
      <c r="M153" s="133" t="str">
        <f>Закуп!V153</f>
        <v/>
      </c>
      <c r="N153" s="133" t="str">
        <f>Закуп!W153</f>
        <v/>
      </c>
      <c r="O153" s="139" t="str">
        <f>IF(OR(Закуп!L153="",Закуп!L153=0),"",Закуп!L153)</f>
        <v/>
      </c>
      <c r="P153" s="133" t="str">
        <f>Закуп!K153</f>
        <v>K154</v>
      </c>
      <c r="Q153" s="217" t="str">
        <f>IF(Закуп!D153="","",IF(LEFT(Закуп!D153,1)="0","0",Закуп!D153))</f>
        <v>У</v>
      </c>
      <c r="R153" s="155">
        <f>Закуп!C153</f>
        <v>153</v>
      </c>
    </row>
    <row r="154" spans="1:18" x14ac:dyDescent="0.3">
      <c r="A154" s="131" t="str">
        <f>Закуп!E154</f>
        <v>760х375х166</v>
      </c>
      <c r="B154" s="127">
        <f>INDEX(Calc!$K:$K, (ROW(A153)-1)*5 + COLUMN(A153) + 1 )</f>
        <v>4.4800000000000004</v>
      </c>
      <c r="C154" s="127">
        <f>INDEX(Calc!$K:$K, (ROW(B153)-1)*5 + COLUMN(B153) + 1 )</f>
        <v>4.37</v>
      </c>
      <c r="D154" s="136">
        <f>INDEX(Calc!$K:$K, (ROW(C153)-1)*5 + COLUMN(C153) + 1 )</f>
        <v>3.58</v>
      </c>
      <c r="E154" s="137">
        <f>INDEX(Calc!$K:$K, (ROW(D153)-1)*5 + COLUMN(D153) + 1 )</f>
        <v>3.53</v>
      </c>
      <c r="F154" s="138">
        <f>INDEX(Calc!$K:$K, (ROW(E153)-1)*5 + COLUMN(E153) + 1 )</f>
        <v>3.41</v>
      </c>
      <c r="G154" s="133">
        <f>Закуп!O154</f>
        <v>47.31</v>
      </c>
      <c r="H154" s="133" t="str">
        <f>Закуп!Q154</f>
        <v>20-50 л</v>
      </c>
      <c r="I154" s="133" t="str">
        <f>Закуп!X154</f>
        <v>700-999 мм</v>
      </c>
      <c r="J154" s="133" t="str">
        <f>Закуп!Y154</f>
        <v>300-399 мм</v>
      </c>
      <c r="K154" s="133" t="str">
        <f>Закуп!Z154</f>
        <v>100-199 мм</v>
      </c>
      <c r="L154" s="133" t="str">
        <f>Закуп!AA154</f>
        <v>Четырехклапанные</v>
      </c>
      <c r="M154" s="133" t="str">
        <f>Закуп!V154</f>
        <v>Длинные</v>
      </c>
      <c r="N154" s="133" t="str">
        <f>Закуп!W154</f>
        <v>Плоские</v>
      </c>
      <c r="O154" s="139" t="str">
        <f>IF(OR(Закуп!L154="",Закуп!L154=0),"",Закуп!L154)</f>
        <v/>
      </c>
      <c r="P154" s="133" t="str">
        <f>Закуп!K154</f>
        <v>K155</v>
      </c>
      <c r="Q154" s="217" t="str">
        <f>IF(Закуп!D154="","",IF(LEFT(Закуп!D154,1)="0","0",Закуп!D154))</f>
        <v>У</v>
      </c>
      <c r="R154" s="155">
        <f>Закуп!C154</f>
        <v>154</v>
      </c>
    </row>
    <row r="155" spans="1:18" x14ac:dyDescent="0.3">
      <c r="A155" s="131" t="str">
        <f>Закуп!E155</f>
        <v>470х200х110</v>
      </c>
      <c r="B155" s="127">
        <f>INDEX(Calc!$K:$K, (ROW(A154)-1)*5 + COLUMN(A154) + 1 )</f>
        <v>1.81</v>
      </c>
      <c r="C155" s="127">
        <f>INDEX(Calc!$K:$K, (ROW(B154)-1)*5 + COLUMN(B154) + 1 )</f>
        <v>1.65</v>
      </c>
      <c r="D155" s="136">
        <f>INDEX(Calc!$K:$K, (ROW(C154)-1)*5 + COLUMN(C154) + 1 )</f>
        <v>1.5</v>
      </c>
      <c r="E155" s="137">
        <f>INDEX(Calc!$K:$K, (ROW(D154)-1)*5 + COLUMN(D154) + 1 )</f>
        <v>1.39</v>
      </c>
      <c r="F155" s="138">
        <f>INDEX(Calc!$K:$K, (ROW(E154)-1)*5 + COLUMN(E154) + 1 )</f>
        <v>1.23</v>
      </c>
      <c r="G155" s="133">
        <f>Закуп!O155</f>
        <v>10.34</v>
      </c>
      <c r="H155" s="133" t="str">
        <f>Закуп!Q155</f>
        <v>10-20 л</v>
      </c>
      <c r="I155" s="133" t="str">
        <f>Закуп!X155</f>
        <v>400-499 мм</v>
      </c>
      <c r="J155" s="133" t="str">
        <f>Закуп!Y155</f>
        <v>200-299 мм</v>
      </c>
      <c r="K155" s="133" t="str">
        <f>Закуп!Z155</f>
        <v>100-199 мм</v>
      </c>
      <c r="L155" s="133" t="str">
        <f>Закуп!AA155</f>
        <v>Четырехклапанные</v>
      </c>
      <c r="M155" s="133" t="str">
        <f>Закуп!V155</f>
        <v>Длинные</v>
      </c>
      <c r="N155" s="133" t="str">
        <f>Закуп!W155</f>
        <v/>
      </c>
      <c r="O155" s="139" t="str">
        <f>IF(OR(Закуп!L155="",Закуп!L155=0),"",Закуп!L155)</f>
        <v/>
      </c>
      <c r="P155" s="133" t="str">
        <f>Закуп!K155</f>
        <v>K156</v>
      </c>
      <c r="Q155" s="217" t="str">
        <f>IF(Закуп!D155="","",IF(LEFT(Закуп!D155,1)="0","0",Закуп!D155))</f>
        <v>У</v>
      </c>
      <c r="R155" s="155">
        <f>Закуп!C155</f>
        <v>155</v>
      </c>
    </row>
    <row r="156" spans="1:18" x14ac:dyDescent="0.3">
      <c r="A156" s="131" t="str">
        <f>Закуп!E156</f>
        <v>270х270х270</v>
      </c>
      <c r="B156" s="127">
        <f>INDEX(Calc!$K:$K, (ROW(A155)-1)*5 + COLUMN(A155) + 1 )</f>
        <v>2.7</v>
      </c>
      <c r="C156" s="127">
        <f>INDEX(Calc!$K:$K, (ROW(B155)-1)*5 + COLUMN(B155) + 1 )</f>
        <v>2.16</v>
      </c>
      <c r="D156" s="136">
        <f>INDEX(Calc!$K:$K, (ROW(C155)-1)*5 + COLUMN(C155) + 1 )</f>
        <v>1.97</v>
      </c>
      <c r="E156" s="137">
        <f>INDEX(Calc!$K:$K, (ROW(D155)-1)*5 + COLUMN(D155) + 1 )</f>
        <v>1.75</v>
      </c>
      <c r="F156" s="138">
        <f>INDEX(Calc!$K:$K, (ROW(E155)-1)*5 + COLUMN(E155) + 1 )</f>
        <v>1.7</v>
      </c>
      <c r="G156" s="133">
        <f>Закуп!O156</f>
        <v>19.68</v>
      </c>
      <c r="H156" s="133" t="str">
        <f>Закуп!Q156</f>
        <v>10-20 л</v>
      </c>
      <c r="I156" s="133" t="str">
        <f>Закуп!X156</f>
        <v>200-299 мм</v>
      </c>
      <c r="J156" s="133" t="str">
        <f>Закуп!Y156</f>
        <v>200-299 мм</v>
      </c>
      <c r="K156" s="133" t="str">
        <f>Закуп!Z156</f>
        <v>200-299 мм</v>
      </c>
      <c r="L156" s="133" t="str">
        <f>Закуп!AA156</f>
        <v>Четырехклапанные</v>
      </c>
      <c r="M156" s="133" t="str">
        <f>Закуп!V156</f>
        <v/>
      </c>
      <c r="N156" s="133" t="str">
        <f>Закуп!W156</f>
        <v/>
      </c>
      <c r="O156" s="139" t="str">
        <f>IF(OR(Закуп!L156="",Закуп!L156=0),"",Закуп!L156)</f>
        <v/>
      </c>
      <c r="P156" s="133" t="str">
        <f>Закуп!K156</f>
        <v>K157</v>
      </c>
      <c r="Q156" s="217" t="str">
        <f>IF(Закуп!D156="","",IF(LEFT(Закуп!D156,1)="0","0",Закуп!D156))</f>
        <v>У</v>
      </c>
      <c r="R156" s="155">
        <f>Закуп!C156</f>
        <v>156</v>
      </c>
    </row>
    <row r="157" spans="1:18" x14ac:dyDescent="0.3">
      <c r="A157" s="131" t="str">
        <f>Закуп!E157</f>
        <v>140х95х205</v>
      </c>
      <c r="B157" s="127">
        <f>INDEX(Calc!$K:$K, (ROW(A156)-1)*5 + COLUMN(A156) + 1 )</f>
        <v>1.06</v>
      </c>
      <c r="C157" s="127">
        <f>INDEX(Calc!$K:$K, (ROW(B156)-1)*5 + COLUMN(B156) + 1 )</f>
        <v>0.91</v>
      </c>
      <c r="D157" s="136">
        <f>INDEX(Calc!$K:$K, (ROW(C156)-1)*5 + COLUMN(C156) + 1 )</f>
        <v>0.7</v>
      </c>
      <c r="E157" s="137">
        <f>INDEX(Calc!$K:$K, (ROW(D156)-1)*5 + COLUMN(D156) + 1 )</f>
        <v>0.65</v>
      </c>
      <c r="F157" s="138">
        <f>INDEX(Calc!$K:$K, (ROW(E156)-1)*5 + COLUMN(E156) + 1 )</f>
        <v>0.62</v>
      </c>
      <c r="G157" s="133">
        <f>Закуп!O157</f>
        <v>2.73</v>
      </c>
      <c r="H157" s="133" t="str">
        <f>Закуп!Q157</f>
        <v>2-3 л</v>
      </c>
      <c r="I157" s="133" t="str">
        <f>Закуп!X157</f>
        <v>200-299 мм</v>
      </c>
      <c r="J157" s="133" t="str">
        <f>Закуп!Y157</f>
        <v>100-199 мм</v>
      </c>
      <c r="K157" s="133" t="str">
        <f>Закуп!Z157</f>
        <v>10-99 мм</v>
      </c>
      <c r="L157" s="133" t="str">
        <f>Закуп!AA157</f>
        <v>Четырехклапанные</v>
      </c>
      <c r="M157" s="133" t="str">
        <f>Закуп!V157</f>
        <v/>
      </c>
      <c r="N157" s="133" t="str">
        <f>Закуп!W157</f>
        <v/>
      </c>
      <c r="O157" s="139" t="str">
        <f>IF(OR(Закуп!L157="",Закуп!L157=0),"",Закуп!L157)</f>
        <v/>
      </c>
      <c r="P157" s="133" t="str">
        <f>Закуп!K157</f>
        <v>K158</v>
      </c>
      <c r="Q157" s="217" t="str">
        <f>IF(Закуп!D157="","",IF(LEFT(Закуп!D157,1)="0","0",Закуп!D157))</f>
        <v>У</v>
      </c>
      <c r="R157" s="155">
        <f>Закуп!C157</f>
        <v>157</v>
      </c>
    </row>
    <row r="158" spans="1:18" x14ac:dyDescent="0.3">
      <c r="A158" s="131" t="str">
        <f>Закуп!E158</f>
        <v>210х103х130</v>
      </c>
      <c r="B158" s="127">
        <f>INDEX(Calc!$K:$K, (ROW(A157)-1)*5 + COLUMN(A157) + 1 )</f>
        <v>1.06</v>
      </c>
      <c r="C158" s="127">
        <f>INDEX(Calc!$K:$K, (ROW(B157)-1)*5 + COLUMN(B157) + 1 )</f>
        <v>0.91</v>
      </c>
      <c r="D158" s="136">
        <f>INDEX(Calc!$K:$K, (ROW(C157)-1)*5 + COLUMN(C157) + 1 )</f>
        <v>0.7</v>
      </c>
      <c r="E158" s="137">
        <f>INDEX(Calc!$K:$K, (ROW(D157)-1)*5 + COLUMN(D157) + 1 )</f>
        <v>0.65</v>
      </c>
      <c r="F158" s="138">
        <f>INDEX(Calc!$K:$K, (ROW(E157)-1)*5 + COLUMN(E157) + 1 )</f>
        <v>0.62</v>
      </c>
      <c r="G158" s="133">
        <f>Закуп!O158</f>
        <v>2.81</v>
      </c>
      <c r="H158" s="133" t="str">
        <f>Закуп!Q158</f>
        <v>2-3 л</v>
      </c>
      <c r="I158" s="133" t="str">
        <f>Закуп!X158</f>
        <v>200-299 мм</v>
      </c>
      <c r="J158" s="133" t="str">
        <f>Закуп!Y158</f>
        <v>100-199 мм</v>
      </c>
      <c r="K158" s="133" t="str">
        <f>Закуп!Z158</f>
        <v>100-199 мм</v>
      </c>
      <c r="L158" s="133" t="str">
        <f>Закуп!AA158</f>
        <v>Четырехклапанные</v>
      </c>
      <c r="M158" s="133" t="str">
        <f>Закуп!V158</f>
        <v/>
      </c>
      <c r="N158" s="133" t="str">
        <f>Закуп!W158</f>
        <v/>
      </c>
      <c r="O158" s="139" t="str">
        <f>IF(OR(Закуп!L158="",Закуп!L158=0),"",Закуп!L158)</f>
        <v/>
      </c>
      <c r="P158" s="133" t="str">
        <f>Закуп!K158</f>
        <v>K159</v>
      </c>
      <c r="Q158" s="217" t="str">
        <f>IF(Закуп!D158="","",IF(LEFT(Закуп!D158,1)="0","0",Закуп!D158))</f>
        <v>У</v>
      </c>
      <c r="R158" s="155">
        <f>Закуп!C158</f>
        <v>158</v>
      </c>
    </row>
    <row r="159" spans="1:18" x14ac:dyDescent="0.3">
      <c r="A159" s="131" t="str">
        <f>Закуп!E159</f>
        <v>350х230х190</v>
      </c>
      <c r="B159" s="127">
        <f>INDEX(Calc!$K:$K, (ROW(A158)-1)*5 + COLUMN(A158) + 1 )</f>
        <v>2.48</v>
      </c>
      <c r="C159" s="127">
        <f>INDEX(Calc!$K:$K, (ROW(B158)-1)*5 + COLUMN(B158) + 1 )</f>
        <v>2.2599999999999998</v>
      </c>
      <c r="D159" s="136">
        <f>INDEX(Calc!$K:$K, (ROW(C158)-1)*5 + COLUMN(C158) + 1 )</f>
        <v>1.77</v>
      </c>
      <c r="E159" s="137">
        <f>INDEX(Calc!$K:$K, (ROW(D158)-1)*5 + COLUMN(D158) + 1 )</f>
        <v>1.53</v>
      </c>
      <c r="F159" s="138">
        <f>INDEX(Calc!$K:$K, (ROW(E158)-1)*5 + COLUMN(E158) + 1 )</f>
        <v>1.42</v>
      </c>
      <c r="G159" s="133">
        <f>Закуп!O159</f>
        <v>15.3</v>
      </c>
      <c r="H159" s="133" t="str">
        <f>Закуп!Q159</f>
        <v>10-20 л</v>
      </c>
      <c r="I159" s="133" t="str">
        <f>Закуп!X159</f>
        <v>300-399 мм</v>
      </c>
      <c r="J159" s="133" t="str">
        <f>Закуп!Y159</f>
        <v>200-299 мм</v>
      </c>
      <c r="K159" s="133" t="str">
        <f>Закуп!Z159</f>
        <v>100-199 мм</v>
      </c>
      <c r="L159" s="133" t="str">
        <f>Закуп!AA159</f>
        <v>Четырехклапанные</v>
      </c>
      <c r="M159" s="133" t="str">
        <f>Закуп!V159</f>
        <v/>
      </c>
      <c r="N159" s="133" t="str">
        <f>Закуп!W159</f>
        <v/>
      </c>
      <c r="O159" s="139" t="str">
        <f>IF(OR(Закуп!L159="",Закуп!L159=0),"",Закуп!L159)</f>
        <v/>
      </c>
      <c r="P159" s="133" t="str">
        <f>Закуп!K159</f>
        <v>K160</v>
      </c>
      <c r="Q159" s="217" t="str">
        <f>IF(Закуп!D159="","",IF(LEFT(Закуп!D159,1)="0","0",Закуп!D159))</f>
        <v>У</v>
      </c>
      <c r="R159" s="155">
        <f>Закуп!C159</f>
        <v>159</v>
      </c>
    </row>
    <row r="160" spans="1:18" x14ac:dyDescent="0.3">
      <c r="A160" s="131" t="str">
        <f>Закуп!E160</f>
        <v>560х360х300</v>
      </c>
      <c r="B160" s="127">
        <f>INDEX(Calc!$K:$K, (ROW(A159)-1)*5 + COLUMN(A159) + 1 )</f>
        <v>4.4400000000000004</v>
      </c>
      <c r="C160" s="127">
        <f>INDEX(Calc!$K:$K, (ROW(B159)-1)*5 + COLUMN(B159) + 1 )</f>
        <v>4.32</v>
      </c>
      <c r="D160" s="136">
        <f>INDEX(Calc!$K:$K, (ROW(C159)-1)*5 + COLUMN(C159) + 1 )</f>
        <v>3.55</v>
      </c>
      <c r="E160" s="137">
        <f>INDEX(Calc!$K:$K, (ROW(D159)-1)*5 + COLUMN(D159) + 1 )</f>
        <v>3.5</v>
      </c>
      <c r="F160" s="138">
        <f>INDEX(Calc!$K:$K, (ROW(E159)-1)*5 + COLUMN(E159) + 1 )</f>
        <v>3.38</v>
      </c>
      <c r="G160" s="133">
        <f>Закуп!O160</f>
        <v>60.48</v>
      </c>
      <c r="H160" s="133" t="str">
        <f>Закуп!Q160</f>
        <v>50-100 л</v>
      </c>
      <c r="I160" s="133" t="str">
        <f>Закуп!X160</f>
        <v>500-599 мм</v>
      </c>
      <c r="J160" s="133" t="str">
        <f>Закуп!Y160</f>
        <v>300-399 мм</v>
      </c>
      <c r="K160" s="133" t="str">
        <f>Закуп!Z160</f>
        <v>300-399 мм</v>
      </c>
      <c r="L160" s="133" t="str">
        <f>Закуп!AA160</f>
        <v>Четырехклапанные</v>
      </c>
      <c r="M160" s="133" t="str">
        <f>Закуп!V160</f>
        <v/>
      </c>
      <c r="N160" s="133" t="str">
        <f>Закуп!W160</f>
        <v/>
      </c>
      <c r="O160" s="139" t="str">
        <f>IF(OR(Закуп!L160="",Закуп!L160=0),"",Закуп!L160)</f>
        <v/>
      </c>
      <c r="P160" s="133" t="str">
        <f>Закуп!K160</f>
        <v>K161</v>
      </c>
      <c r="Q160" s="217" t="str">
        <f>IF(Закуп!D160="","",IF(LEFT(Закуп!D160,1)="0","0",Закуп!D160))</f>
        <v>У</v>
      </c>
      <c r="R160" s="155">
        <f>Закуп!C160</f>
        <v>160</v>
      </c>
    </row>
    <row r="161" spans="1:18" x14ac:dyDescent="0.3">
      <c r="A161" s="131" t="str">
        <f>Закуп!E161</f>
        <v>200х120х150</v>
      </c>
      <c r="B161" s="127">
        <f>INDEX(Calc!$K:$K, (ROW(A160)-1)*5 + COLUMN(A160) + 1 )</f>
        <v>1.1599999999999999</v>
      </c>
      <c r="C161" s="127">
        <f>INDEX(Calc!$K:$K, (ROW(B160)-1)*5 + COLUMN(B160) + 1 )</f>
        <v>1.01</v>
      </c>
      <c r="D161" s="136">
        <f>INDEX(Calc!$K:$K, (ROW(C160)-1)*5 + COLUMN(C160) + 1 )</f>
        <v>0.82</v>
      </c>
      <c r="E161" s="137">
        <f>INDEX(Calc!$K:$K, (ROW(D160)-1)*5 + COLUMN(D160) + 1 )</f>
        <v>0.77</v>
      </c>
      <c r="F161" s="138">
        <f>INDEX(Calc!$K:$K, (ROW(E160)-1)*5 + COLUMN(E160) + 1 )</f>
        <v>0.72</v>
      </c>
      <c r="G161" s="133">
        <f>Закуп!O161</f>
        <v>3.6</v>
      </c>
      <c r="H161" s="133" t="str">
        <f>Закуп!Q161</f>
        <v>3-5 л</v>
      </c>
      <c r="I161" s="133" t="str">
        <f>Закуп!X161</f>
        <v>200-299 мм</v>
      </c>
      <c r="J161" s="133" t="str">
        <f>Закуп!Y161</f>
        <v>100-199 мм</v>
      </c>
      <c r="K161" s="133" t="str">
        <f>Закуп!Z161</f>
        <v>100-199 мм</v>
      </c>
      <c r="L161" s="133" t="str">
        <f>Закуп!AA161</f>
        <v>Четырехклапанные</v>
      </c>
      <c r="M161" s="133" t="str">
        <f>Закуп!V161</f>
        <v/>
      </c>
      <c r="N161" s="133" t="str">
        <f>Закуп!W161</f>
        <v/>
      </c>
      <c r="O161" s="139" t="str">
        <f>IF(OR(Закуп!L161="",Закуп!L161=0),"",Закуп!L161)</f>
        <v/>
      </c>
      <c r="P161" s="133" t="str">
        <f>Закуп!K161</f>
        <v>K162</v>
      </c>
      <c r="Q161" s="217" t="str">
        <f>IF(Закуп!D161="","",IF(LEFT(Закуп!D161,1)="0","0",Закуп!D161))</f>
        <v>У</v>
      </c>
      <c r="R161" s="155">
        <f>Закуп!C161</f>
        <v>161</v>
      </c>
    </row>
    <row r="162" spans="1:18" x14ac:dyDescent="0.3">
      <c r="A162" s="131" t="str">
        <f>Закуп!E162</f>
        <v>260х170х240</v>
      </c>
      <c r="B162" s="127">
        <f>INDEX(Calc!$K:$K, (ROW(A161)-1)*5 + COLUMN(A161) + 1 )</f>
        <v>1.81</v>
      </c>
      <c r="C162" s="127">
        <f>INDEX(Calc!$K:$K, (ROW(B161)-1)*5 + COLUMN(B161) + 1 )</f>
        <v>1.65</v>
      </c>
      <c r="D162" s="136">
        <f>INDEX(Calc!$K:$K, (ROW(C161)-1)*5 + COLUMN(C161) + 1 )</f>
        <v>1.29</v>
      </c>
      <c r="E162" s="137">
        <f>INDEX(Calc!$K:$K, (ROW(D161)-1)*5 + COLUMN(D161) + 1 )</f>
        <v>1.22</v>
      </c>
      <c r="F162" s="138">
        <f>INDEX(Calc!$K:$K, (ROW(E161)-1)*5 + COLUMN(E161) + 1 )</f>
        <v>1.07</v>
      </c>
      <c r="G162" s="133">
        <f>Закуп!O162</f>
        <v>10.61</v>
      </c>
      <c r="H162" s="133" t="str">
        <f>Закуп!Q162</f>
        <v>10-20 л</v>
      </c>
      <c r="I162" s="133" t="str">
        <f>Закуп!X162</f>
        <v>200-299 мм</v>
      </c>
      <c r="J162" s="133" t="str">
        <f>Закуп!Y162</f>
        <v>200-299 мм</v>
      </c>
      <c r="K162" s="133" t="str">
        <f>Закуп!Z162</f>
        <v>100-199 мм</v>
      </c>
      <c r="L162" s="133" t="str">
        <f>Закуп!AA162</f>
        <v>Четырехклапанные</v>
      </c>
      <c r="M162" s="133" t="str">
        <f>Закуп!V162</f>
        <v/>
      </c>
      <c r="N162" s="133" t="str">
        <f>Закуп!W162</f>
        <v/>
      </c>
      <c r="O162" s="139" t="str">
        <f>IF(OR(Закуп!L162="",Закуп!L162=0),"",Закуп!L162)</f>
        <v/>
      </c>
      <c r="P162" s="133" t="str">
        <f>Закуп!K162</f>
        <v>K163</v>
      </c>
      <c r="Q162" s="217" t="str">
        <f>IF(Закуп!D162="","",IF(LEFT(Закуп!D162,1)="0","0",Закуп!D162))</f>
        <v>У</v>
      </c>
      <c r="R162" s="155">
        <f>Закуп!C162</f>
        <v>162</v>
      </c>
    </row>
    <row r="163" spans="1:18" x14ac:dyDescent="0.3">
      <c r="A163" s="131" t="str">
        <f>Закуп!E163</f>
        <v>800х480х290</v>
      </c>
      <c r="B163" s="127">
        <f>INDEX(Calc!$K:$K, (ROW(A162)-1)*5 + COLUMN(A162) + 1 )</f>
        <v>7.06</v>
      </c>
      <c r="C163" s="127">
        <f>INDEX(Calc!$K:$K, (ROW(B162)-1)*5 + COLUMN(B162) + 1 )</f>
        <v>6.53</v>
      </c>
      <c r="D163" s="136">
        <f>INDEX(Calc!$K:$K, (ROW(C162)-1)*5 + COLUMN(C162) + 1 )</f>
        <v>5.63</v>
      </c>
      <c r="E163" s="137">
        <f>INDEX(Calc!$K:$K, (ROW(D162)-1)*5 + COLUMN(D162) + 1 )</f>
        <v>5.45</v>
      </c>
      <c r="F163" s="138">
        <f>INDEX(Calc!$K:$K, (ROW(E162)-1)*5 + COLUMN(E162) + 1 )</f>
        <v>5.36</v>
      </c>
      <c r="G163" s="133">
        <f>Закуп!O163</f>
        <v>111.36</v>
      </c>
      <c r="H163" s="133" t="str">
        <f>Закуп!Q163</f>
        <v>100+ л</v>
      </c>
      <c r="I163" s="133" t="str">
        <f>Закуп!X163</f>
        <v>700-999 мм</v>
      </c>
      <c r="J163" s="133" t="str">
        <f>Закуп!Y163</f>
        <v>400-499 мм</v>
      </c>
      <c r="K163" s="133" t="str">
        <f>Закуп!Z163</f>
        <v>200-299 мм</v>
      </c>
      <c r="L163" s="133" t="str">
        <f>Закуп!AA163</f>
        <v>Четырехклапанные</v>
      </c>
      <c r="M163" s="133" t="str">
        <f>Закуп!V163</f>
        <v/>
      </c>
      <c r="N163" s="133" t="str">
        <f>Закуп!W163</f>
        <v/>
      </c>
      <c r="O163" s="139" t="str">
        <f>IF(OR(Закуп!L163="",Закуп!L163=0),"",Закуп!L163)</f>
        <v/>
      </c>
      <c r="P163" s="133" t="str">
        <f>Закуп!K163</f>
        <v>K164</v>
      </c>
      <c r="Q163" s="217" t="str">
        <f>IF(Закуп!D163="","",IF(LEFT(Закуп!D163,1)="0","0",Закуп!D163))</f>
        <v>У</v>
      </c>
      <c r="R163" s="155">
        <f>Закуп!C163</f>
        <v>163</v>
      </c>
    </row>
    <row r="164" spans="1:18" x14ac:dyDescent="0.3">
      <c r="A164" s="131" t="str">
        <f>Закуп!E164</f>
        <v>390х390х390</v>
      </c>
      <c r="B164" s="127">
        <f>INDEX(Calc!$K:$K, (ROW(A163)-1)*5 + COLUMN(A163) + 1 )</f>
        <v>4.46</v>
      </c>
      <c r="C164" s="127">
        <f>INDEX(Calc!$K:$K, (ROW(B163)-1)*5 + COLUMN(B163) + 1 )</f>
        <v>4.34</v>
      </c>
      <c r="D164" s="136">
        <f>INDEX(Calc!$K:$K, (ROW(C163)-1)*5 + COLUMN(C163) + 1 )</f>
        <v>3.56</v>
      </c>
      <c r="E164" s="137">
        <f>INDEX(Calc!$K:$K, (ROW(D163)-1)*5 + COLUMN(D163) + 1 )</f>
        <v>3.51</v>
      </c>
      <c r="F164" s="138">
        <f>INDEX(Calc!$K:$K, (ROW(E163)-1)*5 + COLUMN(E163) + 1 )</f>
        <v>3.4</v>
      </c>
      <c r="G164" s="133">
        <f>Закуп!O164</f>
        <v>59.32</v>
      </c>
      <c r="H164" s="133" t="str">
        <f>Закуп!Q164</f>
        <v>50-100 л</v>
      </c>
      <c r="I164" s="133" t="str">
        <f>Закуп!X164</f>
        <v>300-399 мм</v>
      </c>
      <c r="J164" s="133" t="str">
        <f>Закуп!Y164</f>
        <v>300-399 мм</v>
      </c>
      <c r="K164" s="133" t="str">
        <f>Закуп!Z164</f>
        <v>300-399 мм</v>
      </c>
      <c r="L164" s="133" t="str">
        <f>Закуп!AA164</f>
        <v>Четырехклапанные</v>
      </c>
      <c r="M164" s="133" t="str">
        <f>Закуп!V164</f>
        <v/>
      </c>
      <c r="N164" s="133" t="str">
        <f>Закуп!W164</f>
        <v/>
      </c>
      <c r="O164" s="139" t="str">
        <f>IF(OR(Закуп!L164="",Закуп!L164=0),"",Закуп!L164)</f>
        <v/>
      </c>
      <c r="P164" s="133" t="str">
        <f>Закуп!K164</f>
        <v>K165</v>
      </c>
      <c r="Q164" s="217" t="str">
        <f>IF(Закуп!D164="","",IF(LEFT(Закуп!D164,1)="0","0",Закуп!D164))</f>
        <v>У</v>
      </c>
      <c r="R164" s="155">
        <f>Закуп!C164</f>
        <v>164</v>
      </c>
    </row>
    <row r="165" spans="1:18" x14ac:dyDescent="0.3">
      <c r="A165" s="131" t="str">
        <f>Закуп!E165</f>
        <v>465х155х192</v>
      </c>
      <c r="B165" s="127">
        <f>INDEX(Calc!$K:$K, (ROW(A164)-1)*5 + COLUMN(A164) + 1 )</f>
        <v>1.88</v>
      </c>
      <c r="C165" s="127">
        <f>INDEX(Calc!$K:$K, (ROW(B164)-1)*5 + COLUMN(B164) + 1 )</f>
        <v>1.71</v>
      </c>
      <c r="D165" s="136">
        <f>INDEX(Calc!$K:$K, (ROW(C164)-1)*5 + COLUMN(C164) + 1 )</f>
        <v>1.56</v>
      </c>
      <c r="E165" s="137">
        <f>INDEX(Calc!$K:$K, (ROW(D164)-1)*5 + COLUMN(D164) + 1 )</f>
        <v>1.44</v>
      </c>
      <c r="F165" s="138">
        <f>INDEX(Calc!$K:$K, (ROW(E164)-1)*5 + COLUMN(E164) + 1 )</f>
        <v>1.28</v>
      </c>
      <c r="G165" s="133">
        <f>Закуп!O165</f>
        <v>13.84</v>
      </c>
      <c r="H165" s="133" t="str">
        <f>Закуп!Q165</f>
        <v>10-20 л</v>
      </c>
      <c r="I165" s="133" t="str">
        <f>Закуп!X165</f>
        <v>400-499 мм</v>
      </c>
      <c r="J165" s="133" t="str">
        <f>Закуп!Y165</f>
        <v>100-199 мм</v>
      </c>
      <c r="K165" s="133" t="str">
        <f>Закуп!Z165</f>
        <v>100-199 мм</v>
      </c>
      <c r="L165" s="133" t="str">
        <f>Закуп!AA165</f>
        <v>Четырехклапанные</v>
      </c>
      <c r="M165" s="133" t="str">
        <f>Закуп!V165</f>
        <v>Длинные</v>
      </c>
      <c r="N165" s="133" t="str">
        <f>Закуп!W165</f>
        <v/>
      </c>
      <c r="O165" s="139" t="str">
        <f>IF(OR(Закуп!L165="",Закуп!L165=0),"",Закуп!L165)</f>
        <v/>
      </c>
      <c r="P165" s="133" t="str">
        <f>Закуп!K165</f>
        <v>K166</v>
      </c>
      <c r="Q165" s="217" t="str">
        <f>IF(Закуп!D165="","",IF(LEFT(Закуп!D165,1)="0","0",Закуп!D165))</f>
        <v>У</v>
      </c>
      <c r="R165" s="155">
        <f>Закуп!C165</f>
        <v>165</v>
      </c>
    </row>
    <row r="166" spans="1:18" x14ac:dyDescent="0.3">
      <c r="A166" s="131" t="str">
        <f>Закуп!E166</f>
        <v>630х330х130</v>
      </c>
      <c r="B166" s="127">
        <f>INDEX(Calc!$K:$K, (ROW(A165)-1)*5 + COLUMN(A165) + 1 )</f>
        <v>4.03</v>
      </c>
      <c r="C166" s="127">
        <f>INDEX(Calc!$K:$K, (ROW(B165)-1)*5 + COLUMN(B165) + 1 )</f>
        <v>3.19</v>
      </c>
      <c r="D166" s="136">
        <f>INDEX(Calc!$K:$K, (ROW(C165)-1)*5 + COLUMN(C165) + 1 )</f>
        <v>2.69</v>
      </c>
      <c r="E166" s="137">
        <f>INDEX(Calc!$K:$K, (ROW(D165)-1)*5 + COLUMN(D165) + 1 )</f>
        <v>2.54</v>
      </c>
      <c r="F166" s="138">
        <f>INDEX(Calc!$K:$K, (ROW(E165)-1)*5 + COLUMN(E165) + 1 )</f>
        <v>2.46</v>
      </c>
      <c r="G166" s="133">
        <f>Закуп!O166</f>
        <v>27.03</v>
      </c>
      <c r="H166" s="133" t="str">
        <f>Закуп!Q166</f>
        <v>20-50 л</v>
      </c>
      <c r="I166" s="133" t="str">
        <f>Закуп!X166</f>
        <v>600-699 мм</v>
      </c>
      <c r="J166" s="133" t="str">
        <f>Закуп!Y166</f>
        <v>300-399 мм</v>
      </c>
      <c r="K166" s="133" t="str">
        <f>Закуп!Z166</f>
        <v>100-199 мм</v>
      </c>
      <c r="L166" s="133" t="str">
        <f>Закуп!AA166</f>
        <v>Четырехклапанные</v>
      </c>
      <c r="M166" s="133" t="str">
        <f>Закуп!V166</f>
        <v/>
      </c>
      <c r="N166" s="133" t="str">
        <f>Закуп!W166</f>
        <v>Плоские</v>
      </c>
      <c r="O166" s="139" t="str">
        <f>IF(OR(Закуп!L166="",Закуп!L166=0),"",Закуп!L166)</f>
        <v/>
      </c>
      <c r="P166" s="133" t="str">
        <f>Закуп!K166</f>
        <v>K167</v>
      </c>
      <c r="Q166" s="217" t="str">
        <f>IF(Закуп!D166="","",IF(LEFT(Закуп!D166,1)="0","0",Закуп!D166))</f>
        <v>У</v>
      </c>
      <c r="R166" s="155">
        <f>Закуп!C166</f>
        <v>166</v>
      </c>
    </row>
    <row r="167" spans="1:18" x14ac:dyDescent="0.3">
      <c r="A167" s="131" t="str">
        <f>Закуп!E167</f>
        <v>274х186х87</v>
      </c>
      <c r="B167" s="127">
        <f>INDEX(Calc!$K:$K, (ROW(A166)-1)*5 + COLUMN(A166) + 1 )</f>
        <v>2.3199999999999998</v>
      </c>
      <c r="C167" s="127">
        <f>INDEX(Calc!$K:$K, (ROW(B166)-1)*5 + COLUMN(B166) + 1 )</f>
        <v>2</v>
      </c>
      <c r="D167" s="136">
        <f>INDEX(Calc!$K:$K, (ROW(C166)-1)*5 + COLUMN(C166) + 1 )</f>
        <v>1.88</v>
      </c>
      <c r="E167" s="137">
        <f>INDEX(Calc!$K:$K, (ROW(D166)-1)*5 + COLUMN(D166) + 1 )</f>
        <v>1.75</v>
      </c>
      <c r="F167" s="138">
        <f>INDEX(Calc!$K:$K, (ROW(E166)-1)*5 + COLUMN(E166) + 1 )</f>
        <v>1.53</v>
      </c>
      <c r="G167" s="133">
        <f>Закуп!O167</f>
        <v>4.43</v>
      </c>
      <c r="H167" s="133" t="str">
        <f>Закуп!Q167</f>
        <v>3-5 л</v>
      </c>
      <c r="I167" s="133" t="str">
        <f>Закуп!X167</f>
        <v>200-299 мм</v>
      </c>
      <c r="J167" s="133" t="str">
        <f>Закуп!Y167</f>
        <v>100-199 мм</v>
      </c>
      <c r="K167" s="133" t="str">
        <f>Закуп!Z167</f>
        <v>10-99 мм</v>
      </c>
      <c r="L167" s="133" t="str">
        <f>Закуп!AA167</f>
        <v>Самосборные</v>
      </c>
      <c r="M167" s="133" t="str">
        <f>Закуп!V167</f>
        <v/>
      </c>
      <c r="N167" s="133" t="str">
        <f>Закуп!W167</f>
        <v>Плоские</v>
      </c>
      <c r="O167" s="139" t="str">
        <f>IF(OR(Закуп!L167="",Закуп!L167=0),"",Закуп!L167)</f>
        <v/>
      </c>
      <c r="P167" s="133" t="str">
        <f>Закуп!K167</f>
        <v>K168</v>
      </c>
      <c r="Q167" s="217" t="str">
        <f>IF(Закуп!D167="","",IF(LEFT(Закуп!D167,1)="0","0",Закуп!D167))</f>
        <v>У</v>
      </c>
      <c r="R167" s="155">
        <f>Закуп!C167</f>
        <v>167</v>
      </c>
    </row>
    <row r="168" spans="1:18" x14ac:dyDescent="0.3">
      <c r="A168" s="131" t="str">
        <f>Закуп!E168</f>
        <v>579х261х265</v>
      </c>
      <c r="B168" s="127">
        <f>INDEX(Calc!$K:$K, (ROW(A167)-1)*5 + COLUMN(A167) + 1 )</f>
        <v>4.0599999999999996</v>
      </c>
      <c r="C168" s="127">
        <f>INDEX(Calc!$K:$K, (ROW(B167)-1)*5 + COLUMN(B167) + 1 )</f>
        <v>3.21</v>
      </c>
      <c r="D168" s="136">
        <f>INDEX(Calc!$K:$K, (ROW(C167)-1)*5 + COLUMN(C167) + 1 )</f>
        <v>2.7</v>
      </c>
      <c r="E168" s="137">
        <f>INDEX(Calc!$K:$K, (ROW(D167)-1)*5 + COLUMN(D167) + 1 )</f>
        <v>2.56</v>
      </c>
      <c r="F168" s="138">
        <f>INDEX(Calc!$K:$K, (ROW(E167)-1)*5 + COLUMN(E167) + 1 )</f>
        <v>2.4700000000000002</v>
      </c>
      <c r="G168" s="133">
        <f>Закуп!O168</f>
        <v>40.049999999999997</v>
      </c>
      <c r="H168" s="133" t="str">
        <f>Закуп!Q168</f>
        <v>20-50 л</v>
      </c>
      <c r="I168" s="133" t="str">
        <f>Закуп!X168</f>
        <v>500-599 мм</v>
      </c>
      <c r="J168" s="133" t="str">
        <f>Закуп!Y168</f>
        <v>200-299 мм</v>
      </c>
      <c r="K168" s="133" t="str">
        <f>Закуп!Z168</f>
        <v>200-299 мм</v>
      </c>
      <c r="L168" s="133" t="str">
        <f>Закуп!AA168</f>
        <v>Четырехклапанные</v>
      </c>
      <c r="M168" s="133" t="str">
        <f>Закуп!V168</f>
        <v>Длинные</v>
      </c>
      <c r="N168" s="133" t="str">
        <f>Закуп!W168</f>
        <v/>
      </c>
      <c r="O168" s="139" t="str">
        <f>IF(OR(Закуп!L168="",Закуп!L168=0),"",Закуп!L168)</f>
        <v/>
      </c>
      <c r="P168" s="133" t="str">
        <f>Закуп!K168</f>
        <v>K169</v>
      </c>
      <c r="Q168" s="217" t="str">
        <f>IF(Закуп!D168="","",IF(LEFT(Закуп!D168,1)="0","0",Закуп!D168))</f>
        <v>У</v>
      </c>
      <c r="R168" s="155">
        <f>Закуп!C168</f>
        <v>168</v>
      </c>
    </row>
    <row r="169" spans="1:18" x14ac:dyDescent="0.3">
      <c r="A169" s="131" t="str">
        <f>Закуп!E169</f>
        <v>745х545х580</v>
      </c>
      <c r="B169" s="127">
        <f>INDEX(Calc!$K:$K, (ROW(A168)-1)*5 + COLUMN(A168) + 1 )</f>
        <v>10.25</v>
      </c>
      <c r="C169" s="127">
        <f>INDEX(Calc!$K:$K, (ROW(B168)-1)*5 + COLUMN(B168) + 1 )</f>
        <v>8.74</v>
      </c>
      <c r="D169" s="136">
        <f>INDEX(Calc!$K:$K, (ROW(C168)-1)*5 + COLUMN(C168) + 1 )</f>
        <v>8.0299999999999994</v>
      </c>
      <c r="E169" s="137">
        <f>INDEX(Calc!$K:$K, (ROW(D168)-1)*5 + COLUMN(D168) + 1 )</f>
        <v>7.89</v>
      </c>
      <c r="F169" s="138">
        <f>INDEX(Calc!$K:$K, (ROW(E168)-1)*5 + COLUMN(E168) + 1 )</f>
        <v>7.82</v>
      </c>
      <c r="G169" s="133">
        <f>Закуп!O169</f>
        <v>235.49</v>
      </c>
      <c r="H169" s="133" t="str">
        <f>Закуп!Q169</f>
        <v>100+ л</v>
      </c>
      <c r="I169" s="133" t="str">
        <f>Закуп!X169</f>
        <v>700-999 мм</v>
      </c>
      <c r="J169" s="133" t="str">
        <f>Закуп!Y169</f>
        <v>500-599 мм</v>
      </c>
      <c r="K169" s="133" t="str">
        <f>Закуп!Z169</f>
        <v>500-599 мм</v>
      </c>
      <c r="L169" s="133" t="str">
        <f>Закуп!AA169</f>
        <v>Четырехклапанные</v>
      </c>
      <c r="M169" s="133" t="str">
        <f>Закуп!V169</f>
        <v/>
      </c>
      <c r="N169" s="133" t="str">
        <f>Закуп!W169</f>
        <v/>
      </c>
      <c r="O169" s="139" t="str">
        <f>IF(OR(Закуп!L169="",Закуп!L169=0),"",Закуп!L169)</f>
        <v/>
      </c>
      <c r="P169" s="133" t="str">
        <f>Закуп!K169</f>
        <v>K170</v>
      </c>
      <c r="Q169" s="217" t="str">
        <f>IF(Закуп!D169="","",IF(LEFT(Закуп!D169,1)="0","0",Закуп!D169))</f>
        <v>У</v>
      </c>
      <c r="R169" s="155">
        <f>Закуп!C169</f>
        <v>169</v>
      </c>
    </row>
    <row r="170" spans="1:18" x14ac:dyDescent="0.3">
      <c r="A170" s="131" t="str">
        <f>Закуп!E170</f>
        <v>150х150х100</v>
      </c>
      <c r="B170" s="127">
        <f>INDEX(Calc!$K:$K, (ROW(A169)-1)*5 + COLUMN(A169) + 1 )</f>
        <v>1.06</v>
      </c>
      <c r="C170" s="127">
        <f>INDEX(Calc!$K:$K, (ROW(B169)-1)*5 + COLUMN(B169) + 1 )</f>
        <v>0.9</v>
      </c>
      <c r="D170" s="136">
        <f>INDEX(Calc!$K:$K, (ROW(C169)-1)*5 + COLUMN(C169) + 1 )</f>
        <v>0.72</v>
      </c>
      <c r="E170" s="137">
        <f>INDEX(Calc!$K:$K, (ROW(D169)-1)*5 + COLUMN(D169) + 1 )</f>
        <v>0.68</v>
      </c>
      <c r="F170" s="138">
        <f>INDEX(Calc!$K:$K, (ROW(E169)-1)*5 + COLUMN(E169) + 1 )</f>
        <v>0.63</v>
      </c>
      <c r="G170" s="133">
        <f>Закуп!O170</f>
        <v>2.25</v>
      </c>
      <c r="H170" s="133" t="str">
        <f>Закуп!Q170</f>
        <v>2-3 л</v>
      </c>
      <c r="I170" s="133" t="str">
        <f>Закуп!X170</f>
        <v>100-199 мм</v>
      </c>
      <c r="J170" s="133" t="str">
        <f>Закуп!Y170</f>
        <v>100-199 мм</v>
      </c>
      <c r="K170" s="133" t="str">
        <f>Закуп!Z170</f>
        <v>100-199 мм</v>
      </c>
      <c r="L170" s="133" t="str">
        <f>Закуп!AA170</f>
        <v>Четырехклапанные</v>
      </c>
      <c r="M170" s="133" t="str">
        <f>Закуп!V170</f>
        <v/>
      </c>
      <c r="N170" s="133" t="str">
        <f>Закуп!W170</f>
        <v/>
      </c>
      <c r="O170" s="139" t="str">
        <f>IF(OR(Закуп!L170="",Закуп!L170=0),"",Закуп!L170)</f>
        <v/>
      </c>
      <c r="P170" s="133" t="str">
        <f>Закуп!K170</f>
        <v>K171</v>
      </c>
      <c r="Q170" s="217" t="str">
        <f>IF(Закуп!D170="","",IF(LEFT(Закуп!D170,1)="0","0",Закуп!D170))</f>
        <v>У</v>
      </c>
      <c r="R170" s="155">
        <f>Закуп!C170</f>
        <v>170</v>
      </c>
    </row>
    <row r="171" spans="1:18" x14ac:dyDescent="0.3">
      <c r="A171" s="131" t="str">
        <f>Закуп!E171</f>
        <v>260х190х160</v>
      </c>
      <c r="B171" s="127">
        <f>INDEX(Calc!$K:$K, (ROW(A170)-1)*5 + COLUMN(A170) + 1 )</f>
        <v>1.64</v>
      </c>
      <c r="C171" s="127">
        <f>INDEX(Calc!$K:$K, (ROW(B170)-1)*5 + COLUMN(B170) + 1 )</f>
        <v>1.49</v>
      </c>
      <c r="D171" s="136">
        <f>INDEX(Calc!$K:$K, (ROW(C170)-1)*5 + COLUMN(C170) + 1 )</f>
        <v>1.18</v>
      </c>
      <c r="E171" s="137">
        <f>INDEX(Calc!$K:$K, (ROW(D170)-1)*5 + COLUMN(D170) + 1 )</f>
        <v>1.1000000000000001</v>
      </c>
      <c r="F171" s="138">
        <f>INDEX(Calc!$K:$K, (ROW(E170)-1)*5 + COLUMN(E170) + 1 )</f>
        <v>1.04</v>
      </c>
      <c r="G171" s="133">
        <f>Закуп!O171</f>
        <v>7.9</v>
      </c>
      <c r="H171" s="133" t="str">
        <f>Закуп!Q171</f>
        <v>5-10 л</v>
      </c>
      <c r="I171" s="133" t="str">
        <f>Закуп!X171</f>
        <v>200-299 мм</v>
      </c>
      <c r="J171" s="133" t="str">
        <f>Закуп!Y171</f>
        <v>100-199 мм</v>
      </c>
      <c r="K171" s="133" t="str">
        <f>Закуп!Z171</f>
        <v>100-199 мм</v>
      </c>
      <c r="L171" s="133" t="str">
        <f>Закуп!AA171</f>
        <v>Четырехклапанные</v>
      </c>
      <c r="M171" s="133" t="str">
        <f>Закуп!V171</f>
        <v/>
      </c>
      <c r="N171" s="133" t="str">
        <f>Закуп!W171</f>
        <v/>
      </c>
      <c r="O171" s="139" t="str">
        <f>IF(OR(Закуп!L171="",Закуп!L171=0),"",Закуп!L171)</f>
        <v/>
      </c>
      <c r="P171" s="133" t="str">
        <f>Закуп!K171</f>
        <v>K172</v>
      </c>
      <c r="Q171" s="217" t="str">
        <f>IF(Закуп!D171="","",IF(LEFT(Закуп!D171,1)="0","0",Закуп!D171))</f>
        <v>У</v>
      </c>
      <c r="R171" s="155">
        <f>Закуп!C171</f>
        <v>171</v>
      </c>
    </row>
    <row r="172" spans="1:18" x14ac:dyDescent="0.3">
      <c r="A172" s="131" t="str">
        <f>Закуп!E172</f>
        <v>150х150х85</v>
      </c>
      <c r="B172" s="127">
        <f>INDEX(Calc!$K:$K, (ROW(A171)-1)*5 + COLUMN(A171) + 1 )</f>
        <v>1.06</v>
      </c>
      <c r="C172" s="127">
        <f>INDEX(Calc!$K:$K, (ROW(B171)-1)*5 + COLUMN(B171) + 1 )</f>
        <v>0.91</v>
      </c>
      <c r="D172" s="136">
        <f>INDEX(Calc!$K:$K, (ROW(C171)-1)*5 + COLUMN(C171) + 1 )</f>
        <v>0.7</v>
      </c>
      <c r="E172" s="137">
        <f>INDEX(Calc!$K:$K, (ROW(D171)-1)*5 + COLUMN(D171) + 1 )</f>
        <v>0.65</v>
      </c>
      <c r="F172" s="138">
        <f>INDEX(Calc!$K:$K, (ROW(E171)-1)*5 + COLUMN(E171) + 1 )</f>
        <v>0.62</v>
      </c>
      <c r="G172" s="133">
        <f>Закуп!O172</f>
        <v>1.91</v>
      </c>
      <c r="H172" s="133" t="str">
        <f>Закуп!Q172</f>
        <v>1-2 л</v>
      </c>
      <c r="I172" s="133" t="str">
        <f>Закуп!X172</f>
        <v>100-199 мм</v>
      </c>
      <c r="J172" s="133" t="str">
        <f>Закуп!Y172</f>
        <v>100-199 мм</v>
      </c>
      <c r="K172" s="133" t="str">
        <f>Закуп!Z172</f>
        <v>10-99 мм</v>
      </c>
      <c r="L172" s="133" t="str">
        <f>Закуп!AA172</f>
        <v>Четырехклапанные</v>
      </c>
      <c r="M172" s="133" t="str">
        <f>Закуп!V172</f>
        <v/>
      </c>
      <c r="N172" s="133" t="str">
        <f>Закуп!W172</f>
        <v/>
      </c>
      <c r="O172" s="139" t="str">
        <f>IF(OR(Закуп!L172="",Закуп!L172=0),"",Закуп!L172)</f>
        <v/>
      </c>
      <c r="P172" s="133" t="str">
        <f>Закуп!K172</f>
        <v>K173</v>
      </c>
      <c r="Q172" s="217" t="str">
        <f>IF(Закуп!D172="","",IF(LEFT(Закуп!D172,1)="0","0",Закуп!D172))</f>
        <v>У</v>
      </c>
      <c r="R172" s="155">
        <f>Закуп!C172</f>
        <v>172</v>
      </c>
    </row>
    <row r="173" spans="1:18" x14ac:dyDescent="0.3">
      <c r="A173" s="131" t="str">
        <f>Закуп!E173</f>
        <v>120х120х120</v>
      </c>
      <c r="B173" s="127">
        <f>INDEX(Calc!$K:$K, (ROW(A172)-1)*5 + COLUMN(A172) + 1 )</f>
        <v>1</v>
      </c>
      <c r="C173" s="127">
        <f>INDEX(Calc!$K:$K, (ROW(B172)-1)*5 + COLUMN(B172) + 1 )</f>
        <v>0.9</v>
      </c>
      <c r="D173" s="136">
        <f>INDEX(Calc!$K:$K, (ROW(C172)-1)*5 + COLUMN(C172) + 1 )</f>
        <v>0.8</v>
      </c>
      <c r="E173" s="137">
        <f>INDEX(Calc!$K:$K, (ROW(D172)-1)*5 + COLUMN(D172) + 1 )</f>
        <v>0.7</v>
      </c>
      <c r="F173" s="138">
        <f>INDEX(Calc!$K:$K, (ROW(E172)-1)*5 + COLUMN(E172) + 1 )</f>
        <v>0.6</v>
      </c>
      <c r="G173" s="133">
        <f>Закуп!O173</f>
        <v>1.73</v>
      </c>
      <c r="H173" s="133" t="str">
        <f>Закуп!Q173</f>
        <v>1-2 л</v>
      </c>
      <c r="I173" s="133" t="str">
        <f>Закуп!X173</f>
        <v>100-199 мм</v>
      </c>
      <c r="J173" s="133" t="str">
        <f>Закуп!Y173</f>
        <v>100-199 мм</v>
      </c>
      <c r="K173" s="133" t="str">
        <f>Закуп!Z173</f>
        <v>100-199 мм</v>
      </c>
      <c r="L173" s="133" t="str">
        <f>Закуп!AA173</f>
        <v>Четырехклапанные</v>
      </c>
      <c r="M173" s="133" t="str">
        <f>Закуп!V173</f>
        <v/>
      </c>
      <c r="N173" s="133" t="str">
        <f>Закуп!W173</f>
        <v/>
      </c>
      <c r="O173" s="139" t="str">
        <f>IF(OR(Закуп!L173="",Закуп!L173=0),"",Закуп!L173)</f>
        <v/>
      </c>
      <c r="P173" s="133" t="str">
        <f>Закуп!K173</f>
        <v>K174</v>
      </c>
      <c r="Q173" s="217" t="str">
        <f>IF(Закуп!D173="","",IF(LEFT(Закуп!D173,1)="0","0",Закуп!D173))</f>
        <v>У</v>
      </c>
      <c r="R173" s="155">
        <f>Закуп!C173</f>
        <v>173</v>
      </c>
    </row>
    <row r="174" spans="1:18" x14ac:dyDescent="0.3">
      <c r="A174" s="131" t="str">
        <f>Закуп!E174</f>
        <v>180х180х125</v>
      </c>
      <c r="B174" s="127">
        <f>INDEX(Calc!$K:$K, (ROW(A173)-1)*5 + COLUMN(A173) + 1 )</f>
        <v>1.24</v>
      </c>
      <c r="C174" s="127">
        <f>INDEX(Calc!$K:$K, (ROW(B173)-1)*5 + COLUMN(B173) + 1 )</f>
        <v>1.08</v>
      </c>
      <c r="D174" s="136">
        <f>INDEX(Calc!$K:$K, (ROW(C173)-1)*5 + COLUMN(C173) + 1 )</f>
        <v>0.92</v>
      </c>
      <c r="E174" s="137">
        <f>INDEX(Calc!$K:$K, (ROW(D173)-1)*5 + COLUMN(D173) + 1 )</f>
        <v>0.87</v>
      </c>
      <c r="F174" s="138">
        <f>INDEX(Calc!$K:$K, (ROW(E173)-1)*5 + COLUMN(E173) + 1 )</f>
        <v>0.8</v>
      </c>
      <c r="G174" s="133">
        <f>Закуп!O174</f>
        <v>4.05</v>
      </c>
      <c r="H174" s="133" t="str">
        <f>Закуп!Q174</f>
        <v>3-5 л</v>
      </c>
      <c r="I174" s="133" t="str">
        <f>Закуп!X174</f>
        <v>100-199 мм</v>
      </c>
      <c r="J174" s="133" t="str">
        <f>Закуп!Y174</f>
        <v>100-199 мм</v>
      </c>
      <c r="K174" s="133" t="str">
        <f>Закуп!Z174</f>
        <v>100-199 мм</v>
      </c>
      <c r="L174" s="133" t="str">
        <f>Закуп!AA174</f>
        <v>Четырехклапанные</v>
      </c>
      <c r="M174" s="133" t="str">
        <f>Закуп!V174</f>
        <v/>
      </c>
      <c r="N174" s="133" t="str">
        <f>Закуп!W174</f>
        <v/>
      </c>
      <c r="O174" s="139" t="str">
        <f>IF(OR(Закуп!L174="",Закуп!L174=0),"",Закуп!L174)</f>
        <v/>
      </c>
      <c r="P174" s="133" t="str">
        <f>Закуп!K174</f>
        <v>K175</v>
      </c>
      <c r="Q174" s="217" t="str">
        <f>IF(Закуп!D174="","",IF(LEFT(Закуп!D174,1)="0","0",Закуп!D174))</f>
        <v>У</v>
      </c>
      <c r="R174" s="155">
        <f>Закуп!C174</f>
        <v>174</v>
      </c>
    </row>
    <row r="175" spans="1:18" x14ac:dyDescent="0.3">
      <c r="A175" s="131" t="str">
        <f>Закуп!E175</f>
        <v>260х190х300</v>
      </c>
      <c r="B175" s="127">
        <f>INDEX(Calc!$K:$K, (ROW(A174)-1)*5 + COLUMN(A174) + 1 )</f>
        <v>2.2599999999999998</v>
      </c>
      <c r="C175" s="127">
        <f>INDEX(Calc!$K:$K, (ROW(B174)-1)*5 + COLUMN(B174) + 1 )</f>
        <v>2.0499999999999998</v>
      </c>
      <c r="D175" s="136">
        <f>INDEX(Calc!$K:$K, (ROW(C174)-1)*5 + COLUMN(C174) + 1 )</f>
        <v>1.61</v>
      </c>
      <c r="E175" s="137">
        <f>INDEX(Calc!$K:$K, (ROW(D174)-1)*5 + COLUMN(D174) + 1 )</f>
        <v>1.39</v>
      </c>
      <c r="F175" s="138">
        <f>INDEX(Calc!$K:$K, (ROW(E174)-1)*5 + COLUMN(E174) + 1 )</f>
        <v>1.29</v>
      </c>
      <c r="G175" s="133">
        <f>Закуп!O175</f>
        <v>14.82</v>
      </c>
      <c r="H175" s="133" t="str">
        <f>Закуп!Q175</f>
        <v>10-20 л</v>
      </c>
      <c r="I175" s="133" t="str">
        <f>Закуп!X175</f>
        <v>300-399 мм</v>
      </c>
      <c r="J175" s="133" t="str">
        <f>Закуп!Y175</f>
        <v>200-299 мм</v>
      </c>
      <c r="K175" s="133" t="str">
        <f>Закуп!Z175</f>
        <v>100-199 мм</v>
      </c>
      <c r="L175" s="133" t="str">
        <f>Закуп!AA175</f>
        <v>Четырехклапанные</v>
      </c>
      <c r="M175" s="133" t="str">
        <f>Закуп!V175</f>
        <v/>
      </c>
      <c r="N175" s="133" t="str">
        <f>Закуп!W175</f>
        <v/>
      </c>
      <c r="O175" s="139" t="str">
        <f>IF(OR(Закуп!L175="",Закуп!L175=0),"",Закуп!L175)</f>
        <v/>
      </c>
      <c r="P175" s="133" t="str">
        <f>Закуп!K175</f>
        <v>K176</v>
      </c>
      <c r="Q175" s="217" t="str">
        <f>IF(Закуп!D175="","",IF(LEFT(Закуп!D175,1)="0","0",Закуп!D175))</f>
        <v>У</v>
      </c>
      <c r="R175" s="155">
        <f>Закуп!C175</f>
        <v>175</v>
      </c>
    </row>
    <row r="176" spans="1:18" x14ac:dyDescent="0.3">
      <c r="A176" s="131" t="str">
        <f>Закуп!E176</f>
        <v>280х90х125</v>
      </c>
      <c r="B176" s="127">
        <f>INDEX(Calc!$K:$K, (ROW(A175)-1)*5 + COLUMN(A175) + 1 )</f>
        <v>1.1299999999999999</v>
      </c>
      <c r="C176" s="127">
        <f>INDEX(Calc!$K:$K, (ROW(B175)-1)*5 + COLUMN(B175) + 1 )</f>
        <v>0.94</v>
      </c>
      <c r="D176" s="136">
        <f>INDEX(Calc!$K:$K, (ROW(C175)-1)*5 + COLUMN(C175) + 1 )</f>
        <v>0.77</v>
      </c>
      <c r="E176" s="137">
        <f>INDEX(Calc!$K:$K, (ROW(D175)-1)*5 + COLUMN(D175) + 1 )</f>
        <v>0.72</v>
      </c>
      <c r="F176" s="138">
        <f>INDEX(Calc!$K:$K, (ROW(E175)-1)*5 + COLUMN(E175) + 1 )</f>
        <v>0.68</v>
      </c>
      <c r="G176" s="133">
        <f>Закуп!O176</f>
        <v>3.15</v>
      </c>
      <c r="H176" s="133" t="str">
        <f>Закуп!Q176</f>
        <v>3-5 л</v>
      </c>
      <c r="I176" s="133" t="str">
        <f>Закуп!X176</f>
        <v>200-299 мм</v>
      </c>
      <c r="J176" s="133" t="str">
        <f>Закуп!Y176</f>
        <v>100-199 мм</v>
      </c>
      <c r="K176" s="133" t="str">
        <f>Закуп!Z176</f>
        <v>10-99 мм</v>
      </c>
      <c r="L176" s="133" t="str">
        <f>Закуп!AA176</f>
        <v>Четырехклапанные</v>
      </c>
      <c r="M176" s="133" t="str">
        <f>Закуп!V176</f>
        <v>Длинные</v>
      </c>
      <c r="N176" s="133" t="str">
        <f>Закуп!W176</f>
        <v/>
      </c>
      <c r="O176" s="139" t="str">
        <f>IF(OR(Закуп!L176="",Закуп!L176=0),"",Закуп!L176)</f>
        <v/>
      </c>
      <c r="P176" s="133" t="str">
        <f>Закуп!K176</f>
        <v>K177</v>
      </c>
      <c r="Q176" s="217" t="str">
        <f>IF(Закуп!D176="","",IF(LEFT(Закуп!D176,1)="0","0",Закуп!D176))</f>
        <v>У</v>
      </c>
      <c r="R176" s="155">
        <f>Закуп!C176</f>
        <v>176</v>
      </c>
    </row>
    <row r="177" spans="1:18" x14ac:dyDescent="0.3">
      <c r="A177" s="131" t="str">
        <f>Закуп!E177</f>
        <v>350х60х440</v>
      </c>
      <c r="B177" s="127">
        <f>INDEX(Calc!$K:$K, (ROW(A176)-1)*5 + COLUMN(A176) + 1 )</f>
        <v>1.81</v>
      </c>
      <c r="C177" s="127">
        <f>INDEX(Calc!$K:$K, (ROW(B176)-1)*5 + COLUMN(B176) + 1 )</f>
        <v>1.65</v>
      </c>
      <c r="D177" s="136">
        <f>INDEX(Calc!$K:$K, (ROW(C176)-1)*5 + COLUMN(C176) + 1 )</f>
        <v>1.5</v>
      </c>
      <c r="E177" s="137">
        <f>INDEX(Calc!$K:$K, (ROW(D176)-1)*5 + COLUMN(D176) + 1 )</f>
        <v>1.39</v>
      </c>
      <c r="F177" s="138">
        <f>INDEX(Calc!$K:$K, (ROW(E176)-1)*5 + COLUMN(E176) + 1 )</f>
        <v>1.23</v>
      </c>
      <c r="G177" s="133">
        <f>Закуп!O177</f>
        <v>9.24</v>
      </c>
      <c r="H177" s="133" t="str">
        <f>Закуп!Q177</f>
        <v>5-10 л</v>
      </c>
      <c r="I177" s="133" t="str">
        <f>Закуп!X177</f>
        <v>400-499 мм</v>
      </c>
      <c r="J177" s="133" t="str">
        <f>Закуп!Y177</f>
        <v>300-399 мм</v>
      </c>
      <c r="K177" s="133" t="str">
        <f>Закуп!Z177</f>
        <v>10-99 мм</v>
      </c>
      <c r="L177" s="133" t="str">
        <f>Закуп!AA177</f>
        <v>Четырехклапанные</v>
      </c>
      <c r="M177" s="133" t="str">
        <f>Закуп!V177</f>
        <v/>
      </c>
      <c r="N177" s="133" t="str">
        <f>Закуп!W177</f>
        <v>Плоские</v>
      </c>
      <c r="O177" s="139" t="str">
        <f>IF(OR(Закуп!L177="",Закуп!L177=0),"",Закуп!L177)</f>
        <v/>
      </c>
      <c r="P177" s="133" t="str">
        <f>Закуп!K177</f>
        <v>K178</v>
      </c>
      <c r="Q177" s="217" t="str">
        <f>IF(Закуп!D177="","",IF(LEFT(Закуп!D177,1)="0","0",Закуп!D177))</f>
        <v>У</v>
      </c>
      <c r="R177" s="155">
        <f>Закуп!C177</f>
        <v>177</v>
      </c>
    </row>
    <row r="178" spans="1:18" x14ac:dyDescent="0.3">
      <c r="A178" s="131" t="str">
        <f>Закуп!E178</f>
        <v>210х70х200</v>
      </c>
      <c r="B178" s="127">
        <f>INDEX(Calc!$K:$K, (ROW(A177)-1)*5 + COLUMN(A177) + 1 )</f>
        <v>1.1000000000000001</v>
      </c>
      <c r="C178" s="127">
        <f>INDEX(Calc!$K:$K, (ROW(B177)-1)*5 + COLUMN(B177) + 1 )</f>
        <v>0.92</v>
      </c>
      <c r="D178" s="136">
        <f>INDEX(Calc!$K:$K, (ROW(C177)-1)*5 + COLUMN(C177) + 1 )</f>
        <v>0.75</v>
      </c>
      <c r="E178" s="137">
        <f>INDEX(Calc!$K:$K, (ROW(D177)-1)*5 + COLUMN(D177) + 1 )</f>
        <v>0.71</v>
      </c>
      <c r="F178" s="138">
        <f>INDEX(Calc!$K:$K, (ROW(E177)-1)*5 + COLUMN(E177) + 1 )</f>
        <v>0.66</v>
      </c>
      <c r="G178" s="133">
        <f>Закуп!O178</f>
        <v>2.94</v>
      </c>
      <c r="H178" s="133" t="str">
        <f>Закуп!Q178</f>
        <v>2-3 л</v>
      </c>
      <c r="I178" s="133" t="str">
        <f>Закуп!X178</f>
        <v>200-299 мм</v>
      </c>
      <c r="J178" s="133" t="str">
        <f>Закуп!Y178</f>
        <v>200-299 мм</v>
      </c>
      <c r="K178" s="133" t="str">
        <f>Закуп!Z178</f>
        <v>10-99 мм</v>
      </c>
      <c r="L178" s="133" t="str">
        <f>Закуп!AA178</f>
        <v>Четырехклапанные</v>
      </c>
      <c r="M178" s="133" t="str">
        <f>Закуп!V178</f>
        <v/>
      </c>
      <c r="N178" s="133" t="str">
        <f>Закуп!W178</f>
        <v>Плоские</v>
      </c>
      <c r="O178" s="139" t="str">
        <f>IF(OR(Закуп!L178="",Закуп!L178=0),"",Закуп!L178)</f>
        <v/>
      </c>
      <c r="P178" s="133" t="str">
        <f>Закуп!K178</f>
        <v>K179</v>
      </c>
      <c r="Q178" s="217" t="str">
        <f>IF(Закуп!D178="","",IF(LEFT(Закуп!D178,1)="0","0",Закуп!D178))</f>
        <v>У</v>
      </c>
      <c r="R178" s="155">
        <f>Закуп!C178</f>
        <v>178</v>
      </c>
    </row>
    <row r="179" spans="1:18" x14ac:dyDescent="0.3">
      <c r="A179" s="131" t="str">
        <f>Закуп!E179</f>
        <v>215х215х120</v>
      </c>
      <c r="B179" s="127">
        <f>INDEX(Calc!$K:$K, (ROW(A178)-1)*5 + COLUMN(A178) + 1 )</f>
        <v>1.5</v>
      </c>
      <c r="C179" s="127">
        <f>INDEX(Calc!$K:$K, (ROW(B178)-1)*5 + COLUMN(B178) + 1 )</f>
        <v>1.36</v>
      </c>
      <c r="D179" s="136">
        <f>INDEX(Calc!$K:$K, (ROW(C178)-1)*5 + COLUMN(C178) + 1 )</f>
        <v>1.07</v>
      </c>
      <c r="E179" s="137">
        <f>INDEX(Calc!$K:$K, (ROW(D178)-1)*5 + COLUMN(D178) + 1 )</f>
        <v>1.01</v>
      </c>
      <c r="F179" s="138">
        <f>INDEX(Calc!$K:$K, (ROW(E178)-1)*5 + COLUMN(E178) + 1 )</f>
        <v>0.95</v>
      </c>
      <c r="G179" s="133">
        <f>Закуп!O179</f>
        <v>5.55</v>
      </c>
      <c r="H179" s="133" t="str">
        <f>Закуп!Q179</f>
        <v>5-10 л</v>
      </c>
      <c r="I179" s="133" t="str">
        <f>Закуп!X179</f>
        <v>200-299 мм</v>
      </c>
      <c r="J179" s="133" t="str">
        <f>Закуп!Y179</f>
        <v>200-299 мм</v>
      </c>
      <c r="K179" s="133" t="str">
        <f>Закуп!Z179</f>
        <v>100-199 мм</v>
      </c>
      <c r="L179" s="133" t="str">
        <f>Закуп!AA179</f>
        <v>Четырехклапанные</v>
      </c>
      <c r="M179" s="133" t="str">
        <f>Закуп!V179</f>
        <v/>
      </c>
      <c r="N179" s="133" t="str">
        <f>Закуп!W179</f>
        <v/>
      </c>
      <c r="O179" s="139" t="str">
        <f>IF(OR(Закуп!L179="",Закуп!L179=0),"",Закуп!L179)</f>
        <v/>
      </c>
      <c r="P179" s="133" t="str">
        <f>Закуп!K179</f>
        <v>K180</v>
      </c>
      <c r="Q179" s="217" t="str">
        <f>IF(Закуп!D179="","",IF(LEFT(Закуп!D179,1)="0","0",Закуп!D179))</f>
        <v>У</v>
      </c>
      <c r="R179" s="155">
        <f>Закуп!C179</f>
        <v>179</v>
      </c>
    </row>
    <row r="180" spans="1:18" x14ac:dyDescent="0.3">
      <c r="A180" s="131" t="str">
        <f>Закуп!E180</f>
        <v>180х140х220</v>
      </c>
      <c r="B180" s="127">
        <f>INDEX(Calc!$K:$K, (ROW(A179)-1)*5 + COLUMN(A179) + 1 )</f>
        <v>1.27</v>
      </c>
      <c r="C180" s="127">
        <f>INDEX(Calc!$K:$K, (ROW(B179)-1)*5 + COLUMN(B179) + 1 )</f>
        <v>1.1000000000000001</v>
      </c>
      <c r="D180" s="136">
        <f>INDEX(Calc!$K:$K, (ROW(C179)-1)*5 + COLUMN(C179) + 1 )</f>
        <v>0.94</v>
      </c>
      <c r="E180" s="137">
        <f>INDEX(Calc!$K:$K, (ROW(D179)-1)*5 + COLUMN(D179) + 1 )</f>
        <v>0.89</v>
      </c>
      <c r="F180" s="138">
        <f>INDEX(Calc!$K:$K, (ROW(E179)-1)*5 + COLUMN(E179) + 1 )</f>
        <v>0.82</v>
      </c>
      <c r="G180" s="133">
        <f>Закуп!O180</f>
        <v>5.54</v>
      </c>
      <c r="H180" s="133" t="str">
        <f>Закуп!Q180</f>
        <v>5-10 л</v>
      </c>
      <c r="I180" s="133" t="str">
        <f>Закуп!X180</f>
        <v>200-299 мм</v>
      </c>
      <c r="J180" s="133" t="str">
        <f>Закуп!Y180</f>
        <v>100-199 мм</v>
      </c>
      <c r="K180" s="133" t="str">
        <f>Закуп!Z180</f>
        <v>100-199 мм</v>
      </c>
      <c r="L180" s="133" t="str">
        <f>Закуп!AA180</f>
        <v>Четырехклапанные</v>
      </c>
      <c r="M180" s="133" t="str">
        <f>Закуп!V180</f>
        <v/>
      </c>
      <c r="N180" s="133" t="str">
        <f>Закуп!W180</f>
        <v/>
      </c>
      <c r="O180" s="139" t="str">
        <f>IF(OR(Закуп!L180="",Закуп!L180=0),"",Закуп!L180)</f>
        <v/>
      </c>
      <c r="P180" s="133" t="str">
        <f>Закуп!K180</f>
        <v>K181</v>
      </c>
      <c r="Q180" s="217" t="str">
        <f>IF(Закуп!D180="","",IF(LEFT(Закуп!D180,1)="0","0",Закуп!D180))</f>
        <v>У</v>
      </c>
      <c r="R180" s="155">
        <f>Закуп!C180</f>
        <v>180</v>
      </c>
    </row>
    <row r="181" spans="1:18" x14ac:dyDescent="0.3">
      <c r="A181" s="131" t="str">
        <f>Закуп!E181</f>
        <v>125х125х730</v>
      </c>
      <c r="B181" s="127">
        <f>INDEX(Calc!$K:$K, (ROW(A180)-1)*5 + COLUMN(A180) + 1 )</f>
        <v>2.14</v>
      </c>
      <c r="C181" s="127">
        <f>INDEX(Calc!$K:$K, (ROW(B180)-1)*5 + COLUMN(B180) + 1 )</f>
        <v>1.93</v>
      </c>
      <c r="D181" s="136">
        <f>INDEX(Calc!$K:$K, (ROW(C180)-1)*5 + COLUMN(C180) + 1 )</f>
        <v>1.71</v>
      </c>
      <c r="E181" s="137">
        <f>INDEX(Calc!$K:$K, (ROW(D180)-1)*5 + COLUMN(D180) + 1 )</f>
        <v>1.61</v>
      </c>
      <c r="F181" s="138">
        <f>INDEX(Calc!$K:$K, (ROW(E180)-1)*5 + COLUMN(E180) + 1 )</f>
        <v>1.5</v>
      </c>
      <c r="G181" s="133">
        <f>Закуп!O181</f>
        <v>11.41</v>
      </c>
      <c r="H181" s="133" t="str">
        <f>Закуп!Q181</f>
        <v>10-20 л</v>
      </c>
      <c r="I181" s="133" t="str">
        <f>Закуп!X181</f>
        <v>700-999 мм</v>
      </c>
      <c r="J181" s="133" t="str">
        <f>Закуп!Y181</f>
        <v>100-199 мм</v>
      </c>
      <c r="K181" s="133" t="str">
        <f>Закуп!Z181</f>
        <v>100-199 мм</v>
      </c>
      <c r="L181" s="133" t="str">
        <f>Закуп!AA181</f>
        <v>Четырехклапанные</v>
      </c>
      <c r="M181" s="133" t="str">
        <f>Закуп!V181</f>
        <v>Длинные</v>
      </c>
      <c r="N181" s="133" t="str">
        <f>Закуп!W181</f>
        <v/>
      </c>
      <c r="O181" s="139" t="str">
        <f>IF(OR(Закуп!L181="",Закуп!L181=0),"",Закуп!L181)</f>
        <v/>
      </c>
      <c r="P181" s="133" t="str">
        <f>Закуп!K181</f>
        <v>K182</v>
      </c>
      <c r="Q181" s="217" t="str">
        <f>IF(Закуп!D181="","",IF(LEFT(Закуп!D181,1)="0","0",Закуп!D181))</f>
        <v>У</v>
      </c>
      <c r="R181" s="155">
        <f>Закуп!C181</f>
        <v>181</v>
      </c>
    </row>
    <row r="182" spans="1:18" x14ac:dyDescent="0.3">
      <c r="A182" s="131" t="str">
        <f>Закуп!E182</f>
        <v>250х190х170</v>
      </c>
      <c r="B182" s="127">
        <f>INDEX(Calc!$K:$K, (ROW(A181)-1)*5 + COLUMN(A181) + 1 )</f>
        <v>1.64</v>
      </c>
      <c r="C182" s="127">
        <f>INDEX(Calc!$K:$K, (ROW(B181)-1)*5 + COLUMN(B181) + 1 )</f>
        <v>1.49</v>
      </c>
      <c r="D182" s="136">
        <f>INDEX(Calc!$K:$K, (ROW(C181)-1)*5 + COLUMN(C181) + 1 )</f>
        <v>1.18</v>
      </c>
      <c r="E182" s="137">
        <f>INDEX(Calc!$K:$K, (ROW(D181)-1)*5 + COLUMN(D181) + 1 )</f>
        <v>1.1000000000000001</v>
      </c>
      <c r="F182" s="138">
        <f>INDEX(Calc!$K:$K, (ROW(E181)-1)*5 + COLUMN(E181) + 1 )</f>
        <v>1.04</v>
      </c>
      <c r="G182" s="133">
        <f>Закуп!O182</f>
        <v>8.08</v>
      </c>
      <c r="H182" s="133" t="str">
        <f>Закуп!Q182</f>
        <v>5-10 л</v>
      </c>
      <c r="I182" s="133" t="str">
        <f>Закуп!X182</f>
        <v>200-299 мм</v>
      </c>
      <c r="J182" s="133" t="str">
        <f>Закуп!Y182</f>
        <v>100-199 мм</v>
      </c>
      <c r="K182" s="133" t="str">
        <f>Закуп!Z182</f>
        <v>100-199 мм</v>
      </c>
      <c r="L182" s="133" t="str">
        <f>Закуп!AA182</f>
        <v>Четырехклапанные</v>
      </c>
      <c r="M182" s="133" t="str">
        <f>Закуп!V182</f>
        <v/>
      </c>
      <c r="N182" s="133" t="str">
        <f>Закуп!W182</f>
        <v/>
      </c>
      <c r="O182" s="139" t="str">
        <f>IF(OR(Закуп!L182="",Закуп!L182=0),"",Закуп!L182)</f>
        <v/>
      </c>
      <c r="P182" s="133" t="str">
        <f>Закуп!K182</f>
        <v>K183</v>
      </c>
      <c r="Q182" s="217" t="str">
        <f>IF(Закуп!D182="","",IF(LEFT(Закуп!D182,1)="0","0",Закуп!D182))</f>
        <v>У</v>
      </c>
      <c r="R182" s="155">
        <f>Закуп!C182</f>
        <v>182</v>
      </c>
    </row>
    <row r="183" spans="1:18" x14ac:dyDescent="0.3">
      <c r="A183" s="131" t="str">
        <f>Закуп!E183</f>
        <v>72х72х90</v>
      </c>
      <c r="B183" s="127">
        <f>INDEX(Calc!$K:$K, (ROW(A182)-1)*5 + COLUMN(A182) + 1 )</f>
        <v>1.06</v>
      </c>
      <c r="C183" s="127">
        <f>INDEX(Calc!$K:$K, (ROW(B182)-1)*5 + COLUMN(B182) + 1 )</f>
        <v>0.94</v>
      </c>
      <c r="D183" s="136">
        <f>INDEX(Calc!$K:$K, (ROW(C182)-1)*5 + COLUMN(C182) + 1 )</f>
        <v>0.82</v>
      </c>
      <c r="E183" s="137">
        <f>INDEX(Calc!$K:$K, (ROW(D182)-1)*5 + COLUMN(D182) + 1 )</f>
        <v>0.71</v>
      </c>
      <c r="F183" s="138">
        <f>INDEX(Calc!$K:$K, (ROW(E182)-1)*5 + COLUMN(E182) + 1 )</f>
        <v>0.59</v>
      </c>
      <c r="G183" s="133">
        <f>Закуп!O183</f>
        <v>0.47</v>
      </c>
      <c r="H183" s="133" t="str">
        <f>Закуп!Q183</f>
        <v>&lt;1 л</v>
      </c>
      <c r="I183" s="133" t="str">
        <f>Закуп!X183</f>
        <v>10-99 мм</v>
      </c>
      <c r="J183" s="133" t="str">
        <f>Закуп!Y183</f>
        <v>10-99 мм</v>
      </c>
      <c r="K183" s="133" t="str">
        <f>Закуп!Z183</f>
        <v>10-99 мм</v>
      </c>
      <c r="L183" s="133" t="str">
        <f>Закуп!AA183</f>
        <v>Четырехклапанные</v>
      </c>
      <c r="M183" s="133" t="str">
        <f>Закуп!V183</f>
        <v/>
      </c>
      <c r="N183" s="133" t="str">
        <f>Закуп!W183</f>
        <v/>
      </c>
      <c r="O183" s="139" t="str">
        <f>IF(OR(Закуп!L183="",Закуп!L183=0),"",Закуп!L183)</f>
        <v/>
      </c>
      <c r="P183" s="133" t="str">
        <f>Закуп!K183</f>
        <v>K184</v>
      </c>
      <c r="Q183" s="217" t="str">
        <f>IF(Закуп!D183="","",IF(LEFT(Закуп!D183,1)="0","0",Закуп!D183))</f>
        <v>У</v>
      </c>
      <c r="R183" s="155">
        <f>Закуп!C183</f>
        <v>183</v>
      </c>
    </row>
    <row r="184" spans="1:18" x14ac:dyDescent="0.3">
      <c r="A184" s="131" t="str">
        <f>Закуп!E184</f>
        <v>300х300х200</v>
      </c>
      <c r="B184" s="127">
        <f>INDEX(Calc!$K:$K, (ROW(A183)-1)*5 + COLUMN(A183) + 1 )</f>
        <v>3</v>
      </c>
      <c r="C184" s="127">
        <f>INDEX(Calc!$K:$K, (ROW(B183)-1)*5 + COLUMN(B183) + 1 )</f>
        <v>2.78</v>
      </c>
      <c r="D184" s="136">
        <f>INDEX(Calc!$K:$K, (ROW(C183)-1)*5 + COLUMN(C183) + 1 )</f>
        <v>2.57</v>
      </c>
      <c r="E184" s="137">
        <f>INDEX(Calc!$K:$K, (ROW(D183)-1)*5 + COLUMN(D183) + 1 )</f>
        <v>2.14</v>
      </c>
      <c r="F184" s="138">
        <f>INDEX(Calc!$K:$K, (ROW(E183)-1)*5 + COLUMN(E183) + 1 )</f>
        <v>1.93</v>
      </c>
      <c r="G184" s="133">
        <f>Закуп!O184</f>
        <v>18</v>
      </c>
      <c r="H184" s="133" t="str">
        <f>Закуп!Q184</f>
        <v>10-20 л</v>
      </c>
      <c r="I184" s="133" t="str">
        <f>Закуп!X184</f>
        <v>300-399 мм</v>
      </c>
      <c r="J184" s="133" t="str">
        <f>Закуп!Y184</f>
        <v>300-399 мм</v>
      </c>
      <c r="K184" s="133" t="str">
        <f>Закуп!Z184</f>
        <v>200-299 мм</v>
      </c>
      <c r="L184" s="133" t="str">
        <f>Закуп!AA184</f>
        <v>Четырехклапанные</v>
      </c>
      <c r="M184" s="133" t="str">
        <f>Закуп!V184</f>
        <v/>
      </c>
      <c r="N184" s="133" t="str">
        <f>Закуп!W184</f>
        <v/>
      </c>
      <c r="O184" s="139" t="str">
        <f>IF(OR(Закуп!L184="",Закуп!L184=0),"",Закуп!L184)</f>
        <v/>
      </c>
      <c r="P184" s="133" t="str">
        <f>Закуп!K184</f>
        <v>K185</v>
      </c>
      <c r="Q184" s="217" t="str">
        <f>IF(Закуп!D184="","",IF(LEFT(Закуп!D184,1)="0","0",Закуп!D184))</f>
        <v>У</v>
      </c>
      <c r="R184" s="155">
        <f>Закуп!C184</f>
        <v>184</v>
      </c>
    </row>
    <row r="185" spans="1:18" x14ac:dyDescent="0.3">
      <c r="A185" s="131" t="str">
        <f>Закуп!E185</f>
        <v>300х200х200</v>
      </c>
      <c r="B185" s="127">
        <f>INDEX(Calc!$K:$K, (ROW(A184)-1)*5 + COLUMN(A184) + 1 )</f>
        <v>2.14</v>
      </c>
      <c r="C185" s="127">
        <f>INDEX(Calc!$K:$K, (ROW(B184)-1)*5 + COLUMN(B184) + 1 )</f>
        <v>1.93</v>
      </c>
      <c r="D185" s="136">
        <f>INDEX(Calc!$K:$K, (ROW(C184)-1)*5 + COLUMN(C184) + 1 )</f>
        <v>1.71</v>
      </c>
      <c r="E185" s="137">
        <f>INDEX(Calc!$K:$K, (ROW(D184)-1)*5 + COLUMN(D184) + 1 )</f>
        <v>1.61</v>
      </c>
      <c r="F185" s="138">
        <f>INDEX(Calc!$K:$K, (ROW(E184)-1)*5 + COLUMN(E184) + 1 )</f>
        <v>1.5</v>
      </c>
      <c r="G185" s="133">
        <f>Закуп!O185</f>
        <v>12</v>
      </c>
      <c r="H185" s="133" t="str">
        <f>Закуп!Q185</f>
        <v>10-20 л</v>
      </c>
      <c r="I185" s="133" t="str">
        <f>Закуп!X185</f>
        <v>300-399 мм</v>
      </c>
      <c r="J185" s="133" t="str">
        <f>Закуп!Y185</f>
        <v>200-299 мм</v>
      </c>
      <c r="K185" s="133" t="str">
        <f>Закуп!Z185</f>
        <v>200-299 мм</v>
      </c>
      <c r="L185" s="133" t="str">
        <f>Закуп!AA185</f>
        <v>Четырехклапанные</v>
      </c>
      <c r="M185" s="133" t="str">
        <f>Закуп!V185</f>
        <v/>
      </c>
      <c r="N185" s="133" t="str">
        <f>Закуп!W185</f>
        <v/>
      </c>
      <c r="O185" s="139" t="str">
        <f>IF(OR(Закуп!L185="",Закуп!L185=0),"",Закуп!L185)</f>
        <v/>
      </c>
      <c r="P185" s="133" t="str">
        <f>Закуп!K185</f>
        <v>K186</v>
      </c>
      <c r="Q185" s="217" t="str">
        <f>IF(Закуп!D185="","",IF(LEFT(Закуп!D185,1)="0","0",Закуп!D185))</f>
        <v>У</v>
      </c>
      <c r="R185" s="155">
        <f>Закуп!C185</f>
        <v>185</v>
      </c>
    </row>
    <row r="186" spans="1:18" x14ac:dyDescent="0.3">
      <c r="A186" s="131" t="str">
        <f>Закуп!E186</f>
        <v>400х200х200</v>
      </c>
      <c r="B186" s="127">
        <f>INDEX(Calc!$K:$K, (ROW(A185)-1)*5 + COLUMN(A185) + 1 )</f>
        <v>2.46</v>
      </c>
      <c r="C186" s="127">
        <f>INDEX(Calc!$K:$K, (ROW(B185)-1)*5 + COLUMN(B185) + 1 )</f>
        <v>2.14</v>
      </c>
      <c r="D186" s="136">
        <f>INDEX(Calc!$K:$K, (ROW(C185)-1)*5 + COLUMN(C185) + 1 )</f>
        <v>1.93</v>
      </c>
      <c r="E186" s="137">
        <f>INDEX(Calc!$K:$K, (ROW(D185)-1)*5 + COLUMN(D185) + 1 )</f>
        <v>1.71</v>
      </c>
      <c r="F186" s="138">
        <f>INDEX(Calc!$K:$K, (ROW(E185)-1)*5 + COLUMN(E185) + 1 )</f>
        <v>1.61</v>
      </c>
      <c r="G186" s="133">
        <f>Закуп!O186</f>
        <v>16</v>
      </c>
      <c r="H186" s="133" t="str">
        <f>Закуп!Q186</f>
        <v>10-20 л</v>
      </c>
      <c r="I186" s="133" t="str">
        <f>Закуп!X186</f>
        <v>400-499 мм</v>
      </c>
      <c r="J186" s="133" t="str">
        <f>Закуп!Y186</f>
        <v>200-299 мм</v>
      </c>
      <c r="K186" s="133" t="str">
        <f>Закуп!Z186</f>
        <v>200-299 мм</v>
      </c>
      <c r="L186" s="133" t="str">
        <f>Закуп!AA186</f>
        <v>Четырехклапанные</v>
      </c>
      <c r="M186" s="133" t="str">
        <f>Закуп!V186</f>
        <v>Длинные</v>
      </c>
      <c r="N186" s="133" t="str">
        <f>Закуп!W186</f>
        <v/>
      </c>
      <c r="O186" s="139" t="str">
        <f>IF(OR(Закуп!L186="",Закуп!L186=0),"",Закуп!L186)</f>
        <v/>
      </c>
      <c r="P186" s="133" t="str">
        <f>Закуп!K186</f>
        <v>K187</v>
      </c>
      <c r="Q186" s="217" t="str">
        <f>IF(Закуп!D186="","",IF(LEFT(Закуп!D186,1)="0","0",Закуп!D186))</f>
        <v>У</v>
      </c>
      <c r="R186" s="155">
        <f>Закуп!C186</f>
        <v>186</v>
      </c>
    </row>
    <row r="187" spans="1:18" x14ac:dyDescent="0.3">
      <c r="A187" s="131" t="str">
        <f>Закуп!E187</f>
        <v>200х200х200</v>
      </c>
      <c r="B187" s="127">
        <f>INDEX(Calc!$K:$K, (ROW(A186)-1)*5 + COLUMN(A186) + 1 )</f>
        <v>2.14</v>
      </c>
      <c r="C187" s="127">
        <f>INDEX(Calc!$K:$K, (ROW(B186)-1)*5 + COLUMN(B186) + 1 )</f>
        <v>1.87</v>
      </c>
      <c r="D187" s="136">
        <f>INDEX(Calc!$K:$K, (ROW(C186)-1)*5 + COLUMN(C186) + 1 )</f>
        <v>1.61</v>
      </c>
      <c r="E187" s="137">
        <f>INDEX(Calc!$K:$K, (ROW(D186)-1)*5 + COLUMN(D186) + 1 )</f>
        <v>1.39</v>
      </c>
      <c r="F187" s="138">
        <f>INDEX(Calc!$K:$K, (ROW(E186)-1)*5 + COLUMN(E186) + 1 )</f>
        <v>1.28</v>
      </c>
      <c r="G187" s="133">
        <f>Закуп!O187</f>
        <v>8</v>
      </c>
      <c r="H187" s="133" t="str">
        <f>Закуп!Q187</f>
        <v>5-10 л</v>
      </c>
      <c r="I187" s="133" t="str">
        <f>Закуп!X187</f>
        <v>200-299 мм</v>
      </c>
      <c r="J187" s="133" t="str">
        <f>Закуп!Y187</f>
        <v>200-299 мм</v>
      </c>
      <c r="K187" s="133" t="str">
        <f>Закуп!Z187</f>
        <v>200-299 мм</v>
      </c>
      <c r="L187" s="133" t="str">
        <f>Закуп!AA187</f>
        <v>Четырехклапанные</v>
      </c>
      <c r="M187" s="133" t="str">
        <f>Закуп!V187</f>
        <v/>
      </c>
      <c r="N187" s="133" t="str">
        <f>Закуп!W187</f>
        <v/>
      </c>
      <c r="O187" s="139" t="str">
        <f>IF(OR(Закуп!L187="",Закуп!L187=0),"",Закуп!L187)</f>
        <v/>
      </c>
      <c r="P187" s="133" t="str">
        <f>Закуп!K187</f>
        <v>K188</v>
      </c>
      <c r="Q187" s="217" t="str">
        <f>IF(Закуп!D187="","",IF(LEFT(Закуп!D187,1)="0","0",Закуп!D187))</f>
        <v>У</v>
      </c>
      <c r="R187" s="155">
        <f>Закуп!C187</f>
        <v>187</v>
      </c>
    </row>
    <row r="188" spans="1:18" x14ac:dyDescent="0.3">
      <c r="A188" s="131" t="str">
        <f>Закуп!E188</f>
        <v>500х300х300</v>
      </c>
      <c r="B188" s="127">
        <f>INDEX(Calc!$K:$K, (ROW(A187)-1)*5 + COLUMN(A187) + 1 )</f>
        <v>4.3899999999999997</v>
      </c>
      <c r="C188" s="127">
        <f>INDEX(Calc!$K:$K, (ROW(B187)-1)*5 + COLUMN(B187) + 1 )</f>
        <v>3.47</v>
      </c>
      <c r="D188" s="136">
        <f>INDEX(Calc!$K:$K, (ROW(C187)-1)*5 + COLUMN(C187) + 1 )</f>
        <v>2.86</v>
      </c>
      <c r="E188" s="137">
        <f>INDEX(Calc!$K:$K, (ROW(D187)-1)*5 + COLUMN(D187) + 1 )</f>
        <v>2.77</v>
      </c>
      <c r="F188" s="138">
        <f>INDEX(Calc!$K:$K, (ROW(E187)-1)*5 + COLUMN(E187) + 1 )</f>
        <v>2.68</v>
      </c>
      <c r="G188" s="133">
        <f>Закуп!O188</f>
        <v>45</v>
      </c>
      <c r="H188" s="133" t="str">
        <f>Закуп!Q188</f>
        <v>20-50 л</v>
      </c>
      <c r="I188" s="133" t="str">
        <f>Закуп!X188</f>
        <v>500-599 мм</v>
      </c>
      <c r="J188" s="133" t="str">
        <f>Закуп!Y188</f>
        <v>300-399 мм</v>
      </c>
      <c r="K188" s="133" t="str">
        <f>Закуп!Z188</f>
        <v>300-399 мм</v>
      </c>
      <c r="L188" s="133" t="str">
        <f>Закуп!AA188</f>
        <v>Четырехклапанные</v>
      </c>
      <c r="M188" s="133" t="str">
        <f>Закуп!V188</f>
        <v/>
      </c>
      <c r="N188" s="133" t="str">
        <f>Закуп!W188</f>
        <v/>
      </c>
      <c r="O188" s="139" t="str">
        <f>IF(OR(Закуп!L188="",Закуп!L188=0),"",Закуп!L188)</f>
        <v/>
      </c>
      <c r="P188" s="133" t="str">
        <f>Закуп!K188</f>
        <v>K189</v>
      </c>
      <c r="Q188" s="217" t="str">
        <f>IF(Закуп!D188="","",IF(LEFT(Закуп!D188,1)="0","0",Закуп!D188))</f>
        <v>У</v>
      </c>
      <c r="R188" s="155">
        <f>Закуп!C188</f>
        <v>188</v>
      </c>
    </row>
    <row r="189" spans="1:18" x14ac:dyDescent="0.3">
      <c r="A189" s="131" t="str">
        <f>Закуп!E189</f>
        <v>400х300х200</v>
      </c>
      <c r="B189" s="127">
        <f>INDEX(Calc!$K:$K, (ROW(A188)-1)*5 + COLUMN(A188) + 1 )</f>
        <v>3.23</v>
      </c>
      <c r="C189" s="127">
        <f>INDEX(Calc!$K:$K, (ROW(B188)-1)*5 + COLUMN(B188) + 1 )</f>
        <v>2.59</v>
      </c>
      <c r="D189" s="136">
        <f>INDEX(Calc!$K:$K, (ROW(C188)-1)*5 + COLUMN(C188) + 1 )</f>
        <v>2.33</v>
      </c>
      <c r="E189" s="137">
        <f>INDEX(Calc!$K:$K, (ROW(D188)-1)*5 + COLUMN(D188) + 1 )</f>
        <v>2.11</v>
      </c>
      <c r="F189" s="138">
        <f>INDEX(Calc!$K:$K, (ROW(E188)-1)*5 + COLUMN(E188) + 1 )</f>
        <v>2</v>
      </c>
      <c r="G189" s="133">
        <f>Закуп!O189</f>
        <v>24</v>
      </c>
      <c r="H189" s="133" t="str">
        <f>Закуп!Q189</f>
        <v>20-50 л</v>
      </c>
      <c r="I189" s="133" t="str">
        <f>Закуп!X189</f>
        <v>400-499 мм</v>
      </c>
      <c r="J189" s="133" t="str">
        <f>Закуп!Y189</f>
        <v>300-399 мм</v>
      </c>
      <c r="K189" s="133" t="str">
        <f>Закуп!Z189</f>
        <v>200-299 мм</v>
      </c>
      <c r="L189" s="133" t="str">
        <f>Закуп!AA189</f>
        <v>Четырехклапанные</v>
      </c>
      <c r="M189" s="133" t="str">
        <f>Закуп!V189</f>
        <v/>
      </c>
      <c r="N189" s="133" t="str">
        <f>Закуп!W189</f>
        <v/>
      </c>
      <c r="O189" s="139" t="str">
        <f>IF(OR(Закуп!L189="",Закуп!L189=0),"",Закуп!L189)</f>
        <v/>
      </c>
      <c r="P189" s="133" t="str">
        <f>Закуп!K189</f>
        <v>K190</v>
      </c>
      <c r="Q189" s="217" t="str">
        <f>IF(Закуп!D189="","",IF(LEFT(Закуп!D189,1)="0","0",Закуп!D189))</f>
        <v>У</v>
      </c>
      <c r="R189" s="155">
        <f>Закуп!C189</f>
        <v>189</v>
      </c>
    </row>
    <row r="190" spans="1:18" x14ac:dyDescent="0.3">
      <c r="A190" s="131" t="str">
        <f>Закуп!E190</f>
        <v>125х125х200</v>
      </c>
      <c r="B190" s="127">
        <f>INDEX(Calc!$K:$K, (ROW(A189)-1)*5 + COLUMN(A189) + 1 )</f>
        <v>0.95</v>
      </c>
      <c r="C190" s="127">
        <f>INDEX(Calc!$K:$K, (ROW(B189)-1)*5 + COLUMN(B189) + 1 )</f>
        <v>0.79</v>
      </c>
      <c r="D190" s="136">
        <f>INDEX(Calc!$K:$K, (ROW(C189)-1)*5 + COLUMN(C189) + 1 )</f>
        <v>0.73</v>
      </c>
      <c r="E190" s="137">
        <f>INDEX(Calc!$K:$K, (ROW(D189)-1)*5 + COLUMN(D189) + 1 )</f>
        <v>0.66</v>
      </c>
      <c r="F190" s="138">
        <f>INDEX(Calc!$K:$K, (ROW(E189)-1)*5 + COLUMN(E189) + 1 )</f>
        <v>0.62</v>
      </c>
      <c r="G190" s="133">
        <f>Закуп!O190</f>
        <v>3.13</v>
      </c>
      <c r="H190" s="133" t="str">
        <f>Закуп!Q190</f>
        <v>3-5 л</v>
      </c>
      <c r="I190" s="133" t="str">
        <f>Закуп!X190</f>
        <v>200-299 мм</v>
      </c>
      <c r="J190" s="133" t="str">
        <f>Закуп!Y190</f>
        <v>100-199 мм</v>
      </c>
      <c r="K190" s="133" t="str">
        <f>Закуп!Z190</f>
        <v>100-199 мм</v>
      </c>
      <c r="L190" s="133" t="str">
        <f>Закуп!AA190</f>
        <v>Четырехклапанные</v>
      </c>
      <c r="M190" s="133" t="str">
        <f>Закуп!V190</f>
        <v/>
      </c>
      <c r="N190" s="133" t="str">
        <f>Закуп!W190</f>
        <v/>
      </c>
      <c r="O190" s="139" t="str">
        <f>IF(OR(Закуп!L190="",Закуп!L190=0),"",Закуп!L190)</f>
        <v/>
      </c>
      <c r="P190" s="133" t="str">
        <f>Закуп!K190</f>
        <v>K191</v>
      </c>
      <c r="Q190" s="217" t="str">
        <f>IF(Закуп!D190="","",IF(LEFT(Закуп!D190,1)="0","0",Закуп!D190))</f>
        <v>У</v>
      </c>
      <c r="R190" s="155">
        <f>Закуп!C190</f>
        <v>190</v>
      </c>
    </row>
    <row r="191" spans="1:18" x14ac:dyDescent="0.3">
      <c r="A191" s="131" t="str">
        <f>Закуп!E191</f>
        <v>150х150х200</v>
      </c>
      <c r="B191" s="127">
        <f>INDEX(Calc!$K:$K, (ROW(A190)-1)*5 + COLUMN(A190) + 1 )</f>
        <v>1.19</v>
      </c>
      <c r="C191" s="127">
        <f>INDEX(Calc!$K:$K, (ROW(B190)-1)*5 + COLUMN(B190) + 1 )</f>
        <v>1.01</v>
      </c>
      <c r="D191" s="136">
        <f>INDEX(Calc!$K:$K, (ROW(C190)-1)*5 + COLUMN(C190) + 1 )</f>
        <v>0.92</v>
      </c>
      <c r="E191" s="137">
        <f>INDEX(Calc!$K:$K, (ROW(D190)-1)*5 + COLUMN(D190) + 1 )</f>
        <v>0.83</v>
      </c>
      <c r="F191" s="138">
        <f>INDEX(Calc!$K:$K, (ROW(E190)-1)*5 + COLUMN(E190) + 1 )</f>
        <v>0.78</v>
      </c>
      <c r="G191" s="133">
        <f>Закуп!O191</f>
        <v>4.5</v>
      </c>
      <c r="H191" s="133" t="str">
        <f>Закуп!Q191</f>
        <v>3-5 л</v>
      </c>
      <c r="I191" s="133" t="str">
        <f>Закуп!X191</f>
        <v>200-299 мм</v>
      </c>
      <c r="J191" s="133" t="str">
        <f>Закуп!Y191</f>
        <v>100-199 мм</v>
      </c>
      <c r="K191" s="133" t="str">
        <f>Закуп!Z191</f>
        <v>100-199 мм</v>
      </c>
      <c r="L191" s="133" t="str">
        <f>Закуп!AA191</f>
        <v>Четырехклапанные</v>
      </c>
      <c r="M191" s="133" t="str">
        <f>Закуп!V191</f>
        <v/>
      </c>
      <c r="N191" s="133" t="str">
        <f>Закуп!W191</f>
        <v/>
      </c>
      <c r="O191" s="139" t="str">
        <f>IF(OR(Закуп!L191="",Закуп!L191=0),"",Закуп!L191)</f>
        <v/>
      </c>
      <c r="P191" s="133" t="str">
        <f>Закуп!K191</f>
        <v>K192</v>
      </c>
      <c r="Q191" s="217" t="str">
        <f>IF(Закуп!D191="","",IF(LEFT(Закуп!D191,1)="0","0",Закуп!D191))</f>
        <v>У</v>
      </c>
      <c r="R191" s="155">
        <f>Закуп!C191</f>
        <v>191</v>
      </c>
    </row>
    <row r="192" spans="1:18" x14ac:dyDescent="0.3">
      <c r="A192" s="131" t="str">
        <f>Закуп!E192</f>
        <v>190х110х70</v>
      </c>
      <c r="B192" s="127">
        <f>INDEX(Calc!$K:$K, (ROW(A191)-1)*5 + COLUMN(A191) + 1 )</f>
        <v>1.07</v>
      </c>
      <c r="C192" s="127">
        <f>INDEX(Calc!$K:$K, (ROW(B191)-1)*5 + COLUMN(B191) + 1 )</f>
        <v>0.96</v>
      </c>
      <c r="D192" s="136">
        <f>INDEX(Calc!$K:$K, (ROW(C191)-1)*5 + COLUMN(C191) + 1 )</f>
        <v>0.86</v>
      </c>
      <c r="E192" s="137">
        <f>INDEX(Calc!$K:$K, (ROW(D191)-1)*5 + COLUMN(D191) + 1 )</f>
        <v>0.75</v>
      </c>
      <c r="F192" s="138">
        <f>INDEX(Calc!$K:$K, (ROW(E191)-1)*5 + COLUMN(E191) + 1 )</f>
        <v>0.64</v>
      </c>
      <c r="G192" s="133">
        <f>Закуп!O192</f>
        <v>1.46</v>
      </c>
      <c r="H192" s="133" t="str">
        <f>Закуп!Q192</f>
        <v>1-2 л</v>
      </c>
      <c r="I192" s="133" t="str">
        <f>Закуп!X192</f>
        <v>100-199 мм</v>
      </c>
      <c r="J192" s="133" t="str">
        <f>Закуп!Y192</f>
        <v>100-199 мм</v>
      </c>
      <c r="K192" s="133" t="str">
        <f>Закуп!Z192</f>
        <v>10-99 мм</v>
      </c>
      <c r="L192" s="133" t="str">
        <f>Закуп!AA192</f>
        <v>Четырехклапанные</v>
      </c>
      <c r="M192" s="133" t="str">
        <f>Закуп!V192</f>
        <v/>
      </c>
      <c r="N192" s="133" t="str">
        <f>Закуп!W192</f>
        <v/>
      </c>
      <c r="O192" s="139" t="str">
        <f>IF(OR(Закуп!L192="",Закуп!L192=0),"",Закуп!L192)</f>
        <v/>
      </c>
      <c r="P192" s="133" t="str">
        <f>Закуп!K192</f>
        <v>K193</v>
      </c>
      <c r="Q192" s="217" t="str">
        <f>IF(Закуп!D192="","",IF(LEFT(Закуп!D192,1)="0","0",Закуп!D192))</f>
        <v>У</v>
      </c>
      <c r="R192" s="155">
        <f>Закуп!C192</f>
        <v>192</v>
      </c>
    </row>
    <row r="193" spans="1:18" x14ac:dyDescent="0.3">
      <c r="A193" s="131" t="str">
        <f>Закуп!E193</f>
        <v>110х50х130</v>
      </c>
      <c r="B193" s="127">
        <f>INDEX(Calc!$K:$K, (ROW(A192)-1)*5 + COLUMN(A192) + 1 )</f>
        <v>0.43</v>
      </c>
      <c r="C193" s="127">
        <f>INDEX(Calc!$K:$K, (ROW(B192)-1)*5 + COLUMN(B192) + 1 )</f>
        <v>0.43</v>
      </c>
      <c r="D193" s="136">
        <f>INDEX(Calc!$K:$K, (ROW(C192)-1)*5 + COLUMN(C192) + 1 )</f>
        <v>0.43</v>
      </c>
      <c r="E193" s="137">
        <f>INDEX(Calc!$K:$K, (ROW(D192)-1)*5 + COLUMN(D192) + 1 )</f>
        <v>0.43</v>
      </c>
      <c r="F193" s="138">
        <f>INDEX(Calc!$K:$K, (ROW(E192)-1)*5 + COLUMN(E192) + 1 )</f>
        <v>0.43</v>
      </c>
      <c r="G193" s="133">
        <f>Закуп!O193</f>
        <v>0.72</v>
      </c>
      <c r="H193" s="133" t="str">
        <f>Закуп!Q193</f>
        <v>&lt;1 л</v>
      </c>
      <c r="I193" s="133" t="str">
        <f>Закуп!X193</f>
        <v>100-199 мм</v>
      </c>
      <c r="J193" s="133" t="str">
        <f>Закуп!Y193</f>
        <v>100-199 мм</v>
      </c>
      <c r="K193" s="133" t="str">
        <f>Закуп!Z193</f>
        <v>10-99 мм</v>
      </c>
      <c r="L193" s="133" t="str">
        <f>Закуп!AA193</f>
        <v>Самосборные</v>
      </c>
      <c r="M193" s="133" t="str">
        <f>Закуп!V193</f>
        <v/>
      </c>
      <c r="N193" s="133" t="str">
        <f>Закуп!W193</f>
        <v>Плоские</v>
      </c>
      <c r="O193" s="139" t="str">
        <f>IF(OR(Закуп!L193="",Закуп!L193=0),"",Закуп!L193)</f>
        <v>Sale</v>
      </c>
      <c r="P193" s="133" t="str">
        <f>Закуп!K193</f>
        <v>K194</v>
      </c>
      <c r="Q193" s="217" t="str">
        <f>IF(Закуп!D193="","",IF(LEFT(Закуп!D193,1)="0","0",Закуп!D193))</f>
        <v>У</v>
      </c>
      <c r="R193" s="155">
        <f>Закуп!C193</f>
        <v>193</v>
      </c>
    </row>
    <row r="194" spans="1:18" x14ac:dyDescent="0.3">
      <c r="A194" s="131" t="str">
        <f>Закуп!E194</f>
        <v>150х150х150</v>
      </c>
      <c r="B194" s="127">
        <f>INDEX(Calc!$K:$K, (ROW(A193)-1)*5 + COLUMN(A193) + 1 )</f>
        <v>1.39</v>
      </c>
      <c r="C194" s="127">
        <f>INDEX(Calc!$K:$K, (ROW(B193)-1)*5 + COLUMN(B193) + 1 )</f>
        <v>1.28</v>
      </c>
      <c r="D194" s="136">
        <f>INDEX(Calc!$K:$K, (ROW(C193)-1)*5 + COLUMN(C193) + 1 )</f>
        <v>1.18</v>
      </c>
      <c r="E194" s="137">
        <f>INDEX(Calc!$K:$K, (ROW(D193)-1)*5 + COLUMN(D193) + 1 )</f>
        <v>1.07</v>
      </c>
      <c r="F194" s="138">
        <f>INDEX(Calc!$K:$K, (ROW(E193)-1)*5 + COLUMN(E193) + 1 )</f>
        <v>0.96</v>
      </c>
      <c r="G194" s="133">
        <f>Закуп!O194</f>
        <v>3.38</v>
      </c>
      <c r="H194" s="133" t="str">
        <f>Закуп!Q194</f>
        <v>3-5 л</v>
      </c>
      <c r="I194" s="133" t="str">
        <f>Закуп!X194</f>
        <v>100-199 мм</v>
      </c>
      <c r="J194" s="133" t="str">
        <f>Закуп!Y194</f>
        <v>100-199 мм</v>
      </c>
      <c r="K194" s="133" t="str">
        <f>Закуп!Z194</f>
        <v>100-199 мм</v>
      </c>
      <c r="L194" s="133" t="str">
        <f>Закуп!AA194</f>
        <v>Четырехклапанные</v>
      </c>
      <c r="M194" s="133" t="str">
        <f>Закуп!V194</f>
        <v/>
      </c>
      <c r="N194" s="133" t="str">
        <f>Закуп!W194</f>
        <v/>
      </c>
      <c r="O194" s="139" t="str">
        <f>IF(OR(Закуп!L194="",Закуп!L194=0),"",Закуп!L194)</f>
        <v/>
      </c>
      <c r="P194" s="133" t="str">
        <f>Закуп!K194</f>
        <v>K195</v>
      </c>
      <c r="Q194" s="217" t="str">
        <f>IF(Закуп!D194="","",IF(LEFT(Закуп!D194,1)="0","0",Закуп!D194))</f>
        <v>У</v>
      </c>
      <c r="R194" s="155">
        <f>Закуп!C194</f>
        <v>194</v>
      </c>
    </row>
    <row r="195" spans="1:18" x14ac:dyDescent="0.3">
      <c r="A195" s="131" t="str">
        <f>Закуп!E195</f>
        <v>1135х100х50</v>
      </c>
      <c r="B195" s="127">
        <f>INDEX(Calc!$K:$K, (ROW(A194)-1)*5 + COLUMN(A194) + 1 )</f>
        <v>2.27</v>
      </c>
      <c r="C195" s="127">
        <f>INDEX(Calc!$K:$K, (ROW(B194)-1)*5 + COLUMN(B194) + 1 )</f>
        <v>2.11</v>
      </c>
      <c r="D195" s="136">
        <f>INDEX(Calc!$K:$K, (ROW(C194)-1)*5 + COLUMN(C194) + 1 )</f>
        <v>1.95</v>
      </c>
      <c r="E195" s="137">
        <f>INDEX(Calc!$K:$K, (ROW(D194)-1)*5 + COLUMN(D194) + 1 )</f>
        <v>1.84</v>
      </c>
      <c r="F195" s="138">
        <f>INDEX(Calc!$K:$K, (ROW(E194)-1)*5 + COLUMN(E194) + 1 )</f>
        <v>1.73</v>
      </c>
      <c r="G195" s="133">
        <f>Закуп!O195</f>
        <v>5.68</v>
      </c>
      <c r="H195" s="133" t="str">
        <f>Закуп!Q195</f>
        <v>5-10 л</v>
      </c>
      <c r="I195" s="133" t="str">
        <f>Закуп!X195</f>
        <v>1000+ мм</v>
      </c>
      <c r="J195" s="133" t="str">
        <f>Закуп!Y195</f>
        <v>100-199 мм</v>
      </c>
      <c r="K195" s="133" t="str">
        <f>Закуп!Z195</f>
        <v>10-99 мм</v>
      </c>
      <c r="L195" s="133" t="str">
        <f>Закуп!AA195</f>
        <v>Четырехклапанные</v>
      </c>
      <c r="M195" s="133" t="str">
        <f>Закуп!V195</f>
        <v>Длинные</v>
      </c>
      <c r="N195" s="133" t="str">
        <f>Закуп!W195</f>
        <v>Плоские</v>
      </c>
      <c r="O195" s="139" t="str">
        <f>IF(OR(Закуп!L195="",Закуп!L195=0),"",Закуп!L195)</f>
        <v/>
      </c>
      <c r="P195" s="133" t="str">
        <f>Закуп!K195</f>
        <v>K196</v>
      </c>
      <c r="Q195" s="217" t="str">
        <f>IF(Закуп!D195="","",IF(LEFT(Закуп!D195,1)="0","0",Закуп!D195))</f>
        <v>У</v>
      </c>
      <c r="R195" s="155">
        <f>Закуп!C195</f>
        <v>195</v>
      </c>
    </row>
    <row r="196" spans="1:18" x14ac:dyDescent="0.3">
      <c r="A196" s="131" t="str">
        <f>Закуп!E196</f>
        <v>125х110х60</v>
      </c>
      <c r="B196" s="127">
        <f>INDEX(Calc!$K:$K, (ROW(A195)-1)*5 + COLUMN(A195) + 1 )</f>
        <v>0.96</v>
      </c>
      <c r="C196" s="127">
        <f>INDEX(Calc!$K:$K, (ROW(B195)-1)*5 + COLUMN(B195) + 1 )</f>
        <v>0.86</v>
      </c>
      <c r="D196" s="136">
        <f>INDEX(Calc!$K:$K, (ROW(C195)-1)*5 + COLUMN(C195) + 1 )</f>
        <v>0.75</v>
      </c>
      <c r="E196" s="137">
        <f>INDEX(Calc!$K:$K, (ROW(D195)-1)*5 + COLUMN(D195) + 1 )</f>
        <v>0.64</v>
      </c>
      <c r="F196" s="138">
        <f>INDEX(Calc!$K:$K, (ROW(E195)-1)*5 + COLUMN(E195) + 1 )</f>
        <v>0.54</v>
      </c>
      <c r="G196" s="133">
        <f>Закуп!O196</f>
        <v>0.83</v>
      </c>
      <c r="H196" s="133" t="str">
        <f>Закуп!Q196</f>
        <v>&lt;1 л</v>
      </c>
      <c r="I196" s="133" t="str">
        <f>Закуп!X196</f>
        <v>100-199 мм</v>
      </c>
      <c r="J196" s="133" t="str">
        <f>Закуп!Y196</f>
        <v>100-199 мм</v>
      </c>
      <c r="K196" s="133" t="str">
        <f>Закуп!Z196</f>
        <v>10-99 мм</v>
      </c>
      <c r="L196" s="133" t="str">
        <f>Закуп!AA196</f>
        <v>Самосборные</v>
      </c>
      <c r="M196" s="133" t="str">
        <f>Закуп!V196</f>
        <v/>
      </c>
      <c r="N196" s="133" t="str">
        <f>Закуп!W196</f>
        <v/>
      </c>
      <c r="O196" s="139" t="str">
        <f>IF(OR(Закуп!L196="",Закуп!L196=0),"",Закуп!L196)</f>
        <v/>
      </c>
      <c r="P196" s="133" t="str">
        <f>Закуп!K196</f>
        <v>K197</v>
      </c>
      <c r="Q196" s="217" t="str">
        <f>IF(Закуп!D196="","",IF(LEFT(Закуп!D196,1)="0","0",Закуп!D196))</f>
        <v>У</v>
      </c>
      <c r="R196" s="155">
        <f>Закуп!C196</f>
        <v>196</v>
      </c>
    </row>
    <row r="197" spans="1:18" x14ac:dyDescent="0.3">
      <c r="A197" s="131" t="str">
        <f>Закуп!E197</f>
        <v>120х80х30</v>
      </c>
      <c r="B197" s="127">
        <f>INDEX(Calc!$K:$K, (ROW(A196)-1)*5 + COLUMN(A196) + 1 )</f>
        <v>0.96</v>
      </c>
      <c r="C197" s="127">
        <f>INDEX(Calc!$K:$K, (ROW(B196)-1)*5 + COLUMN(B196) + 1 )</f>
        <v>0.86</v>
      </c>
      <c r="D197" s="136">
        <f>INDEX(Calc!$K:$K, (ROW(C196)-1)*5 + COLUMN(C196) + 1 )</f>
        <v>0.75</v>
      </c>
      <c r="E197" s="137">
        <f>INDEX(Calc!$K:$K, (ROW(D196)-1)*5 + COLUMN(D196) + 1 )</f>
        <v>0.64</v>
      </c>
      <c r="F197" s="138">
        <f>INDEX(Calc!$K:$K, (ROW(E196)-1)*5 + COLUMN(E196) + 1 )</f>
        <v>0.54</v>
      </c>
      <c r="G197" s="133">
        <f>Закуп!O197</f>
        <v>0.28999999999999998</v>
      </c>
      <c r="H197" s="133" t="str">
        <f>Закуп!Q197</f>
        <v>&lt;1 л</v>
      </c>
      <c r="I197" s="133" t="str">
        <f>Закуп!X197</f>
        <v>100-199 мм</v>
      </c>
      <c r="J197" s="133" t="str">
        <f>Закуп!Y197</f>
        <v>10-99 мм</v>
      </c>
      <c r="K197" s="133" t="str">
        <f>Закуп!Z197</f>
        <v>10-99 мм</v>
      </c>
      <c r="L197" s="133" t="str">
        <f>Закуп!AA197</f>
        <v>Самосборные</v>
      </c>
      <c r="M197" s="133" t="str">
        <f>Закуп!V197</f>
        <v/>
      </c>
      <c r="N197" s="133" t="str">
        <f>Закуп!W197</f>
        <v>Плоские</v>
      </c>
      <c r="O197" s="139" t="str">
        <f>IF(OR(Закуп!L197="",Закуп!L197=0),"",Закуп!L197)</f>
        <v/>
      </c>
      <c r="P197" s="133" t="str">
        <f>Закуп!K197</f>
        <v>K198</v>
      </c>
      <c r="Q197" s="217" t="str">
        <f>IF(Закуп!D197="","",IF(LEFT(Закуп!D197,1)="0","0",Закуп!D197))</f>
        <v>У</v>
      </c>
      <c r="R197" s="155">
        <f>Закуп!C197</f>
        <v>197</v>
      </c>
    </row>
    <row r="198" spans="1:18" x14ac:dyDescent="0.3">
      <c r="A198" s="131" t="str">
        <f>Закуп!E198</f>
        <v>130х70х40</v>
      </c>
      <c r="B198" s="127">
        <f>INDEX(Calc!$K:$K, (ROW(A197)-1)*5 + COLUMN(A197) + 1 )</f>
        <v>0.96</v>
      </c>
      <c r="C198" s="127">
        <f>INDEX(Calc!$K:$K, (ROW(B197)-1)*5 + COLUMN(B197) + 1 )</f>
        <v>0.86</v>
      </c>
      <c r="D198" s="136">
        <f>INDEX(Calc!$K:$K, (ROW(C197)-1)*5 + COLUMN(C197) + 1 )</f>
        <v>0.75</v>
      </c>
      <c r="E198" s="137">
        <f>INDEX(Calc!$K:$K, (ROW(D197)-1)*5 + COLUMN(D197) + 1 )</f>
        <v>0.64</v>
      </c>
      <c r="F198" s="138">
        <f>INDEX(Calc!$K:$K, (ROW(E197)-1)*5 + COLUMN(E197) + 1 )</f>
        <v>0.54</v>
      </c>
      <c r="G198" s="133">
        <f>Закуп!O198</f>
        <v>0.36</v>
      </c>
      <c r="H198" s="133" t="str">
        <f>Закуп!Q198</f>
        <v>&lt;1 л</v>
      </c>
      <c r="I198" s="133" t="str">
        <f>Закуп!X198</f>
        <v>100-199 мм</v>
      </c>
      <c r="J198" s="133" t="str">
        <f>Закуп!Y198</f>
        <v>10-99 мм</v>
      </c>
      <c r="K198" s="133" t="str">
        <f>Закуп!Z198</f>
        <v>10-99 мм</v>
      </c>
      <c r="L198" s="133" t="str">
        <f>Закуп!AA198</f>
        <v>Четырехклапанные</v>
      </c>
      <c r="M198" s="133" t="str">
        <f>Закуп!V198</f>
        <v/>
      </c>
      <c r="N198" s="133" t="str">
        <f>Закуп!W198</f>
        <v/>
      </c>
      <c r="O198" s="139" t="str">
        <f>IF(OR(Закуп!L198="",Закуп!L198=0),"",Закуп!L198)</f>
        <v/>
      </c>
      <c r="P198" s="133" t="str">
        <f>Закуп!K198</f>
        <v>K199</v>
      </c>
      <c r="Q198" s="217" t="str">
        <f>IF(Закуп!D198="","",IF(LEFT(Закуп!D198,1)="0","0",Закуп!D198))</f>
        <v>У</v>
      </c>
      <c r="R198" s="155">
        <f>Закуп!C198</f>
        <v>198</v>
      </c>
    </row>
    <row r="199" spans="1:18" x14ac:dyDescent="0.3">
      <c r="A199" s="131" t="str">
        <f>Закуп!E199</f>
        <v>240х240х80</v>
      </c>
      <c r="B199" s="127">
        <f>INDEX(Calc!$K:$K, (ROW(A198)-1)*5 + COLUMN(A198) + 1 )</f>
        <v>1.58</v>
      </c>
      <c r="C199" s="127">
        <f>INDEX(Calc!$K:$K, (ROW(B198)-1)*5 + COLUMN(B198) + 1 )</f>
        <v>1.43</v>
      </c>
      <c r="D199" s="136">
        <f>INDEX(Calc!$K:$K, (ROW(C198)-1)*5 + COLUMN(C198) + 1 )</f>
        <v>1.1299999999999999</v>
      </c>
      <c r="E199" s="137">
        <f>INDEX(Calc!$K:$K, (ROW(D198)-1)*5 + COLUMN(D198) + 1 )</f>
        <v>1.06</v>
      </c>
      <c r="F199" s="138">
        <f>INDEX(Calc!$K:$K, (ROW(E198)-1)*5 + COLUMN(E198) + 1 )</f>
        <v>1.01</v>
      </c>
      <c r="G199" s="133">
        <f>Закуп!O199</f>
        <v>4.6100000000000003</v>
      </c>
      <c r="H199" s="133" t="str">
        <f>Закуп!Q199</f>
        <v>3-5 л</v>
      </c>
      <c r="I199" s="133" t="str">
        <f>Закуп!X199</f>
        <v>200-299 мм</v>
      </c>
      <c r="J199" s="133" t="str">
        <f>Закуп!Y199</f>
        <v>200-299 мм</v>
      </c>
      <c r="K199" s="133" t="str">
        <f>Закуп!Z199</f>
        <v>10-99 мм</v>
      </c>
      <c r="L199" s="133" t="str">
        <f>Закуп!AA199</f>
        <v>Четырехклапанные</v>
      </c>
      <c r="M199" s="133" t="str">
        <f>Закуп!V199</f>
        <v/>
      </c>
      <c r="N199" s="133" t="str">
        <f>Закуп!W199</f>
        <v>Плоские</v>
      </c>
      <c r="O199" s="139" t="str">
        <f>IF(OR(Закуп!L199="",Закуп!L199=0),"",Закуп!L199)</f>
        <v/>
      </c>
      <c r="P199" s="133" t="str">
        <f>Закуп!K199</f>
        <v>K200</v>
      </c>
      <c r="Q199" s="217" t="str">
        <f>IF(Закуп!D199="","",IF(LEFT(Закуп!D199,1)="0","0",Закуп!D199))</f>
        <v>У</v>
      </c>
      <c r="R199" s="155">
        <f>Закуп!C199</f>
        <v>199</v>
      </c>
    </row>
    <row r="200" spans="1:18" x14ac:dyDescent="0.3">
      <c r="A200" s="131" t="str">
        <f>Закуп!E200</f>
        <v>185х125х20</v>
      </c>
      <c r="B200" s="127">
        <f>INDEX(Calc!$K:$K, (ROW(A199)-1)*5 + COLUMN(A199) + 1 )</f>
        <v>0.96</v>
      </c>
      <c r="C200" s="127">
        <f>INDEX(Calc!$K:$K, (ROW(B199)-1)*5 + COLUMN(B199) + 1 )</f>
        <v>0.82</v>
      </c>
      <c r="D200" s="136">
        <f>INDEX(Calc!$K:$K, (ROW(C199)-1)*5 + COLUMN(C199) + 1 )</f>
        <v>0.7</v>
      </c>
      <c r="E200" s="137">
        <f>INDEX(Calc!$K:$K, (ROW(D199)-1)*5 + COLUMN(D199) + 1 )</f>
        <v>0.59</v>
      </c>
      <c r="F200" s="138">
        <f>INDEX(Calc!$K:$K, (ROW(E199)-1)*5 + COLUMN(E199) + 1 )</f>
        <v>0.51</v>
      </c>
      <c r="G200" s="133">
        <f>Закуп!O200</f>
        <v>0.46</v>
      </c>
      <c r="H200" s="133" t="str">
        <f>Закуп!Q200</f>
        <v>&lt;1 л</v>
      </c>
      <c r="I200" s="133" t="str">
        <f>Закуп!X200</f>
        <v>100-199 мм</v>
      </c>
      <c r="J200" s="133" t="str">
        <f>Закуп!Y200</f>
        <v>100-199 мм</v>
      </c>
      <c r="K200" s="133" t="str">
        <f>Закуп!Z200</f>
        <v>10-99 мм</v>
      </c>
      <c r="L200" s="133" t="str">
        <f>Закуп!AA200</f>
        <v>Самосборные</v>
      </c>
      <c r="M200" s="133" t="str">
        <f>Закуп!V200</f>
        <v/>
      </c>
      <c r="N200" s="133" t="str">
        <f>Закуп!W200</f>
        <v>Плоские</v>
      </c>
      <c r="O200" s="139" t="str">
        <f>IF(OR(Закуп!L200="",Закуп!L200=0),"",Закуп!L200)</f>
        <v/>
      </c>
      <c r="P200" s="133" t="str">
        <f>Закуп!K200</f>
        <v>K201</v>
      </c>
      <c r="Q200" s="217" t="str">
        <f>IF(Закуп!D200="","",IF(LEFT(Закуп!D200,1)="0","0",Закуп!D200))</f>
        <v>У</v>
      </c>
      <c r="R200" s="155">
        <f>Закуп!C200</f>
        <v>200</v>
      </c>
    </row>
    <row r="201" spans="1:18" x14ac:dyDescent="0.3">
      <c r="A201" s="131" t="str">
        <f>Закуп!E201</f>
        <v>540х325х100</v>
      </c>
      <c r="B201" s="127">
        <f>INDEX(Calc!$K:$K, (ROW(A200)-1)*5 + COLUMN(A200) + 1 )</f>
        <v>3.45</v>
      </c>
      <c r="C201" s="127">
        <f>INDEX(Calc!$K:$K, (ROW(B200)-1)*5 + COLUMN(B200) + 1 )</f>
        <v>2.75</v>
      </c>
      <c r="D201" s="136">
        <f>INDEX(Calc!$K:$K, (ROW(C200)-1)*5 + COLUMN(C200) + 1 )</f>
        <v>2.48</v>
      </c>
      <c r="E201" s="137">
        <f>INDEX(Calc!$K:$K, (ROW(D200)-1)*5 + COLUMN(D200) + 1 )</f>
        <v>2.2400000000000002</v>
      </c>
      <c r="F201" s="138">
        <f>INDEX(Calc!$K:$K, (ROW(E200)-1)*5 + COLUMN(E200) + 1 )</f>
        <v>2.13</v>
      </c>
      <c r="G201" s="133">
        <f>Закуп!O201</f>
        <v>17.55</v>
      </c>
      <c r="H201" s="133" t="str">
        <f>Закуп!Q201</f>
        <v>10-20 л</v>
      </c>
      <c r="I201" s="133" t="str">
        <f>Закуп!X201</f>
        <v>500-599 мм</v>
      </c>
      <c r="J201" s="133" t="str">
        <f>Закуп!Y201</f>
        <v>300-399 мм</v>
      </c>
      <c r="K201" s="133" t="str">
        <f>Закуп!Z201</f>
        <v>100-199 мм</v>
      </c>
      <c r="L201" s="133" t="str">
        <f>Закуп!AA201</f>
        <v>Четырехклапанные</v>
      </c>
      <c r="M201" s="133" t="str">
        <f>Закуп!V201</f>
        <v/>
      </c>
      <c r="N201" s="133" t="str">
        <f>Закуп!W201</f>
        <v>Плоские</v>
      </c>
      <c r="O201" s="139" t="str">
        <f>IF(OR(Закуп!L201="",Закуп!L201=0),"",Закуп!L201)</f>
        <v/>
      </c>
      <c r="P201" s="133" t="str">
        <f>Закуп!K201</f>
        <v>K202</v>
      </c>
      <c r="Q201" s="217" t="str">
        <f>IF(Закуп!D201="","",IF(LEFT(Закуп!D201,1)="0","0",Закуп!D201))</f>
        <v>У</v>
      </c>
      <c r="R201" s="155">
        <f>Закуп!C201</f>
        <v>201</v>
      </c>
    </row>
    <row r="202" spans="1:18" x14ac:dyDescent="0.3">
      <c r="A202" s="131" t="str">
        <f>Закуп!E202</f>
        <v>314х164х57</v>
      </c>
      <c r="B202" s="127">
        <f>INDEX(Calc!$K:$K, (ROW(A201)-1)*5 + COLUMN(A201) + 1 )</f>
        <v>1.53</v>
      </c>
      <c r="C202" s="127">
        <f>INDEX(Calc!$K:$K, (ROW(B201)-1)*5 + COLUMN(B201) + 1 )</f>
        <v>1.39</v>
      </c>
      <c r="D202" s="136">
        <f>INDEX(Calc!$K:$K, (ROW(C201)-1)*5 + COLUMN(C201) + 1 )</f>
        <v>1.0900000000000001</v>
      </c>
      <c r="E202" s="137">
        <f>INDEX(Calc!$K:$K, (ROW(D201)-1)*5 + COLUMN(D201) + 1 )</f>
        <v>1.03</v>
      </c>
      <c r="F202" s="138">
        <f>INDEX(Calc!$K:$K, (ROW(E201)-1)*5 + COLUMN(E201) + 1 )</f>
        <v>0.97</v>
      </c>
      <c r="G202" s="133">
        <f>Закуп!O202</f>
        <v>2.94</v>
      </c>
      <c r="H202" s="133" t="str">
        <f>Закуп!Q202</f>
        <v>2-3 л</v>
      </c>
      <c r="I202" s="133" t="str">
        <f>Закуп!X202</f>
        <v>300-399 мм</v>
      </c>
      <c r="J202" s="133" t="str">
        <f>Закуп!Y202</f>
        <v>100-199 мм</v>
      </c>
      <c r="K202" s="133" t="str">
        <f>Закуп!Z202</f>
        <v>10-99 мм</v>
      </c>
      <c r="L202" s="133" t="str">
        <f>Закуп!AA202</f>
        <v>Самосборные</v>
      </c>
      <c r="M202" s="133" t="str">
        <f>Закуп!V202</f>
        <v/>
      </c>
      <c r="N202" s="133" t="str">
        <f>Закуп!W202</f>
        <v>Плоские</v>
      </c>
      <c r="O202" s="139" t="str">
        <f>IF(OR(Закуп!L202="",Закуп!L202=0),"",Закуп!L202)</f>
        <v/>
      </c>
      <c r="P202" s="133" t="str">
        <f>Закуп!K202</f>
        <v>K203</v>
      </c>
      <c r="Q202" s="217" t="str">
        <f>IF(Закуп!D202="","",IF(LEFT(Закуп!D202,1)="0","0",Закуп!D202))</f>
        <v>У</v>
      </c>
      <c r="R202" s="155">
        <f>Закуп!C202</f>
        <v>202</v>
      </c>
    </row>
    <row r="203" spans="1:18" x14ac:dyDescent="0.3">
      <c r="A203" s="131" t="str">
        <f>Закуп!E203</f>
        <v>187х124х140</v>
      </c>
      <c r="B203" s="127">
        <f>INDEX(Calc!$K:$K, (ROW(A202)-1)*5 + COLUMN(A202) + 1 )</f>
        <v>1.06</v>
      </c>
      <c r="C203" s="127">
        <f>INDEX(Calc!$K:$K, (ROW(B202)-1)*5 + COLUMN(B202) + 1 )</f>
        <v>0.92</v>
      </c>
      <c r="D203" s="136">
        <f>INDEX(Calc!$K:$K, (ROW(C202)-1)*5 + COLUMN(C202) + 1 )</f>
        <v>0.85</v>
      </c>
      <c r="E203" s="137">
        <f>INDEX(Calc!$K:$K, (ROW(D202)-1)*5 + COLUMN(D202) + 1 )</f>
        <v>0.77</v>
      </c>
      <c r="F203" s="138">
        <f>INDEX(Calc!$K:$K, (ROW(E202)-1)*5 + COLUMN(E202) + 1 )</f>
        <v>0.72</v>
      </c>
      <c r="G203" s="133">
        <f>Закуп!O203</f>
        <v>3.25</v>
      </c>
      <c r="H203" s="133" t="str">
        <f>Закуп!Q203</f>
        <v>3-5 л</v>
      </c>
      <c r="I203" s="133" t="str">
        <f>Закуп!X203</f>
        <v>100-199 мм</v>
      </c>
      <c r="J203" s="133" t="str">
        <f>Закуп!Y203</f>
        <v>100-199 мм</v>
      </c>
      <c r="K203" s="133" t="str">
        <f>Закуп!Z203</f>
        <v>100-199 мм</v>
      </c>
      <c r="L203" s="133" t="str">
        <f>Закуп!AA203</f>
        <v>Самосборные</v>
      </c>
      <c r="M203" s="133" t="str">
        <f>Закуп!V203</f>
        <v/>
      </c>
      <c r="N203" s="133" t="str">
        <f>Закуп!W203</f>
        <v/>
      </c>
      <c r="O203" s="139" t="str">
        <f>IF(OR(Закуп!L203="",Закуп!L203=0),"",Закуп!L203)</f>
        <v/>
      </c>
      <c r="P203" s="133" t="str">
        <f>Закуп!K203</f>
        <v>K204</v>
      </c>
      <c r="Q203" s="217" t="str">
        <f>IF(Закуп!D203="","",IF(LEFT(Закуп!D203,1)="0","0",Закуп!D203))</f>
        <v>У</v>
      </c>
      <c r="R203" s="155">
        <f>Закуп!C203</f>
        <v>203</v>
      </c>
    </row>
    <row r="204" spans="1:18" x14ac:dyDescent="0.3">
      <c r="A204" s="131" t="str">
        <f>Закуп!E204</f>
        <v>354х184х65</v>
      </c>
      <c r="B204" s="127">
        <f>INDEX(Calc!$K:$K, (ROW(A203)-1)*5 + COLUMN(A203) + 1 )</f>
        <v>1.89</v>
      </c>
      <c r="C204" s="127">
        <f>INDEX(Calc!$K:$K, (ROW(B203)-1)*5 + COLUMN(B203) + 1 )</f>
        <v>1.72</v>
      </c>
      <c r="D204" s="136">
        <f>INDEX(Calc!$K:$K, (ROW(C203)-1)*5 + COLUMN(C203) + 1 )</f>
        <v>1.36</v>
      </c>
      <c r="E204" s="137">
        <f>INDEX(Calc!$K:$K, (ROW(D203)-1)*5 + COLUMN(D203) + 1 )</f>
        <v>1.27</v>
      </c>
      <c r="F204" s="138">
        <f>INDEX(Calc!$K:$K, (ROW(E203)-1)*5 + COLUMN(E203) + 1 )</f>
        <v>1.1200000000000001</v>
      </c>
      <c r="G204" s="133">
        <f>Закуп!O204</f>
        <v>4.2300000000000004</v>
      </c>
      <c r="H204" s="133" t="str">
        <f>Закуп!Q204</f>
        <v>3-5 л</v>
      </c>
      <c r="I204" s="133" t="str">
        <f>Закуп!X204</f>
        <v>300-399 мм</v>
      </c>
      <c r="J204" s="133" t="str">
        <f>Закуп!Y204</f>
        <v>100-199 мм</v>
      </c>
      <c r="K204" s="133" t="str">
        <f>Закуп!Z204</f>
        <v>10-99 мм</v>
      </c>
      <c r="L204" s="133" t="str">
        <f>Закуп!AA204</f>
        <v>Самосборные</v>
      </c>
      <c r="M204" s="133" t="str">
        <f>Закуп!V204</f>
        <v/>
      </c>
      <c r="N204" s="133" t="str">
        <f>Закуп!W204</f>
        <v>Плоские</v>
      </c>
      <c r="O204" s="139" t="str">
        <f>IF(OR(Закуп!L204="",Закуп!L204=0),"",Закуп!L204)</f>
        <v/>
      </c>
      <c r="P204" s="133" t="str">
        <f>Закуп!K204</f>
        <v>K205</v>
      </c>
      <c r="Q204" s="217" t="str">
        <f>IF(Закуп!D204="","",IF(LEFT(Закуп!D204,1)="0","0",Закуп!D204))</f>
        <v>У</v>
      </c>
      <c r="R204" s="155">
        <f>Закуп!C204</f>
        <v>204</v>
      </c>
    </row>
    <row r="205" spans="1:18" x14ac:dyDescent="0.3">
      <c r="A205" s="131" t="str">
        <f>Закуп!E205</f>
        <v>480х300х70</v>
      </c>
      <c r="B205" s="127">
        <f>INDEX(Calc!$K:$K, (ROW(A204)-1)*5 + COLUMN(A204) + 1 )</f>
        <v>2.78</v>
      </c>
      <c r="C205" s="127">
        <f>INDEX(Calc!$K:$K, (ROW(B204)-1)*5 + COLUMN(B204) + 1 )</f>
        <v>2.4300000000000002</v>
      </c>
      <c r="D205" s="136">
        <f>INDEX(Calc!$K:$K, (ROW(C204)-1)*5 + COLUMN(C204) + 1 )</f>
        <v>2.21</v>
      </c>
      <c r="E205" s="137">
        <f>INDEX(Calc!$K:$K, (ROW(D204)-1)*5 + COLUMN(D204) + 1 )</f>
        <v>1.97</v>
      </c>
      <c r="F205" s="138">
        <f>INDEX(Calc!$K:$K, (ROW(E204)-1)*5 + COLUMN(E204) + 1 )</f>
        <v>1.88</v>
      </c>
      <c r="G205" s="133">
        <f>Закуп!O205</f>
        <v>10.08</v>
      </c>
      <c r="H205" s="133" t="str">
        <f>Закуп!Q205</f>
        <v>10-20 л</v>
      </c>
      <c r="I205" s="133" t="str">
        <f>Закуп!X205</f>
        <v>400-499 мм</v>
      </c>
      <c r="J205" s="133" t="str">
        <f>Закуп!Y205</f>
        <v>300-399 мм</v>
      </c>
      <c r="K205" s="133" t="str">
        <f>Закуп!Z205</f>
        <v>10-99 мм</v>
      </c>
      <c r="L205" s="133" t="str">
        <f>Закуп!AA205</f>
        <v>Самосборные</v>
      </c>
      <c r="M205" s="133" t="str">
        <f>Закуп!V205</f>
        <v/>
      </c>
      <c r="N205" s="133" t="str">
        <f>Закуп!W205</f>
        <v>Плоские</v>
      </c>
      <c r="O205" s="139" t="str">
        <f>IF(OR(Закуп!L205="",Закуп!L205=0),"",Закуп!L205)</f>
        <v/>
      </c>
      <c r="P205" s="133" t="str">
        <f>Закуп!K205</f>
        <v>K206</v>
      </c>
      <c r="Q205" s="217" t="str">
        <f>IF(Закуп!D205="","",IF(LEFT(Закуп!D205,1)="0","0",Закуп!D205))</f>
        <v>У</v>
      </c>
      <c r="R205" s="155">
        <f>Закуп!C205</f>
        <v>205</v>
      </c>
    </row>
    <row r="206" spans="1:18" x14ac:dyDescent="0.3">
      <c r="A206" s="131" t="str">
        <f>Закуп!E206</f>
        <v>342х242х192</v>
      </c>
      <c r="B206" s="127">
        <f>INDEX(Calc!$K:$K, (ROW(A205)-1)*5 + COLUMN(A205) + 1 )</f>
        <v>3.1</v>
      </c>
      <c r="C206" s="127">
        <f>INDEX(Calc!$K:$K, (ROW(B205)-1)*5 + COLUMN(B205) + 1 )</f>
        <v>2.7</v>
      </c>
      <c r="D206" s="136">
        <f>INDEX(Calc!$K:$K, (ROW(C205)-1)*5 + COLUMN(C205) + 1 )</f>
        <v>2.42</v>
      </c>
      <c r="E206" s="137">
        <f>INDEX(Calc!$K:$K, (ROW(D205)-1)*5 + COLUMN(D205) + 1 )</f>
        <v>2.1800000000000002</v>
      </c>
      <c r="F206" s="138">
        <f>INDEX(Calc!$K:$K, (ROW(E205)-1)*5 + COLUMN(E205) + 1 )</f>
        <v>2.09</v>
      </c>
      <c r="G206" s="133">
        <f>Закуп!O206</f>
        <v>15.89</v>
      </c>
      <c r="H206" s="133" t="str">
        <f>Закуп!Q206</f>
        <v>10-20 л</v>
      </c>
      <c r="I206" s="133" t="str">
        <f>Закуп!X206</f>
        <v>300-399 мм</v>
      </c>
      <c r="J206" s="133" t="str">
        <f>Закуп!Y206</f>
        <v>200-299 мм</v>
      </c>
      <c r="K206" s="133" t="str">
        <f>Закуп!Z206</f>
        <v>100-199 мм</v>
      </c>
      <c r="L206" s="133" t="str">
        <f>Закуп!AA206</f>
        <v>Четырехклапанные</v>
      </c>
      <c r="M206" s="133" t="str">
        <f>Закуп!V206</f>
        <v/>
      </c>
      <c r="N206" s="133" t="str">
        <f>Закуп!W206</f>
        <v/>
      </c>
      <c r="O206" s="139" t="str">
        <f>IF(OR(Закуп!L206="",Закуп!L206=0),"",Закуп!L206)</f>
        <v/>
      </c>
      <c r="P206" s="133" t="str">
        <f>Закуп!K206</f>
        <v>K207</v>
      </c>
      <c r="Q206" s="217" t="str">
        <f>IF(Закуп!D206="","",IF(LEFT(Закуп!D206,1)="0","0",Закуп!D206))</f>
        <v>У</v>
      </c>
      <c r="R206" s="155">
        <f>Закуп!C206</f>
        <v>206</v>
      </c>
    </row>
    <row r="207" spans="1:18" x14ac:dyDescent="0.3">
      <c r="A207" s="131" t="str">
        <f>Закуп!E207</f>
        <v>429х357х175</v>
      </c>
      <c r="B207" s="127">
        <f>INDEX(Calc!$K:$K, (ROW(A206)-1)*5 + COLUMN(A206) + 1 )</f>
        <v>3.53</v>
      </c>
      <c r="C207" s="127">
        <f>INDEX(Calc!$K:$K, (ROW(B206)-1)*5 + COLUMN(B206) + 1 )</f>
        <v>3.06</v>
      </c>
      <c r="D207" s="136">
        <f>INDEX(Calc!$K:$K, (ROW(C206)-1)*5 + COLUMN(C206) + 1 )</f>
        <v>2.58</v>
      </c>
      <c r="E207" s="137">
        <f>INDEX(Calc!$K:$K, (ROW(D206)-1)*5 + COLUMN(D206) + 1 )</f>
        <v>2.4500000000000002</v>
      </c>
      <c r="F207" s="138">
        <f>INDEX(Calc!$K:$K, (ROW(E206)-1)*5 + COLUMN(E206) + 1 )</f>
        <v>2.33</v>
      </c>
      <c r="G207" s="133">
        <f>Закуп!O207</f>
        <v>26.8</v>
      </c>
      <c r="H207" s="133" t="str">
        <f>Закуп!Q207</f>
        <v>20-50 л</v>
      </c>
      <c r="I207" s="133" t="str">
        <f>Закуп!X207</f>
        <v>400-499 мм</v>
      </c>
      <c r="J207" s="133" t="str">
        <f>Закуп!Y207</f>
        <v>300-399 мм</v>
      </c>
      <c r="K207" s="133" t="str">
        <f>Закуп!Z207</f>
        <v>100-199 мм</v>
      </c>
      <c r="L207" s="133" t="str">
        <f>Закуп!AA207</f>
        <v>Четырехклапанные</v>
      </c>
      <c r="M207" s="133" t="str">
        <f>Закуп!V207</f>
        <v/>
      </c>
      <c r="N207" s="133" t="str">
        <f>Закуп!W207</f>
        <v>Плоские</v>
      </c>
      <c r="O207" s="139" t="str">
        <f>IF(OR(Закуп!L207="",Закуп!L207=0),"",Закуп!L207)</f>
        <v/>
      </c>
      <c r="P207" s="133" t="str">
        <f>Закуп!K207</f>
        <v>K208</v>
      </c>
      <c r="Q207" s="217" t="str">
        <f>IF(Закуп!D207="","",IF(LEFT(Закуп!D207,1)="0","0",Закуп!D207))</f>
        <v>У</v>
      </c>
      <c r="R207" s="155">
        <f>Закуп!C207</f>
        <v>207</v>
      </c>
    </row>
    <row r="208" spans="1:18" x14ac:dyDescent="0.3">
      <c r="A208" s="131" t="str">
        <f>Закуп!E208</f>
        <v>385х383х216</v>
      </c>
      <c r="B208" s="127">
        <f>INDEX(Calc!$K:$K, (ROW(A207)-1)*5 + COLUMN(A207) + 1 )</f>
        <v>3.85</v>
      </c>
      <c r="C208" s="127">
        <f>INDEX(Calc!$K:$K, (ROW(B207)-1)*5 + COLUMN(B207) + 1 )</f>
        <v>3.33</v>
      </c>
      <c r="D208" s="136">
        <f>INDEX(Calc!$K:$K, (ROW(C207)-1)*5 + COLUMN(C207) + 1 )</f>
        <v>2.8</v>
      </c>
      <c r="E208" s="137">
        <f>INDEX(Calc!$K:$K, (ROW(D207)-1)*5 + COLUMN(D207) + 1 )</f>
        <v>2.65</v>
      </c>
      <c r="F208" s="138">
        <f>INDEX(Calc!$K:$K, (ROW(E207)-1)*5 + COLUMN(E207) + 1 )</f>
        <v>2.57</v>
      </c>
      <c r="G208" s="133">
        <f>Закуп!O208</f>
        <v>31.85</v>
      </c>
      <c r="H208" s="133" t="str">
        <f>Закуп!Q208</f>
        <v>20-50 л</v>
      </c>
      <c r="I208" s="133" t="str">
        <f>Закуп!X208</f>
        <v>300-399 мм</v>
      </c>
      <c r="J208" s="133" t="str">
        <f>Закуп!Y208</f>
        <v>300-399 мм</v>
      </c>
      <c r="K208" s="133" t="str">
        <f>Закуп!Z208</f>
        <v>200-299 мм</v>
      </c>
      <c r="L208" s="133" t="str">
        <f>Закуп!AA208</f>
        <v>Четырехклапанные</v>
      </c>
      <c r="M208" s="133" t="str">
        <f>Закуп!V208</f>
        <v/>
      </c>
      <c r="N208" s="133" t="str">
        <f>Закуп!W208</f>
        <v/>
      </c>
      <c r="O208" s="139" t="str">
        <f>IF(OR(Закуп!L208="",Закуп!L208=0),"",Закуп!L208)</f>
        <v/>
      </c>
      <c r="P208" s="133" t="str">
        <f>Закуп!K208</f>
        <v>K209</v>
      </c>
      <c r="Q208" s="217" t="str">
        <f>IF(Закуп!D208="","",IF(LEFT(Закуп!D208,1)="0","0",Закуп!D208))</f>
        <v>У</v>
      </c>
      <c r="R208" s="155">
        <f>Закуп!C208</f>
        <v>208</v>
      </c>
    </row>
    <row r="209" spans="1:18" x14ac:dyDescent="0.3">
      <c r="A209" s="131" t="str">
        <f>Закуп!E209</f>
        <v>115х100х80</v>
      </c>
      <c r="B209" s="127">
        <f>INDEX(Calc!$K:$K, (ROW(A208)-1)*5 + COLUMN(A208) + 1 )</f>
        <v>1.07</v>
      </c>
      <c r="C209" s="127">
        <f>INDEX(Calc!$K:$K, (ROW(B208)-1)*5 + COLUMN(B208) + 1 )</f>
        <v>0.93</v>
      </c>
      <c r="D209" s="136">
        <f>INDEX(Calc!$K:$K, (ROW(C208)-1)*5 + COLUMN(C208) + 1 )</f>
        <v>0.75</v>
      </c>
      <c r="E209" s="137">
        <f>INDEX(Calc!$K:$K, (ROW(D208)-1)*5 + COLUMN(D208) + 1 )</f>
        <v>0.63</v>
      </c>
      <c r="F209" s="138">
        <f>INDEX(Calc!$K:$K, (ROW(E208)-1)*5 + COLUMN(E208) + 1 )</f>
        <v>0.54</v>
      </c>
      <c r="G209" s="133">
        <f>Закуп!O209</f>
        <v>0.92</v>
      </c>
      <c r="H209" s="133" t="str">
        <f>Закуп!Q209</f>
        <v>&lt;1 л</v>
      </c>
      <c r="I209" s="133" t="str">
        <f>Закуп!X209</f>
        <v>100-199 мм</v>
      </c>
      <c r="J209" s="133" t="str">
        <f>Закуп!Y209</f>
        <v>100-199 мм</v>
      </c>
      <c r="K209" s="133" t="str">
        <f>Закуп!Z209</f>
        <v>10-99 мм</v>
      </c>
      <c r="L209" s="133" t="str">
        <f>Закуп!AA209</f>
        <v>Крышка-дно</v>
      </c>
      <c r="M209" s="133" t="str">
        <f>Закуп!V209</f>
        <v/>
      </c>
      <c r="N209" s="133" t="str">
        <f>Закуп!W209</f>
        <v/>
      </c>
      <c r="O209" s="139" t="str">
        <f>IF(OR(Закуп!L209="",Закуп!L209=0),"",Закуп!L209)</f>
        <v/>
      </c>
      <c r="P209" s="133" t="str">
        <f>Закуп!K209</f>
        <v>K210</v>
      </c>
      <c r="Q209" s="217" t="str">
        <f>IF(Закуп!D209="","",IF(LEFT(Закуп!D209,1)="0","0",Закуп!D209))</f>
        <v>У</v>
      </c>
      <c r="R209" s="155">
        <f>Закуп!C209</f>
        <v>209</v>
      </c>
    </row>
    <row r="210" spans="1:18" x14ac:dyDescent="0.3">
      <c r="A210" s="131" t="str">
        <f>Закуп!E210</f>
        <v>235х225х117</v>
      </c>
      <c r="B210" s="127">
        <f>INDEX(Calc!$K:$K, (ROW(A209)-1)*5 + COLUMN(A209) + 1 )</f>
        <v>2.29</v>
      </c>
      <c r="C210" s="127">
        <f>INDEX(Calc!$K:$K, (ROW(B209)-1)*5 + COLUMN(B209) + 1 )</f>
        <v>2.08</v>
      </c>
      <c r="D210" s="136">
        <f>INDEX(Calc!$K:$K, (ROW(C209)-1)*5 + COLUMN(C209) + 1 )</f>
        <v>1.63</v>
      </c>
      <c r="E210" s="137">
        <f>INDEX(Calc!$K:$K, (ROW(D209)-1)*5 + COLUMN(D209) + 1 )</f>
        <v>1.4</v>
      </c>
      <c r="F210" s="138">
        <f>INDEX(Calc!$K:$K, (ROW(E209)-1)*5 + COLUMN(E209) + 1 )</f>
        <v>1.31</v>
      </c>
      <c r="G210" s="133">
        <f>Закуп!O210</f>
        <v>6.19</v>
      </c>
      <c r="H210" s="133" t="str">
        <f>Закуп!Q210</f>
        <v>5-10 л</v>
      </c>
      <c r="I210" s="133" t="str">
        <f>Закуп!X210</f>
        <v>200-299 мм</v>
      </c>
      <c r="J210" s="133" t="str">
        <f>Закуп!Y210</f>
        <v>200-299 мм</v>
      </c>
      <c r="K210" s="133" t="str">
        <f>Закуп!Z210</f>
        <v>100-199 мм</v>
      </c>
      <c r="L210" s="133" t="str">
        <f>Закуп!AA210</f>
        <v>Крышка-дно</v>
      </c>
      <c r="M210" s="133" t="str">
        <f>Закуп!V210</f>
        <v/>
      </c>
      <c r="N210" s="133" t="str">
        <f>Закуп!W210</f>
        <v/>
      </c>
      <c r="O210" s="139" t="str">
        <f>IF(OR(Закуп!L210="",Закуп!L210=0),"",Закуп!L210)</f>
        <v/>
      </c>
      <c r="P210" s="133" t="str">
        <f>Закуп!K210</f>
        <v>K211</v>
      </c>
      <c r="Q210" s="217" t="str">
        <f>IF(Закуп!D210="","",IF(LEFT(Закуп!D210,1)="0","0",Закуп!D210))</f>
        <v>У</v>
      </c>
      <c r="R210" s="155">
        <f>Закуп!C210</f>
        <v>210</v>
      </c>
    </row>
    <row r="211" spans="1:18" x14ac:dyDescent="0.3">
      <c r="A211" s="131" t="str">
        <f>Закуп!E211</f>
        <v>185х145х57</v>
      </c>
      <c r="B211" s="127">
        <f>INDEX(Calc!$K:$K, (ROW(A210)-1)*5 + COLUMN(A210) + 1 )</f>
        <v>1.17</v>
      </c>
      <c r="C211" s="127">
        <f>INDEX(Calc!$K:$K, (ROW(B210)-1)*5 + COLUMN(B210) + 1 )</f>
        <v>0.97</v>
      </c>
      <c r="D211" s="136">
        <f>INDEX(Calc!$K:$K, (ROW(C210)-1)*5 + COLUMN(C210) + 1 )</f>
        <v>0.89</v>
      </c>
      <c r="E211" s="137">
        <f>INDEX(Calc!$K:$K, (ROW(D210)-1)*5 + COLUMN(D210) + 1 )</f>
        <v>0.81</v>
      </c>
      <c r="F211" s="138">
        <f>INDEX(Calc!$K:$K, (ROW(E210)-1)*5 + COLUMN(E210) + 1 )</f>
        <v>0.76</v>
      </c>
      <c r="G211" s="133">
        <f>Закуп!O211</f>
        <v>1.53</v>
      </c>
      <c r="H211" s="133" t="str">
        <f>Закуп!Q211</f>
        <v>1-2 л</v>
      </c>
      <c r="I211" s="133" t="str">
        <f>Закуп!X211</f>
        <v>100-199 мм</v>
      </c>
      <c r="J211" s="133" t="str">
        <f>Закуп!Y211</f>
        <v>100-199 мм</v>
      </c>
      <c r="K211" s="133" t="str">
        <f>Закуп!Z211</f>
        <v>10-99 мм</v>
      </c>
      <c r="L211" s="133" t="str">
        <f>Закуп!AA211</f>
        <v>Самосборные</v>
      </c>
      <c r="M211" s="133" t="str">
        <f>Закуп!V211</f>
        <v/>
      </c>
      <c r="N211" s="133" t="str">
        <f>Закуп!W211</f>
        <v>Плоские</v>
      </c>
      <c r="O211" s="139" t="str">
        <f>IF(OR(Закуп!L211="",Закуп!L211=0),"",Закуп!L211)</f>
        <v/>
      </c>
      <c r="P211" s="133" t="str">
        <f>Закуп!K211</f>
        <v>K212</v>
      </c>
      <c r="Q211" s="217" t="str">
        <f>IF(Закуп!D211="","",IF(LEFT(Закуп!D211,1)="0","0",Закуп!D211))</f>
        <v>У</v>
      </c>
      <c r="R211" s="155">
        <f>Закуп!C211</f>
        <v>211</v>
      </c>
    </row>
    <row r="212" spans="1:18" x14ac:dyDescent="0.3">
      <c r="A212" s="131" t="str">
        <f>Закуп!E212</f>
        <v>280х190х55</v>
      </c>
      <c r="B212" s="127">
        <f>INDEX(Calc!$K:$K, (ROW(A211)-1)*5 + COLUMN(A211) + 1 )</f>
        <v>1.55</v>
      </c>
      <c r="C212" s="127">
        <f>INDEX(Calc!$K:$K, (ROW(B211)-1)*5 + COLUMN(B211) + 1 )</f>
        <v>1.41</v>
      </c>
      <c r="D212" s="136">
        <f>INDEX(Calc!$K:$K, (ROW(C211)-1)*5 + COLUMN(C211) + 1 )</f>
        <v>1.1100000000000001</v>
      </c>
      <c r="E212" s="137">
        <f>INDEX(Calc!$K:$K, (ROW(D211)-1)*5 + COLUMN(D211) + 1 )</f>
        <v>1.05</v>
      </c>
      <c r="F212" s="138">
        <f>INDEX(Calc!$K:$K, (ROW(E211)-1)*5 + COLUMN(E211) + 1 )</f>
        <v>0.98</v>
      </c>
      <c r="G212" s="133">
        <f>Закуп!O212</f>
        <v>2.93</v>
      </c>
      <c r="H212" s="133" t="str">
        <f>Закуп!Q212</f>
        <v>2-3 л</v>
      </c>
      <c r="I212" s="133" t="str">
        <f>Закуп!X212</f>
        <v>200-299 мм</v>
      </c>
      <c r="J212" s="133" t="str">
        <f>Закуп!Y212</f>
        <v>100-199 мм</v>
      </c>
      <c r="K212" s="133" t="str">
        <f>Закуп!Z212</f>
        <v>10-99 мм</v>
      </c>
      <c r="L212" s="133" t="str">
        <f>Закуп!AA212</f>
        <v>Самосборные</v>
      </c>
      <c r="M212" s="133" t="str">
        <f>Закуп!V212</f>
        <v/>
      </c>
      <c r="N212" s="133" t="str">
        <f>Закуп!W212</f>
        <v>Плоские</v>
      </c>
      <c r="O212" s="139" t="str">
        <f>IF(OR(Закуп!L212="",Закуп!L212=0),"",Закуп!L212)</f>
        <v/>
      </c>
      <c r="P212" s="133" t="str">
        <f>Закуп!K212</f>
        <v>K213</v>
      </c>
      <c r="Q212" s="217" t="str">
        <f>IF(Закуп!D212="","",IF(LEFT(Закуп!D212,1)="0","0",Закуп!D212))</f>
        <v>У</v>
      </c>
      <c r="R212" s="155">
        <f>Закуп!C212</f>
        <v>212</v>
      </c>
    </row>
    <row r="213" spans="1:18" x14ac:dyDescent="0.3">
      <c r="A213" s="131" t="str">
        <f>Закуп!E213</f>
        <v>290х225х90</v>
      </c>
      <c r="B213" s="127">
        <f>INDEX(Calc!$K:$K, (ROW(A212)-1)*5 + COLUMN(A212) + 1 )</f>
        <v>2.48</v>
      </c>
      <c r="C213" s="127">
        <f>INDEX(Calc!$K:$K, (ROW(B212)-1)*5 + COLUMN(B212) + 1 )</f>
        <v>2.2599999999999998</v>
      </c>
      <c r="D213" s="136">
        <f>INDEX(Calc!$K:$K, (ROW(C212)-1)*5 + COLUMN(C212) + 1 )</f>
        <v>1.77</v>
      </c>
      <c r="E213" s="137">
        <f>INDEX(Calc!$K:$K, (ROW(D212)-1)*5 + COLUMN(D212) + 1 )</f>
        <v>1.53</v>
      </c>
      <c r="F213" s="138">
        <f>INDEX(Calc!$K:$K, (ROW(E212)-1)*5 + COLUMN(E212) + 1 )</f>
        <v>1.42</v>
      </c>
      <c r="G213" s="133">
        <f>Закуп!O213</f>
        <v>5.87</v>
      </c>
      <c r="H213" s="133" t="str">
        <f>Закуп!Q213</f>
        <v>5-10 л</v>
      </c>
      <c r="I213" s="133" t="str">
        <f>Закуп!X213</f>
        <v>200-299 мм</v>
      </c>
      <c r="J213" s="133" t="str">
        <f>Закуп!Y213</f>
        <v>200-299 мм</v>
      </c>
      <c r="K213" s="133" t="str">
        <f>Закуп!Z213</f>
        <v>10-99 мм</v>
      </c>
      <c r="L213" s="133" t="str">
        <f>Закуп!AA213</f>
        <v>Самосборные</v>
      </c>
      <c r="M213" s="133" t="str">
        <f>Закуп!V213</f>
        <v/>
      </c>
      <c r="N213" s="133" t="str">
        <f>Закуп!W213</f>
        <v>Плоские</v>
      </c>
      <c r="O213" s="139" t="str">
        <f>IF(OR(Закуп!L213="",Закуп!L213=0),"",Закуп!L213)</f>
        <v/>
      </c>
      <c r="P213" s="133" t="str">
        <f>Закуп!K213</f>
        <v>K214</v>
      </c>
      <c r="Q213" s="217" t="str">
        <f>IF(Закуп!D213="","",IF(LEFT(Закуп!D213,1)="0","0",Закуп!D213))</f>
        <v>У</v>
      </c>
      <c r="R213" s="155">
        <f>Закуп!C213</f>
        <v>213</v>
      </c>
    </row>
    <row r="214" spans="1:18" x14ac:dyDescent="0.3">
      <c r="A214" s="131" t="str">
        <f>Закуп!E214</f>
        <v>110х98х45</v>
      </c>
      <c r="B214" s="127">
        <f>INDEX(Calc!$K:$K, (ROW(A213)-1)*5 + COLUMN(A213) + 1 )</f>
        <v>1.07</v>
      </c>
      <c r="C214" s="127">
        <f>INDEX(Calc!$K:$K, (ROW(B213)-1)*5 + COLUMN(B213) + 1 )</f>
        <v>0.91</v>
      </c>
      <c r="D214" s="136">
        <f>INDEX(Calc!$K:$K, (ROW(C213)-1)*5 + COLUMN(C213) + 1 )</f>
        <v>0.75</v>
      </c>
      <c r="E214" s="137">
        <f>INDEX(Calc!$K:$K, (ROW(D213)-1)*5 + COLUMN(D213) + 1 )</f>
        <v>0.64</v>
      </c>
      <c r="F214" s="138">
        <f>INDEX(Calc!$K:$K, (ROW(E213)-1)*5 + COLUMN(E213) + 1 )</f>
        <v>0.54</v>
      </c>
      <c r="G214" s="133">
        <f>Закуп!O214</f>
        <v>0.49</v>
      </c>
      <c r="H214" s="133" t="str">
        <f>Закуп!Q214</f>
        <v>&lt;1 л</v>
      </c>
      <c r="I214" s="133" t="str">
        <f>Закуп!X214</f>
        <v>100-199 мм</v>
      </c>
      <c r="J214" s="133" t="str">
        <f>Закуп!Y214</f>
        <v>10-99 мм</v>
      </c>
      <c r="K214" s="133" t="str">
        <f>Закуп!Z214</f>
        <v>10-99 мм</v>
      </c>
      <c r="L214" s="133" t="str">
        <f>Закуп!AA214</f>
        <v>Самосборные</v>
      </c>
      <c r="M214" s="133" t="str">
        <f>Закуп!V214</f>
        <v/>
      </c>
      <c r="N214" s="133" t="str">
        <f>Закуп!W214</f>
        <v>Плоские</v>
      </c>
      <c r="O214" s="139" t="str">
        <f>IF(OR(Закуп!L214="",Закуп!L214=0),"",Закуп!L214)</f>
        <v/>
      </c>
      <c r="P214" s="133" t="str">
        <f>Закуп!K214</f>
        <v>K215</v>
      </c>
      <c r="Q214" s="217" t="str">
        <f>IF(Закуп!D214="","",IF(LEFT(Закуп!D214,1)="0","0",Закуп!D214))</f>
        <v>У</v>
      </c>
      <c r="R214" s="155">
        <f>Закуп!C214</f>
        <v>214</v>
      </c>
    </row>
    <row r="215" spans="1:18" x14ac:dyDescent="0.3">
      <c r="A215" s="131" t="str">
        <f>Закуп!E215</f>
        <v>95х95х275</v>
      </c>
      <c r="B215" s="127">
        <f>INDEX(Calc!$K:$K, (ROW(A214)-1)*5 + COLUMN(A214) + 1 )</f>
        <v>1.17</v>
      </c>
      <c r="C215" s="127">
        <f>INDEX(Calc!$K:$K, (ROW(B214)-1)*5 + COLUMN(B214) + 1 )</f>
        <v>0.97</v>
      </c>
      <c r="D215" s="136">
        <f>INDEX(Calc!$K:$K, (ROW(C214)-1)*5 + COLUMN(C214) + 1 )</f>
        <v>0.89</v>
      </c>
      <c r="E215" s="137">
        <f>INDEX(Calc!$K:$K, (ROW(D214)-1)*5 + COLUMN(D214) + 1 )</f>
        <v>0.81</v>
      </c>
      <c r="F215" s="138">
        <f>INDEX(Calc!$K:$K, (ROW(E214)-1)*5 + COLUMN(E214) + 1 )</f>
        <v>0.76</v>
      </c>
      <c r="G215" s="133">
        <f>Закуп!O215</f>
        <v>2.48</v>
      </c>
      <c r="H215" s="133" t="str">
        <f>Закуп!Q215</f>
        <v>2-3 л</v>
      </c>
      <c r="I215" s="133" t="str">
        <f>Закуп!X215</f>
        <v>200-299 мм</v>
      </c>
      <c r="J215" s="133" t="str">
        <f>Закуп!Y215</f>
        <v>10-99 мм</v>
      </c>
      <c r="K215" s="133" t="str">
        <f>Закуп!Z215</f>
        <v>10-99 мм</v>
      </c>
      <c r="L215" s="133" t="str">
        <f>Закуп!AA215</f>
        <v>Самосборные</v>
      </c>
      <c r="M215" s="133" t="str">
        <f>Закуп!V215</f>
        <v>Длинные</v>
      </c>
      <c r="N215" s="133" t="str">
        <f>Закуп!W215</f>
        <v/>
      </c>
      <c r="O215" s="139" t="str">
        <f>IF(OR(Закуп!L215="",Закуп!L215=0),"",Закуп!L215)</f>
        <v/>
      </c>
      <c r="P215" s="133" t="str">
        <f>Закуп!K215</f>
        <v>K0</v>
      </c>
      <c r="Q215" s="217" t="str">
        <f>IF(Закуп!D215="","",IF(LEFT(Закуп!D215,1)="0","0",Закуп!D215))</f>
        <v>0</v>
      </c>
      <c r="R215" s="155">
        <f>Закуп!C215</f>
        <v>215</v>
      </c>
    </row>
    <row r="216" spans="1:18" x14ac:dyDescent="0.3">
      <c r="A216" s="131" t="str">
        <f>Закуп!E216</f>
        <v>300х220х40</v>
      </c>
      <c r="B216" s="127">
        <f>INDEX(Calc!$K:$K, (ROW(A215)-1)*5 + COLUMN(A215) + 1 )</f>
        <v>1.89</v>
      </c>
      <c r="C216" s="127">
        <f>INDEX(Calc!$K:$K, (ROW(B215)-1)*5 + COLUMN(B215) + 1 )</f>
        <v>1.72</v>
      </c>
      <c r="D216" s="136">
        <f>INDEX(Calc!$K:$K, (ROW(C215)-1)*5 + COLUMN(C215) + 1 )</f>
        <v>1.36</v>
      </c>
      <c r="E216" s="137">
        <f>INDEX(Calc!$K:$K, (ROW(D215)-1)*5 + COLUMN(D215) + 1 )</f>
        <v>1.27</v>
      </c>
      <c r="F216" s="138">
        <f>INDEX(Calc!$K:$K, (ROW(E215)-1)*5 + COLUMN(E215) + 1 )</f>
        <v>1.1200000000000001</v>
      </c>
      <c r="G216" s="133">
        <f>Закуп!O216</f>
        <v>2.64</v>
      </c>
      <c r="H216" s="133" t="str">
        <f>Закуп!Q216</f>
        <v>2-3 л</v>
      </c>
      <c r="I216" s="133" t="str">
        <f>Закуп!X216</f>
        <v>300-399 мм</v>
      </c>
      <c r="J216" s="133" t="str">
        <f>Закуп!Y216</f>
        <v>200-299 мм</v>
      </c>
      <c r="K216" s="133" t="str">
        <f>Закуп!Z216</f>
        <v>10-99 мм</v>
      </c>
      <c r="L216" s="133" t="str">
        <f>Закуп!AA216</f>
        <v>Самосборные</v>
      </c>
      <c r="M216" s="133" t="str">
        <f>Закуп!V216</f>
        <v/>
      </c>
      <c r="N216" s="133" t="str">
        <f>Закуп!W216</f>
        <v>Плоские</v>
      </c>
      <c r="O216" s="139" t="str">
        <f>IF(OR(Закуп!L216="",Закуп!L216=0),"",Закуп!L216)</f>
        <v/>
      </c>
      <c r="P216" s="133" t="str">
        <f>Закуп!K216</f>
        <v>K216</v>
      </c>
      <c r="Q216" s="217" t="str">
        <f>IF(Закуп!D216="","",IF(LEFT(Закуп!D216,1)="0","0",Закуп!D216))</f>
        <v>У</v>
      </c>
      <c r="R216" s="155">
        <f>Закуп!C216</f>
        <v>216</v>
      </c>
    </row>
    <row r="217" spans="1:18" x14ac:dyDescent="0.3">
      <c r="A217" s="131" t="str">
        <f>Закуп!E217</f>
        <v>516х463х48</v>
      </c>
      <c r="B217" s="127">
        <f>INDEX(Calc!$K:$K, (ROW(A216)-1)*5 + COLUMN(A216) + 1 )</f>
        <v>2.14</v>
      </c>
      <c r="C217" s="127">
        <f>INDEX(Calc!$K:$K, (ROW(B216)-1)*5 + COLUMN(B216) + 1 )</f>
        <v>2.14</v>
      </c>
      <c r="D217" s="136">
        <f>INDEX(Calc!$K:$K, (ROW(C216)-1)*5 + COLUMN(C216) + 1 )</f>
        <v>2.14</v>
      </c>
      <c r="E217" s="137">
        <f>INDEX(Calc!$K:$K, (ROW(D216)-1)*5 + COLUMN(D216) + 1 )</f>
        <v>2.14</v>
      </c>
      <c r="F217" s="138">
        <f>INDEX(Calc!$K:$K, (ROW(E216)-1)*5 + COLUMN(E216) + 1 )</f>
        <v>2.14</v>
      </c>
      <c r="G217" s="133">
        <f>Закуп!O217</f>
        <v>11.47</v>
      </c>
      <c r="H217" s="133" t="str">
        <f>Закуп!Q217</f>
        <v>10-20 л</v>
      </c>
      <c r="I217" s="133" t="str">
        <f>Закуп!X217</f>
        <v>500-599 мм</v>
      </c>
      <c r="J217" s="133" t="str">
        <f>Закуп!Y217</f>
        <v>400-499 мм</v>
      </c>
      <c r="K217" s="133" t="str">
        <f>Закуп!Z217</f>
        <v>10-99 мм</v>
      </c>
      <c r="L217" s="133" t="str">
        <f>Закуп!AA217</f>
        <v>Самосборные</v>
      </c>
      <c r="M217" s="133" t="str">
        <f>Закуп!V217</f>
        <v/>
      </c>
      <c r="N217" s="133" t="str">
        <f>Закуп!W217</f>
        <v>Плоские</v>
      </c>
      <c r="O217" s="139" t="str">
        <f>IF(OR(Закуп!L217="",Закуп!L217=0),"",Закуп!L217)</f>
        <v/>
      </c>
      <c r="P217" s="133" t="str">
        <f>Закуп!K217</f>
        <v>K1003</v>
      </c>
      <c r="Q217" s="217" t="str">
        <f>IF(Закуп!D217="","",IF(LEFT(Закуп!D217,1)="0","0",Закуп!D217))</f>
        <v>0</v>
      </c>
      <c r="R217" s="155">
        <f>Закуп!C217</f>
        <v>217</v>
      </c>
    </row>
    <row r="218" spans="1:18" x14ac:dyDescent="0.3">
      <c r="A218" s="131" t="str">
        <f>Закуп!E218</f>
        <v>120х120х180</v>
      </c>
      <c r="B218" s="127">
        <f>INDEX(Calc!$K:$K, (ROW(A217)-1)*5 + COLUMN(A217) + 1 )</f>
        <v>1.18</v>
      </c>
      <c r="C218" s="127">
        <f>INDEX(Calc!$K:$K, (ROW(B217)-1)*5 + COLUMN(B217) + 1 )</f>
        <v>1.07</v>
      </c>
      <c r="D218" s="136">
        <f>INDEX(Calc!$K:$K, (ROW(C217)-1)*5 + COLUMN(C217) + 1 )</f>
        <v>0.96</v>
      </c>
      <c r="E218" s="137">
        <f>INDEX(Calc!$K:$K, (ROW(D217)-1)*5 + COLUMN(D217) + 1 )</f>
        <v>0.86</v>
      </c>
      <c r="F218" s="138">
        <f>INDEX(Calc!$K:$K, (ROW(E217)-1)*5 + COLUMN(E217) + 1 )</f>
        <v>0.75</v>
      </c>
      <c r="G218" s="133">
        <f>Закуп!O218</f>
        <v>2.59</v>
      </c>
      <c r="H218" s="133" t="str">
        <f>Закуп!Q218</f>
        <v>2-3 л</v>
      </c>
      <c r="I218" s="133" t="str">
        <f>Закуп!X218</f>
        <v>100-199 мм</v>
      </c>
      <c r="J218" s="133" t="str">
        <f>Закуп!Y218</f>
        <v>100-199 мм</v>
      </c>
      <c r="K218" s="133" t="str">
        <f>Закуп!Z218</f>
        <v>100-199 мм</v>
      </c>
      <c r="L218" s="133" t="str">
        <f>Закуп!AA218</f>
        <v>Четырехклапанные</v>
      </c>
      <c r="M218" s="133" t="str">
        <f>Закуп!V218</f>
        <v/>
      </c>
      <c r="N218" s="133" t="str">
        <f>Закуп!W218</f>
        <v/>
      </c>
      <c r="O218" s="139" t="str">
        <f>IF(OR(Закуп!L218="",Закуп!L218=0),"",Закуп!L218)</f>
        <v/>
      </c>
      <c r="P218" s="133" t="str">
        <f>Закуп!K218</f>
        <v>K217</v>
      </c>
      <c r="Q218" s="217" t="str">
        <f>IF(Закуп!D218="","",IF(LEFT(Закуп!D218,1)="0","0",Закуп!D218))</f>
        <v>У</v>
      </c>
      <c r="R218" s="155">
        <f>Закуп!C218</f>
        <v>218</v>
      </c>
    </row>
    <row r="219" spans="1:18" x14ac:dyDescent="0.3">
      <c r="A219" s="131" t="str">
        <f>Закуп!E219</f>
        <v>730х415х200</v>
      </c>
      <c r="B219" s="127">
        <f>INDEX(Calc!$K:$K, (ROW(A218)-1)*5 + COLUMN(A218) + 1 )</f>
        <v>5.34</v>
      </c>
      <c r="C219" s="127">
        <f>INDEX(Calc!$K:$K, (ROW(B218)-1)*5 + COLUMN(B218) + 1 )</f>
        <v>4.9400000000000004</v>
      </c>
      <c r="D219" s="136">
        <f>INDEX(Calc!$K:$K, (ROW(C218)-1)*5 + COLUMN(C218) + 1 )</f>
        <v>4.21</v>
      </c>
      <c r="E219" s="137">
        <f>INDEX(Calc!$K:$K, (ROW(D218)-1)*5 + COLUMN(D218) + 1 )</f>
        <v>4.08</v>
      </c>
      <c r="F219" s="138">
        <f>INDEX(Calc!$K:$K, (ROW(E218)-1)*5 + COLUMN(E218) + 1 )</f>
        <v>4</v>
      </c>
      <c r="G219" s="133">
        <f>Закуп!O219</f>
        <v>60.59</v>
      </c>
      <c r="H219" s="133" t="str">
        <f>Закуп!Q219</f>
        <v>50-100 л</v>
      </c>
      <c r="I219" s="133" t="str">
        <f>Закуп!X219</f>
        <v>700-999 мм</v>
      </c>
      <c r="J219" s="133" t="str">
        <f>Закуп!Y219</f>
        <v>400-499 мм</v>
      </c>
      <c r="K219" s="133" t="str">
        <f>Закуп!Z219</f>
        <v>200-299 мм</v>
      </c>
      <c r="L219" s="133" t="str">
        <f>Закуп!AA219</f>
        <v>Четырехклапанные</v>
      </c>
      <c r="M219" s="133" t="str">
        <f>Закуп!V219</f>
        <v/>
      </c>
      <c r="N219" s="133" t="str">
        <f>Закуп!W219</f>
        <v>Плоские</v>
      </c>
      <c r="O219" s="139" t="str">
        <f>IF(OR(Закуп!L219="",Закуп!L219=0),"",Закуп!L219)</f>
        <v/>
      </c>
      <c r="P219" s="133" t="str">
        <f>Закуп!K219</f>
        <v>K218</v>
      </c>
      <c r="Q219" s="217" t="str">
        <f>IF(Закуп!D219="","",IF(LEFT(Закуп!D219,1)="0","0",Закуп!D219))</f>
        <v>У</v>
      </c>
      <c r="R219" s="155">
        <f>Закуп!C219</f>
        <v>219</v>
      </c>
    </row>
    <row r="220" spans="1:18" x14ac:dyDescent="0.3">
      <c r="A220" s="131" t="str">
        <f>Закуп!E220</f>
        <v>50х50х210</v>
      </c>
      <c r="B220" s="127">
        <f>INDEX(Calc!$K:$K, (ROW(A219)-1)*5 + COLUMN(A219) + 1 )</f>
        <v>0.54</v>
      </c>
      <c r="C220" s="127">
        <f>INDEX(Calc!$K:$K, (ROW(B219)-1)*5 + COLUMN(B219) + 1 )</f>
        <v>0.54</v>
      </c>
      <c r="D220" s="136">
        <f>INDEX(Calc!$K:$K, (ROW(C219)-1)*5 + COLUMN(C219) + 1 )</f>
        <v>0.54</v>
      </c>
      <c r="E220" s="137">
        <f>INDEX(Calc!$K:$K, (ROW(D219)-1)*5 + COLUMN(D219) + 1 )</f>
        <v>0.54</v>
      </c>
      <c r="F220" s="138">
        <f>INDEX(Calc!$K:$K, (ROW(E219)-1)*5 + COLUMN(E219) + 1 )</f>
        <v>0.54</v>
      </c>
      <c r="G220" s="133">
        <f>Закуп!O220</f>
        <v>0.53</v>
      </c>
      <c r="H220" s="133" t="str">
        <f>Закуп!Q220</f>
        <v>&lt;1 л</v>
      </c>
      <c r="I220" s="133" t="str">
        <f>Закуп!X220</f>
        <v>200-299 мм</v>
      </c>
      <c r="J220" s="133" t="str">
        <f>Закуп!Y220</f>
        <v>10-99 мм</v>
      </c>
      <c r="K220" s="133" t="str">
        <f>Закуп!Z220</f>
        <v>10-99 мм</v>
      </c>
      <c r="L220" s="133" t="str">
        <f>Закуп!AA220</f>
        <v>Самосборные</v>
      </c>
      <c r="M220" s="133" t="str">
        <f>Закуп!V220</f>
        <v>Длинные</v>
      </c>
      <c r="N220" s="133" t="str">
        <f>Закуп!W220</f>
        <v/>
      </c>
      <c r="O220" s="139" t="str">
        <f>IF(OR(Закуп!L220="",Закуп!L220=0),"",Закуп!L220)</f>
        <v>Sale</v>
      </c>
      <c r="P220" s="133" t="str">
        <f>Закуп!K220</f>
        <v>K219</v>
      </c>
      <c r="Q220" s="217" t="str">
        <f>IF(Закуп!D220="","",IF(LEFT(Закуп!D220,1)="0","0",Закуп!D220))</f>
        <v>У</v>
      </c>
      <c r="R220" s="155">
        <f>Закуп!C220</f>
        <v>220</v>
      </c>
    </row>
    <row r="221" spans="1:18" x14ac:dyDescent="0.3">
      <c r="A221" s="131" t="str">
        <f>Закуп!E221</f>
        <v>125х125х127</v>
      </c>
      <c r="B221" s="127">
        <f>INDEX(Calc!$K:$K, (ROW(A220)-1)*5 + COLUMN(A220) + 1 )</f>
        <v>1.18</v>
      </c>
      <c r="C221" s="127">
        <f>INDEX(Calc!$K:$K, (ROW(B220)-1)*5 + COLUMN(B220) + 1 )</f>
        <v>1.07</v>
      </c>
      <c r="D221" s="136">
        <f>INDEX(Calc!$K:$K, (ROW(C220)-1)*5 + COLUMN(C220) + 1 )</f>
        <v>0.96</v>
      </c>
      <c r="E221" s="137">
        <f>INDEX(Calc!$K:$K, (ROW(D220)-1)*5 + COLUMN(D220) + 1 )</f>
        <v>0.86</v>
      </c>
      <c r="F221" s="138">
        <f>INDEX(Calc!$K:$K, (ROW(E220)-1)*5 + COLUMN(E220) + 1 )</f>
        <v>0.75</v>
      </c>
      <c r="G221" s="133">
        <f>Закуп!O221</f>
        <v>1.98</v>
      </c>
      <c r="H221" s="133" t="str">
        <f>Закуп!Q221</f>
        <v>1-2 л</v>
      </c>
      <c r="I221" s="133" t="str">
        <f>Закуп!X221</f>
        <v>100-199 мм</v>
      </c>
      <c r="J221" s="133" t="str">
        <f>Закуп!Y221</f>
        <v>100-199 мм</v>
      </c>
      <c r="K221" s="133" t="str">
        <f>Закуп!Z221</f>
        <v>100-199 мм</v>
      </c>
      <c r="L221" s="133" t="str">
        <f>Закуп!AA221</f>
        <v>Четырехклапанные</v>
      </c>
      <c r="M221" s="133" t="str">
        <f>Закуп!V221</f>
        <v/>
      </c>
      <c r="N221" s="133" t="str">
        <f>Закуп!W221</f>
        <v/>
      </c>
      <c r="O221" s="139" t="str">
        <f>IF(OR(Закуп!L221="",Закуп!L221=0),"",Закуп!L221)</f>
        <v/>
      </c>
      <c r="P221" s="133" t="str">
        <f>Закуп!K221</f>
        <v>K220</v>
      </c>
      <c r="Q221" s="217" t="str">
        <f>IF(Закуп!D221="","",IF(LEFT(Закуп!D221,1)="0","0",Закуп!D221))</f>
        <v>У</v>
      </c>
      <c r="R221" s="155">
        <f>Закуп!C221</f>
        <v>221</v>
      </c>
    </row>
    <row r="222" spans="1:18" x14ac:dyDescent="0.3">
      <c r="A222" s="131" t="str">
        <f>Закуп!E222</f>
        <v>550х260х25</v>
      </c>
      <c r="B222" s="127">
        <f>INDEX(Calc!$K:$K, (ROW(A221)-1)*5 + COLUMN(A221) + 1 )</f>
        <v>2.34</v>
      </c>
      <c r="C222" s="127">
        <f>INDEX(Calc!$K:$K, (ROW(B221)-1)*5 + COLUMN(B221) + 1 )</f>
        <v>2.13</v>
      </c>
      <c r="D222" s="136">
        <f>INDEX(Calc!$K:$K, (ROW(C221)-1)*5 + COLUMN(C221) + 1 )</f>
        <v>1.66</v>
      </c>
      <c r="E222" s="137">
        <f>INDEX(Calc!$K:$K, (ROW(D221)-1)*5 + COLUMN(D221) + 1 )</f>
        <v>1.43</v>
      </c>
      <c r="F222" s="138">
        <f>INDEX(Calc!$K:$K, (ROW(E221)-1)*5 + COLUMN(E221) + 1 )</f>
        <v>1.34</v>
      </c>
      <c r="G222" s="133">
        <f>Закуп!O222</f>
        <v>3.58</v>
      </c>
      <c r="H222" s="133" t="str">
        <f>Закуп!Q222</f>
        <v>3-5 л</v>
      </c>
      <c r="I222" s="133" t="str">
        <f>Закуп!X222</f>
        <v>500-599 мм</v>
      </c>
      <c r="J222" s="133" t="str">
        <f>Закуп!Y222</f>
        <v>200-299 мм</v>
      </c>
      <c r="K222" s="133" t="str">
        <f>Закуп!Z222</f>
        <v>10-99 мм</v>
      </c>
      <c r="L222" s="133" t="str">
        <f>Закуп!AA222</f>
        <v>Самосборные</v>
      </c>
      <c r="M222" s="133" t="str">
        <f>Закуп!V222</f>
        <v>Длинные</v>
      </c>
      <c r="N222" s="133" t="str">
        <f>Закуп!W222</f>
        <v>Плоские</v>
      </c>
      <c r="O222" s="139" t="str">
        <f>IF(OR(Закуп!L222="",Закуп!L222=0),"",Закуп!L222)</f>
        <v/>
      </c>
      <c r="P222" s="133" t="str">
        <f>Закуп!K222</f>
        <v>K1004</v>
      </c>
      <c r="Q222" s="217" t="str">
        <f>IF(Закуп!D222="","",IF(LEFT(Закуп!D222,1)="0","0",Закуп!D222))</f>
        <v>К</v>
      </c>
      <c r="R222" s="155">
        <f>Закуп!C222</f>
        <v>222</v>
      </c>
    </row>
    <row r="223" spans="1:18" x14ac:dyDescent="0.3">
      <c r="A223" s="131" t="str">
        <f>Закуп!E223</f>
        <v>310х220х10</v>
      </c>
      <c r="B223" s="127">
        <f>INDEX(Calc!$K:$K, (ROW(A222)-1)*5 + COLUMN(A222) + 1 )</f>
        <v>1.33</v>
      </c>
      <c r="C223" s="127">
        <f>INDEX(Calc!$K:$K, (ROW(B222)-1)*5 + COLUMN(B222) + 1 )</f>
        <v>1.1599999999999999</v>
      </c>
      <c r="D223" s="136">
        <f>INDEX(Calc!$K:$K, (ROW(C222)-1)*5 + COLUMN(C222) + 1 )</f>
        <v>0.98</v>
      </c>
      <c r="E223" s="137">
        <f>INDEX(Calc!$K:$K, (ROW(D222)-1)*5 + COLUMN(D222) + 1 )</f>
        <v>0.92</v>
      </c>
      <c r="F223" s="138">
        <f>INDEX(Calc!$K:$K, (ROW(E222)-1)*5 + COLUMN(E222) + 1 )</f>
        <v>0.86</v>
      </c>
      <c r="G223" s="133">
        <f>Закуп!O223</f>
        <v>0.68</v>
      </c>
      <c r="H223" s="133" t="str">
        <f>Закуп!Q223</f>
        <v>&lt;1 л</v>
      </c>
      <c r="I223" s="133" t="str">
        <f>Закуп!X223</f>
        <v>300-399 мм</v>
      </c>
      <c r="J223" s="133" t="str">
        <f>Закуп!Y223</f>
        <v>200-299 мм</v>
      </c>
      <c r="K223" s="133" t="str">
        <f>Закуп!Z223</f>
        <v>10-99 мм</v>
      </c>
      <c r="L223" s="133" t="str">
        <f>Закуп!AA223</f>
        <v>Самосборные</v>
      </c>
      <c r="M223" s="133" t="str">
        <f>Закуп!V223</f>
        <v/>
      </c>
      <c r="N223" s="133" t="str">
        <f>Закуп!W223</f>
        <v>Плоские</v>
      </c>
      <c r="O223" s="139" t="str">
        <f>IF(OR(Закуп!L223="",Закуп!L223=0),"",Закуп!L223)</f>
        <v/>
      </c>
      <c r="P223" s="133" t="str">
        <f>Закуп!K223</f>
        <v>K221</v>
      </c>
      <c r="Q223" s="217" t="str">
        <f>IF(Закуп!D223="","",IF(LEFT(Закуп!D223,1)="0","0",Закуп!D223))</f>
        <v>У</v>
      </c>
      <c r="R223" s="155">
        <f>Закуп!C223</f>
        <v>223</v>
      </c>
    </row>
    <row r="224" spans="1:18" x14ac:dyDescent="0.3">
      <c r="A224" s="131" t="str">
        <f>Закуп!E224</f>
        <v>1650х340х340</v>
      </c>
      <c r="B224" s="127">
        <f>INDEX(Calc!$K:$K, (ROW(A223)-1)*5 + COLUMN(A223) + 1 )</f>
        <v>14</v>
      </c>
      <c r="C224" s="127">
        <f>INDEX(Calc!$K:$K, (ROW(B223)-1)*5 + COLUMN(B223) + 1 )</f>
        <v>13.8</v>
      </c>
      <c r="D224" s="136">
        <f>INDEX(Calc!$K:$K, (ROW(C223)-1)*5 + COLUMN(C223) + 1 )</f>
        <v>13.6</v>
      </c>
      <c r="E224" s="137">
        <f>INDEX(Calc!$K:$K, (ROW(D223)-1)*5 + COLUMN(D223) + 1 )</f>
        <v>13.5</v>
      </c>
      <c r="F224" s="138">
        <f>INDEX(Calc!$K:$K, (ROW(E223)-1)*5 + COLUMN(E223) + 1 )</f>
        <v>13.4</v>
      </c>
      <c r="G224" s="133">
        <f>Закуп!O224</f>
        <v>190.74</v>
      </c>
      <c r="H224" s="133" t="str">
        <f>Закуп!Q224</f>
        <v>100+ л</v>
      </c>
      <c r="I224" s="133" t="str">
        <f>Закуп!X224</f>
        <v>1000+ мм</v>
      </c>
      <c r="J224" s="133" t="str">
        <f>Закуп!Y224</f>
        <v>300-399 мм</v>
      </c>
      <c r="K224" s="133" t="str">
        <f>Закуп!Z224</f>
        <v>300-399 мм</v>
      </c>
      <c r="L224" s="133" t="str">
        <f>Закуп!AA224</f>
        <v>Самосборные</v>
      </c>
      <c r="M224" s="133" t="str">
        <f>Закуп!V224</f>
        <v>Длинные</v>
      </c>
      <c r="N224" s="133" t="str">
        <f>Закуп!W224</f>
        <v/>
      </c>
      <c r="O224" s="139" t="str">
        <f>IF(OR(Закуп!L224="",Закуп!L224=0),"",Закуп!L224)</f>
        <v/>
      </c>
      <c r="P224" s="133" t="str">
        <f>Закуп!K224</f>
        <v>K222</v>
      </c>
      <c r="Q224" s="217" t="str">
        <f>IF(Закуп!D224="","",IF(LEFT(Закуп!D224,1)="0","0",Закуп!D224))</f>
        <v>У</v>
      </c>
      <c r="R224" s="155">
        <f>Закуп!C224</f>
        <v>224</v>
      </c>
    </row>
    <row r="225" spans="1:18" ht="21.45" x14ac:dyDescent="0.3">
      <c r="A225" s="131" t="str">
        <f>Закуп!E225</f>
        <v>100х70х50</v>
      </c>
      <c r="B225" s="127">
        <f>INDEX(Calc!$K:$K, (ROW(A224)-1)*5 + COLUMN(A224) + 1 )</f>
        <v>0.5</v>
      </c>
      <c r="C225" s="127">
        <f>INDEX(Calc!$K:$K, (ROW(B224)-1)*5 + COLUMN(B224) + 1 )</f>
        <v>0.5</v>
      </c>
      <c r="D225" s="136">
        <f>INDEX(Calc!$K:$K, (ROW(C224)-1)*5 + COLUMN(C224) + 1 )</f>
        <v>0.5</v>
      </c>
      <c r="E225" s="137">
        <f>INDEX(Calc!$K:$K, (ROW(D224)-1)*5 + COLUMN(D224) + 1 )</f>
        <v>0.5</v>
      </c>
      <c r="F225" s="138">
        <f>INDEX(Calc!$K:$K, (ROW(E224)-1)*5 + COLUMN(E224) + 1 )</f>
        <v>0.5</v>
      </c>
      <c r="G225" s="133">
        <f>Закуп!O225</f>
        <v>0.35</v>
      </c>
      <c r="H225" s="133" t="str">
        <f>Закуп!Q225</f>
        <v>&lt;1 л</v>
      </c>
      <c r="I225" s="133" t="str">
        <f>Закуп!X225</f>
        <v>100-199 мм</v>
      </c>
      <c r="J225" s="133" t="str">
        <f>Закуп!Y225</f>
        <v>10-99 мм</v>
      </c>
      <c r="K225" s="133" t="str">
        <f>Закуп!Z225</f>
        <v>10-99 мм</v>
      </c>
      <c r="L225" s="133" t="str">
        <f>Закуп!AA225</f>
        <v>Самосборные</v>
      </c>
      <c r="M225" s="133" t="str">
        <f>Закуп!V225</f>
        <v/>
      </c>
      <c r="N225" s="133" t="str">
        <f>Закуп!W225</f>
        <v/>
      </c>
      <c r="O225" s="139" t="str">
        <f>IF(OR(Закуп!L225="",Закуп!L225=0),"",Закуп!L225)</f>
        <v>Sale</v>
      </c>
      <c r="P225" s="133" t="str">
        <f>Закуп!K225</f>
        <v>K1006</v>
      </c>
      <c r="Q225" s="217" t="str">
        <f>IF(Закуп!D225="","",IF(LEFT(Закуп!D225,1)="0","0",Закуп!D225))</f>
        <v>ТМ-
SALE</v>
      </c>
      <c r="R225" s="155">
        <f>Закуп!C225</f>
        <v>225</v>
      </c>
    </row>
    <row r="226" spans="1:18" x14ac:dyDescent="0.3">
      <c r="A226" s="131" t="str">
        <f>Закуп!E226</f>
        <v>100х85х50</v>
      </c>
      <c r="B226" s="127">
        <f>INDEX(Calc!$K:$K, (ROW(A225)-1)*5 + COLUMN(A225) + 1 )</f>
        <v>1.07</v>
      </c>
      <c r="C226" s="127">
        <f>INDEX(Calc!$K:$K, (ROW(B225)-1)*5 + COLUMN(B225) + 1 )</f>
        <v>0.91</v>
      </c>
      <c r="D226" s="136">
        <f>INDEX(Calc!$K:$K, (ROW(C225)-1)*5 + COLUMN(C225) + 1 )</f>
        <v>0.75</v>
      </c>
      <c r="E226" s="137">
        <f>INDEX(Calc!$K:$K, (ROW(D225)-1)*5 + COLUMN(D225) + 1 )</f>
        <v>0.64</v>
      </c>
      <c r="F226" s="138">
        <f>INDEX(Calc!$K:$K, (ROW(E225)-1)*5 + COLUMN(E225) + 1 )</f>
        <v>0.54</v>
      </c>
      <c r="G226" s="133">
        <f>Закуп!O226</f>
        <v>0.43</v>
      </c>
      <c r="H226" s="133" t="str">
        <f>Закуп!Q226</f>
        <v>&lt;1 л</v>
      </c>
      <c r="I226" s="133" t="str">
        <f>Закуп!X226</f>
        <v>100-199 мм</v>
      </c>
      <c r="J226" s="133" t="str">
        <f>Закуп!Y226</f>
        <v>10-99 мм</v>
      </c>
      <c r="K226" s="133" t="str">
        <f>Закуп!Z226</f>
        <v>10-99 мм</v>
      </c>
      <c r="L226" s="133" t="str">
        <f>Закуп!AA226</f>
        <v>Самосборные</v>
      </c>
      <c r="M226" s="133" t="str">
        <f>Закуп!V226</f>
        <v/>
      </c>
      <c r="N226" s="133" t="str">
        <f>Закуп!W226</f>
        <v/>
      </c>
      <c r="O226" s="139" t="str">
        <f>IF(OR(Закуп!L226="",Закуп!L226=0),"",Закуп!L226)</f>
        <v/>
      </c>
      <c r="P226" s="133" t="str">
        <f>Закуп!K226</f>
        <v>K223</v>
      </c>
      <c r="Q226" s="217" t="str">
        <f>IF(Закуп!D226="","",IF(LEFT(Закуп!D226,1)="0","0",Закуп!D226))</f>
        <v>У</v>
      </c>
      <c r="R226" s="155">
        <f>Закуп!C226</f>
        <v>226</v>
      </c>
    </row>
    <row r="227" spans="1:18" ht="21.45" x14ac:dyDescent="0.3">
      <c r="A227" s="131" t="str">
        <f>Закуп!E227</f>
        <v>110х60х30</v>
      </c>
      <c r="B227" s="127">
        <f>INDEX(Calc!$K:$K, (ROW(A226)-1)*5 + COLUMN(A226) + 1 )</f>
        <v>0.5</v>
      </c>
      <c r="C227" s="127">
        <f>INDEX(Calc!$K:$K, (ROW(B226)-1)*5 + COLUMN(B226) + 1 )</f>
        <v>0.5</v>
      </c>
      <c r="D227" s="136">
        <f>INDEX(Calc!$K:$K, (ROW(C226)-1)*5 + COLUMN(C226) + 1 )</f>
        <v>0.5</v>
      </c>
      <c r="E227" s="137">
        <f>INDEX(Calc!$K:$K, (ROW(D226)-1)*5 + COLUMN(D226) + 1 )</f>
        <v>0.5</v>
      </c>
      <c r="F227" s="138">
        <f>INDEX(Calc!$K:$K, (ROW(E226)-1)*5 + COLUMN(E226) + 1 )</f>
        <v>0.5</v>
      </c>
      <c r="G227" s="133">
        <f>Закуп!O227</f>
        <v>0.2</v>
      </c>
      <c r="H227" s="133" t="str">
        <f>Закуп!Q227</f>
        <v>&lt;1 л</v>
      </c>
      <c r="I227" s="133" t="str">
        <f>Закуп!X227</f>
        <v>100-199 мм</v>
      </c>
      <c r="J227" s="133" t="str">
        <f>Закуп!Y227</f>
        <v>10-99 мм</v>
      </c>
      <c r="K227" s="133" t="str">
        <f>Закуп!Z227</f>
        <v>10-99 мм</v>
      </c>
      <c r="L227" s="133" t="str">
        <f>Закуп!AA227</f>
        <v>Самосборные</v>
      </c>
      <c r="M227" s="133" t="str">
        <f>Закуп!V227</f>
        <v/>
      </c>
      <c r="N227" s="133" t="str">
        <f>Закуп!W227</f>
        <v>Плоские</v>
      </c>
      <c r="O227" s="139" t="str">
        <f>IF(OR(Закуп!L227="",Закуп!L227=0),"",Закуп!L227)</f>
        <v>Sale</v>
      </c>
      <c r="P227" s="133" t="str">
        <f>Закуп!K227</f>
        <v>K1007</v>
      </c>
      <c r="Q227" s="217" t="str">
        <f>IF(Закуп!D227="","",IF(LEFT(Закуп!D227,1)="0","0",Закуп!D227))</f>
        <v>ТМ-
SALE</v>
      </c>
      <c r="R227" s="155">
        <f>Закуп!C227</f>
        <v>227</v>
      </c>
    </row>
    <row r="228" spans="1:18" x14ac:dyDescent="0.3">
      <c r="A228" s="131" t="str">
        <f>Закуп!E228</f>
        <v>120х90х25</v>
      </c>
      <c r="B228" s="127">
        <f>INDEX(Calc!$K:$K, (ROW(A227)-1)*5 + COLUMN(A227) + 1 )</f>
        <v>0.5</v>
      </c>
      <c r="C228" s="127">
        <f>INDEX(Calc!$K:$K, (ROW(B227)-1)*5 + COLUMN(B227) + 1 )</f>
        <v>0.5</v>
      </c>
      <c r="D228" s="136">
        <f>INDEX(Calc!$K:$K, (ROW(C227)-1)*5 + COLUMN(C227) + 1 )</f>
        <v>0.5</v>
      </c>
      <c r="E228" s="137">
        <f>INDEX(Calc!$K:$K, (ROW(D227)-1)*5 + COLUMN(D227) + 1 )</f>
        <v>0.5</v>
      </c>
      <c r="F228" s="138">
        <f>INDEX(Calc!$K:$K, (ROW(E227)-1)*5 + COLUMN(E227) + 1 )</f>
        <v>0.5</v>
      </c>
      <c r="G228" s="133">
        <f>Закуп!O228</f>
        <v>0.27</v>
      </c>
      <c r="H228" s="133" t="str">
        <f>Закуп!Q228</f>
        <v>&lt;1 л</v>
      </c>
      <c r="I228" s="133" t="str">
        <f>Закуп!X228</f>
        <v>100-199 мм</v>
      </c>
      <c r="J228" s="133" t="str">
        <f>Закуп!Y228</f>
        <v>10-99 мм</v>
      </c>
      <c r="K228" s="133" t="str">
        <f>Закуп!Z228</f>
        <v>10-99 мм</v>
      </c>
      <c r="L228" s="133" t="str">
        <f>Закуп!AA228</f>
        <v>Самосборные</v>
      </c>
      <c r="M228" s="133" t="str">
        <f>Закуп!V228</f>
        <v/>
      </c>
      <c r="N228" s="133" t="str">
        <f>Закуп!W228</f>
        <v>Плоские</v>
      </c>
      <c r="O228" s="139" t="str">
        <f>IF(OR(Закуп!L228="",Закуп!L228=0),"",Закуп!L228)</f>
        <v>Sale</v>
      </c>
      <c r="P228" s="133" t="str">
        <f>Закуп!K228</f>
        <v>K1008</v>
      </c>
      <c r="Q228" s="217" t="str">
        <f>IF(Закуп!D228="","",IF(LEFT(Закуп!D228,1)="0","0",Закуп!D228))</f>
        <v>0</v>
      </c>
      <c r="R228" s="155">
        <f>Закуп!C228</f>
        <v>228</v>
      </c>
    </row>
    <row r="229" spans="1:18" x14ac:dyDescent="0.3">
      <c r="A229" s="131" t="str">
        <f>Закуп!E229</f>
        <v>180х125х125</v>
      </c>
      <c r="B229" s="127">
        <f>INDEX(Calc!$K:$K, (ROW(A228)-1)*5 + COLUMN(A228) + 1 )</f>
        <v>0.75</v>
      </c>
      <c r="C229" s="127">
        <f>INDEX(Calc!$K:$K, (ROW(B228)-1)*5 + COLUMN(B228) + 1 )</f>
        <v>0.75</v>
      </c>
      <c r="D229" s="136">
        <f>INDEX(Calc!$K:$K, (ROW(C228)-1)*5 + COLUMN(C228) + 1 )</f>
        <v>0.75</v>
      </c>
      <c r="E229" s="137">
        <f>INDEX(Calc!$K:$K, (ROW(D228)-1)*5 + COLUMN(D228) + 1 )</f>
        <v>0.75</v>
      </c>
      <c r="F229" s="138">
        <f>INDEX(Calc!$K:$K, (ROW(E228)-1)*5 + COLUMN(E228) + 1 )</f>
        <v>0.75</v>
      </c>
      <c r="G229" s="133">
        <f>Закуп!O229</f>
        <v>2.81</v>
      </c>
      <c r="H229" s="133" t="str">
        <f>Закуп!Q229</f>
        <v>2-3 л</v>
      </c>
      <c r="I229" s="133" t="str">
        <f>Закуп!X229</f>
        <v>100-199 мм</v>
      </c>
      <c r="J229" s="133" t="str">
        <f>Закуп!Y229</f>
        <v>100-199 мм</v>
      </c>
      <c r="K229" s="133" t="str">
        <f>Закуп!Z229</f>
        <v>100-199 мм</v>
      </c>
      <c r="L229" s="133" t="str">
        <f>Закуп!AA229</f>
        <v>Самосборные</v>
      </c>
      <c r="M229" s="133" t="str">
        <f>Закуп!V229</f>
        <v/>
      </c>
      <c r="N229" s="133" t="str">
        <f>Закуп!W229</f>
        <v/>
      </c>
      <c r="O229" s="139" t="str">
        <f>IF(OR(Закуп!L229="",Закуп!L229=0),"",Закуп!L229)</f>
        <v>Sale</v>
      </c>
      <c r="P229" s="133" t="str">
        <f>Закуп!K229</f>
        <v>K1010</v>
      </c>
      <c r="Q229" s="217" t="str">
        <f>IF(Закуп!D229="","",IF(LEFT(Закуп!D229,1)="0","0",Закуп!D229))</f>
        <v>0</v>
      </c>
      <c r="R229" s="155">
        <f>Закуп!C229</f>
        <v>229</v>
      </c>
    </row>
    <row r="230" spans="1:18" x14ac:dyDescent="0.3">
      <c r="A230" s="131" t="str">
        <f>Закуп!E230</f>
        <v>190х130х35</v>
      </c>
      <c r="B230" s="127">
        <f>INDEX(Calc!$K:$K, (ROW(A229)-1)*5 + COLUMN(A229) + 1 )</f>
        <v>1.07</v>
      </c>
      <c r="C230" s="127">
        <f>INDEX(Calc!$K:$K, (ROW(B229)-1)*5 + COLUMN(B229) + 1 )</f>
        <v>0.91</v>
      </c>
      <c r="D230" s="136">
        <f>INDEX(Calc!$K:$K, (ROW(C229)-1)*5 + COLUMN(C229) + 1 )</f>
        <v>0.75</v>
      </c>
      <c r="E230" s="137">
        <f>INDEX(Calc!$K:$K, (ROW(D229)-1)*5 + COLUMN(D229) + 1 )</f>
        <v>0.64</v>
      </c>
      <c r="F230" s="138">
        <f>INDEX(Calc!$K:$K, (ROW(E229)-1)*5 + COLUMN(E229) + 1 )</f>
        <v>0.54</v>
      </c>
      <c r="G230" s="133">
        <f>Закуп!O230</f>
        <v>0.86</v>
      </c>
      <c r="H230" s="133" t="str">
        <f>Закуп!Q230</f>
        <v>&lt;1 л</v>
      </c>
      <c r="I230" s="133" t="str">
        <f>Закуп!X230</f>
        <v>100-199 мм</v>
      </c>
      <c r="J230" s="133" t="str">
        <f>Закуп!Y230</f>
        <v>100-199 мм</v>
      </c>
      <c r="K230" s="133" t="str">
        <f>Закуп!Z230</f>
        <v>10-99 мм</v>
      </c>
      <c r="L230" s="133" t="str">
        <f>Закуп!AA230</f>
        <v>Самосборные</v>
      </c>
      <c r="M230" s="133" t="str">
        <f>Закуп!V230</f>
        <v/>
      </c>
      <c r="N230" s="133" t="str">
        <f>Закуп!W230</f>
        <v>Плоские</v>
      </c>
      <c r="O230" s="139" t="str">
        <f>IF(OR(Закуп!L230="",Закуп!L230=0),"",Закуп!L230)</f>
        <v/>
      </c>
      <c r="P230" s="133" t="str">
        <f>Закуп!K230</f>
        <v>K224</v>
      </c>
      <c r="Q230" s="217" t="str">
        <f>IF(Закуп!D230="","",IF(LEFT(Закуп!D230,1)="0","0",Закуп!D230))</f>
        <v>У</v>
      </c>
      <c r="R230" s="155">
        <f>Закуп!C230</f>
        <v>230</v>
      </c>
    </row>
    <row r="231" spans="1:18" x14ac:dyDescent="0.3">
      <c r="A231" s="131" t="str">
        <f>Закуп!E231</f>
        <v>200х150х65</v>
      </c>
      <c r="B231" s="127">
        <f>INDEX(Calc!$K:$K, (ROW(A230)-1)*5 + COLUMN(A230) + 1 )</f>
        <v>1.41</v>
      </c>
      <c r="C231" s="127">
        <f>INDEX(Calc!$K:$K, (ROW(B230)-1)*5 + COLUMN(B230) + 1 )</f>
        <v>1.23</v>
      </c>
      <c r="D231" s="136">
        <f>INDEX(Calc!$K:$K, (ROW(C230)-1)*5 + COLUMN(C230) + 1 )</f>
        <v>1.05</v>
      </c>
      <c r="E231" s="137">
        <f>INDEX(Calc!$K:$K, (ROW(D230)-1)*5 + COLUMN(D230) + 1 )</f>
        <v>0.98</v>
      </c>
      <c r="F231" s="138">
        <f>INDEX(Calc!$K:$K, (ROW(E230)-1)*5 + COLUMN(E230) + 1 )</f>
        <v>0.92</v>
      </c>
      <c r="G231" s="133">
        <f>Закуп!O231</f>
        <v>1.95</v>
      </c>
      <c r="H231" s="133" t="str">
        <f>Закуп!Q231</f>
        <v>1-2 л</v>
      </c>
      <c r="I231" s="133" t="str">
        <f>Закуп!X231</f>
        <v>200-299 мм</v>
      </c>
      <c r="J231" s="133" t="str">
        <f>Закуп!Y231</f>
        <v>100-199 мм</v>
      </c>
      <c r="K231" s="133" t="str">
        <f>Закуп!Z231</f>
        <v>10-99 мм</v>
      </c>
      <c r="L231" s="133" t="str">
        <f>Закуп!AA231</f>
        <v>Самосборные</v>
      </c>
      <c r="M231" s="133" t="str">
        <f>Закуп!V231</f>
        <v/>
      </c>
      <c r="N231" s="133" t="str">
        <f>Закуп!W231</f>
        <v>Плоские</v>
      </c>
      <c r="O231" s="139" t="str">
        <f>IF(OR(Закуп!L231="",Закуп!L231=0),"",Закуп!L231)</f>
        <v/>
      </c>
      <c r="P231" s="133" t="str">
        <f>Закуп!K231</f>
        <v>K225</v>
      </c>
      <c r="Q231" s="217" t="str">
        <f>IF(Закуп!D231="","",IF(LEFT(Закуп!D231,1)="0","0",Закуп!D231))</f>
        <v>У</v>
      </c>
      <c r="R231" s="155">
        <f>Закуп!C231</f>
        <v>231</v>
      </c>
    </row>
    <row r="232" spans="1:18" ht="21.45" x14ac:dyDescent="0.3">
      <c r="A232" s="131" t="str">
        <f>Закуп!E232</f>
        <v>210х160х125</v>
      </c>
      <c r="B232" s="127">
        <f>INDEX(Calc!$K:$K, (ROW(A231)-1)*5 + COLUMN(A231) + 1 )</f>
        <v>1.3</v>
      </c>
      <c r="C232" s="127">
        <f>INDEX(Calc!$K:$K, (ROW(B231)-1)*5 + COLUMN(B231) + 1 )</f>
        <v>1.3</v>
      </c>
      <c r="D232" s="136">
        <f>INDEX(Calc!$K:$K, (ROW(C231)-1)*5 + COLUMN(C231) + 1 )</f>
        <v>1.3</v>
      </c>
      <c r="E232" s="137">
        <f>INDEX(Calc!$K:$K, (ROW(D231)-1)*5 + COLUMN(D231) + 1 )</f>
        <v>1.3</v>
      </c>
      <c r="F232" s="138">
        <f>INDEX(Calc!$K:$K, (ROW(E231)-1)*5 + COLUMN(E231) + 1 )</f>
        <v>1.3</v>
      </c>
      <c r="G232" s="133">
        <f>Закуп!O232</f>
        <v>4.2</v>
      </c>
      <c r="H232" s="133" t="str">
        <f>Закуп!Q232</f>
        <v>3-5 л</v>
      </c>
      <c r="I232" s="133" t="str">
        <f>Закуп!X232</f>
        <v>200-299 мм</v>
      </c>
      <c r="J232" s="133" t="str">
        <f>Закуп!Y232</f>
        <v>100-199 мм</v>
      </c>
      <c r="K232" s="133" t="str">
        <f>Закуп!Z232</f>
        <v>100-199 мм</v>
      </c>
      <c r="L232" s="133" t="str">
        <f>Закуп!AA232</f>
        <v>Самосборные</v>
      </c>
      <c r="M232" s="133" t="str">
        <f>Закуп!V232</f>
        <v/>
      </c>
      <c r="N232" s="133" t="str">
        <f>Закуп!W232</f>
        <v/>
      </c>
      <c r="O232" s="139" t="str">
        <f>IF(OR(Закуп!L232="",Закуп!L232=0),"",Закуп!L232)</f>
        <v>Sale</v>
      </c>
      <c r="P232" s="133" t="str">
        <f>Закуп!K232</f>
        <v>K1011</v>
      </c>
      <c r="Q232" s="217" t="str">
        <f>IF(Закуп!D232="","",IF(LEFT(Закуп!D232,1)="0","0",Закуп!D232))</f>
        <v>ТМ-
SALE</v>
      </c>
      <c r="R232" s="155">
        <f>Закуп!C232</f>
        <v>232</v>
      </c>
    </row>
    <row r="233" spans="1:18" ht="21.45" x14ac:dyDescent="0.3">
      <c r="A233" s="131" t="str">
        <f>Закуп!E233</f>
        <v>214х186х175</v>
      </c>
      <c r="B233" s="127">
        <f>INDEX(Calc!$K:$K, (ROW(A232)-1)*5 + COLUMN(A232) + 1 )</f>
        <v>1.35</v>
      </c>
      <c r="C233" s="127">
        <f>INDEX(Calc!$K:$K, (ROW(B232)-1)*5 + COLUMN(B232) + 1 )</f>
        <v>1.35</v>
      </c>
      <c r="D233" s="136">
        <f>INDEX(Calc!$K:$K, (ROW(C232)-1)*5 + COLUMN(C232) + 1 )</f>
        <v>1.35</v>
      </c>
      <c r="E233" s="137">
        <f>INDEX(Calc!$K:$K, (ROW(D232)-1)*5 + COLUMN(D232) + 1 )</f>
        <v>1.35</v>
      </c>
      <c r="F233" s="138">
        <f>INDEX(Calc!$K:$K, (ROW(E232)-1)*5 + COLUMN(E232) + 1 )</f>
        <v>1.35</v>
      </c>
      <c r="G233" s="133">
        <f>Закуп!O233</f>
        <v>6.97</v>
      </c>
      <c r="H233" s="133" t="str">
        <f>Закуп!Q233</f>
        <v>5-10 л</v>
      </c>
      <c r="I233" s="133" t="str">
        <f>Закуп!X233</f>
        <v>200-299 мм</v>
      </c>
      <c r="J233" s="133" t="str">
        <f>Закуп!Y233</f>
        <v>100-199 мм</v>
      </c>
      <c r="K233" s="133" t="str">
        <f>Закуп!Z233</f>
        <v>100-199 мм</v>
      </c>
      <c r="L233" s="133" t="str">
        <f>Закуп!AA233</f>
        <v>Самосборные</v>
      </c>
      <c r="M233" s="133" t="str">
        <f>Закуп!V233</f>
        <v/>
      </c>
      <c r="N233" s="133" t="str">
        <f>Закуп!W233</f>
        <v/>
      </c>
      <c r="O233" s="139" t="str">
        <f>IF(OR(Закуп!L233="",Закуп!L233=0),"",Закуп!L233)</f>
        <v>Sale</v>
      </c>
      <c r="P233" s="133" t="str">
        <f>Закуп!K233</f>
        <v>K1012</v>
      </c>
      <c r="Q233" s="217" t="str">
        <f>IF(Закуп!D233="","",IF(LEFT(Закуп!D233,1)="0","0",Закуп!D233))</f>
        <v>ТМ-
SALE</v>
      </c>
      <c r="R233" s="155">
        <f>Закуп!C233</f>
        <v>233</v>
      </c>
    </row>
    <row r="234" spans="1:18" x14ac:dyDescent="0.3">
      <c r="A234" s="131">
        <f>Закуп!E234</f>
        <v>0</v>
      </c>
      <c r="B234" s="127">
        <f>INDEX(Calc!$K:$K, (ROW(A233)-1)*5 + COLUMN(A233) + 1 )</f>
        <v>0.75</v>
      </c>
      <c r="C234" s="127">
        <f>INDEX(Calc!$K:$K, (ROW(B233)-1)*5 + COLUMN(B233) + 1 )</f>
        <v>0.75</v>
      </c>
      <c r="D234" s="136">
        <f>INDEX(Calc!$K:$K, (ROW(C233)-1)*5 + COLUMN(C233) + 1 )</f>
        <v>0.75</v>
      </c>
      <c r="E234" s="137">
        <f>INDEX(Calc!$K:$K, (ROW(D233)-1)*5 + COLUMN(D233) + 1 )</f>
        <v>0.75</v>
      </c>
      <c r="F234" s="138">
        <f>INDEX(Calc!$K:$K, (ROW(E233)-1)*5 + COLUMN(E233) + 1 )</f>
        <v>0.75</v>
      </c>
      <c r="G234" s="133" t="e">
        <f>Закуп!O234</f>
        <v>#VALUE!</v>
      </c>
      <c r="H234" s="133" t="e">
        <f>Закуп!Q234</f>
        <v>#VALUE!</v>
      </c>
      <c r="I234" s="133" t="e">
        <f>Закуп!X234</f>
        <v>#NUM!</v>
      </c>
      <c r="J234" s="133" t="e">
        <f>Закуп!Y234</f>
        <v>#NUM!</v>
      </c>
      <c r="K234" s="133" t="e">
        <f>Закуп!Z234</f>
        <v>#NUM!</v>
      </c>
      <c r="L234" s="133" t="str">
        <f>Закуп!AA234</f>
        <v>Самосборные</v>
      </c>
      <c r="M234" s="133" t="e">
        <f>Закуп!V234</f>
        <v>#VALUE!</v>
      </c>
      <c r="N234" s="133" t="e">
        <f>Закуп!W234</f>
        <v>#VALUE!</v>
      </c>
      <c r="O234" s="139" t="str">
        <f>IF(OR(Закуп!L234="",Закуп!L234=0),"",Закуп!L234)</f>
        <v>Sale</v>
      </c>
      <c r="P234" s="133" t="str">
        <f>Закуп!K234</f>
        <v>K1013</v>
      </c>
      <c r="Q234" s="217" t="str">
        <f>IF(Закуп!D234="","",IF(LEFT(Закуп!D234,1)="0","0",Закуп!D234))</f>
        <v>0</v>
      </c>
      <c r="R234" s="155">
        <f>Закуп!C234</f>
        <v>234</v>
      </c>
    </row>
    <row r="235" spans="1:18" x14ac:dyDescent="0.3">
      <c r="A235" s="131" t="str">
        <f>Закуп!E235</f>
        <v>230х65х50</v>
      </c>
      <c r="B235" s="127">
        <f>INDEX(Calc!$K:$K, (ROW(A234)-1)*5 + COLUMN(A234) + 1 )</f>
        <v>1.07</v>
      </c>
      <c r="C235" s="127">
        <f>INDEX(Calc!$K:$K, (ROW(B234)-1)*5 + COLUMN(B234) + 1 )</f>
        <v>0.91</v>
      </c>
      <c r="D235" s="136">
        <f>INDEX(Calc!$K:$K, (ROW(C234)-1)*5 + COLUMN(C234) + 1 )</f>
        <v>0.75</v>
      </c>
      <c r="E235" s="137">
        <f>INDEX(Calc!$K:$K, (ROW(D234)-1)*5 + COLUMN(D234) + 1 )</f>
        <v>0.64</v>
      </c>
      <c r="F235" s="138">
        <f>INDEX(Calc!$K:$K, (ROW(E234)-1)*5 + COLUMN(E234) + 1 )</f>
        <v>0.56999999999999995</v>
      </c>
      <c r="G235" s="133">
        <f>Закуп!O235</f>
        <v>0.75</v>
      </c>
      <c r="H235" s="133" t="str">
        <f>Закуп!Q235</f>
        <v>&lt;1 л</v>
      </c>
      <c r="I235" s="133" t="str">
        <f>Закуп!X235</f>
        <v>200-299 мм</v>
      </c>
      <c r="J235" s="133" t="str">
        <f>Закуп!Y235</f>
        <v>10-99 мм</v>
      </c>
      <c r="K235" s="133" t="str">
        <f>Закуп!Z235</f>
        <v>10-99 мм</v>
      </c>
      <c r="L235" s="133" t="str">
        <f>Закуп!AA235</f>
        <v>Самосборные</v>
      </c>
      <c r="M235" s="133" t="str">
        <f>Закуп!V235</f>
        <v>Длинные</v>
      </c>
      <c r="N235" s="133" t="str">
        <f>Закуп!W235</f>
        <v/>
      </c>
      <c r="O235" s="139" t="str">
        <f>IF(OR(Закуп!L235="",Закуп!L235=0),"",Закуп!L235)</f>
        <v/>
      </c>
      <c r="P235" s="133" t="str">
        <f>Закуп!K235</f>
        <v>K226</v>
      </c>
      <c r="Q235" s="217" t="str">
        <f>IF(Закуп!D235="","",IF(LEFT(Закуп!D235,1)="0","0",Закуп!D235))</f>
        <v>У</v>
      </c>
      <c r="R235" s="155">
        <f>Закуп!C235</f>
        <v>235</v>
      </c>
    </row>
    <row r="236" spans="1:18" ht="21.45" x14ac:dyDescent="0.3">
      <c r="A236" s="131" t="str">
        <f>Закуп!E236</f>
        <v>245х210х83</v>
      </c>
      <c r="B236" s="127">
        <f>INDEX(Calc!$K:$K, (ROW(A235)-1)*5 + COLUMN(A235) + 1 )</f>
        <v>1.1499999999999999</v>
      </c>
      <c r="C236" s="127">
        <f>INDEX(Calc!$K:$K, (ROW(B235)-1)*5 + COLUMN(B235) + 1 )</f>
        <v>1.1499999999999999</v>
      </c>
      <c r="D236" s="136">
        <f>INDEX(Calc!$K:$K, (ROW(C235)-1)*5 + COLUMN(C235) + 1 )</f>
        <v>1.1499999999999999</v>
      </c>
      <c r="E236" s="137">
        <f>INDEX(Calc!$K:$K, (ROW(D235)-1)*5 + COLUMN(D235) + 1 )</f>
        <v>1.1499999999999999</v>
      </c>
      <c r="F236" s="138">
        <f>INDEX(Calc!$K:$K, (ROW(E235)-1)*5 + COLUMN(E235) + 1 )</f>
        <v>1.1499999999999999</v>
      </c>
      <c r="G236" s="133">
        <f>Закуп!O236</f>
        <v>4.2699999999999996</v>
      </c>
      <c r="H236" s="133" t="str">
        <f>Закуп!Q236</f>
        <v>3-5 л</v>
      </c>
      <c r="I236" s="133" t="str">
        <f>Закуп!X236</f>
        <v>200-299 мм</v>
      </c>
      <c r="J236" s="133" t="str">
        <f>Закуп!Y236</f>
        <v>200-299 мм</v>
      </c>
      <c r="K236" s="133" t="str">
        <f>Закуп!Z236</f>
        <v>10-99 мм</v>
      </c>
      <c r="L236" s="133" t="str">
        <f>Закуп!AA236</f>
        <v>Самосборные</v>
      </c>
      <c r="M236" s="133" t="str">
        <f>Закуп!V236</f>
        <v/>
      </c>
      <c r="N236" s="133" t="str">
        <f>Закуп!W236</f>
        <v>Плоские</v>
      </c>
      <c r="O236" s="139" t="str">
        <f>IF(OR(Закуп!L236="",Закуп!L236=0),"",Закуп!L236)</f>
        <v>Sale</v>
      </c>
      <c r="P236" s="133" t="str">
        <f>Закуп!K236</f>
        <v>K1014</v>
      </c>
      <c r="Q236" s="217" t="str">
        <f>IF(Закуп!D236="","",IF(LEFT(Закуп!D236,1)="0","0",Закуп!D236))</f>
        <v>ТМ-
SALE</v>
      </c>
      <c r="R236" s="155">
        <f>Закуп!C236</f>
        <v>236</v>
      </c>
    </row>
    <row r="237" spans="1:18" ht="21.45" x14ac:dyDescent="0.3">
      <c r="A237" s="131" t="str">
        <f>Закуп!E237</f>
        <v>251х111х117</v>
      </c>
      <c r="B237" s="127">
        <f>INDEX(Calc!$K:$K, (ROW(A236)-1)*5 + COLUMN(A236) + 1 )</f>
        <v>0.8</v>
      </c>
      <c r="C237" s="127">
        <f>INDEX(Calc!$K:$K, (ROW(B236)-1)*5 + COLUMN(B236) + 1 )</f>
        <v>0.8</v>
      </c>
      <c r="D237" s="136">
        <f>INDEX(Calc!$K:$K, (ROW(C236)-1)*5 + COLUMN(C236) + 1 )</f>
        <v>0.8</v>
      </c>
      <c r="E237" s="137">
        <f>INDEX(Calc!$K:$K, (ROW(D236)-1)*5 + COLUMN(D236) + 1 )</f>
        <v>0.8</v>
      </c>
      <c r="F237" s="138">
        <f>INDEX(Calc!$K:$K, (ROW(E236)-1)*5 + COLUMN(E236) + 1 )</f>
        <v>0.8</v>
      </c>
      <c r="G237" s="133">
        <f>Закуп!O237</f>
        <v>3.26</v>
      </c>
      <c r="H237" s="133" t="str">
        <f>Закуп!Q237</f>
        <v>3-5 л</v>
      </c>
      <c r="I237" s="133" t="str">
        <f>Закуп!X237</f>
        <v>200-299 мм</v>
      </c>
      <c r="J237" s="133" t="str">
        <f>Закуп!Y237</f>
        <v>100-199 мм</v>
      </c>
      <c r="K237" s="133" t="str">
        <f>Закуп!Z237</f>
        <v>100-199 мм</v>
      </c>
      <c r="L237" s="133" t="str">
        <f>Закуп!AA237</f>
        <v>Самосборные</v>
      </c>
      <c r="M237" s="133" t="str">
        <f>Закуп!V237</f>
        <v>Длинные</v>
      </c>
      <c r="N237" s="133" t="str">
        <f>Закуп!W237</f>
        <v/>
      </c>
      <c r="O237" s="139" t="str">
        <f>IF(OR(Закуп!L237="",Закуп!L237=0),"",Закуп!L237)</f>
        <v>Sale</v>
      </c>
      <c r="P237" s="133" t="str">
        <f>Закуп!K237</f>
        <v>K1015</v>
      </c>
      <c r="Q237" s="217" t="str">
        <f>IF(Закуп!D237="","",IF(LEFT(Закуп!D237,1)="0","0",Закуп!D237))</f>
        <v>ТМ-
SALE</v>
      </c>
      <c r="R237" s="155">
        <f>Закуп!C237</f>
        <v>237</v>
      </c>
    </row>
    <row r="238" spans="1:18" x14ac:dyDescent="0.3">
      <c r="A238" s="131">
        <f>Закуп!E238</f>
        <v>0</v>
      </c>
      <c r="B238" s="127">
        <f>INDEX(Calc!$K:$K, (ROW(A237)-1)*5 + COLUMN(A237) + 1 )</f>
        <v>0.65</v>
      </c>
      <c r="C238" s="127">
        <f>INDEX(Calc!$K:$K, (ROW(B237)-1)*5 + COLUMN(B237) + 1 )</f>
        <v>0.65</v>
      </c>
      <c r="D238" s="136">
        <f>INDEX(Calc!$K:$K, (ROW(C237)-1)*5 + COLUMN(C237) + 1 )</f>
        <v>0.65</v>
      </c>
      <c r="E238" s="137">
        <f>INDEX(Calc!$K:$K, (ROW(D237)-1)*5 + COLUMN(D237) + 1 )</f>
        <v>0.65</v>
      </c>
      <c r="F238" s="138">
        <f>INDEX(Calc!$K:$K, (ROW(E237)-1)*5 + COLUMN(E237) + 1 )</f>
        <v>0.65</v>
      </c>
      <c r="G238" s="133" t="e">
        <f>Закуп!O238</f>
        <v>#VALUE!</v>
      </c>
      <c r="H238" s="133" t="e">
        <f>Закуп!Q238</f>
        <v>#VALUE!</v>
      </c>
      <c r="I238" s="133" t="e">
        <f>Закуп!X238</f>
        <v>#NUM!</v>
      </c>
      <c r="J238" s="133" t="e">
        <f>Закуп!Y238</f>
        <v>#NUM!</v>
      </c>
      <c r="K238" s="133" t="e">
        <f>Закуп!Z238</f>
        <v>#NUM!</v>
      </c>
      <c r="L238" s="133" t="str">
        <f>Закуп!AA238</f>
        <v>Самосборные</v>
      </c>
      <c r="M238" s="133" t="e">
        <f>Закуп!V238</f>
        <v>#VALUE!</v>
      </c>
      <c r="N238" s="133" t="e">
        <f>Закуп!W238</f>
        <v>#VALUE!</v>
      </c>
      <c r="O238" s="139" t="str">
        <f>IF(OR(Закуп!L238="",Закуп!L238=0),"",Закуп!L238)</f>
        <v>Sale</v>
      </c>
      <c r="P238" s="133" t="str">
        <f>Закуп!K238</f>
        <v>K1016</v>
      </c>
      <c r="Q238" s="217" t="str">
        <f>IF(Закуп!D238="","",IF(LEFT(Закуп!D238,1)="0","0",Закуп!D238))</f>
        <v>0</v>
      </c>
      <c r="R238" s="155">
        <f>Закуп!C238</f>
        <v>238</v>
      </c>
    </row>
    <row r="239" spans="1:18" ht="21.45" x14ac:dyDescent="0.3">
      <c r="A239" s="131" t="str">
        <f>Закуп!E239</f>
        <v>290х120х110</v>
      </c>
      <c r="B239" s="127">
        <f>INDEX(Calc!$K:$K, (ROW(A238)-1)*5 + COLUMN(A238) + 1 )</f>
        <v>0.85</v>
      </c>
      <c r="C239" s="127">
        <f>INDEX(Calc!$K:$K, (ROW(B238)-1)*5 + COLUMN(B238) + 1 )</f>
        <v>0.85</v>
      </c>
      <c r="D239" s="136">
        <f>INDEX(Calc!$K:$K, (ROW(C238)-1)*5 + COLUMN(C238) + 1 )</f>
        <v>0.85</v>
      </c>
      <c r="E239" s="137">
        <f>INDEX(Calc!$K:$K, (ROW(D238)-1)*5 + COLUMN(D238) + 1 )</f>
        <v>0.85</v>
      </c>
      <c r="F239" s="138">
        <f>INDEX(Calc!$K:$K, (ROW(E238)-1)*5 + COLUMN(E238) + 1 )</f>
        <v>0.85</v>
      </c>
      <c r="G239" s="133">
        <f>Закуп!O239</f>
        <v>3.83</v>
      </c>
      <c r="H239" s="133" t="str">
        <f>Закуп!Q239</f>
        <v>3-5 л</v>
      </c>
      <c r="I239" s="133" t="str">
        <f>Закуп!X239</f>
        <v>200-299 мм</v>
      </c>
      <c r="J239" s="133" t="str">
        <f>Закуп!Y239</f>
        <v>100-199 мм</v>
      </c>
      <c r="K239" s="133" t="str">
        <f>Закуп!Z239</f>
        <v>100-199 мм</v>
      </c>
      <c r="L239" s="133" t="str">
        <f>Закуп!AA239</f>
        <v>Самосборные</v>
      </c>
      <c r="M239" s="133" t="str">
        <f>Закуп!V239</f>
        <v>Длинные</v>
      </c>
      <c r="N239" s="133" t="str">
        <f>Закуп!W239</f>
        <v/>
      </c>
      <c r="O239" s="139" t="str">
        <f>IF(OR(Закуп!L239="",Закуп!L239=0),"",Закуп!L239)</f>
        <v>Sale</v>
      </c>
      <c r="P239" s="133" t="str">
        <f>Закуп!K239</f>
        <v>K1017</v>
      </c>
      <c r="Q239" s="217" t="str">
        <f>IF(Закуп!D239="","",IF(LEFT(Закуп!D239,1)="0","0",Закуп!D239))</f>
        <v>ТМ-
SALE</v>
      </c>
      <c r="R239" s="155">
        <f>Закуп!C239</f>
        <v>239</v>
      </c>
    </row>
    <row r="240" spans="1:18" x14ac:dyDescent="0.3">
      <c r="A240" s="131" t="str">
        <f>Закуп!E240</f>
        <v>320х230х40</v>
      </c>
      <c r="B240" s="127">
        <f>INDEX(Calc!$K:$K, (ROW(A239)-1)*5 + COLUMN(A239) + 1 )</f>
        <v>0.7</v>
      </c>
      <c r="C240" s="127">
        <f>INDEX(Calc!$K:$K, (ROW(B239)-1)*5 + COLUMN(B239) + 1 )</f>
        <v>0.7</v>
      </c>
      <c r="D240" s="136">
        <f>INDEX(Calc!$K:$K, (ROW(C239)-1)*5 + COLUMN(C239) + 1 )</f>
        <v>0.7</v>
      </c>
      <c r="E240" s="137">
        <f>INDEX(Calc!$K:$K, (ROW(D239)-1)*5 + COLUMN(D239) + 1 )</f>
        <v>0.7</v>
      </c>
      <c r="F240" s="138">
        <f>INDEX(Calc!$K:$K, (ROW(E239)-1)*5 + COLUMN(E239) + 1 )</f>
        <v>0.7</v>
      </c>
      <c r="G240" s="133">
        <f>Закуп!O240</f>
        <v>2.94</v>
      </c>
      <c r="H240" s="133" t="str">
        <f>Закуп!Q240</f>
        <v>2-3 л</v>
      </c>
      <c r="I240" s="133" t="str">
        <f>Закуп!X240</f>
        <v>300-399 мм</v>
      </c>
      <c r="J240" s="133" t="str">
        <f>Закуп!Y240</f>
        <v>200-299 мм</v>
      </c>
      <c r="K240" s="133" t="str">
        <f>Закуп!Z240</f>
        <v>10-99 мм</v>
      </c>
      <c r="L240" s="133" t="str">
        <f>Закуп!AA240</f>
        <v>Самосборные</v>
      </c>
      <c r="M240" s="133" t="str">
        <f>Закуп!V240</f>
        <v/>
      </c>
      <c r="N240" s="133" t="str">
        <f>Закуп!W240</f>
        <v>Плоские</v>
      </c>
      <c r="O240" s="139" t="str">
        <f>IF(OR(Закуп!L240="",Закуп!L240=0),"",Закуп!L240)</f>
        <v/>
      </c>
      <c r="P240" s="133" t="str">
        <f>Закуп!K240</f>
        <v>K1018</v>
      </c>
      <c r="Q240" s="217" t="str">
        <f>IF(Закуп!D240="","",IF(LEFT(Закуп!D240,1)="0","0",Закуп!D240))</f>
        <v>0</v>
      </c>
      <c r="R240" s="155">
        <f>Закуп!C240</f>
        <v>240</v>
      </c>
    </row>
    <row r="241" spans="1:18" x14ac:dyDescent="0.3">
      <c r="A241" s="131" t="str">
        <f>Закуп!E241</f>
        <v>100х100х55</v>
      </c>
      <c r="B241" s="127">
        <f>INDEX(Calc!$K:$K, (ROW(A240)-1)*5 + COLUMN(A240) + 1 )</f>
        <v>1.07</v>
      </c>
      <c r="C241" s="127">
        <f>INDEX(Calc!$K:$K, (ROW(B240)-1)*5 + COLUMN(B240) + 1 )</f>
        <v>0.96</v>
      </c>
      <c r="D241" s="136">
        <f>INDEX(Calc!$K:$K, (ROW(C240)-1)*5 + COLUMN(C240) + 1 )</f>
        <v>0.86</v>
      </c>
      <c r="E241" s="137">
        <f>INDEX(Calc!$K:$K, (ROW(D240)-1)*5 + COLUMN(D240) + 1 )</f>
        <v>0.75</v>
      </c>
      <c r="F241" s="138">
        <f>INDEX(Calc!$K:$K, (ROW(E240)-1)*5 + COLUMN(E240) + 1 )</f>
        <v>0.64</v>
      </c>
      <c r="G241" s="133">
        <f>Закуп!O241</f>
        <v>0.55000000000000004</v>
      </c>
      <c r="H241" s="133" t="str">
        <f>Закуп!Q241</f>
        <v>&lt;1 л</v>
      </c>
      <c r="I241" s="133" t="str">
        <f>Закуп!X241</f>
        <v>100-199 мм</v>
      </c>
      <c r="J241" s="133" t="str">
        <f>Закуп!Y241</f>
        <v>100-199 мм</v>
      </c>
      <c r="K241" s="133" t="str">
        <f>Закуп!Z241</f>
        <v>10-99 мм</v>
      </c>
      <c r="L241" s="133" t="str">
        <f>Закуп!AA241</f>
        <v>Самосборные</v>
      </c>
      <c r="M241" s="133" t="str">
        <f>Закуп!V241</f>
        <v/>
      </c>
      <c r="N241" s="133" t="str">
        <f>Закуп!W241</f>
        <v/>
      </c>
      <c r="O241" s="139" t="str">
        <f>IF(OR(Закуп!L241="",Закуп!L241=0),"",Закуп!L241)</f>
        <v/>
      </c>
      <c r="P241" s="133" t="str">
        <f>Закуп!K241</f>
        <v>K227</v>
      </c>
      <c r="Q241" s="217" t="str">
        <f>IF(Закуп!D241="","",IF(LEFT(Закуп!D241,1)="0","0",Закуп!D241))</f>
        <v>У</v>
      </c>
      <c r="R241" s="155">
        <f>Закуп!C241</f>
        <v>241</v>
      </c>
    </row>
    <row r="242" spans="1:18" x14ac:dyDescent="0.3">
      <c r="A242" s="131" t="str">
        <f>Закуп!E242</f>
        <v>600х400х400</v>
      </c>
      <c r="B242" s="127">
        <f>INDEX(Calc!$K:$K, (ROW(A241)-1)*5 + COLUMN(A241) + 1 )</f>
        <v>3.2</v>
      </c>
      <c r="C242" s="127">
        <f>INDEX(Calc!$K:$K, (ROW(B241)-1)*5 + COLUMN(B241) + 1 )</f>
        <v>3</v>
      </c>
      <c r="D242" s="136">
        <f>INDEX(Calc!$K:$K, (ROW(C241)-1)*5 + COLUMN(C241) + 1 )</f>
        <v>2.75</v>
      </c>
      <c r="E242" s="137">
        <f>INDEX(Calc!$K:$K, (ROW(D241)-1)*5 + COLUMN(D241) + 1 )</f>
        <v>2.5</v>
      </c>
      <c r="F242" s="138">
        <f>INDEX(Calc!$K:$K, (ROW(E241)-1)*5 + COLUMN(E241) + 1 )</f>
        <v>2.2999999999999998</v>
      </c>
      <c r="G242" s="133">
        <f>Закуп!O242</f>
        <v>96</v>
      </c>
      <c r="H242" s="133" t="str">
        <f>Закуп!Q242</f>
        <v>50-100 л</v>
      </c>
      <c r="I242" s="133" t="str">
        <f>Закуп!X242</f>
        <v>600-699 мм</v>
      </c>
      <c r="J242" s="133" t="str">
        <f>Закуп!Y242</f>
        <v>400-499 мм</v>
      </c>
      <c r="K242" s="133" t="str">
        <f>Закуп!Z242</f>
        <v>400-499 мм</v>
      </c>
      <c r="L242" s="133" t="str">
        <f>Закуп!AA242</f>
        <v>Четырехклапанные</v>
      </c>
      <c r="M242" s="133" t="str">
        <f>Закуп!V242</f>
        <v/>
      </c>
      <c r="N242" s="133" t="str">
        <f>Закуп!W242</f>
        <v/>
      </c>
      <c r="O242" s="139" t="str">
        <f>IF(OR(Закуп!L242="",Закуп!L242=0),"",Закуп!L242)</f>
        <v>Sale</v>
      </c>
      <c r="P242" s="133" t="str">
        <f>Закуп!K242</f>
        <v>K1020</v>
      </c>
      <c r="Q242" s="217" t="str">
        <f>IF(Закуп!D242="","",IF(LEFT(Закуп!D242,1)="0","0",Закуп!D242))</f>
        <v>ГТ</v>
      </c>
      <c r="R242" s="155">
        <f>Закуп!C242</f>
        <v>242</v>
      </c>
    </row>
    <row r="243" spans="1:18" x14ac:dyDescent="0.3">
      <c r="A243" s="131" t="str">
        <f>Закуп!E243</f>
        <v>600х400х400</v>
      </c>
      <c r="B243" s="127">
        <f>INDEX(Calc!$K:$K, (ROW(A242)-1)*5 + COLUMN(A242) + 1 )</f>
        <v>3.65</v>
      </c>
      <c r="C243" s="127">
        <f>INDEX(Calc!$K:$K, (ROW(B242)-1)*5 + COLUMN(B242) + 1 )</f>
        <v>3.4</v>
      </c>
      <c r="D243" s="136">
        <f>INDEX(Calc!$K:$K, (ROW(C242)-1)*5 + COLUMN(C242) + 1 )</f>
        <v>3.1</v>
      </c>
      <c r="E243" s="137">
        <f>INDEX(Calc!$K:$K, (ROW(D242)-1)*5 + COLUMN(D242) + 1 )</f>
        <v>2.9</v>
      </c>
      <c r="F243" s="138">
        <f>INDEX(Calc!$K:$K, (ROW(E242)-1)*5 + COLUMN(E242) + 1 )</f>
        <v>2.7</v>
      </c>
      <c r="G243" s="133">
        <f>Закуп!O243</f>
        <v>96</v>
      </c>
      <c r="H243" s="133" t="str">
        <f>Закуп!Q243</f>
        <v>50-100 л</v>
      </c>
      <c r="I243" s="133" t="str">
        <f>Закуп!X243</f>
        <v>600-699 мм</v>
      </c>
      <c r="J243" s="133" t="str">
        <f>Закуп!Y243</f>
        <v>400-499 мм</v>
      </c>
      <c r="K243" s="133" t="str">
        <f>Закуп!Z243</f>
        <v>400-499 мм</v>
      </c>
      <c r="L243" s="133" t="str">
        <f>Закуп!AA243</f>
        <v>Четырехклапанные</v>
      </c>
      <c r="M243" s="133" t="str">
        <f>Закуп!V243</f>
        <v/>
      </c>
      <c r="N243" s="133" t="str">
        <f>Закуп!W243</f>
        <v/>
      </c>
      <c r="O243" s="139" t="str">
        <f>IF(OR(Закуп!L243="",Закуп!L243=0),"",Закуп!L243)</f>
        <v>Sale</v>
      </c>
      <c r="P243" s="133" t="str">
        <f>Закуп!K243</f>
        <v>K1021</v>
      </c>
      <c r="Q243" s="217" t="str">
        <f>IF(Закуп!D243="","",IF(LEFT(Закуп!D243,1)="0","0",Закуп!D243))</f>
        <v>ГТ</v>
      </c>
      <c r="R243" s="155">
        <f>Закуп!C243</f>
        <v>243</v>
      </c>
    </row>
    <row r="244" spans="1:18" x14ac:dyDescent="0.3">
      <c r="A244" s="131" t="str">
        <f>Закуп!E244</f>
        <v>600х400х400</v>
      </c>
      <c r="B244" s="127">
        <f>INDEX(Calc!$K:$K, (ROW(A243)-1)*5 + COLUMN(A243) + 1 )</f>
        <v>5</v>
      </c>
      <c r="C244" s="127">
        <f>INDEX(Calc!$K:$K, (ROW(B243)-1)*5 + COLUMN(B243) + 1 )</f>
        <v>4.75</v>
      </c>
      <c r="D244" s="136">
        <f>INDEX(Calc!$K:$K, (ROW(C243)-1)*5 + COLUMN(C243) + 1 )</f>
        <v>4.5999999999999996</v>
      </c>
      <c r="E244" s="137">
        <f>INDEX(Calc!$K:$K, (ROW(D243)-1)*5 + COLUMN(D243) + 1 )</f>
        <v>4.45</v>
      </c>
      <c r="F244" s="138">
        <f>INDEX(Calc!$K:$K, (ROW(E243)-1)*5 + COLUMN(E243) + 1 )</f>
        <v>4.3</v>
      </c>
      <c r="G244" s="133">
        <f>Закуп!O244</f>
        <v>96</v>
      </c>
      <c r="H244" s="133" t="str">
        <f>Закуп!Q244</f>
        <v>50-100 л</v>
      </c>
      <c r="I244" s="133" t="str">
        <f>Закуп!X244</f>
        <v>600-699 мм</v>
      </c>
      <c r="J244" s="133" t="str">
        <f>Закуп!Y244</f>
        <v>400-499 мм</v>
      </c>
      <c r="K244" s="133" t="str">
        <f>Закуп!Z244</f>
        <v>400-499 мм</v>
      </c>
      <c r="L244" s="133" t="str">
        <f>Закуп!AA244</f>
        <v>Четырехклапанные</v>
      </c>
      <c r="M244" s="133" t="str">
        <f>Закуп!V244</f>
        <v/>
      </c>
      <c r="N244" s="133" t="str">
        <f>Закуп!W244</f>
        <v/>
      </c>
      <c r="O244" s="139" t="str">
        <f>IF(OR(Закуп!L244="",Закуп!L244=0),"",Закуп!L244)</f>
        <v>Sale</v>
      </c>
      <c r="P244" s="133" t="str">
        <f>Закуп!K244</f>
        <v>K1022</v>
      </c>
      <c r="Q244" s="217" t="str">
        <f>IF(Закуп!D244="","",IF(LEFT(Закуп!D244,1)="0","0",Закуп!D244))</f>
        <v>Э (АП)</v>
      </c>
      <c r="R244" s="155">
        <f>Закуп!C244</f>
        <v>244</v>
      </c>
    </row>
    <row r="245" spans="1:18" x14ac:dyDescent="0.3">
      <c r="A245" s="131" t="str">
        <f>Закуп!E245</f>
        <v>600х400х220</v>
      </c>
      <c r="B245" s="127">
        <f>INDEX(Calc!$K:$K, (ROW(A244)-1)*5 + COLUMN(A244) + 1 )</f>
        <v>2.93</v>
      </c>
      <c r="C245" s="127">
        <f>INDEX(Calc!$K:$K, (ROW(B244)-1)*5 + COLUMN(B244) + 1 )</f>
        <v>2.34</v>
      </c>
      <c r="D245" s="136">
        <f>INDEX(Calc!$K:$K, (ROW(C244)-1)*5 + COLUMN(C244) + 1 )</f>
        <v>2.11</v>
      </c>
      <c r="E245" s="137">
        <f>INDEX(Calc!$K:$K, (ROW(D244)-1)*5 + COLUMN(D244) + 1 )</f>
        <v>1.9</v>
      </c>
      <c r="F245" s="138">
        <f>INDEX(Calc!$K:$K, (ROW(E244)-1)*5 + COLUMN(E244) + 1 )</f>
        <v>1.82</v>
      </c>
      <c r="G245" s="133">
        <f>Закуп!O245</f>
        <v>52.8</v>
      </c>
      <c r="H245" s="133" t="str">
        <f>Закуп!Q245</f>
        <v>50-100 л</v>
      </c>
      <c r="I245" s="133" t="str">
        <f>Закуп!X245</f>
        <v>600-699 мм</v>
      </c>
      <c r="J245" s="133" t="str">
        <f>Закуп!Y245</f>
        <v>400-499 мм</v>
      </c>
      <c r="K245" s="133" t="str">
        <f>Закуп!Z245</f>
        <v>200-299 мм</v>
      </c>
      <c r="L245" s="133" t="str">
        <f>Закуп!AA245</f>
        <v>Четырехклапанные</v>
      </c>
      <c r="M245" s="133" t="str">
        <f>Закуп!V245</f>
        <v/>
      </c>
      <c r="N245" s="133" t="str">
        <f>Закуп!W245</f>
        <v/>
      </c>
      <c r="O245" s="139" t="str">
        <f>IF(OR(Закуп!L245="",Закуп!L245=0),"",Закуп!L245)</f>
        <v/>
      </c>
      <c r="P245" s="133" t="str">
        <f>Закуп!K245</f>
        <v>K1023</v>
      </c>
      <c r="Q245" s="217" t="str">
        <f>IF(Закуп!D245="","",IF(LEFT(Закуп!D245,1)="0","0",Закуп!D245))</f>
        <v>АГ (Нолес)</v>
      </c>
      <c r="R245" s="155">
        <f>Закуп!C245</f>
        <v>245</v>
      </c>
    </row>
    <row r="246" spans="1:18" x14ac:dyDescent="0.3">
      <c r="A246" s="131" t="str">
        <f>Закуп!E246</f>
        <v xml:space="preserve">300х300х50 </v>
      </c>
      <c r="B246" s="127">
        <f>INDEX(Calc!$K:$K, (ROW(A245)-1)*5 + COLUMN(A245) + 1 )</f>
        <v>2.2599999999999998</v>
      </c>
      <c r="C246" s="127">
        <f>INDEX(Calc!$K:$K, (ROW(B245)-1)*5 + COLUMN(B245) + 1 )</f>
        <v>2.0499999999999998</v>
      </c>
      <c r="D246" s="136">
        <f>INDEX(Calc!$K:$K, (ROW(C245)-1)*5 + COLUMN(C245) + 1 )</f>
        <v>1.61</v>
      </c>
      <c r="E246" s="137">
        <f>INDEX(Calc!$K:$K, (ROW(D245)-1)*5 + COLUMN(D245) + 1 )</f>
        <v>1.39</v>
      </c>
      <c r="F246" s="138">
        <f>INDEX(Calc!$K:$K, (ROW(E245)-1)*5 + COLUMN(E245) + 1 )</f>
        <v>1.29</v>
      </c>
      <c r="G246" s="133">
        <f>Закуп!O246</f>
        <v>4.5</v>
      </c>
      <c r="H246" s="133" t="str">
        <f>Закуп!Q246</f>
        <v>3-5 л</v>
      </c>
      <c r="I246" s="133" t="str">
        <f>Закуп!X246</f>
        <v>300-399 мм</v>
      </c>
      <c r="J246" s="133" t="str">
        <f>Закуп!Y246</f>
        <v>300-399 мм</v>
      </c>
      <c r="K246" s="133" t="str">
        <f>Закуп!Z246</f>
        <v>10-99 мм</v>
      </c>
      <c r="L246" s="133" t="str">
        <f>Закуп!AA246</f>
        <v>Крышка-дно</v>
      </c>
      <c r="M246" s="133" t="str">
        <f>Закуп!V246</f>
        <v/>
      </c>
      <c r="N246" s="133" t="str">
        <f>Закуп!W246</f>
        <v>Плоские</v>
      </c>
      <c r="O246" s="139" t="str">
        <f>IF(OR(Закуп!L246="",Закуп!L246=0),"",Закуп!L246)</f>
        <v/>
      </c>
      <c r="P246" s="133" t="str">
        <f>Закуп!K246</f>
        <v>K228</v>
      </c>
      <c r="Q246" s="217" t="str">
        <f>IF(Закуп!D246="","",IF(LEFT(Закуп!D246,1)="0","0",Закуп!D246))</f>
        <v>У</v>
      </c>
      <c r="R246" s="155">
        <f>Закуп!C246</f>
        <v>246</v>
      </c>
    </row>
    <row r="247" spans="1:18" x14ac:dyDescent="0.3">
      <c r="A247" s="131" t="str">
        <f>Закуп!E247</f>
        <v>300х300х80</v>
      </c>
      <c r="B247" s="127">
        <f>INDEX(Calc!$K:$K, (ROW(A246)-1)*5 + COLUMN(A246) + 1 )</f>
        <v>2.97</v>
      </c>
      <c r="C247" s="127">
        <f>INDEX(Calc!$K:$K, (ROW(B246)-1)*5 + COLUMN(B246) + 1 )</f>
        <v>2.39</v>
      </c>
      <c r="D247" s="136">
        <f>INDEX(Calc!$K:$K, (ROW(C246)-1)*5 + COLUMN(C246) + 1 )</f>
        <v>2.17</v>
      </c>
      <c r="E247" s="137">
        <f>INDEX(Calc!$K:$K, (ROW(D246)-1)*5 + COLUMN(D246) + 1 )</f>
        <v>1.94</v>
      </c>
      <c r="F247" s="138">
        <f>INDEX(Calc!$K:$K, (ROW(E246)-1)*5 + COLUMN(E246) + 1 )</f>
        <v>1.85</v>
      </c>
      <c r="G247" s="133">
        <f>Закуп!O247</f>
        <v>7.2</v>
      </c>
      <c r="H247" s="133" t="str">
        <f>Закуп!Q247</f>
        <v>5-10 л</v>
      </c>
      <c r="I247" s="133" t="str">
        <f>Закуп!X247</f>
        <v>300-399 мм</v>
      </c>
      <c r="J247" s="133" t="str">
        <f>Закуп!Y247</f>
        <v>300-399 мм</v>
      </c>
      <c r="K247" s="133" t="str">
        <f>Закуп!Z247</f>
        <v>10-99 мм</v>
      </c>
      <c r="L247" s="133" t="str">
        <f>Закуп!AA247</f>
        <v>Крышка-дно</v>
      </c>
      <c r="M247" s="133" t="str">
        <f>Закуп!V247</f>
        <v/>
      </c>
      <c r="N247" s="133" t="str">
        <f>Закуп!W247</f>
        <v>Плоские</v>
      </c>
      <c r="O247" s="139" t="str">
        <f>IF(OR(Закуп!L247="",Закуп!L247=0),"",Закуп!L247)</f>
        <v/>
      </c>
      <c r="P247" s="133" t="str">
        <f>Закуп!K247</f>
        <v>K229</v>
      </c>
      <c r="Q247" s="217" t="str">
        <f>IF(Закуп!D247="","",IF(LEFT(Закуп!D247,1)="0","0",Закуп!D247))</f>
        <v>У</v>
      </c>
      <c r="R247" s="155">
        <f>Закуп!C247</f>
        <v>247</v>
      </c>
    </row>
    <row r="248" spans="1:18" x14ac:dyDescent="0.3">
      <c r="A248" s="131" t="str">
        <f>Закуп!E248</f>
        <v>250х250х80</v>
      </c>
      <c r="B248" s="127">
        <f>INDEX(Calc!$K:$K, (ROW(A247)-1)*5 + COLUMN(A247) + 1 )</f>
        <v>2.35</v>
      </c>
      <c r="C248" s="127">
        <f>INDEX(Calc!$K:$K, (ROW(B247)-1)*5 + COLUMN(B247) + 1 )</f>
        <v>2.0299999999999998</v>
      </c>
      <c r="D248" s="136">
        <f>INDEX(Calc!$K:$K, (ROW(C247)-1)*5 + COLUMN(C247) + 1 )</f>
        <v>1.82</v>
      </c>
      <c r="E248" s="137">
        <f>INDEX(Calc!$K:$K, (ROW(D247)-1)*5 + COLUMN(D247) + 1 )</f>
        <v>1.71</v>
      </c>
      <c r="F248" s="138">
        <f>INDEX(Calc!$K:$K, (ROW(E247)-1)*5 + COLUMN(E247) + 1 )</f>
        <v>1.61</v>
      </c>
      <c r="G248" s="133">
        <f>Закуп!O248</f>
        <v>5</v>
      </c>
      <c r="H248" s="133" t="str">
        <f>Закуп!Q248</f>
        <v>5-10 л</v>
      </c>
      <c r="I248" s="133" t="str">
        <f>Закуп!X248</f>
        <v>200-299 мм</v>
      </c>
      <c r="J248" s="133" t="str">
        <f>Закуп!Y248</f>
        <v>200-299 мм</v>
      </c>
      <c r="K248" s="133" t="str">
        <f>Закуп!Z248</f>
        <v>10-99 мм</v>
      </c>
      <c r="L248" s="133" t="str">
        <f>Закуп!AA248</f>
        <v>Крышка-дно</v>
      </c>
      <c r="M248" s="133" t="str">
        <f>Закуп!V248</f>
        <v/>
      </c>
      <c r="N248" s="133" t="str">
        <f>Закуп!W248</f>
        <v>Плоские</v>
      </c>
      <c r="O248" s="139" t="str">
        <f>IF(OR(Закуп!L248="",Закуп!L248=0),"",Закуп!L248)</f>
        <v/>
      </c>
      <c r="P248" s="133" t="str">
        <f>Закуп!K248</f>
        <v>K230</v>
      </c>
      <c r="Q248" s="217" t="str">
        <f>IF(Закуп!D248="","",IF(LEFT(Закуп!D248,1)="0","0",Закуп!D248))</f>
        <v>У</v>
      </c>
      <c r="R248" s="155">
        <f>Закуп!C248</f>
        <v>248</v>
      </c>
    </row>
    <row r="249" spans="1:18" x14ac:dyDescent="0.3">
      <c r="A249" s="131" t="str">
        <f>Закуп!E249</f>
        <v>400х300х250</v>
      </c>
      <c r="B249" s="127">
        <f>INDEX(Calc!$K:$K, (ROW(A248)-1)*5 + COLUMN(A248) + 1 )</f>
        <v>2.7</v>
      </c>
      <c r="C249" s="127">
        <f>INDEX(Calc!$K:$K, (ROW(B248)-1)*5 + COLUMN(B248) + 1 )</f>
        <v>2.57</v>
      </c>
      <c r="D249" s="136">
        <f>INDEX(Calc!$K:$K, (ROW(C248)-1)*5 + COLUMN(C248) + 1 )</f>
        <v>2.35</v>
      </c>
      <c r="E249" s="137">
        <f>INDEX(Calc!$K:$K, (ROW(D248)-1)*5 + COLUMN(D248) + 1 )</f>
        <v>2.25</v>
      </c>
      <c r="F249" s="138">
        <f>INDEX(Calc!$K:$K, (ROW(E248)-1)*5 + COLUMN(E248) + 1 )</f>
        <v>2.14</v>
      </c>
      <c r="G249" s="133">
        <f>Закуп!O249</f>
        <v>30</v>
      </c>
      <c r="H249" s="133" t="str">
        <f>Закуп!Q249</f>
        <v>20-50 л</v>
      </c>
      <c r="I249" s="133" t="str">
        <f>Закуп!X249</f>
        <v>400-499 мм</v>
      </c>
      <c r="J249" s="133" t="str">
        <f>Закуп!Y249</f>
        <v>300-399 мм</v>
      </c>
      <c r="K249" s="133" t="str">
        <f>Закуп!Z249</f>
        <v>200-299 мм</v>
      </c>
      <c r="L249" s="133" t="str">
        <f>Закуп!AA249</f>
        <v>Четырехклапанные</v>
      </c>
      <c r="M249" s="133" t="str">
        <f>Закуп!V249</f>
        <v/>
      </c>
      <c r="N249" s="133" t="str">
        <f>Закуп!W249</f>
        <v/>
      </c>
      <c r="O249" s="139" t="str">
        <f>IF(OR(Закуп!L249="",Закуп!L249=0),"",Закуп!L249)</f>
        <v/>
      </c>
      <c r="P249" s="133" t="str">
        <f>Закуп!K249</f>
        <v>K1024</v>
      </c>
      <c r="Q249" s="217" t="str">
        <f>IF(Закуп!D249="","",IF(LEFT(Закуп!D249,1)="0","0",Закуп!D249))</f>
        <v>К</v>
      </c>
      <c r="R249" s="155">
        <f>Закуп!C249</f>
        <v>249</v>
      </c>
    </row>
    <row r="250" spans="1:18" ht="21.45" x14ac:dyDescent="0.3">
      <c r="A250" s="131" t="str">
        <f>Закуп!E250</f>
        <v>100х100х20</v>
      </c>
      <c r="B250" s="127">
        <f>INDEX(Calc!$K:$K, (ROW(A249)-1)*5 + COLUMN(A249) + 1 )</f>
        <v>0.5</v>
      </c>
      <c r="C250" s="127">
        <f>INDEX(Calc!$K:$K, (ROW(B249)-1)*5 + COLUMN(B249) + 1 )</f>
        <v>0.5</v>
      </c>
      <c r="D250" s="136">
        <f>INDEX(Calc!$K:$K, (ROW(C249)-1)*5 + COLUMN(C249) + 1 )</f>
        <v>0.5</v>
      </c>
      <c r="E250" s="137">
        <f>INDEX(Calc!$K:$K, (ROW(D249)-1)*5 + COLUMN(D249) + 1 )</f>
        <v>0.5</v>
      </c>
      <c r="F250" s="138">
        <f>INDEX(Calc!$K:$K, (ROW(E249)-1)*5 + COLUMN(E249) + 1 )</f>
        <v>0.5</v>
      </c>
      <c r="G250" s="133">
        <f>Закуп!O250</f>
        <v>0.2</v>
      </c>
      <c r="H250" s="133" t="str">
        <f>Закуп!Q250</f>
        <v>&lt;1 л</v>
      </c>
      <c r="I250" s="133" t="str">
        <f>Закуп!X250</f>
        <v>100-199 мм</v>
      </c>
      <c r="J250" s="133" t="str">
        <f>Закуп!Y250</f>
        <v>100-199 мм</v>
      </c>
      <c r="K250" s="133" t="str">
        <f>Закуп!Z250</f>
        <v>10-99 мм</v>
      </c>
      <c r="L250" s="133" t="str">
        <f>Закуп!AA250</f>
        <v>Самосборные</v>
      </c>
      <c r="M250" s="133" t="str">
        <f>Закуп!V250</f>
        <v/>
      </c>
      <c r="N250" s="133" t="str">
        <f>Закуп!W250</f>
        <v>Плоские</v>
      </c>
      <c r="O250" s="139" t="str">
        <f>IF(OR(Закуп!L250="",Закуп!L250=0),"",Закуп!L250)</f>
        <v>Sale</v>
      </c>
      <c r="P250" s="133" t="str">
        <f>Закуп!K250</f>
        <v>K1005</v>
      </c>
      <c r="Q250" s="217" t="str">
        <f>IF(Закуп!D250="","",IF(LEFT(Закуп!D250,1)="0","0",Закуп!D250))</f>
        <v>ТМ-
SALE</v>
      </c>
      <c r="R250" s="155">
        <f>Закуп!C250</f>
        <v>250</v>
      </c>
    </row>
    <row r="251" spans="1:18" x14ac:dyDescent="0.3">
      <c r="A251" s="131" t="str">
        <f>Закуп!E251</f>
        <v>395х102х77</v>
      </c>
      <c r="B251" s="127">
        <f>INDEX(Calc!$K:$K, (ROW(A250)-1)*5 + COLUMN(A250) + 1 )</f>
        <v>1.58</v>
      </c>
      <c r="C251" s="127">
        <f>INDEX(Calc!$K:$K, (ROW(B250)-1)*5 + COLUMN(B250) + 1 )</f>
        <v>1.43</v>
      </c>
      <c r="D251" s="136">
        <f>INDEX(Calc!$K:$K, (ROW(C250)-1)*5 + COLUMN(C250) + 1 )</f>
        <v>1.1299999999999999</v>
      </c>
      <c r="E251" s="137">
        <f>INDEX(Calc!$K:$K, (ROW(D250)-1)*5 + COLUMN(D250) + 1 )</f>
        <v>1.06</v>
      </c>
      <c r="F251" s="138">
        <f>INDEX(Calc!$K:$K, (ROW(E250)-1)*5 + COLUMN(E250) + 1 )</f>
        <v>1.01</v>
      </c>
      <c r="G251" s="133">
        <f>Закуп!O251</f>
        <v>3.1</v>
      </c>
      <c r="H251" s="133" t="str">
        <f>Закуп!Q251</f>
        <v>3-5 л</v>
      </c>
      <c r="I251" s="133" t="str">
        <f>Закуп!X251</f>
        <v>300-399 мм</v>
      </c>
      <c r="J251" s="133" t="str">
        <f>Закуп!Y251</f>
        <v>100-199 мм</v>
      </c>
      <c r="K251" s="133" t="str">
        <f>Закуп!Z251</f>
        <v>10-99 мм</v>
      </c>
      <c r="L251" s="133" t="str">
        <f>Закуп!AA251</f>
        <v>Самосборные</v>
      </c>
      <c r="M251" s="133" t="str">
        <f>Закуп!V251</f>
        <v>Длинные</v>
      </c>
      <c r="N251" s="133" t="str">
        <f>Закуп!W251</f>
        <v/>
      </c>
      <c r="O251" s="139" t="str">
        <f>IF(OR(Закуп!L251="",Закуп!L251=0),"",Закуп!L251)</f>
        <v/>
      </c>
      <c r="P251" s="133" t="str">
        <f>Закуп!K251</f>
        <v>K232</v>
      </c>
      <c r="Q251" s="217" t="str">
        <f>IF(Закуп!D251="","",IF(LEFT(Закуп!D251,1)="0","0",Закуп!D251))</f>
        <v>У</v>
      </c>
      <c r="R251" s="155">
        <f>Закуп!C251</f>
        <v>251</v>
      </c>
    </row>
    <row r="252" spans="1:18" x14ac:dyDescent="0.3">
      <c r="A252" s="131" t="str">
        <f>Закуп!E252</f>
        <v>420х142х82</v>
      </c>
      <c r="B252" s="127">
        <f>INDEX(Calc!$K:$K, (ROW(A251)-1)*5 + COLUMN(A251) + 1 )</f>
        <v>1.5</v>
      </c>
      <c r="C252" s="127">
        <f>INDEX(Calc!$K:$K, (ROW(B251)-1)*5 + COLUMN(B251) + 1 )</f>
        <v>1.36</v>
      </c>
      <c r="D252" s="136">
        <f>INDEX(Calc!$K:$K, (ROW(C251)-1)*5 + COLUMN(C251) + 1 )</f>
        <v>1.07</v>
      </c>
      <c r="E252" s="137">
        <f>INDEX(Calc!$K:$K, (ROW(D251)-1)*5 + COLUMN(D251) + 1 )</f>
        <v>1.01</v>
      </c>
      <c r="F252" s="138">
        <f>INDEX(Calc!$K:$K, (ROW(E251)-1)*5 + COLUMN(E251) + 1 )</f>
        <v>0.95</v>
      </c>
      <c r="G252" s="133">
        <f>Закуп!O252</f>
        <v>4.8899999999999997</v>
      </c>
      <c r="H252" s="133" t="str">
        <f>Закуп!Q252</f>
        <v>3-5 л</v>
      </c>
      <c r="I252" s="133" t="str">
        <f>Закуп!X252</f>
        <v>400-499 мм</v>
      </c>
      <c r="J252" s="133" t="str">
        <f>Закуп!Y252</f>
        <v>100-199 мм</v>
      </c>
      <c r="K252" s="133" t="str">
        <f>Закуп!Z252</f>
        <v>10-99 мм</v>
      </c>
      <c r="L252" s="133" t="str">
        <f>Закуп!AA252</f>
        <v>Самосборные</v>
      </c>
      <c r="M252" s="133" t="str">
        <f>Закуп!V252</f>
        <v>Длинные</v>
      </c>
      <c r="N252" s="133" t="str">
        <f>Закуп!W252</f>
        <v/>
      </c>
      <c r="O252" s="139" t="str">
        <f>IF(OR(Закуп!L252="",Закуп!L252=0),"",Закуп!L252)</f>
        <v/>
      </c>
      <c r="P252" s="133" t="str">
        <f>Закуп!K252</f>
        <v>K233</v>
      </c>
      <c r="Q252" s="217" t="str">
        <f>IF(Закуп!D252="","",IF(LEFT(Закуп!D252,1)="0","0",Закуп!D252))</f>
        <v>У</v>
      </c>
      <c r="R252" s="155">
        <f>Закуп!C252</f>
        <v>252</v>
      </c>
    </row>
    <row r="253" spans="1:18" x14ac:dyDescent="0.3">
      <c r="A253" s="131" t="str">
        <f>Закуп!E253</f>
        <v>110х93х130</v>
      </c>
      <c r="B253" s="127">
        <f>INDEX(Calc!$K:$K, (ROW(A252)-1)*5 + COLUMN(A252) + 1 )</f>
        <v>1.18</v>
      </c>
      <c r="C253" s="127">
        <f>INDEX(Calc!$K:$K, (ROW(B252)-1)*5 + COLUMN(B252) + 1 )</f>
        <v>0.96</v>
      </c>
      <c r="D253" s="136">
        <f>INDEX(Calc!$K:$K, (ROW(C252)-1)*5 + COLUMN(C252) + 1 )</f>
        <v>0.8</v>
      </c>
      <c r="E253" s="137">
        <f>INDEX(Calc!$K:$K, (ROW(D252)-1)*5 + COLUMN(D252) + 1 )</f>
        <v>0.7</v>
      </c>
      <c r="F253" s="138">
        <f>INDEX(Calc!$K:$K, (ROW(E252)-1)*5 + COLUMN(E252) + 1 )</f>
        <v>0.59</v>
      </c>
      <c r="G253" s="133">
        <f>Закуп!O253</f>
        <v>1.33</v>
      </c>
      <c r="H253" s="133" t="str">
        <f>Закуп!Q253</f>
        <v>1-2 л</v>
      </c>
      <c r="I253" s="133" t="str">
        <f>Закуп!X253</f>
        <v>100-199 мм</v>
      </c>
      <c r="J253" s="133" t="str">
        <f>Закуп!Y253</f>
        <v>100-199 мм</v>
      </c>
      <c r="K253" s="133" t="str">
        <f>Закуп!Z253</f>
        <v>10-99 мм</v>
      </c>
      <c r="L253" s="133" t="str">
        <f>Закуп!AA253</f>
        <v>Самосборные</v>
      </c>
      <c r="M253" s="133" t="str">
        <f>Закуп!V253</f>
        <v/>
      </c>
      <c r="N253" s="133" t="str">
        <f>Закуп!W253</f>
        <v/>
      </c>
      <c r="O253" s="139" t="str">
        <f>IF(OR(Закуп!L253="",Закуп!L253=0),"",Закуп!L253)</f>
        <v/>
      </c>
      <c r="P253" s="133" t="str">
        <f>Закуп!K253</f>
        <v>K234</v>
      </c>
      <c r="Q253" s="217" t="str">
        <f>IF(Закуп!D253="","",IF(LEFT(Закуп!D253,1)="0","0",Закуп!D253))</f>
        <v>У</v>
      </c>
      <c r="R253" s="155">
        <f>Закуп!C253</f>
        <v>253</v>
      </c>
    </row>
    <row r="254" spans="1:18" x14ac:dyDescent="0.3">
      <c r="A254" s="131" t="str">
        <f>Закуп!E254</f>
        <v>110х110х40</v>
      </c>
      <c r="B254" s="127">
        <f>INDEX(Calc!$K:$K, (ROW(A253)-1)*5 + COLUMN(A253) + 1 )</f>
        <v>1.18</v>
      </c>
      <c r="C254" s="127">
        <f>INDEX(Calc!$K:$K, (ROW(B253)-1)*5 + COLUMN(B253) + 1 )</f>
        <v>0.96</v>
      </c>
      <c r="D254" s="136">
        <f>INDEX(Calc!$K:$K, (ROW(C253)-1)*5 + COLUMN(C253) + 1 )</f>
        <v>0.8</v>
      </c>
      <c r="E254" s="137">
        <f>INDEX(Calc!$K:$K, (ROW(D253)-1)*5 + COLUMN(D253) + 1 )</f>
        <v>0.7</v>
      </c>
      <c r="F254" s="138">
        <f>INDEX(Calc!$K:$K, (ROW(E253)-1)*5 + COLUMN(E253) + 1 )</f>
        <v>0.59</v>
      </c>
      <c r="G254" s="133">
        <f>Закуп!O254</f>
        <v>0.48</v>
      </c>
      <c r="H254" s="133" t="str">
        <f>Закуп!Q254</f>
        <v>&lt;1 л</v>
      </c>
      <c r="I254" s="133" t="str">
        <f>Закуп!X254</f>
        <v>100-199 мм</v>
      </c>
      <c r="J254" s="133" t="str">
        <f>Закуп!Y254</f>
        <v>100-199 мм</v>
      </c>
      <c r="K254" s="133" t="str">
        <f>Закуп!Z254</f>
        <v>10-99 мм</v>
      </c>
      <c r="L254" s="133" t="str">
        <f>Закуп!AA254</f>
        <v>Самосборные</v>
      </c>
      <c r="M254" s="133" t="str">
        <f>Закуп!V254</f>
        <v/>
      </c>
      <c r="N254" s="133" t="str">
        <f>Закуп!W254</f>
        <v>Плоские</v>
      </c>
      <c r="O254" s="139" t="str">
        <f>IF(OR(Закуп!L254="",Закуп!L254=0),"",Закуп!L254)</f>
        <v/>
      </c>
      <c r="P254" s="133" t="str">
        <f>Закуп!K254</f>
        <v>K235</v>
      </c>
      <c r="Q254" s="217" t="str">
        <f>IF(Закуп!D254="","",IF(LEFT(Закуп!D254,1)="0","0",Закуп!D254))</f>
        <v>У</v>
      </c>
      <c r="R254" s="155">
        <f>Закуп!C254</f>
        <v>254</v>
      </c>
    </row>
    <row r="255" spans="1:18" x14ac:dyDescent="0.3">
      <c r="A255" s="131" t="str">
        <f>Закуп!E255</f>
        <v>250х175х35</v>
      </c>
      <c r="B255" s="127">
        <f>INDEX(Calc!$K:$K, (ROW(A254)-1)*5 + COLUMN(A254) + 1 )</f>
        <v>1</v>
      </c>
      <c r="C255" s="127">
        <f>INDEX(Calc!$K:$K, (ROW(B254)-1)*5 + COLUMN(B254) + 1 )</f>
        <v>0.9</v>
      </c>
      <c r="D255" s="136">
        <f>INDEX(Calc!$K:$K, (ROW(C254)-1)*5 + COLUMN(C254) + 1 )</f>
        <v>0.8</v>
      </c>
      <c r="E255" s="137">
        <f>INDEX(Calc!$K:$K, (ROW(D254)-1)*5 + COLUMN(D254) + 1 )</f>
        <v>0.7</v>
      </c>
      <c r="F255" s="138">
        <f>INDEX(Calc!$K:$K, (ROW(E254)-1)*5 + COLUMN(E254) + 1 )</f>
        <v>0.6</v>
      </c>
      <c r="G255" s="133">
        <f>Закуп!O255</f>
        <v>1.53</v>
      </c>
      <c r="H255" s="133" t="str">
        <f>Закуп!Q255</f>
        <v>1-2 л</v>
      </c>
      <c r="I255" s="133" t="str">
        <f>Закуп!X255</f>
        <v>200-299 мм</v>
      </c>
      <c r="J255" s="133" t="str">
        <f>Закуп!Y255</f>
        <v>100-199 мм</v>
      </c>
      <c r="K255" s="133" t="str">
        <f>Закуп!Z255</f>
        <v>10-99 мм</v>
      </c>
      <c r="L255" s="133" t="str">
        <f>Закуп!AA255</f>
        <v>Самосборные</v>
      </c>
      <c r="M255" s="133" t="str">
        <f>Закуп!V255</f>
        <v/>
      </c>
      <c r="N255" s="133" t="str">
        <f>Закуп!W255</f>
        <v>Плоские</v>
      </c>
      <c r="O255" s="139" t="str">
        <f>IF(OR(Закуп!L255="",Закуп!L255=0),"",Закуп!L255)</f>
        <v/>
      </c>
      <c r="P255" s="133" t="str">
        <f>Закуп!K255</f>
        <v>K236</v>
      </c>
      <c r="Q255" s="217" t="str">
        <f>IF(Закуп!D255="","",IF(LEFT(Закуп!D255,1)="0","0",Закуп!D255))</f>
        <v>У</v>
      </c>
      <c r="R255" s="155">
        <f>Закуп!C255</f>
        <v>255</v>
      </c>
    </row>
    <row r="256" spans="1:18" x14ac:dyDescent="0.3">
      <c r="A256" s="131" t="str">
        <f>Закуп!E256</f>
        <v>520х220х50</v>
      </c>
      <c r="B256" s="127">
        <f>INDEX(Calc!$K:$K, (ROW(A255)-1)*5 + COLUMN(A255) + 1 )</f>
        <v>1.86</v>
      </c>
      <c r="C256" s="127">
        <f>INDEX(Calc!$K:$K, (ROW(B255)-1)*5 + COLUMN(B255) + 1 )</f>
        <v>1.69</v>
      </c>
      <c r="D256" s="136">
        <f>INDEX(Calc!$K:$K, (ROW(C255)-1)*5 + COLUMN(C255) + 1 )</f>
        <v>1.54</v>
      </c>
      <c r="E256" s="137">
        <f>INDEX(Calc!$K:$K, (ROW(D255)-1)*5 + COLUMN(D255) + 1 )</f>
        <v>1.42</v>
      </c>
      <c r="F256" s="138">
        <f>INDEX(Calc!$K:$K, (ROW(E255)-1)*5 + COLUMN(E255) + 1 )</f>
        <v>1.26</v>
      </c>
      <c r="G256" s="133">
        <f>Закуп!O256</f>
        <v>5.72</v>
      </c>
      <c r="H256" s="133" t="str">
        <f>Закуп!Q256</f>
        <v>5-10 л</v>
      </c>
      <c r="I256" s="133" t="str">
        <f>Закуп!X256</f>
        <v>500-599 мм</v>
      </c>
      <c r="J256" s="133" t="str">
        <f>Закуп!Y256</f>
        <v>200-299 мм</v>
      </c>
      <c r="K256" s="133" t="str">
        <f>Закуп!Z256</f>
        <v>10-99 мм</v>
      </c>
      <c r="L256" s="133" t="str">
        <f>Закуп!AA256</f>
        <v>Самосборные</v>
      </c>
      <c r="M256" s="133" t="str">
        <f>Закуп!V256</f>
        <v>Длинные</v>
      </c>
      <c r="N256" s="133" t="str">
        <f>Закуп!W256</f>
        <v>Плоские</v>
      </c>
      <c r="O256" s="139" t="str">
        <f>IF(OR(Закуп!L256="",Закуп!L256=0),"",Закуп!L256)</f>
        <v/>
      </c>
      <c r="P256" s="133" t="str">
        <f>Закуп!K256</f>
        <v>K0</v>
      </c>
      <c r="Q256" s="217" t="str">
        <f>IF(Закуп!D256="","",IF(LEFT(Закуп!D256,1)="0","0",Закуп!D256))</f>
        <v>0</v>
      </c>
      <c r="R256" s="155">
        <f>Закуп!C256</f>
        <v>256</v>
      </c>
    </row>
    <row r="257" spans="1:18" x14ac:dyDescent="0.3">
      <c r="A257" s="131" t="str">
        <f>Закуп!E257</f>
        <v>500х200х40</v>
      </c>
      <c r="B257" s="127">
        <f>INDEX(Calc!$K:$K, (ROW(A256)-1)*5 + COLUMN(A256) + 1 )</f>
        <v>1.79</v>
      </c>
      <c r="C257" s="127">
        <f>INDEX(Calc!$K:$K, (ROW(B256)-1)*5 + COLUMN(B256) + 1 )</f>
        <v>1.63</v>
      </c>
      <c r="D257" s="136">
        <f>INDEX(Calc!$K:$K, (ROW(C256)-1)*5 + COLUMN(C256) + 1 )</f>
        <v>1.49</v>
      </c>
      <c r="E257" s="137">
        <f>INDEX(Calc!$K:$K, (ROW(D256)-1)*5 + COLUMN(D256) + 1 )</f>
        <v>1.37</v>
      </c>
      <c r="F257" s="138">
        <f>INDEX(Calc!$K:$K, (ROW(E256)-1)*5 + COLUMN(E256) + 1 )</f>
        <v>1.22</v>
      </c>
      <c r="G257" s="133">
        <f>Закуп!O257</f>
        <v>4</v>
      </c>
      <c r="H257" s="133" t="str">
        <f>Закуп!Q257</f>
        <v>3-5 л</v>
      </c>
      <c r="I257" s="133" t="str">
        <f>Закуп!X257</f>
        <v>500-599 мм</v>
      </c>
      <c r="J257" s="133" t="str">
        <f>Закуп!Y257</f>
        <v>200-299 мм</v>
      </c>
      <c r="K257" s="133" t="str">
        <f>Закуп!Z257</f>
        <v>10-99 мм</v>
      </c>
      <c r="L257" s="133" t="str">
        <f>Закуп!AA257</f>
        <v>Самосборные</v>
      </c>
      <c r="M257" s="133" t="str">
        <f>Закуп!V257</f>
        <v>Длинные</v>
      </c>
      <c r="N257" s="133" t="str">
        <f>Закуп!W257</f>
        <v>Плоские</v>
      </c>
      <c r="O257" s="139" t="str">
        <f>IF(OR(Закуп!L257="",Закуп!L257=0),"",Закуп!L257)</f>
        <v/>
      </c>
      <c r="P257" s="133" t="str">
        <f>Закуп!K257</f>
        <v>K0</v>
      </c>
      <c r="Q257" s="217" t="str">
        <f>IF(Закуп!D257="","",IF(LEFT(Закуп!D257,1)="0","0",Закуп!D257))</f>
        <v>0</v>
      </c>
      <c r="R257" s="155">
        <f>Закуп!C257</f>
        <v>257</v>
      </c>
    </row>
    <row r="258" spans="1:18" x14ac:dyDescent="0.3">
      <c r="A258" s="131" t="str">
        <f>Закуп!E258</f>
        <v>800х600х500</v>
      </c>
      <c r="B258" s="127">
        <f>INDEX(Calc!$K:$K, (ROW(A257)-1)*5 + COLUMN(A257) + 1 )</f>
        <v>10.3</v>
      </c>
      <c r="C258" s="127">
        <f>INDEX(Calc!$K:$K, (ROW(B257)-1)*5 + COLUMN(B257) + 1 )</f>
        <v>9.0500000000000007</v>
      </c>
      <c r="D258" s="136">
        <f>INDEX(Calc!$K:$K, (ROW(C257)-1)*5 + COLUMN(C257) + 1 )</f>
        <v>8.49</v>
      </c>
      <c r="E258" s="137">
        <f>INDEX(Calc!$K:$K, (ROW(D257)-1)*5 + COLUMN(D257) + 1 )</f>
        <v>8.35</v>
      </c>
      <c r="F258" s="138">
        <f>INDEX(Calc!$K:$K, (ROW(E257)-1)*5 + COLUMN(E257) + 1 )</f>
        <v>8.2100000000000009</v>
      </c>
      <c r="G258" s="133">
        <f>Закуп!O258</f>
        <v>240</v>
      </c>
      <c r="H258" s="133" t="str">
        <f>Закуп!Q258</f>
        <v>100+ л</v>
      </c>
      <c r="I258" s="133" t="str">
        <f>Закуп!X258</f>
        <v>700-999 мм</v>
      </c>
      <c r="J258" s="133" t="str">
        <f>Закуп!Y258</f>
        <v>600-699 мм</v>
      </c>
      <c r="K258" s="133" t="str">
        <f>Закуп!Z258</f>
        <v>500-599 мм</v>
      </c>
      <c r="L258" s="133" t="str">
        <f>Закуп!AA258</f>
        <v>Четырехклапанные</v>
      </c>
      <c r="M258" s="133" t="str">
        <f>Закуп!V258</f>
        <v/>
      </c>
      <c r="N258" s="133" t="str">
        <f>Закуп!W258</f>
        <v/>
      </c>
      <c r="O258" s="139" t="str">
        <f>IF(OR(Закуп!L258="",Закуп!L258=0),"",Закуп!L258)</f>
        <v/>
      </c>
      <c r="P258" s="133" t="str">
        <f>Закуп!K258</f>
        <v>K1025</v>
      </c>
      <c r="Q258" s="217" t="str">
        <f>IF(Закуп!D258="","",IF(LEFT(Закуп!D258,1)="0","0",Закуп!D258))</f>
        <v>У или др</v>
      </c>
      <c r="R258" s="155">
        <f>Закуп!C258</f>
        <v>258</v>
      </c>
    </row>
    <row r="259" spans="1:18" x14ac:dyDescent="0.3">
      <c r="A259" s="131" t="str">
        <f>Закуп!E259</f>
        <v>400х300х400</v>
      </c>
      <c r="B259" s="127">
        <f>INDEX(Calc!$K:$K, (ROW(A258)-1)*5 + COLUMN(A258) + 1 )</f>
        <v>3.6</v>
      </c>
      <c r="C259" s="127">
        <f>INDEX(Calc!$K:$K, (ROW(B258)-1)*5 + COLUMN(B258) + 1 )</f>
        <v>2.88</v>
      </c>
      <c r="D259" s="136">
        <f>INDEX(Calc!$K:$K, (ROW(C258)-1)*5 + COLUMN(C258) + 1 )</f>
        <v>2.4300000000000002</v>
      </c>
      <c r="E259" s="137">
        <f>INDEX(Calc!$K:$K, (ROW(D258)-1)*5 + COLUMN(D258) + 1 )</f>
        <v>2.2999999999999998</v>
      </c>
      <c r="F259" s="138">
        <f>INDEX(Calc!$K:$K, (ROW(E258)-1)*5 + COLUMN(E258) + 1 )</f>
        <v>2.19</v>
      </c>
      <c r="G259" s="133">
        <f>Закуп!O259</f>
        <v>48</v>
      </c>
      <c r="H259" s="133" t="str">
        <f>Закуп!Q259</f>
        <v>20-50 л</v>
      </c>
      <c r="I259" s="133" t="str">
        <f>Закуп!X259</f>
        <v>400-499 мм</v>
      </c>
      <c r="J259" s="133" t="str">
        <f>Закуп!Y259</f>
        <v>400-499 мм</v>
      </c>
      <c r="K259" s="133" t="str">
        <f>Закуп!Z259</f>
        <v>300-399 мм</v>
      </c>
      <c r="L259" s="133" t="str">
        <f>Закуп!AA259</f>
        <v>Четырехклапанные</v>
      </c>
      <c r="M259" s="133" t="str">
        <f>Закуп!V259</f>
        <v/>
      </c>
      <c r="N259" s="133" t="str">
        <f>Закуп!W259</f>
        <v/>
      </c>
      <c r="O259" s="139" t="str">
        <f>IF(OR(Закуп!L259="",Закуп!L259=0),"",Закуп!L259)</f>
        <v/>
      </c>
      <c r="P259" s="133" t="str">
        <f>Закуп!K259</f>
        <v>K1026</v>
      </c>
      <c r="Q259" s="217" t="str">
        <f>IF(Закуп!D259="","",IF(LEFT(Закуп!D259,1)="0","0",Закуп!D259))</f>
        <v>АГ (Нолес)</v>
      </c>
      <c r="R259" s="155">
        <f>Закуп!C259</f>
        <v>259</v>
      </c>
    </row>
    <row r="260" spans="1:18" x14ac:dyDescent="0.3">
      <c r="A260" s="131" t="str">
        <f>Закуп!E260</f>
        <v>300х200х300</v>
      </c>
      <c r="B260" s="127">
        <f>INDEX(Calc!$K:$K, (ROW(A259)-1)*5 + COLUMN(A259) + 1 )</f>
        <v>2.33</v>
      </c>
      <c r="C260" s="127">
        <f>INDEX(Calc!$K:$K, (ROW(B259)-1)*5 + COLUMN(B259) + 1 )</f>
        <v>1.99</v>
      </c>
      <c r="D260" s="136">
        <f>INDEX(Calc!$K:$K, (ROW(C259)-1)*5 + COLUMN(C259) + 1 )</f>
        <v>1.73</v>
      </c>
      <c r="E260" s="137">
        <f>INDEX(Calc!$K:$K, (ROW(D259)-1)*5 + COLUMN(D259) + 1 )</f>
        <v>1.55</v>
      </c>
      <c r="F260" s="138">
        <f>INDEX(Calc!$K:$K, (ROW(E259)-1)*5 + COLUMN(E259) + 1 )</f>
        <v>1.48</v>
      </c>
      <c r="G260" s="133">
        <f>Закуп!O260</f>
        <v>18</v>
      </c>
      <c r="H260" s="133" t="str">
        <f>Закуп!Q260</f>
        <v>10-20 л</v>
      </c>
      <c r="I260" s="133" t="str">
        <f>Закуп!X260</f>
        <v>300-399 мм</v>
      </c>
      <c r="J260" s="133" t="str">
        <f>Закуп!Y260</f>
        <v>300-399 мм</v>
      </c>
      <c r="K260" s="133" t="str">
        <f>Закуп!Z260</f>
        <v>200-299 мм</v>
      </c>
      <c r="L260" s="133" t="str">
        <f>Закуп!AA260</f>
        <v>Четырехклапанные</v>
      </c>
      <c r="M260" s="133" t="str">
        <f>Закуп!V260</f>
        <v/>
      </c>
      <c r="N260" s="133" t="str">
        <f>Закуп!W260</f>
        <v/>
      </c>
      <c r="O260" s="139" t="str">
        <f>IF(OR(Закуп!L260="",Закуп!L260=0),"",Закуп!L260)</f>
        <v/>
      </c>
      <c r="P260" s="133" t="str">
        <f>Закуп!K260</f>
        <v>K1027</v>
      </c>
      <c r="Q260" s="217" t="str">
        <f>IF(Закуп!D260="","",IF(LEFT(Закуп!D260,1)="0","0",Закуп!D260))</f>
        <v>У или др</v>
      </c>
      <c r="R260" s="155">
        <f>Закуп!C260</f>
        <v>260</v>
      </c>
    </row>
    <row r="261" spans="1:18" x14ac:dyDescent="0.3">
      <c r="A261" s="131" t="str">
        <f>Закуп!E261</f>
        <v>290х190х190</v>
      </c>
      <c r="B261" s="127">
        <f>INDEX(Calc!$K:$K, (ROW(A260)-1)*5 + COLUMN(A260) + 1 )</f>
        <v>2.0299999999999998</v>
      </c>
      <c r="C261" s="127">
        <f>INDEX(Calc!$K:$K, (ROW(B260)-1)*5 + COLUMN(B260) + 1 )</f>
        <v>1.82</v>
      </c>
      <c r="D261" s="136">
        <f>INDEX(Calc!$K:$K, (ROW(C260)-1)*5 + COLUMN(C260) + 1 )</f>
        <v>1.61</v>
      </c>
      <c r="E261" s="137">
        <f>INDEX(Calc!$K:$K, (ROW(D260)-1)*5 + COLUMN(D260) + 1 )</f>
        <v>1.5</v>
      </c>
      <c r="F261" s="138">
        <f>INDEX(Calc!$K:$K, (ROW(E260)-1)*5 + COLUMN(E260) + 1 )</f>
        <v>1.39</v>
      </c>
      <c r="G261" s="133">
        <f>Закуп!O261</f>
        <v>10.47</v>
      </c>
      <c r="H261" s="133" t="str">
        <f>Закуп!Q261</f>
        <v>10-20 л</v>
      </c>
      <c r="I261" s="133" t="str">
        <f>Закуп!X261</f>
        <v>200-299 мм</v>
      </c>
      <c r="J261" s="133" t="str">
        <f>Закуп!Y261</f>
        <v>100-199 мм</v>
      </c>
      <c r="K261" s="133" t="str">
        <f>Закуп!Z261</f>
        <v>100-199 мм</v>
      </c>
      <c r="L261" s="133" t="str">
        <f>Закуп!AA261</f>
        <v>Четырехклапанные</v>
      </c>
      <c r="M261" s="133" t="str">
        <f>Закуп!V261</f>
        <v/>
      </c>
      <c r="N261" s="133" t="str">
        <f>Закуп!W261</f>
        <v/>
      </c>
      <c r="O261" s="139" t="str">
        <f>IF(OR(Закуп!L261="",Закуп!L261=0),"",Закуп!L261)</f>
        <v/>
      </c>
      <c r="P261" s="133" t="str">
        <f>Закуп!K261</f>
        <v>K1028</v>
      </c>
      <c r="Q261" s="217" t="str">
        <f>IF(Закуп!D261="","",IF(LEFT(Закуп!D261,1)="0","0",Закуп!D261))</f>
        <v>К</v>
      </c>
      <c r="R261" s="155">
        <f>Закуп!C261</f>
        <v>261</v>
      </c>
    </row>
    <row r="262" spans="1:18" x14ac:dyDescent="0.3">
      <c r="A262" s="131" t="str">
        <f>Закуп!E262</f>
        <v>325х235х235</v>
      </c>
      <c r="B262" s="127">
        <f>INDEX(Calc!$K:$K, (ROW(A261)-1)*5 + COLUMN(A261) + 1 )</f>
        <v>3.42</v>
      </c>
      <c r="C262" s="127">
        <f>INDEX(Calc!$K:$K, (ROW(B261)-1)*5 + COLUMN(B261) + 1 )</f>
        <v>3.08</v>
      </c>
      <c r="D262" s="136">
        <f>INDEX(Calc!$K:$K, (ROW(C261)-1)*5 + COLUMN(C261) + 1 )</f>
        <v>2.89</v>
      </c>
      <c r="E262" s="137">
        <f>INDEX(Calc!$K:$K, (ROW(D261)-1)*5 + COLUMN(D261) + 1 )</f>
        <v>2.78</v>
      </c>
      <c r="F262" s="138">
        <f>INDEX(Calc!$K:$K, (ROW(E261)-1)*5 + COLUMN(E261) + 1 )</f>
        <v>2.68</v>
      </c>
      <c r="G262" s="133">
        <f>Закуп!O262</f>
        <v>17.95</v>
      </c>
      <c r="H262" s="133" t="str">
        <f>Закуп!Q262</f>
        <v>10-20 л</v>
      </c>
      <c r="I262" s="133" t="str">
        <f>Закуп!X262</f>
        <v>300-399 мм</v>
      </c>
      <c r="J262" s="133" t="str">
        <f>Закуп!Y262</f>
        <v>200-299 мм</v>
      </c>
      <c r="K262" s="133" t="str">
        <f>Закуп!Z262</f>
        <v>200-299 мм</v>
      </c>
      <c r="L262" s="133" t="str">
        <f>Закуп!AA262</f>
        <v>Архивные</v>
      </c>
      <c r="M262" s="133" t="str">
        <f>Закуп!V262</f>
        <v/>
      </c>
      <c r="N262" s="133" t="str">
        <f>Закуп!W262</f>
        <v/>
      </c>
      <c r="O262" s="139" t="str">
        <f>IF(OR(Закуп!L262="",Закуп!L262=0),"",Закуп!L262)</f>
        <v/>
      </c>
      <c r="P262" s="133" t="str">
        <f>Закуп!K262</f>
        <v>K1029</v>
      </c>
      <c r="Q262" s="217" t="str">
        <f>IF(Закуп!D262="","",IF(LEFT(Закуп!D262,1)="0","0",Закуп!D262))</f>
        <v>СК</v>
      </c>
      <c r="R262" s="155">
        <f>Закуп!C262</f>
        <v>262</v>
      </c>
    </row>
    <row r="263" spans="1:18" x14ac:dyDescent="0.3">
      <c r="A263" s="131" t="str">
        <f>Закуп!E263</f>
        <v>395х325х290</v>
      </c>
      <c r="B263" s="127">
        <f>INDEX(Calc!$K:$K, (ROW(A262)-1)*5 + COLUMN(A262) + 1 )</f>
        <v>5.14</v>
      </c>
      <c r="C263" s="127">
        <f>INDEX(Calc!$K:$K, (ROW(B262)-1)*5 + COLUMN(B262) + 1 )</f>
        <v>4.82</v>
      </c>
      <c r="D263" s="136">
        <f>INDEX(Calc!$K:$K, (ROW(C262)-1)*5 + COLUMN(C262) + 1 )</f>
        <v>4.5999999999999996</v>
      </c>
      <c r="E263" s="137">
        <f>INDEX(Calc!$K:$K, (ROW(D262)-1)*5 + COLUMN(D262) + 1 )</f>
        <v>4.28</v>
      </c>
      <c r="F263" s="138">
        <f>INDEX(Calc!$K:$K, (ROW(E262)-1)*5 + COLUMN(E262) + 1 )</f>
        <v>3.96</v>
      </c>
      <c r="G263" s="133">
        <f>Закуп!O263</f>
        <v>37.229999999999997</v>
      </c>
      <c r="H263" s="133" t="str">
        <f>Закуп!Q263</f>
        <v>20-50 л</v>
      </c>
      <c r="I263" s="133" t="str">
        <f>Закуп!X263</f>
        <v>300-399 мм</v>
      </c>
      <c r="J263" s="133" t="str">
        <f>Закуп!Y263</f>
        <v>300-399 мм</v>
      </c>
      <c r="K263" s="133" t="str">
        <f>Закуп!Z263</f>
        <v>200-299 мм</v>
      </c>
      <c r="L263" s="133" t="str">
        <f>Закуп!AA263</f>
        <v>Архивные</v>
      </c>
      <c r="M263" s="133" t="str">
        <f>Закуп!V263</f>
        <v/>
      </c>
      <c r="N263" s="133" t="str">
        <f>Закуп!W263</f>
        <v/>
      </c>
      <c r="O263" s="139" t="str">
        <f>IF(OR(Закуп!L263="",Закуп!L263=0),"",Закуп!L263)</f>
        <v/>
      </c>
      <c r="P263" s="133" t="str">
        <f>Закуп!K263</f>
        <v>K1030</v>
      </c>
      <c r="Q263" s="217" t="str">
        <f>IF(Закуп!D263="","",IF(LEFT(Закуп!D263,1)="0","0",Закуп!D263))</f>
        <v>СК</v>
      </c>
      <c r="R263" s="155">
        <f>Закуп!C263</f>
        <v>263</v>
      </c>
    </row>
    <row r="264" spans="1:18" x14ac:dyDescent="0.3">
      <c r="A264" s="131" t="str">
        <f>Закуп!E264</f>
        <v>490х325х295</v>
      </c>
      <c r="B264" s="127">
        <f>INDEX(Calc!$K:$K, (ROW(A263)-1)*5 + COLUMN(A263) + 1 )</f>
        <v>5.52</v>
      </c>
      <c r="C264" s="127">
        <f>INDEX(Calc!$K:$K, (ROW(B263)-1)*5 + COLUMN(B263) + 1 )</f>
        <v>5.03</v>
      </c>
      <c r="D264" s="136">
        <f>INDEX(Calc!$K:$K, (ROW(C263)-1)*5 + COLUMN(C263) + 1 )</f>
        <v>4.82</v>
      </c>
      <c r="E264" s="137">
        <f>INDEX(Calc!$K:$K, (ROW(D263)-1)*5 + COLUMN(D263) + 1 )</f>
        <v>4.49</v>
      </c>
      <c r="F264" s="138">
        <f>INDEX(Calc!$K:$K, (ROW(E263)-1)*5 + COLUMN(E263) + 1 )</f>
        <v>4.28</v>
      </c>
      <c r="G264" s="133">
        <f>Закуп!O264</f>
        <v>46.98</v>
      </c>
      <c r="H264" s="133" t="str">
        <f>Закуп!Q264</f>
        <v>20-50 л</v>
      </c>
      <c r="I264" s="133" t="str">
        <f>Закуп!X264</f>
        <v>400-499 мм</v>
      </c>
      <c r="J264" s="133" t="str">
        <f>Закуп!Y264</f>
        <v>300-399 мм</v>
      </c>
      <c r="K264" s="133" t="str">
        <f>Закуп!Z264</f>
        <v>200-299 мм</v>
      </c>
      <c r="L264" s="133" t="str">
        <f>Закуп!AA264</f>
        <v>Архивные</v>
      </c>
      <c r="M264" s="133" t="str">
        <f>Закуп!V264</f>
        <v/>
      </c>
      <c r="N264" s="133" t="str">
        <f>Закуп!W264</f>
        <v/>
      </c>
      <c r="O264" s="139" t="str">
        <f>IF(OR(Закуп!L264="",Закуп!L264=0),"",Закуп!L264)</f>
        <v/>
      </c>
      <c r="P264" s="133" t="str">
        <f>Закуп!K264</f>
        <v>K1031</v>
      </c>
      <c r="Q264" s="217" t="str">
        <f>IF(Закуп!D264="","",IF(LEFT(Закуп!D264,1)="0","0",Закуп!D264))</f>
        <v>СК</v>
      </c>
      <c r="R264" s="155">
        <f>Закуп!C264</f>
        <v>264</v>
      </c>
    </row>
    <row r="265" spans="1:18" x14ac:dyDescent="0.3">
      <c r="A265" s="131" t="str">
        <f>Закуп!E265</f>
        <v>300х90х125</v>
      </c>
      <c r="B265" s="127">
        <f>INDEX(Calc!$K:$K, (ROW(A264)-1)*5 + COLUMN(A264) + 1 )</f>
        <v>1.18</v>
      </c>
      <c r="C265" s="127">
        <f>INDEX(Calc!$K:$K, (ROW(B264)-1)*5 + COLUMN(B264) + 1 )</f>
        <v>1.07</v>
      </c>
      <c r="D265" s="136">
        <f>INDEX(Calc!$K:$K, (ROW(C264)-1)*5 + COLUMN(C264) + 1 )</f>
        <v>0.96</v>
      </c>
      <c r="E265" s="137">
        <f>INDEX(Calc!$K:$K, (ROW(D264)-1)*5 + COLUMN(D264) + 1 )</f>
        <v>0.86</v>
      </c>
      <c r="F265" s="138">
        <f>INDEX(Calc!$K:$K, (ROW(E264)-1)*5 + COLUMN(E264) + 1 )</f>
        <v>0.75</v>
      </c>
      <c r="G265" s="133">
        <f>Закуп!O265</f>
        <v>3.38</v>
      </c>
      <c r="H265" s="133" t="str">
        <f>Закуп!Q265</f>
        <v>3-5 л</v>
      </c>
      <c r="I265" s="133" t="str">
        <f>Закуп!X265</f>
        <v>300-399 мм</v>
      </c>
      <c r="J265" s="133" t="str">
        <f>Закуп!Y265</f>
        <v>100-199 мм</v>
      </c>
      <c r="K265" s="133" t="str">
        <f>Закуп!Z265</f>
        <v>10-99 мм</v>
      </c>
      <c r="L265" s="133" t="str">
        <f>Закуп!AA265</f>
        <v>Четырехклапанные</v>
      </c>
      <c r="M265" s="133" t="str">
        <f>Закуп!V265</f>
        <v>Длинные</v>
      </c>
      <c r="N265" s="133" t="str">
        <f>Закуп!W265</f>
        <v/>
      </c>
      <c r="O265" s="139" t="str">
        <f>IF(OR(Закуп!L265="",Закуп!L265=0),"",Закуп!L265)</f>
        <v/>
      </c>
      <c r="P265" s="133" t="str">
        <f>Закуп!K265</f>
        <v>K237</v>
      </c>
      <c r="Q265" s="217" t="str">
        <f>IF(Закуп!D265="","",IF(LEFT(Закуп!D265,1)="0","0",Закуп!D265))</f>
        <v>У</v>
      </c>
      <c r="R265" s="155">
        <f>Закуп!C265</f>
        <v>265</v>
      </c>
    </row>
    <row r="266" spans="1:18" x14ac:dyDescent="0.3">
      <c r="A266" s="131" t="str">
        <f>Закуп!E266</f>
        <v>115х65х65</v>
      </c>
      <c r="B266" s="127">
        <f>INDEX(Calc!$K:$K, (ROW(A265)-1)*5 + COLUMN(A265) + 1 )</f>
        <v>1.07</v>
      </c>
      <c r="C266" s="127">
        <f>INDEX(Calc!$K:$K, (ROW(B265)-1)*5 + COLUMN(B265) + 1 )</f>
        <v>0.91</v>
      </c>
      <c r="D266" s="136">
        <f>INDEX(Calc!$K:$K, (ROW(C265)-1)*5 + COLUMN(C265) + 1 )</f>
        <v>0.75</v>
      </c>
      <c r="E266" s="137">
        <f>INDEX(Calc!$K:$K, (ROW(D265)-1)*5 + COLUMN(D265) + 1 )</f>
        <v>0.64</v>
      </c>
      <c r="F266" s="138">
        <f>INDEX(Calc!$K:$K, (ROW(E265)-1)*5 + COLUMN(E265) + 1 )</f>
        <v>0.54</v>
      </c>
      <c r="G266" s="133">
        <f>Закуп!O266</f>
        <v>0.49</v>
      </c>
      <c r="H266" s="133" t="str">
        <f>Закуп!Q266</f>
        <v>&lt;1 л</v>
      </c>
      <c r="I266" s="133" t="str">
        <f>Закуп!X266</f>
        <v>100-199 мм</v>
      </c>
      <c r="J266" s="133" t="str">
        <f>Закуп!Y266</f>
        <v>10-99 мм</v>
      </c>
      <c r="K266" s="133" t="str">
        <f>Закуп!Z266</f>
        <v>10-99 мм</v>
      </c>
      <c r="L266" s="133" t="str">
        <f>Закуп!AA266</f>
        <v>Самосборные</v>
      </c>
      <c r="M266" s="133" t="str">
        <f>Закуп!V266</f>
        <v/>
      </c>
      <c r="N266" s="133" t="str">
        <f>Закуп!W266</f>
        <v/>
      </c>
      <c r="O266" s="139" t="str">
        <f>IF(OR(Закуп!L266="",Закуп!L266=0),"",Закуп!L266)</f>
        <v/>
      </c>
      <c r="P266" s="133" t="str">
        <f>Закуп!K266</f>
        <v>K238</v>
      </c>
      <c r="Q266" s="217" t="str">
        <f>IF(Закуп!D266="","",IF(LEFT(Закуп!D266,1)="0","0",Закуп!D266))</f>
        <v>У</v>
      </c>
      <c r="R266" s="155">
        <f>Закуп!C266</f>
        <v>266</v>
      </c>
    </row>
    <row r="267" spans="1:18" x14ac:dyDescent="0.3">
      <c r="A267" s="131" t="str">
        <f>Закуп!E267</f>
        <v>400х300х300</v>
      </c>
      <c r="B267" s="127">
        <f>INDEX(Calc!$K:$K, (ROW(A266)-1)*5 + COLUMN(A266) + 1 )</f>
        <v>2.46</v>
      </c>
      <c r="C267" s="127">
        <f>INDEX(Calc!$K:$K, (ROW(B266)-1)*5 + COLUMN(B266) + 1 )</f>
        <v>2.25</v>
      </c>
      <c r="D267" s="136">
        <f>INDEX(Calc!$K:$K, (ROW(C266)-1)*5 + COLUMN(C266) + 1 )</f>
        <v>2.09</v>
      </c>
      <c r="E267" s="137">
        <f>INDEX(Calc!$K:$K, (ROW(D266)-1)*5 + COLUMN(D266) + 1 )</f>
        <v>1.98</v>
      </c>
      <c r="F267" s="138">
        <f>INDEX(Calc!$K:$K, (ROW(E266)-1)*5 + COLUMN(E266) + 1 )</f>
        <v>1.82</v>
      </c>
      <c r="G267" s="133">
        <f>Закуп!O267</f>
        <v>36</v>
      </c>
      <c r="H267" s="133" t="str">
        <f>Закуп!Q267</f>
        <v>20-50 л</v>
      </c>
      <c r="I267" s="133" t="str">
        <f>Закуп!X267</f>
        <v>400-499 мм</v>
      </c>
      <c r="J267" s="133" t="str">
        <f>Закуп!Y267</f>
        <v>300-399 мм</v>
      </c>
      <c r="K267" s="133" t="str">
        <f>Закуп!Z267</f>
        <v>300-399 мм</v>
      </c>
      <c r="L267" s="133" t="str">
        <f>Закуп!AA267</f>
        <v>Четырехклапанные</v>
      </c>
      <c r="M267" s="133" t="str">
        <f>Закуп!V267</f>
        <v/>
      </c>
      <c r="N267" s="133" t="str">
        <f>Закуп!W267</f>
        <v/>
      </c>
      <c r="O267" s="139" t="str">
        <f>IF(OR(Закуп!L267="",Закуп!L267=0),"",Закуп!L267)</f>
        <v/>
      </c>
      <c r="P267" s="133" t="str">
        <f>Закуп!K267</f>
        <v>K1032</v>
      </c>
      <c r="Q267" s="217" t="str">
        <f>IF(Закуп!D267="","",IF(LEFT(Закуп!D267,1)="0","0",Закуп!D267))</f>
        <v>ГТ</v>
      </c>
      <c r="R267" s="155">
        <f>Закуп!C267</f>
        <v>267</v>
      </c>
    </row>
    <row r="268" spans="1:18" x14ac:dyDescent="0.3">
      <c r="A268" s="131" t="str">
        <f>Закуп!E268</f>
        <v>210х140х110</v>
      </c>
      <c r="B268" s="127">
        <f>INDEX(Calc!$K:$K, (ROW(A267)-1)*5 + COLUMN(A267) + 1 )</f>
        <v>1.61</v>
      </c>
      <c r="C268" s="127">
        <f>INDEX(Calc!$K:$K, (ROW(B267)-1)*5 + COLUMN(B267) + 1 )</f>
        <v>1.44</v>
      </c>
      <c r="D268" s="136">
        <f>INDEX(Calc!$K:$K, (ROW(C267)-1)*5 + COLUMN(C267) + 1 )</f>
        <v>1.28</v>
      </c>
      <c r="E268" s="137">
        <f>INDEX(Calc!$K:$K, (ROW(D267)-1)*5 + COLUMN(D267) + 1 )</f>
        <v>1.18</v>
      </c>
      <c r="F268" s="138">
        <f>INDEX(Calc!$K:$K, (ROW(E267)-1)*5 + COLUMN(E267) + 1 )</f>
        <v>1.07</v>
      </c>
      <c r="G268" s="133">
        <f>Закуп!O268</f>
        <v>3.23</v>
      </c>
      <c r="H268" s="133" t="str">
        <f>Закуп!Q268</f>
        <v>3-5 л</v>
      </c>
      <c r="I268" s="133" t="str">
        <f>Закуп!X268</f>
        <v>200-299 мм</v>
      </c>
      <c r="J268" s="133" t="str">
        <f>Закуп!Y268</f>
        <v>100-199 мм</v>
      </c>
      <c r="K268" s="133" t="str">
        <f>Закуп!Z268</f>
        <v>100-199 мм</v>
      </c>
      <c r="L268" s="133" t="str">
        <f>Закуп!AA268</f>
        <v>Четырехклапанные</v>
      </c>
      <c r="M268" s="133" t="str">
        <f>Закуп!V268</f>
        <v/>
      </c>
      <c r="N268" s="133" t="str">
        <f>Закуп!W268</f>
        <v/>
      </c>
      <c r="O268" s="139" t="str">
        <f>IF(OR(Закуп!L268="",Закуп!L268=0),"",Закуп!L268)</f>
        <v/>
      </c>
      <c r="P268" s="133" t="str">
        <f>Закуп!K268</f>
        <v>K1033</v>
      </c>
      <c r="Q268" s="217" t="str">
        <f>IF(Закуп!D268="","",IF(LEFT(Закуп!D268,1)="0","0",Закуп!D268))</f>
        <v>Т (ЛС)</v>
      </c>
      <c r="R268" s="155">
        <f>Закуп!C268</f>
        <v>268</v>
      </c>
    </row>
    <row r="269" spans="1:18" x14ac:dyDescent="0.3">
      <c r="A269" s="131" t="str">
        <f>Закуп!E269</f>
        <v>195х70х35</v>
      </c>
      <c r="B269" s="127">
        <f>INDEX(Calc!$K:$K, (ROW(A268)-1)*5 + COLUMN(A268) + 1 )</f>
        <v>1.18</v>
      </c>
      <c r="C269" s="127">
        <f>INDEX(Calc!$K:$K, (ROW(B268)-1)*5 + COLUMN(B268) + 1 )</f>
        <v>1.01</v>
      </c>
      <c r="D269" s="136">
        <f>INDEX(Calc!$K:$K, (ROW(C268)-1)*5 + COLUMN(C268) + 1 )</f>
        <v>0.8</v>
      </c>
      <c r="E269" s="137">
        <f>INDEX(Calc!$K:$K, (ROW(D268)-1)*5 + COLUMN(D268) + 1 )</f>
        <v>0.72</v>
      </c>
      <c r="F269" s="138">
        <f>INDEX(Calc!$K:$K, (ROW(E268)-1)*5 + COLUMN(E268) + 1 )</f>
        <v>0.64</v>
      </c>
      <c r="G269" s="133">
        <f>Закуп!O269</f>
        <v>0.48</v>
      </c>
      <c r="H269" s="133" t="str">
        <f>Закуп!Q269</f>
        <v>&lt;1 л</v>
      </c>
      <c r="I269" s="133" t="str">
        <f>Закуп!X269</f>
        <v>100-199 мм</v>
      </c>
      <c r="J269" s="133" t="str">
        <f>Закуп!Y269</f>
        <v>10-99 мм</v>
      </c>
      <c r="K269" s="133" t="str">
        <f>Закуп!Z269</f>
        <v>10-99 мм</v>
      </c>
      <c r="L269" s="133" t="str">
        <f>Закуп!AA269</f>
        <v>Самосборные</v>
      </c>
      <c r="M269" s="133" t="str">
        <f>Закуп!V269</f>
        <v>Длинные</v>
      </c>
      <c r="N269" s="133" t="str">
        <f>Закуп!W269</f>
        <v>Плоские</v>
      </c>
      <c r="O269" s="139" t="str">
        <f>IF(OR(Закуп!L269="",Закуп!L269=0),"",Закуп!L269)</f>
        <v/>
      </c>
      <c r="P269" s="133" t="str">
        <f>Закуп!K269</f>
        <v>K239</v>
      </c>
      <c r="Q269" s="217" t="str">
        <f>IF(Закуп!D269="","",IF(LEFT(Закуп!D269,1)="0","0",Закуп!D269))</f>
        <v>У</v>
      </c>
      <c r="R269" s="155">
        <f>Закуп!C269</f>
        <v>269</v>
      </c>
    </row>
    <row r="270" spans="1:18" x14ac:dyDescent="0.3">
      <c r="A270" s="131" t="str">
        <f>Закуп!E270</f>
        <v>160х100х55</v>
      </c>
      <c r="B270" s="127">
        <f>INDEX(Calc!$K:$K, (ROW(A269)-1)*5 + COLUMN(A269) + 1 )</f>
        <v>1.18</v>
      </c>
      <c r="C270" s="127">
        <f>INDEX(Calc!$K:$K, (ROW(B269)-1)*5 + COLUMN(B269) + 1 )</f>
        <v>1.02</v>
      </c>
      <c r="D270" s="136">
        <f>INDEX(Calc!$K:$K, (ROW(C269)-1)*5 + COLUMN(C269) + 1 )</f>
        <v>0.86</v>
      </c>
      <c r="E270" s="137">
        <f>INDEX(Calc!$K:$K, (ROW(D269)-1)*5 + COLUMN(D269) + 1 )</f>
        <v>0.75</v>
      </c>
      <c r="F270" s="138">
        <f>INDEX(Calc!$K:$K, (ROW(E269)-1)*5 + COLUMN(E269) + 1 )</f>
        <v>0.64</v>
      </c>
      <c r="G270" s="133">
        <f>Закуп!O270</f>
        <v>0.88</v>
      </c>
      <c r="H270" s="133" t="str">
        <f>Закуп!Q270</f>
        <v>&lt;1 л</v>
      </c>
      <c r="I270" s="133" t="str">
        <f>Закуп!X270</f>
        <v>100-199 мм</v>
      </c>
      <c r="J270" s="133" t="str">
        <f>Закуп!Y270</f>
        <v>100-199 мм</v>
      </c>
      <c r="K270" s="133" t="str">
        <f>Закуп!Z270</f>
        <v>10-99 мм</v>
      </c>
      <c r="L270" s="133" t="str">
        <f>Закуп!AA270</f>
        <v>Самосборные</v>
      </c>
      <c r="M270" s="133" t="str">
        <f>Закуп!V270</f>
        <v/>
      </c>
      <c r="N270" s="133" t="str">
        <f>Закуп!W270</f>
        <v/>
      </c>
      <c r="O270" s="139" t="str">
        <f>IF(OR(Закуп!L270="",Закуп!L270=0),"",Закуп!L270)</f>
        <v/>
      </c>
      <c r="P270" s="133" t="str">
        <f>Закуп!K270</f>
        <v>K240</v>
      </c>
      <c r="Q270" s="217" t="str">
        <f>IF(Закуп!D270="","",IF(LEFT(Закуп!D270,1)="0","0",Закуп!D270))</f>
        <v>У</v>
      </c>
      <c r="R270" s="155">
        <f>Закуп!C270</f>
        <v>270</v>
      </c>
    </row>
    <row r="271" spans="1:18" x14ac:dyDescent="0.3">
      <c r="A271" s="131" t="str">
        <f>Закуп!E271</f>
        <v>140х43х23</v>
      </c>
      <c r="B271" s="127">
        <f>INDEX(Calc!$K:$K, (ROW(A270)-1)*5 + COLUMN(A270) + 1 )</f>
        <v>1</v>
      </c>
      <c r="C271" s="127">
        <f>INDEX(Calc!$K:$K, (ROW(B270)-1)*5 + COLUMN(B270) + 1 )</f>
        <v>0.85</v>
      </c>
      <c r="D271" s="136">
        <f>INDEX(Calc!$K:$K, (ROW(C270)-1)*5 + COLUMN(C270) + 1 )</f>
        <v>0.7</v>
      </c>
      <c r="E271" s="137">
        <f>INDEX(Calc!$K:$K, (ROW(D270)-1)*5 + COLUMN(D270) + 1 )</f>
        <v>0.6</v>
      </c>
      <c r="F271" s="138">
        <f>INDEX(Calc!$K:$K, (ROW(E270)-1)*5 + COLUMN(E270) + 1 )</f>
        <v>0.5</v>
      </c>
      <c r="G271" s="133">
        <f>Закуп!O271</f>
        <v>0.14000000000000001</v>
      </c>
      <c r="H271" s="133" t="str">
        <f>Закуп!Q271</f>
        <v>&lt;1 л</v>
      </c>
      <c r="I271" s="133" t="str">
        <f>Закуп!X271</f>
        <v>100-199 мм</v>
      </c>
      <c r="J271" s="133" t="str">
        <f>Закуп!Y271</f>
        <v>10-99 мм</v>
      </c>
      <c r="K271" s="133" t="str">
        <f>Закуп!Z271</f>
        <v>10-99 мм</v>
      </c>
      <c r="L271" s="133" t="str">
        <f>Закуп!AA271</f>
        <v>Самосборные</v>
      </c>
      <c r="M271" s="133" t="str">
        <f>Закуп!V271</f>
        <v>Длинные</v>
      </c>
      <c r="N271" s="133" t="str">
        <f>Закуп!W271</f>
        <v/>
      </c>
      <c r="O271" s="139" t="str">
        <f>IF(OR(Закуп!L271="",Закуп!L271=0),"",Закуп!L271)</f>
        <v/>
      </c>
      <c r="P271" s="133" t="str">
        <f>Закуп!K271</f>
        <v>K241</v>
      </c>
      <c r="Q271" s="217" t="str">
        <f>IF(Закуп!D271="","",IF(LEFT(Закуп!D271,1)="0","0",Закуп!D271))</f>
        <v>У</v>
      </c>
      <c r="R271" s="155">
        <f>Закуп!C271</f>
        <v>271</v>
      </c>
    </row>
    <row r="272" spans="1:18" x14ac:dyDescent="0.3">
      <c r="A272" s="131" t="str">
        <f>Закуп!E272</f>
        <v>160х60х30</v>
      </c>
      <c r="B272" s="127">
        <f>INDEX(Calc!$K:$K, (ROW(A271)-1)*5 + COLUMN(A271) + 1 )</f>
        <v>1.1200000000000001</v>
      </c>
      <c r="C272" s="127">
        <f>INDEX(Calc!$K:$K, (ROW(B271)-1)*5 + COLUMN(B271) + 1 )</f>
        <v>0.96</v>
      </c>
      <c r="D272" s="136">
        <f>INDEX(Calc!$K:$K, (ROW(C271)-1)*5 + COLUMN(C271) + 1 )</f>
        <v>0.8</v>
      </c>
      <c r="E272" s="137">
        <f>INDEX(Calc!$K:$K, (ROW(D271)-1)*5 + COLUMN(D271) + 1 )</f>
        <v>0.7</v>
      </c>
      <c r="F272" s="138">
        <f>INDEX(Calc!$K:$K, (ROW(E271)-1)*5 + COLUMN(E271) + 1 )</f>
        <v>0.59</v>
      </c>
      <c r="G272" s="133">
        <f>Закуп!O272</f>
        <v>0.28999999999999998</v>
      </c>
      <c r="H272" s="133" t="str">
        <f>Закуп!Q272</f>
        <v>&lt;1 л</v>
      </c>
      <c r="I272" s="133" t="str">
        <f>Закуп!X272</f>
        <v>100-199 мм</v>
      </c>
      <c r="J272" s="133" t="str">
        <f>Закуп!Y272</f>
        <v>10-99 мм</v>
      </c>
      <c r="K272" s="133" t="str">
        <f>Закуп!Z272</f>
        <v>10-99 мм</v>
      </c>
      <c r="L272" s="133" t="str">
        <f>Закуп!AA272</f>
        <v>Самосборные</v>
      </c>
      <c r="M272" s="133" t="str">
        <f>Закуп!V272</f>
        <v>Длинные</v>
      </c>
      <c r="N272" s="133" t="str">
        <f>Закуп!W272</f>
        <v>Плоские</v>
      </c>
      <c r="O272" s="139" t="str">
        <f>IF(OR(Закуп!L272="",Закуп!L272=0),"",Закуп!L272)</f>
        <v/>
      </c>
      <c r="P272" s="133" t="str">
        <f>Закуп!K272</f>
        <v>K242</v>
      </c>
      <c r="Q272" s="217" t="str">
        <f>IF(Закуп!D272="","",IF(LEFT(Закуп!D272,1)="0","0",Закуп!D272))</f>
        <v>У</v>
      </c>
      <c r="R272" s="155">
        <f>Закуп!C272</f>
        <v>272</v>
      </c>
    </row>
    <row r="273" spans="1:18" x14ac:dyDescent="0.3">
      <c r="A273" s="131" t="str">
        <f>Закуп!E273</f>
        <v>290х200х250</v>
      </c>
      <c r="B273" s="127">
        <f>INDEX(Calc!$K:$K, (ROW(A272)-1)*5 + COLUMN(A272) + 1 )</f>
        <v>2.36</v>
      </c>
      <c r="C273" s="127">
        <f>INDEX(Calc!$K:$K, (ROW(B272)-1)*5 + COLUMN(B272) + 1 )</f>
        <v>2.0099999999999998</v>
      </c>
      <c r="D273" s="136">
        <f>INDEX(Calc!$K:$K, (ROW(C272)-1)*5 + COLUMN(C272) + 1 )</f>
        <v>1.74</v>
      </c>
      <c r="E273" s="137">
        <f>INDEX(Calc!$K:$K, (ROW(D272)-1)*5 + COLUMN(D272) + 1 )</f>
        <v>1.57</v>
      </c>
      <c r="F273" s="138">
        <f>INDEX(Calc!$K:$K, (ROW(E272)-1)*5 + COLUMN(E272) + 1 )</f>
        <v>1.49</v>
      </c>
      <c r="G273" s="133">
        <f>Закуп!O273</f>
        <v>14.5</v>
      </c>
      <c r="H273" s="133" t="str">
        <f>Закуп!Q273</f>
        <v>10-20 л</v>
      </c>
      <c r="I273" s="133" t="str">
        <f>Закуп!X273</f>
        <v>200-299 мм</v>
      </c>
      <c r="J273" s="133" t="str">
        <f>Закуп!Y273</f>
        <v>200-299 мм</v>
      </c>
      <c r="K273" s="133" t="str">
        <f>Закуп!Z273</f>
        <v>200-299 мм</v>
      </c>
      <c r="L273" s="133" t="str">
        <f>Закуп!AA273</f>
        <v>Четырехклапанные</v>
      </c>
      <c r="M273" s="133" t="str">
        <f>Закуп!V273</f>
        <v/>
      </c>
      <c r="N273" s="133" t="str">
        <f>Закуп!W273</f>
        <v/>
      </c>
      <c r="O273" s="139" t="str">
        <f>IF(OR(Закуп!L273="",Закуп!L273=0),"",Закуп!L273)</f>
        <v/>
      </c>
      <c r="P273" s="133" t="str">
        <f>Закуп!K273</f>
        <v>K1034</v>
      </c>
      <c r="Q273" s="217" t="str">
        <f>IF(Закуп!D273="","",IF(LEFT(Закуп!D273,1)="0","0",Закуп!D273))</f>
        <v>Т (ЛС)</v>
      </c>
      <c r="R273" s="155">
        <f>Закуп!C273</f>
        <v>273</v>
      </c>
    </row>
    <row r="274" spans="1:18" x14ac:dyDescent="0.3">
      <c r="A274" s="131" t="str">
        <f>Закуп!E274</f>
        <v>270х160х270</v>
      </c>
      <c r="B274" s="127">
        <f>INDEX(Calc!$K:$K, (ROW(A273)-1)*5 + COLUMN(A273) + 1 )</f>
        <v>1.42</v>
      </c>
      <c r="C274" s="127">
        <f>INDEX(Calc!$K:$K, (ROW(B273)-1)*5 + COLUMN(B273) + 1 )</f>
        <v>1.42</v>
      </c>
      <c r="D274" s="136">
        <f>INDEX(Calc!$K:$K, (ROW(C273)-1)*5 + COLUMN(C273) + 1 )</f>
        <v>1.42</v>
      </c>
      <c r="E274" s="137">
        <f>INDEX(Calc!$K:$K, (ROW(D273)-1)*5 + COLUMN(D273) + 1 )</f>
        <v>1.42</v>
      </c>
      <c r="F274" s="138">
        <f>INDEX(Calc!$K:$K, (ROW(E273)-1)*5 + COLUMN(E273) + 1 )</f>
        <v>1.42</v>
      </c>
      <c r="G274" s="133">
        <f>Закуп!O274</f>
        <v>11.66</v>
      </c>
      <c r="H274" s="133" t="str">
        <f>Закуп!Q274</f>
        <v>10-20 л</v>
      </c>
      <c r="I274" s="133" t="str">
        <f>Закуп!X274</f>
        <v>200-299 мм</v>
      </c>
      <c r="J274" s="133" t="str">
        <f>Закуп!Y274</f>
        <v>200-299 мм</v>
      </c>
      <c r="K274" s="133" t="str">
        <f>Закуп!Z274</f>
        <v>100-199 мм</v>
      </c>
      <c r="L274" s="133" t="str">
        <f>Закуп!AA274</f>
        <v>Четырехклапанные</v>
      </c>
      <c r="M274" s="133" t="str">
        <f>Закуп!V274</f>
        <v/>
      </c>
      <c r="N274" s="133" t="str">
        <f>Закуп!W274</f>
        <v/>
      </c>
      <c r="O274" s="139" t="str">
        <f>IF(OR(Закуп!L274="",Закуп!L274=0),"",Закуп!L274)</f>
        <v>Sale</v>
      </c>
      <c r="P274" s="133" t="str">
        <f>Закуп!K274</f>
        <v>K1035</v>
      </c>
      <c r="Q274" s="217" t="str">
        <f>IF(Закуп!D274="","",IF(LEFT(Закуп!D274,1)="0","0",Закуп!D274))</f>
        <v>Т (ЛС)</v>
      </c>
      <c r="R274" s="155">
        <f>Закуп!C274</f>
        <v>274</v>
      </c>
    </row>
    <row r="275" spans="1:18" x14ac:dyDescent="0.3">
      <c r="A275" s="131" t="str">
        <f>Закуп!E275</f>
        <v>220х110х530</v>
      </c>
      <c r="B275" s="127">
        <f>INDEX(Calc!$K:$K, (ROW(A274)-1)*5 + COLUMN(A274) + 1 )</f>
        <v>2.44</v>
      </c>
      <c r="C275" s="127">
        <f>INDEX(Calc!$K:$K, (ROW(B274)-1)*5 + COLUMN(B274) + 1 )</f>
        <v>2.08</v>
      </c>
      <c r="D275" s="136">
        <f>INDEX(Calc!$K:$K, (ROW(C274)-1)*5 + COLUMN(C274) + 1 )</f>
        <v>1.81</v>
      </c>
      <c r="E275" s="137">
        <f>INDEX(Calc!$K:$K, (ROW(D274)-1)*5 + COLUMN(D274) + 1 )</f>
        <v>1.63</v>
      </c>
      <c r="F275" s="138">
        <f>INDEX(Calc!$K:$K, (ROW(E274)-1)*5 + COLUMN(E274) + 1 )</f>
        <v>1.54</v>
      </c>
      <c r="G275" s="133">
        <f>Закуп!O275</f>
        <v>12.83</v>
      </c>
      <c r="H275" s="133" t="str">
        <f>Закуп!Q275</f>
        <v>10-20 л</v>
      </c>
      <c r="I275" s="133" t="str">
        <f>Закуп!X275</f>
        <v>500-599 мм</v>
      </c>
      <c r="J275" s="133" t="str">
        <f>Закуп!Y275</f>
        <v>200-299 мм</v>
      </c>
      <c r="K275" s="133" t="str">
        <f>Закуп!Z275</f>
        <v>100-199 мм</v>
      </c>
      <c r="L275" s="133" t="str">
        <f>Закуп!AA275</f>
        <v>Четырехклапанные</v>
      </c>
      <c r="M275" s="133" t="str">
        <f>Закуп!V275</f>
        <v>Длинные</v>
      </c>
      <c r="N275" s="133" t="str">
        <f>Закуп!W275</f>
        <v>Плоские</v>
      </c>
      <c r="O275" s="139" t="str">
        <f>IF(OR(Закуп!L275="",Закуп!L275=0),"",Закуп!L275)</f>
        <v/>
      </c>
      <c r="P275" s="133" t="str">
        <f>Закуп!K275</f>
        <v>K1036</v>
      </c>
      <c r="Q275" s="217" t="str">
        <f>IF(Закуп!D275="","",IF(LEFT(Закуп!D275,1)="0","0",Закуп!D275))</f>
        <v>ББ</v>
      </c>
      <c r="R275" s="155">
        <f>Закуп!C275</f>
        <v>275</v>
      </c>
    </row>
    <row r="276" spans="1:18" x14ac:dyDescent="0.3">
      <c r="A276" s="131" t="str">
        <f>Закуп!E276</f>
        <v>220х130х90</v>
      </c>
      <c r="B276" s="127">
        <f>INDEX(Calc!$K:$K, (ROW(A275)-1)*5 + COLUMN(A275) + 1 )</f>
        <v>1.53</v>
      </c>
      <c r="C276" s="127">
        <f>INDEX(Calc!$K:$K, (ROW(B275)-1)*5 + COLUMN(B275) + 1 )</f>
        <v>1.39</v>
      </c>
      <c r="D276" s="136">
        <f>INDEX(Calc!$K:$K, (ROW(C275)-1)*5 + COLUMN(C275) + 1 )</f>
        <v>1.28</v>
      </c>
      <c r="E276" s="137">
        <f>INDEX(Calc!$K:$K, (ROW(D275)-1)*5 + COLUMN(D275) + 1 )</f>
        <v>1.18</v>
      </c>
      <c r="F276" s="138">
        <f>INDEX(Calc!$K:$K, (ROW(E275)-1)*5 + COLUMN(E275) + 1 )</f>
        <v>1.07</v>
      </c>
      <c r="G276" s="133">
        <f>Закуп!O276</f>
        <v>2.57</v>
      </c>
      <c r="H276" s="133" t="str">
        <f>Закуп!Q276</f>
        <v>2-3 л</v>
      </c>
      <c r="I276" s="133" t="str">
        <f>Закуп!X276</f>
        <v>200-299 мм</v>
      </c>
      <c r="J276" s="133" t="str">
        <f>Закуп!Y276</f>
        <v>100-199 мм</v>
      </c>
      <c r="K276" s="133" t="str">
        <f>Закуп!Z276</f>
        <v>10-99 мм</v>
      </c>
      <c r="L276" s="133" t="str">
        <f>Закуп!AA276</f>
        <v>Четырехклапанные</v>
      </c>
      <c r="M276" s="133" t="str">
        <f>Закуп!V276</f>
        <v/>
      </c>
      <c r="N276" s="133" t="str">
        <f>Закуп!W276</f>
        <v/>
      </c>
      <c r="O276" s="139" t="str">
        <f>IF(OR(Закуп!L276="",Закуп!L276=0),"",Закуп!L276)</f>
        <v/>
      </c>
      <c r="P276" s="133" t="str">
        <f>Закуп!K276</f>
        <v>K1037</v>
      </c>
      <c r="Q276" s="217" t="str">
        <f>IF(Закуп!D276="","",IF(LEFT(Закуп!D276,1)="0","0",Закуп!D276))</f>
        <v>Т (ЛС)</v>
      </c>
      <c r="R276" s="155">
        <f>Закуп!C276</f>
        <v>276</v>
      </c>
    </row>
    <row r="277" spans="1:18" x14ac:dyDescent="0.3">
      <c r="A277" s="131" t="str">
        <f>Закуп!E277</f>
        <v>155х83х73</v>
      </c>
      <c r="B277" s="127">
        <f>INDEX(Calc!$K:$K, (ROW(A276)-1)*5 + COLUMN(A276) + 1 )</f>
        <v>1.18</v>
      </c>
      <c r="C277" s="127">
        <f>INDEX(Calc!$K:$K, (ROW(B276)-1)*5 + COLUMN(B276) + 1 )</f>
        <v>1.07</v>
      </c>
      <c r="D277" s="136">
        <f>INDEX(Calc!$K:$K, (ROW(C276)-1)*5 + COLUMN(C276) + 1 )</f>
        <v>0.91</v>
      </c>
      <c r="E277" s="137">
        <f>INDEX(Calc!$K:$K, (ROW(D276)-1)*5 + COLUMN(D276) + 1 )</f>
        <v>0.75</v>
      </c>
      <c r="F277" s="138">
        <f>INDEX(Calc!$K:$K, (ROW(E276)-1)*5 + COLUMN(E276) + 1 )</f>
        <v>0.59</v>
      </c>
      <c r="G277" s="133">
        <f>Закуп!O277</f>
        <v>0.94</v>
      </c>
      <c r="H277" s="133" t="str">
        <f>Закуп!Q277</f>
        <v>&lt;1 л</v>
      </c>
      <c r="I277" s="133" t="str">
        <f>Закуп!X277</f>
        <v>100-199 мм</v>
      </c>
      <c r="J277" s="133" t="str">
        <f>Закуп!Y277</f>
        <v>10-99 мм</v>
      </c>
      <c r="K277" s="133" t="str">
        <f>Закуп!Z277</f>
        <v>10-99 мм</v>
      </c>
      <c r="L277" s="133" t="str">
        <f>Закуп!AA277</f>
        <v>Самосборные</v>
      </c>
      <c r="M277" s="133" t="str">
        <f>Закуп!V277</f>
        <v/>
      </c>
      <c r="N277" s="133" t="str">
        <f>Закуп!W277</f>
        <v/>
      </c>
      <c r="O277" s="139" t="str">
        <f>IF(OR(Закуп!L277="",Закуп!L277=0),"",Закуп!L277)</f>
        <v/>
      </c>
      <c r="P277" s="133" t="str">
        <f>Закуп!K277</f>
        <v>K243</v>
      </c>
      <c r="Q277" s="217" t="str">
        <f>IF(Закуп!D277="","",IF(LEFT(Закуп!D277,1)="0","0",Закуп!D277))</f>
        <v>У</v>
      </c>
      <c r="R277" s="155">
        <f>Закуп!C277</f>
        <v>277</v>
      </c>
    </row>
    <row r="278" spans="1:18" x14ac:dyDescent="0.3">
      <c r="A278" s="131" t="str">
        <f>Закуп!E278</f>
        <v>100х100х40</v>
      </c>
      <c r="B278" s="127">
        <f>INDEX(Calc!$K:$K, (ROW(A277)-1)*5 + COLUMN(A277) + 1 )</f>
        <v>1.24</v>
      </c>
      <c r="C278" s="127">
        <f>INDEX(Calc!$K:$K, (ROW(B277)-1)*5 + COLUMN(B277) + 1 )</f>
        <v>1.1299999999999999</v>
      </c>
      <c r="D278" s="136">
        <f>INDEX(Calc!$K:$K, (ROW(C277)-1)*5 + COLUMN(C277) + 1 )</f>
        <v>0.9</v>
      </c>
      <c r="E278" s="137">
        <f>INDEX(Calc!$K:$K, (ROW(D277)-1)*5 + COLUMN(D277) + 1 )</f>
        <v>0.81</v>
      </c>
      <c r="F278" s="138">
        <f>INDEX(Calc!$K:$K, (ROW(E277)-1)*5 + COLUMN(E277) + 1 )</f>
        <v>0.62</v>
      </c>
      <c r="G278" s="133">
        <f>Закуп!O278</f>
        <v>0.4</v>
      </c>
      <c r="H278" s="133" t="str">
        <f>Закуп!Q278</f>
        <v>&lt;1 л</v>
      </c>
      <c r="I278" s="133" t="str">
        <f>Закуп!X278</f>
        <v>100-199 мм</v>
      </c>
      <c r="J278" s="133" t="str">
        <f>Закуп!Y278</f>
        <v>100-199 мм</v>
      </c>
      <c r="K278" s="133" t="str">
        <f>Закуп!Z278</f>
        <v>10-99 мм</v>
      </c>
      <c r="L278" s="133" t="str">
        <f>Закуп!AA278</f>
        <v>Самосборные</v>
      </c>
      <c r="M278" s="133" t="str">
        <f>Закуп!V278</f>
        <v/>
      </c>
      <c r="N278" s="133" t="str">
        <f>Закуп!W278</f>
        <v>Плоские</v>
      </c>
      <c r="O278" s="139" t="str">
        <f>IF(OR(Закуп!L278="",Закуп!L278=0),"",Закуп!L278)</f>
        <v/>
      </c>
      <c r="P278" s="133" t="str">
        <f>Закуп!K278</f>
        <v>K244</v>
      </c>
      <c r="Q278" s="217" t="str">
        <f>IF(Закуп!D278="","",IF(LEFT(Закуп!D278,1)="0","0",Закуп!D278))</f>
        <v>У</v>
      </c>
      <c r="R278" s="155">
        <f>Закуп!C278</f>
        <v>278</v>
      </c>
    </row>
    <row r="279" spans="1:18" x14ac:dyDescent="0.3">
      <c r="A279" s="131" t="str">
        <f>Закуп!E279</f>
        <v>350х45х235</v>
      </c>
      <c r="B279" s="127">
        <f>INDEX(Calc!$K:$K, (ROW(A278)-1)*5 + COLUMN(A278) + 1 )</f>
        <v>1.58</v>
      </c>
      <c r="C279" s="127">
        <f>INDEX(Calc!$K:$K, (ROW(B278)-1)*5 + COLUMN(B278) + 1 )</f>
        <v>1.43</v>
      </c>
      <c r="D279" s="136">
        <f>INDEX(Calc!$K:$K, (ROW(C278)-1)*5 + COLUMN(C278) + 1 )</f>
        <v>1.1299999999999999</v>
      </c>
      <c r="E279" s="137">
        <f>INDEX(Calc!$K:$K, (ROW(D278)-1)*5 + COLUMN(D278) + 1 )</f>
        <v>1.06</v>
      </c>
      <c r="F279" s="138">
        <f>INDEX(Calc!$K:$K, (ROW(E278)-1)*5 + COLUMN(E278) + 1 )</f>
        <v>1.01</v>
      </c>
      <c r="G279" s="133">
        <f>Закуп!O279</f>
        <v>3.7</v>
      </c>
      <c r="H279" s="133" t="str">
        <f>Закуп!Q279</f>
        <v>3-5 л</v>
      </c>
      <c r="I279" s="133" t="str">
        <f>Закуп!X279</f>
        <v>300-399 мм</v>
      </c>
      <c r="J279" s="133" t="str">
        <f>Закуп!Y279</f>
        <v>200-299 мм</v>
      </c>
      <c r="K279" s="133" t="str">
        <f>Закуп!Z279</f>
        <v>10-99 мм</v>
      </c>
      <c r="L279" s="133" t="str">
        <f>Закуп!AA279</f>
        <v>Самосборные</v>
      </c>
      <c r="M279" s="133" t="str">
        <f>Закуп!V279</f>
        <v/>
      </c>
      <c r="N279" s="133" t="str">
        <f>Закуп!W279</f>
        <v>Плоские</v>
      </c>
      <c r="O279" s="139" t="str">
        <f>IF(OR(Закуп!L279="",Закуп!L279=0),"",Закуп!L279)</f>
        <v/>
      </c>
      <c r="P279" s="133" t="str">
        <f>Закуп!K279</f>
        <v>K245</v>
      </c>
      <c r="Q279" s="217" t="str">
        <f>IF(Закуп!D279="","",IF(LEFT(Закуп!D279,1)="0","0",Закуп!D279))</f>
        <v>У</v>
      </c>
      <c r="R279" s="155">
        <f>Закуп!C279</f>
        <v>279</v>
      </c>
    </row>
    <row r="280" spans="1:18" x14ac:dyDescent="0.3">
      <c r="A280" s="131" t="str">
        <f>Закуп!E280</f>
        <v>260х185х35</v>
      </c>
      <c r="B280" s="127">
        <f>INDEX(Calc!$K:$K, (ROW(A279)-1)*5 + COLUMN(A279) + 1 )</f>
        <v>1.1499999999999999</v>
      </c>
      <c r="C280" s="127">
        <f>INDEX(Calc!$K:$K, (ROW(B279)-1)*5 + COLUMN(B279) + 1 )</f>
        <v>0.95</v>
      </c>
      <c r="D280" s="136">
        <f>INDEX(Calc!$K:$K, (ROW(C279)-1)*5 + COLUMN(C279) + 1 )</f>
        <v>0.85</v>
      </c>
      <c r="E280" s="137">
        <f>INDEX(Calc!$K:$K, (ROW(D279)-1)*5 + COLUMN(D279) + 1 )</f>
        <v>0.75</v>
      </c>
      <c r="F280" s="138">
        <f>INDEX(Calc!$K:$K, (ROW(E279)-1)*5 + COLUMN(E279) + 1 )</f>
        <v>0.65</v>
      </c>
      <c r="G280" s="133">
        <f>Закуп!O280</f>
        <v>1.68</v>
      </c>
      <c r="H280" s="133" t="str">
        <f>Закуп!Q280</f>
        <v>1-2 л</v>
      </c>
      <c r="I280" s="133" t="str">
        <f>Закуп!X280</f>
        <v>200-299 мм</v>
      </c>
      <c r="J280" s="133" t="str">
        <f>Закуп!Y280</f>
        <v>100-199 мм</v>
      </c>
      <c r="K280" s="133" t="str">
        <f>Закуп!Z280</f>
        <v>10-99 мм</v>
      </c>
      <c r="L280" s="133" t="str">
        <f>Закуп!AA280</f>
        <v>Самосборные</v>
      </c>
      <c r="M280" s="133" t="str">
        <f>Закуп!V280</f>
        <v/>
      </c>
      <c r="N280" s="133" t="str">
        <f>Закуп!W280</f>
        <v>Плоские</v>
      </c>
      <c r="O280" s="139" t="str">
        <f>IF(OR(Закуп!L280="",Закуп!L280=0),"",Закуп!L280)</f>
        <v/>
      </c>
      <c r="P280" s="133" t="str">
        <f>Закуп!K280</f>
        <v>K246</v>
      </c>
      <c r="Q280" s="217" t="str">
        <f>IF(Закуп!D280="","",IF(LEFT(Закуп!D280,1)="0","0",Закуп!D280))</f>
        <v>У</v>
      </c>
      <c r="R280" s="155">
        <f>Закуп!C280</f>
        <v>280</v>
      </c>
    </row>
    <row r="281" spans="1:18" x14ac:dyDescent="0.3">
      <c r="A281" s="131" t="str">
        <f>Закуп!E281</f>
        <v>210х140х10</v>
      </c>
      <c r="B281" s="127">
        <f>INDEX(Calc!$K:$K, (ROW(A280)-1)*5 + COLUMN(A280) + 1 )</f>
        <v>1</v>
      </c>
      <c r="C281" s="127">
        <f>INDEX(Calc!$K:$K, (ROW(B280)-1)*5 + COLUMN(B280) + 1 )</f>
        <v>0.85</v>
      </c>
      <c r="D281" s="136">
        <f>INDEX(Calc!$K:$K, (ROW(C280)-1)*5 + COLUMN(C280) + 1 )</f>
        <v>0.7</v>
      </c>
      <c r="E281" s="137">
        <f>INDEX(Calc!$K:$K, (ROW(D280)-1)*5 + COLUMN(D280) + 1 )</f>
        <v>0.6</v>
      </c>
      <c r="F281" s="138">
        <f>INDEX(Calc!$K:$K, (ROW(E280)-1)*5 + COLUMN(E280) + 1 )</f>
        <v>0.5</v>
      </c>
      <c r="G281" s="133">
        <f>Закуп!O281</f>
        <v>0.28999999999999998</v>
      </c>
      <c r="H281" s="133" t="str">
        <f>Закуп!Q281</f>
        <v>&lt;1 л</v>
      </c>
      <c r="I281" s="133" t="str">
        <f>Закуп!X281</f>
        <v>200-299 мм</v>
      </c>
      <c r="J281" s="133" t="str">
        <f>Закуп!Y281</f>
        <v>100-199 мм</v>
      </c>
      <c r="K281" s="133" t="str">
        <f>Закуп!Z281</f>
        <v>10-99 мм</v>
      </c>
      <c r="L281" s="133" t="str">
        <f>Закуп!AA281</f>
        <v>Самосборные</v>
      </c>
      <c r="M281" s="133" t="str">
        <f>Закуп!V281</f>
        <v/>
      </c>
      <c r="N281" s="133" t="str">
        <f>Закуп!W281</f>
        <v>Плоские</v>
      </c>
      <c r="O281" s="139" t="str">
        <f>IF(OR(Закуп!L281="",Закуп!L281=0),"",Закуп!L281)</f>
        <v/>
      </c>
      <c r="P281" s="133" t="str">
        <f>Закуп!K281</f>
        <v>K247</v>
      </c>
      <c r="Q281" s="217" t="str">
        <f>IF(Закуп!D281="","",IF(LEFT(Закуп!D281,1)="0","0",Закуп!D281))</f>
        <v>У</v>
      </c>
      <c r="R281" s="155">
        <f>Закуп!C281</f>
        <v>281</v>
      </c>
    </row>
    <row r="282" spans="1:18" x14ac:dyDescent="0.3">
      <c r="A282" s="131" t="str">
        <f>Закуп!E282</f>
        <v>640х340х70</v>
      </c>
      <c r="B282" s="127">
        <f>INDEX(Calc!$K:$K, (ROW(A281)-1)*5 + COLUMN(A281) + 1 )</f>
        <v>3.4</v>
      </c>
      <c r="C282" s="127">
        <f>INDEX(Calc!$K:$K, (ROW(B281)-1)*5 + COLUMN(B281) + 1 )</f>
        <v>2.9</v>
      </c>
      <c r="D282" s="136">
        <f>INDEX(Calc!$K:$K, (ROW(C281)-1)*5 + COLUMN(C281) + 1 )</f>
        <v>2.5499999999999998</v>
      </c>
      <c r="E282" s="137">
        <f>INDEX(Calc!$K:$K, (ROW(D281)-1)*5 + COLUMN(D281) + 1 )</f>
        <v>2.42</v>
      </c>
      <c r="F282" s="138">
        <f>INDEX(Calc!$K:$K, (ROW(E281)-1)*5 + COLUMN(E281) + 1 )</f>
        <v>2.2999999999999998</v>
      </c>
      <c r="G282" s="133">
        <f>Закуп!O282</f>
        <v>15.23</v>
      </c>
      <c r="H282" s="133" t="str">
        <f>Закуп!Q282</f>
        <v>10-20 л</v>
      </c>
      <c r="I282" s="133" t="str">
        <f>Закуп!X282</f>
        <v>600-699 мм</v>
      </c>
      <c r="J282" s="133" t="str">
        <f>Закуп!Y282</f>
        <v>300-399 мм</v>
      </c>
      <c r="K282" s="133" t="str">
        <f>Закуп!Z282</f>
        <v>10-99 мм</v>
      </c>
      <c r="L282" s="133" t="str">
        <f>Закуп!AA282</f>
        <v>Самосборные</v>
      </c>
      <c r="M282" s="133" t="str">
        <f>Закуп!V282</f>
        <v/>
      </c>
      <c r="N282" s="133" t="str">
        <f>Закуп!W282</f>
        <v>Плоские</v>
      </c>
      <c r="O282" s="139" t="str">
        <f>IF(OR(Закуп!L282="",Закуп!L282=0),"",Закуп!L282)</f>
        <v/>
      </c>
      <c r="P282" s="133" t="str">
        <f>Закуп!K282</f>
        <v>K248</v>
      </c>
      <c r="Q282" s="217" t="str">
        <f>IF(Закуп!D282="","",IF(LEFT(Закуп!D282,1)="0","0",Закуп!D282))</f>
        <v>У</v>
      </c>
      <c r="R282" s="155">
        <f>Закуп!C282</f>
        <v>282</v>
      </c>
    </row>
    <row r="283" spans="1:18" x14ac:dyDescent="0.3">
      <c r="A283" s="131" t="str">
        <f>Закуп!E283</f>
        <v>230х140х20</v>
      </c>
      <c r="B283" s="127">
        <f>INDEX(Calc!$K:$K, (ROW(A282)-1)*5 + COLUMN(A282) + 1 )</f>
        <v>1</v>
      </c>
      <c r="C283" s="127">
        <f>INDEX(Calc!$K:$K, (ROW(B282)-1)*5 + COLUMN(B282) + 1 )</f>
        <v>0.85</v>
      </c>
      <c r="D283" s="136">
        <f>INDEX(Calc!$K:$K, (ROW(C282)-1)*5 + COLUMN(C282) + 1 )</f>
        <v>0.7</v>
      </c>
      <c r="E283" s="137">
        <f>INDEX(Calc!$K:$K, (ROW(D282)-1)*5 + COLUMN(D282) + 1 )</f>
        <v>0.6</v>
      </c>
      <c r="F283" s="138">
        <f>INDEX(Calc!$K:$K, (ROW(E282)-1)*5 + COLUMN(E282) + 1 )</f>
        <v>0.5</v>
      </c>
      <c r="G283" s="133">
        <f>Закуп!O283</f>
        <v>0.64</v>
      </c>
      <c r="H283" s="133" t="str">
        <f>Закуп!Q283</f>
        <v>&lt;1 л</v>
      </c>
      <c r="I283" s="133" t="str">
        <f>Закуп!X283</f>
        <v>200-299 мм</v>
      </c>
      <c r="J283" s="133" t="str">
        <f>Закуп!Y283</f>
        <v>100-199 мм</v>
      </c>
      <c r="K283" s="133" t="str">
        <f>Закуп!Z283</f>
        <v>10-99 мм</v>
      </c>
      <c r="L283" s="133" t="str">
        <f>Закуп!AA283</f>
        <v>Самосборные</v>
      </c>
      <c r="M283" s="133" t="str">
        <f>Закуп!V283</f>
        <v/>
      </c>
      <c r="N283" s="133" t="str">
        <f>Закуп!W283</f>
        <v>Плоские</v>
      </c>
      <c r="O283" s="139" t="str">
        <f>IF(OR(Закуп!L283="",Закуп!L283=0),"",Закуп!L283)</f>
        <v/>
      </c>
      <c r="P283" s="133" t="str">
        <f>Закуп!K283</f>
        <v>K249</v>
      </c>
      <c r="Q283" s="217" t="str">
        <f>IF(Закуп!D283="","",IF(LEFT(Закуп!D283,1)="0","0",Закуп!D283))</f>
        <v>У</v>
      </c>
      <c r="R283" s="155">
        <f>Закуп!C283</f>
        <v>283</v>
      </c>
    </row>
    <row r="284" spans="1:18" x14ac:dyDescent="0.3">
      <c r="A284" s="131" t="str">
        <f>Закуп!E284</f>
        <v>220х168х23</v>
      </c>
      <c r="B284" s="127">
        <f>INDEX(Calc!$K:$K, (ROW(A283)-1)*5 + COLUMN(A283) + 1 )</f>
        <v>1.07</v>
      </c>
      <c r="C284" s="127">
        <f>INDEX(Calc!$K:$K, (ROW(B283)-1)*5 + COLUMN(B283) + 1 )</f>
        <v>0.91</v>
      </c>
      <c r="D284" s="136">
        <f>INDEX(Calc!$K:$K, (ROW(C283)-1)*5 + COLUMN(C283) + 1 )</f>
        <v>0.75</v>
      </c>
      <c r="E284" s="137">
        <f>INDEX(Calc!$K:$K, (ROW(D283)-1)*5 + COLUMN(D283) + 1 )</f>
        <v>0.64</v>
      </c>
      <c r="F284" s="138">
        <f>INDEX(Calc!$K:$K, (ROW(E283)-1)*5 + COLUMN(E283) + 1 )</f>
        <v>0.54</v>
      </c>
      <c r="G284" s="133">
        <f>Закуп!O284</f>
        <v>0.85</v>
      </c>
      <c r="H284" s="133" t="str">
        <f>Закуп!Q284</f>
        <v>&lt;1 л</v>
      </c>
      <c r="I284" s="133" t="str">
        <f>Закуп!X284</f>
        <v>200-299 мм</v>
      </c>
      <c r="J284" s="133" t="str">
        <f>Закуп!Y284</f>
        <v>100-199 мм</v>
      </c>
      <c r="K284" s="133" t="str">
        <f>Закуп!Z284</f>
        <v>10-99 мм</v>
      </c>
      <c r="L284" s="133" t="str">
        <f>Закуп!AA284</f>
        <v>Самосборные</v>
      </c>
      <c r="M284" s="133" t="str">
        <f>Закуп!V284</f>
        <v/>
      </c>
      <c r="N284" s="133" t="str">
        <f>Закуп!W284</f>
        <v>Плоские</v>
      </c>
      <c r="O284" s="139" t="str">
        <f>IF(OR(Закуп!L284="",Закуп!L284=0),"",Закуп!L284)</f>
        <v/>
      </c>
      <c r="P284" s="133" t="str">
        <f>Закуп!K284</f>
        <v>K250</v>
      </c>
      <c r="Q284" s="217" t="str">
        <f>IF(Закуп!D284="","",IF(LEFT(Закуп!D284,1)="0","0",Закуп!D284))</f>
        <v>У</v>
      </c>
      <c r="R284" s="155">
        <f>Закуп!C284</f>
        <v>284</v>
      </c>
    </row>
    <row r="285" spans="1:18" x14ac:dyDescent="0.3">
      <c r="A285" s="131" t="str">
        <f>Закуп!E285</f>
        <v>150х150х250</v>
      </c>
      <c r="B285" s="127">
        <f>INDEX(Calc!$K:$K, (ROW(A284)-1)*5 + COLUMN(A284) + 1 )</f>
        <v>1.36</v>
      </c>
      <c r="C285" s="127">
        <f>INDEX(Calc!$K:$K, (ROW(B284)-1)*5 + COLUMN(B284) + 1 )</f>
        <v>1.18</v>
      </c>
      <c r="D285" s="136">
        <f>INDEX(Calc!$K:$K, (ROW(C284)-1)*5 + COLUMN(C284) + 1 )</f>
        <v>1</v>
      </c>
      <c r="E285" s="137">
        <f>INDEX(Calc!$K:$K, (ROW(D284)-1)*5 + COLUMN(D284) + 1 )</f>
        <v>0.95</v>
      </c>
      <c r="F285" s="138">
        <f>INDEX(Calc!$K:$K, (ROW(E284)-1)*5 + COLUMN(E284) + 1 )</f>
        <v>0.88</v>
      </c>
      <c r="G285" s="133">
        <f>Закуп!O285</f>
        <v>5.63</v>
      </c>
      <c r="H285" s="133" t="str">
        <f>Закуп!Q285</f>
        <v>5-10 л</v>
      </c>
      <c r="I285" s="133" t="str">
        <f>Закуп!X285</f>
        <v>200-299 мм</v>
      </c>
      <c r="J285" s="133" t="str">
        <f>Закуп!Y285</f>
        <v>100-199 мм</v>
      </c>
      <c r="K285" s="133" t="str">
        <f>Закуп!Z285</f>
        <v>100-199 мм</v>
      </c>
      <c r="L285" s="133" t="str">
        <f>Закуп!AA285</f>
        <v>Четырехклапанные</v>
      </c>
      <c r="M285" s="133" t="str">
        <f>Закуп!V285</f>
        <v/>
      </c>
      <c r="N285" s="133" t="str">
        <f>Закуп!W285</f>
        <v/>
      </c>
      <c r="O285" s="139" t="str">
        <f>IF(OR(Закуп!L285="",Закуп!L285=0),"",Закуп!L285)</f>
        <v/>
      </c>
      <c r="P285" s="133" t="str">
        <f>Закуп!K285</f>
        <v>K251</v>
      </c>
      <c r="Q285" s="217" t="str">
        <f>IF(Закуп!D285="","",IF(LEFT(Закуп!D285,1)="0","0",Закуп!D285))</f>
        <v>У</v>
      </c>
      <c r="R285" s="155">
        <f>Закуп!C285</f>
        <v>285</v>
      </c>
    </row>
    <row r="286" spans="1:18" x14ac:dyDescent="0.3">
      <c r="A286" s="131" t="str">
        <f>Закуп!E286</f>
        <v>200х200х150</v>
      </c>
      <c r="B286" s="127">
        <f>INDEX(Calc!$K:$K, (ROW(A285)-1)*5 + COLUMN(A285) + 1 )</f>
        <v>1.5</v>
      </c>
      <c r="C286" s="127">
        <f>INDEX(Calc!$K:$K, (ROW(B285)-1)*5 + COLUMN(B285) + 1 )</f>
        <v>1.36</v>
      </c>
      <c r="D286" s="136">
        <f>INDEX(Calc!$K:$K, (ROW(C285)-1)*5 + COLUMN(C285) + 1 )</f>
        <v>1.08</v>
      </c>
      <c r="E286" s="137">
        <f>INDEX(Calc!$K:$K, (ROW(D285)-1)*5 + COLUMN(D285) + 1 )</f>
        <v>1.01</v>
      </c>
      <c r="F286" s="138">
        <f>INDEX(Calc!$K:$K, (ROW(E285)-1)*5 + COLUMN(E285) + 1 )</f>
        <v>0.95</v>
      </c>
      <c r="G286" s="133">
        <f>Закуп!O286</f>
        <v>6</v>
      </c>
      <c r="H286" s="133" t="str">
        <f>Закуп!Q286</f>
        <v>5-10 л</v>
      </c>
      <c r="I286" s="133" t="str">
        <f>Закуп!X286</f>
        <v>200-299 мм</v>
      </c>
      <c r="J286" s="133" t="str">
        <f>Закуп!Y286</f>
        <v>200-299 мм</v>
      </c>
      <c r="K286" s="133" t="str">
        <f>Закуп!Z286</f>
        <v>100-199 мм</v>
      </c>
      <c r="L286" s="133" t="str">
        <f>Закуп!AA286</f>
        <v>Четырехклапанные</v>
      </c>
      <c r="M286" s="133" t="str">
        <f>Закуп!V286</f>
        <v/>
      </c>
      <c r="N286" s="133" t="str">
        <f>Закуп!W286</f>
        <v/>
      </c>
      <c r="O286" s="139" t="str">
        <f>IF(OR(Закуп!L286="",Закуп!L286=0),"",Закуп!L286)</f>
        <v/>
      </c>
      <c r="P286" s="133" t="str">
        <f>Закуп!K286</f>
        <v>K252</v>
      </c>
      <c r="Q286" s="217" t="str">
        <f>IF(Закуп!D286="","",IF(LEFT(Закуп!D286,1)="0","0",Закуп!D286))</f>
        <v>У</v>
      </c>
      <c r="R286" s="155">
        <f>Закуп!C286</f>
        <v>286</v>
      </c>
    </row>
    <row r="287" spans="1:18" x14ac:dyDescent="0.3">
      <c r="A287" s="131" t="str">
        <f>Закуп!E287</f>
        <v>630х380х380</v>
      </c>
      <c r="B287" s="127">
        <f>INDEX(Calc!$K:$K, (ROW(A286)-1)*5 + COLUMN(A286) + 1 )</f>
        <v>3.88</v>
      </c>
      <c r="C287" s="127">
        <f>INDEX(Calc!$K:$K, (ROW(B286)-1)*5 + COLUMN(B286) + 1 )</f>
        <v>3.78</v>
      </c>
      <c r="D287" s="136">
        <f>INDEX(Calc!$K:$K, (ROW(C286)-1)*5 + COLUMN(C286) + 1 )</f>
        <v>3.15</v>
      </c>
      <c r="E287" s="137">
        <f>INDEX(Calc!$K:$K, (ROW(D286)-1)*5 + COLUMN(D286) + 1 )</f>
        <v>3.05</v>
      </c>
      <c r="F287" s="138">
        <f>INDEX(Calc!$K:$K, (ROW(E286)-1)*5 + COLUMN(E286) + 1 )</f>
        <v>2.96</v>
      </c>
      <c r="G287" s="133">
        <f>Закуп!O287</f>
        <v>90.97</v>
      </c>
      <c r="H287" s="133" t="str">
        <f>Закуп!Q287</f>
        <v>50-100 л</v>
      </c>
      <c r="I287" s="133" t="str">
        <f>Закуп!X287</f>
        <v>600-699 мм</v>
      </c>
      <c r="J287" s="133" t="str">
        <f>Закуп!Y287</f>
        <v>300-399 мм</v>
      </c>
      <c r="K287" s="133" t="str">
        <f>Закуп!Z287</f>
        <v>300-399 мм</v>
      </c>
      <c r="L287" s="133" t="str">
        <f>Закуп!AA287</f>
        <v>Четырехклапанные</v>
      </c>
      <c r="M287" s="133" t="str">
        <f>Закуп!V287</f>
        <v/>
      </c>
      <c r="N287" s="133" t="str">
        <f>Закуп!W287</f>
        <v/>
      </c>
      <c r="O287" s="139" t="str">
        <f>IF(OR(Закуп!L287="",Закуп!L287=0),"",Закуп!L287)</f>
        <v/>
      </c>
      <c r="P287" s="133" t="str">
        <f>Закуп!K287</f>
        <v>K1038</v>
      </c>
      <c r="Q287" s="217" t="str">
        <f>IF(Закуп!D287="","",IF(LEFT(Закуп!D287,1)="0","0",Закуп!D287))</f>
        <v>К</v>
      </c>
      <c r="R287" s="155">
        <f>Закуп!C287</f>
        <v>287</v>
      </c>
    </row>
    <row r="288" spans="1:18" x14ac:dyDescent="0.3">
      <c r="A288" s="131" t="str">
        <f>Закуп!E288</f>
        <v>400х400х70</v>
      </c>
      <c r="B288" s="127">
        <f>INDEX(Calc!$K:$K, (ROW(A287)-1)*5 + COLUMN(A287) + 1 )</f>
        <v>2.8</v>
      </c>
      <c r="C288" s="127">
        <f>INDEX(Calc!$K:$K, (ROW(B287)-1)*5 + COLUMN(B287) + 1 )</f>
        <v>2.4</v>
      </c>
      <c r="D288" s="136">
        <f>INDEX(Calc!$K:$K, (ROW(C287)-1)*5 + COLUMN(C287) + 1 )</f>
        <v>2.16</v>
      </c>
      <c r="E288" s="137">
        <f>INDEX(Calc!$K:$K, (ROW(D287)-1)*5 + COLUMN(D287) + 1 )</f>
        <v>1.95</v>
      </c>
      <c r="F288" s="138">
        <f>INDEX(Calc!$K:$K, (ROW(E287)-1)*5 + COLUMN(E287) + 1 )</f>
        <v>1.86</v>
      </c>
      <c r="G288" s="133">
        <f>Закуп!O288</f>
        <v>11.2</v>
      </c>
      <c r="H288" s="133" t="str">
        <f>Закуп!Q288</f>
        <v>10-20 л</v>
      </c>
      <c r="I288" s="133" t="str">
        <f>Закуп!X288</f>
        <v>400-499 мм</v>
      </c>
      <c r="J288" s="133" t="str">
        <f>Закуп!Y288</f>
        <v>400-499 мм</v>
      </c>
      <c r="K288" s="133" t="str">
        <f>Закуп!Z288</f>
        <v>10-99 мм</v>
      </c>
      <c r="L288" s="133" t="str">
        <f>Закуп!AA288</f>
        <v>Самосборные</v>
      </c>
      <c r="M288" s="133" t="str">
        <f>Закуп!V288</f>
        <v/>
      </c>
      <c r="N288" s="133" t="str">
        <f>Закуп!W288</f>
        <v>Плоские</v>
      </c>
      <c r="O288" s="139" t="str">
        <f>IF(OR(Закуп!L288="",Закуп!L288=0),"",Закуп!L288)</f>
        <v/>
      </c>
      <c r="P288" s="133" t="str">
        <f>Закуп!K288</f>
        <v>K253</v>
      </c>
      <c r="Q288" s="217" t="str">
        <f>IF(Закуп!D288="","",IF(LEFT(Закуп!D288,1)="0","0",Закуп!D288))</f>
        <v>У</v>
      </c>
      <c r="R288" s="155">
        <f>Закуп!C288</f>
        <v>288</v>
      </c>
    </row>
    <row r="289" spans="1:18" x14ac:dyDescent="0.3">
      <c r="A289" s="131" t="str">
        <f>Закуп!E289</f>
        <v>120х100х250</v>
      </c>
      <c r="B289" s="127">
        <f>INDEX(Calc!$K:$K, (ROW(A288)-1)*5 + COLUMN(A288) + 1 )</f>
        <v>1.1000000000000001</v>
      </c>
      <c r="C289" s="127">
        <f>INDEX(Calc!$K:$K, (ROW(B288)-1)*5 + COLUMN(B288) + 1 )</f>
        <v>1</v>
      </c>
      <c r="D289" s="136">
        <f>INDEX(Calc!$K:$K, (ROW(C288)-1)*5 + COLUMN(C288) + 1 )</f>
        <v>0.9</v>
      </c>
      <c r="E289" s="137">
        <f>INDEX(Calc!$K:$K, (ROW(D288)-1)*5 + COLUMN(D288) + 1 )</f>
        <v>0.8</v>
      </c>
      <c r="F289" s="138">
        <f>INDEX(Calc!$K:$K, (ROW(E288)-1)*5 + COLUMN(E288) + 1 )</f>
        <v>0.7</v>
      </c>
      <c r="G289" s="133">
        <f>Закуп!O289</f>
        <v>3</v>
      </c>
      <c r="H289" s="133" t="str">
        <f>Закуп!Q289</f>
        <v>3-5 л</v>
      </c>
      <c r="I289" s="133" t="str">
        <f>Закуп!X289</f>
        <v>200-299 мм</v>
      </c>
      <c r="J289" s="133" t="str">
        <f>Закуп!Y289</f>
        <v>100-199 мм</v>
      </c>
      <c r="K289" s="133" t="str">
        <f>Закуп!Z289</f>
        <v>100-199 мм</v>
      </c>
      <c r="L289" s="133" t="str">
        <f>Закуп!AA289</f>
        <v>Четырехклапанные</v>
      </c>
      <c r="M289" s="133" t="str">
        <f>Закуп!V289</f>
        <v>Длинные</v>
      </c>
      <c r="N289" s="133" t="str">
        <f>Закуп!W289</f>
        <v/>
      </c>
      <c r="O289" s="139" t="str">
        <f>IF(OR(Закуп!L289="",Закуп!L289=0),"",Закуп!L289)</f>
        <v/>
      </c>
      <c r="P289" s="133" t="str">
        <f>Закуп!K289</f>
        <v>K254</v>
      </c>
      <c r="Q289" s="217" t="str">
        <f>IF(Закуп!D289="","",IF(LEFT(Закуп!D289,1)="0","0",Закуп!D289))</f>
        <v>У</v>
      </c>
      <c r="R289" s="155">
        <f>Закуп!C289</f>
        <v>289</v>
      </c>
    </row>
    <row r="290" spans="1:18" x14ac:dyDescent="0.3">
      <c r="A290" s="131" t="str">
        <f>Закуп!E290</f>
        <v>370х255х95</v>
      </c>
      <c r="B290" s="127">
        <f>INDEX(Calc!$K:$K, (ROW(A289)-1)*5 + COLUMN(A289) + 1 )</f>
        <v>1.78</v>
      </c>
      <c r="C290" s="127">
        <f>INDEX(Calc!$K:$K, (ROW(B289)-1)*5 + COLUMN(B289) + 1 )</f>
        <v>1.62</v>
      </c>
      <c r="D290" s="136">
        <f>INDEX(Calc!$K:$K, (ROW(C289)-1)*5 + COLUMN(C289) + 1 )</f>
        <v>1.48</v>
      </c>
      <c r="E290" s="137">
        <f>INDEX(Calc!$K:$K, (ROW(D289)-1)*5 + COLUMN(D289) + 1 )</f>
        <v>1.37</v>
      </c>
      <c r="F290" s="138">
        <f>INDEX(Calc!$K:$K, (ROW(E289)-1)*5 + COLUMN(E289) + 1 )</f>
        <v>1.21</v>
      </c>
      <c r="G290" s="133">
        <f>Закуп!O290</f>
        <v>8.9600000000000009</v>
      </c>
      <c r="H290" s="133" t="str">
        <f>Закуп!Q290</f>
        <v>5-10 л</v>
      </c>
      <c r="I290" s="133" t="str">
        <f>Закуп!X290</f>
        <v>300-399 мм</v>
      </c>
      <c r="J290" s="133" t="str">
        <f>Закуп!Y290</f>
        <v>200-299 мм</v>
      </c>
      <c r="K290" s="133" t="str">
        <f>Закуп!Z290</f>
        <v>10-99 мм</v>
      </c>
      <c r="L290" s="133" t="str">
        <f>Закуп!AA290</f>
        <v>Четырехклапанные</v>
      </c>
      <c r="M290" s="133" t="str">
        <f>Закуп!V290</f>
        <v/>
      </c>
      <c r="N290" s="133" t="str">
        <f>Закуп!W290</f>
        <v>Плоские</v>
      </c>
      <c r="O290" s="139" t="str">
        <f>IF(OR(Закуп!L290="",Закуп!L290=0),"",Закуп!L290)</f>
        <v/>
      </c>
      <c r="P290" s="133" t="str">
        <f>Закуп!K290</f>
        <v>K255</v>
      </c>
      <c r="Q290" s="217" t="str">
        <f>IF(Закуп!D290="","",IF(LEFT(Закуп!D290,1)="0","0",Закуп!D290))</f>
        <v>У</v>
      </c>
      <c r="R290" s="155">
        <f>Закуп!C290</f>
        <v>290</v>
      </c>
    </row>
    <row r="291" spans="1:18" x14ac:dyDescent="0.3">
      <c r="A291" s="131" t="str">
        <f>Закуп!E291</f>
        <v>180х130х100</v>
      </c>
      <c r="B291" s="127">
        <f>INDEX(Calc!$K:$K, (ROW(A290)-1)*5 + COLUMN(A290) + 1 )</f>
        <v>1.06</v>
      </c>
      <c r="C291" s="127">
        <f>INDEX(Calc!$K:$K, (ROW(B290)-1)*5 + COLUMN(B290) + 1 )</f>
        <v>0.91</v>
      </c>
      <c r="D291" s="136">
        <f>INDEX(Calc!$K:$K, (ROW(C290)-1)*5 + COLUMN(C290) + 1 )</f>
        <v>0.73</v>
      </c>
      <c r="E291" s="137">
        <f>INDEX(Calc!$K:$K, (ROW(D290)-1)*5 + COLUMN(D290) + 1 )</f>
        <v>0.67</v>
      </c>
      <c r="F291" s="138">
        <f>INDEX(Calc!$K:$K, (ROW(E290)-1)*5 + COLUMN(E290) + 1 )</f>
        <v>0.56999999999999995</v>
      </c>
      <c r="G291" s="133">
        <f>Закуп!O291</f>
        <v>2.34</v>
      </c>
      <c r="H291" s="133" t="str">
        <f>Закуп!Q291</f>
        <v>2-3 л</v>
      </c>
      <c r="I291" s="133" t="str">
        <f>Закуп!X291</f>
        <v>100-199 мм</v>
      </c>
      <c r="J291" s="133" t="str">
        <f>Закуп!Y291</f>
        <v>100-199 мм</v>
      </c>
      <c r="K291" s="133" t="str">
        <f>Закуп!Z291</f>
        <v>100-199 мм</v>
      </c>
      <c r="L291" s="133" t="str">
        <f>Закуп!AA291</f>
        <v>Четырехклапанные</v>
      </c>
      <c r="M291" s="133" t="str">
        <f>Закуп!V291</f>
        <v/>
      </c>
      <c r="N291" s="133" t="str">
        <f>Закуп!W291</f>
        <v/>
      </c>
      <c r="O291" s="139" t="str">
        <f>IF(OR(Закуп!L291="",Закуп!L291=0),"",Закуп!L291)</f>
        <v/>
      </c>
      <c r="P291" s="133" t="str">
        <f>Закуп!K291</f>
        <v>K256</v>
      </c>
      <c r="Q291" s="217" t="str">
        <f>IF(Закуп!D291="","",IF(LEFT(Закуп!D291,1)="0","0",Закуп!D291))</f>
        <v>У</v>
      </c>
      <c r="R291" s="155">
        <f>Закуп!C291</f>
        <v>291</v>
      </c>
    </row>
    <row r="292" spans="1:18" x14ac:dyDescent="0.3">
      <c r="A292" s="131" t="str">
        <f>Закуп!E292</f>
        <v>180х80х80</v>
      </c>
      <c r="B292" s="127">
        <f>INDEX(Calc!$K:$K, (ROW(A291)-1)*5 + COLUMN(A291) + 1 )</f>
        <v>1</v>
      </c>
      <c r="C292" s="127">
        <f>INDEX(Calc!$K:$K, (ROW(B291)-1)*5 + COLUMN(B291) + 1 )</f>
        <v>0.9</v>
      </c>
      <c r="D292" s="136">
        <f>INDEX(Calc!$K:$K, (ROW(C291)-1)*5 + COLUMN(C291) + 1 )</f>
        <v>0.8</v>
      </c>
      <c r="E292" s="137">
        <f>INDEX(Calc!$K:$K, (ROW(D291)-1)*5 + COLUMN(D291) + 1 )</f>
        <v>0.7</v>
      </c>
      <c r="F292" s="138">
        <f>INDEX(Calc!$K:$K, (ROW(E291)-1)*5 + COLUMN(E291) + 1 )</f>
        <v>0.6</v>
      </c>
      <c r="G292" s="133">
        <f>Закуп!O292</f>
        <v>1.1499999999999999</v>
      </c>
      <c r="H292" s="133" t="str">
        <f>Закуп!Q292</f>
        <v>1-2 л</v>
      </c>
      <c r="I292" s="133" t="str">
        <f>Закуп!X292</f>
        <v>100-199 мм</v>
      </c>
      <c r="J292" s="133" t="str">
        <f>Закуп!Y292</f>
        <v>10-99 мм</v>
      </c>
      <c r="K292" s="133" t="str">
        <f>Закуп!Z292</f>
        <v>10-99 мм</v>
      </c>
      <c r="L292" s="133" t="str">
        <f>Закуп!AA292</f>
        <v>Четырехклапанные</v>
      </c>
      <c r="M292" s="133" t="str">
        <f>Закуп!V292</f>
        <v>Длинные</v>
      </c>
      <c r="N292" s="133" t="str">
        <f>Закуп!W292</f>
        <v/>
      </c>
      <c r="O292" s="139" t="str">
        <f>IF(OR(Закуп!L292="",Закуп!L292=0),"",Закуп!L292)</f>
        <v/>
      </c>
      <c r="P292" s="133" t="str">
        <f>Закуп!K292</f>
        <v>K1039</v>
      </c>
      <c r="Q292" s="217" t="str">
        <f>IF(Закуп!D292="","",IF(LEFT(Закуп!D292,1)="0","0",Закуп!D292))</f>
        <v>К</v>
      </c>
      <c r="R292" s="155">
        <f>Закуп!C292</f>
        <v>292</v>
      </c>
    </row>
    <row r="293" spans="1:18" x14ac:dyDescent="0.3">
      <c r="A293" s="131" t="str">
        <f>Закуп!E293</f>
        <v>220х165х100</v>
      </c>
      <c r="B293" s="127">
        <f>INDEX(Calc!$K:$K, (ROW(A292)-1)*5 + COLUMN(A292) + 1 )</f>
        <v>1.74</v>
      </c>
      <c r="C293" s="127">
        <f>INDEX(Calc!$K:$K, (ROW(B292)-1)*5 + COLUMN(B292) + 1 )</f>
        <v>1.58</v>
      </c>
      <c r="D293" s="136">
        <f>INDEX(Calc!$K:$K, (ROW(C292)-1)*5 + COLUMN(C292) + 1 )</f>
        <v>1.25</v>
      </c>
      <c r="E293" s="137">
        <f>INDEX(Calc!$K:$K, (ROW(D292)-1)*5 + COLUMN(D292) + 1 )</f>
        <v>1.17</v>
      </c>
      <c r="F293" s="138">
        <f>INDEX(Calc!$K:$K, (ROW(E292)-1)*5 + COLUMN(E292) + 1 )</f>
        <v>1.03</v>
      </c>
      <c r="G293" s="133">
        <f>Закуп!O293</f>
        <v>3.63</v>
      </c>
      <c r="H293" s="133" t="str">
        <f>Закуп!Q293</f>
        <v>3-5 л</v>
      </c>
      <c r="I293" s="133" t="str">
        <f>Закуп!X293</f>
        <v>200-299 мм</v>
      </c>
      <c r="J293" s="133" t="str">
        <f>Закуп!Y293</f>
        <v>100-199 мм</v>
      </c>
      <c r="K293" s="133" t="str">
        <f>Закуп!Z293</f>
        <v>100-199 мм</v>
      </c>
      <c r="L293" s="133" t="str">
        <f>Закуп!AA293</f>
        <v>Самосборные</v>
      </c>
      <c r="M293" s="133" t="str">
        <f>Закуп!V293</f>
        <v/>
      </c>
      <c r="N293" s="133" t="str">
        <f>Закуп!W293</f>
        <v/>
      </c>
      <c r="O293" s="139" t="str">
        <f>IF(OR(Закуп!L293="",Закуп!L293=0),"",Закуп!L293)</f>
        <v/>
      </c>
      <c r="P293" s="133" t="str">
        <f>Закуп!K293</f>
        <v>K257</v>
      </c>
      <c r="Q293" s="217" t="str">
        <f>IF(Закуп!D293="","",IF(LEFT(Закуп!D293,1)="0","0",Закуп!D293))</f>
        <v>У</v>
      </c>
      <c r="R293" s="155">
        <f>Закуп!C293</f>
        <v>293</v>
      </c>
    </row>
    <row r="294" spans="1:18" x14ac:dyDescent="0.3">
      <c r="A294" s="131" t="str">
        <f>Закуп!E294</f>
        <v>250х250х200</v>
      </c>
      <c r="B294" s="127">
        <f>INDEX(Calc!$K:$K, (ROW(A293)-1)*5 + COLUMN(A293) + 1 )</f>
        <v>2.16</v>
      </c>
      <c r="C294" s="127">
        <f>INDEX(Calc!$K:$K, (ROW(B293)-1)*5 + COLUMN(B293) + 1 )</f>
        <v>1.97</v>
      </c>
      <c r="D294" s="136">
        <f>INDEX(Calc!$K:$K, (ROW(C293)-1)*5 + COLUMN(C293) + 1 )</f>
        <v>1.54</v>
      </c>
      <c r="E294" s="137">
        <f>INDEX(Calc!$K:$K, (ROW(D293)-1)*5 + COLUMN(D293) + 1 )</f>
        <v>1.33</v>
      </c>
      <c r="F294" s="138">
        <f>INDEX(Calc!$K:$K, (ROW(E293)-1)*5 + COLUMN(E293) + 1 )</f>
        <v>1.24</v>
      </c>
      <c r="G294" s="133">
        <f>Закуп!O294</f>
        <v>12.5</v>
      </c>
      <c r="H294" s="133" t="str">
        <f>Закуп!Q294</f>
        <v>10-20 л</v>
      </c>
      <c r="I294" s="133" t="str">
        <f>Закуп!X294</f>
        <v>200-299 мм</v>
      </c>
      <c r="J294" s="133" t="str">
        <f>Закуп!Y294</f>
        <v>200-299 мм</v>
      </c>
      <c r="K294" s="133" t="str">
        <f>Закуп!Z294</f>
        <v>200-299 мм</v>
      </c>
      <c r="L294" s="133" t="str">
        <f>Закуп!AA294</f>
        <v>Четырехклапанные</v>
      </c>
      <c r="M294" s="133" t="str">
        <f>Закуп!V294</f>
        <v/>
      </c>
      <c r="N294" s="133" t="str">
        <f>Закуп!W294</f>
        <v/>
      </c>
      <c r="O294" s="139" t="str">
        <f>IF(OR(Закуп!L294="",Закуп!L294=0),"",Закуп!L294)</f>
        <v/>
      </c>
      <c r="P294" s="133" t="str">
        <f>Закуп!K294</f>
        <v>K258</v>
      </c>
      <c r="Q294" s="217" t="str">
        <f>IF(Закуп!D294="","",IF(LEFT(Закуп!D294,1)="0","0",Закуп!D294))</f>
        <v>У</v>
      </c>
      <c r="R294" s="155">
        <f>Закуп!C294</f>
        <v>294</v>
      </c>
    </row>
    <row r="295" spans="1:18" x14ac:dyDescent="0.3">
      <c r="A295" s="131" t="str">
        <f>Закуп!E295</f>
        <v>203х203х25</v>
      </c>
      <c r="B295" s="127">
        <f>INDEX(Calc!$K:$K, (ROW(A294)-1)*5 + COLUMN(A294) + 1 )</f>
        <v>1.1000000000000001</v>
      </c>
      <c r="C295" s="127">
        <f>INDEX(Calc!$K:$K, (ROW(B294)-1)*5 + COLUMN(B294) + 1 )</f>
        <v>0.94</v>
      </c>
      <c r="D295" s="136">
        <f>INDEX(Calc!$K:$K, (ROW(C294)-1)*5 + COLUMN(C294) + 1 )</f>
        <v>0.77</v>
      </c>
      <c r="E295" s="137">
        <f>INDEX(Calc!$K:$K, (ROW(D294)-1)*5 + COLUMN(D294) + 1 )</f>
        <v>0.68</v>
      </c>
      <c r="F295" s="138">
        <f>INDEX(Calc!$K:$K, (ROW(E294)-1)*5 + COLUMN(E294) + 1 )</f>
        <v>0.56999999999999995</v>
      </c>
      <c r="G295" s="133">
        <f>Закуп!O295</f>
        <v>1.03</v>
      </c>
      <c r="H295" s="133" t="str">
        <f>Закуп!Q295</f>
        <v>1-2 л</v>
      </c>
      <c r="I295" s="133" t="str">
        <f>Закуп!X295</f>
        <v>200-299 мм</v>
      </c>
      <c r="J295" s="133" t="str">
        <f>Закуп!Y295</f>
        <v>200-299 мм</v>
      </c>
      <c r="K295" s="133" t="str">
        <f>Закуп!Z295</f>
        <v>10-99 мм</v>
      </c>
      <c r="L295" s="133" t="str">
        <f>Закуп!AA295</f>
        <v>Самосборные</v>
      </c>
      <c r="M295" s="133" t="str">
        <f>Закуп!V295</f>
        <v/>
      </c>
      <c r="N295" s="133" t="str">
        <f>Закуп!W295</f>
        <v>Плоские</v>
      </c>
      <c r="O295" s="139" t="str">
        <f>IF(OR(Закуп!L295="",Закуп!L295=0),"",Закуп!L295)</f>
        <v/>
      </c>
      <c r="P295" s="133" t="str">
        <f>Закуп!K295</f>
        <v>K259</v>
      </c>
      <c r="Q295" s="217" t="str">
        <f>IF(Закуп!D295="","",IF(LEFT(Закуп!D295,1)="0","0",Закуп!D295))</f>
        <v>У</v>
      </c>
      <c r="R295" s="155">
        <f>Закуп!C295</f>
        <v>295</v>
      </c>
    </row>
    <row r="296" spans="1:18" x14ac:dyDescent="0.3">
      <c r="A296" s="131" t="str">
        <f>Закуп!E296</f>
        <v>260х85х85</v>
      </c>
      <c r="B296" s="127">
        <f>INDEX(Calc!$K:$K, (ROW(A295)-1)*5 + COLUMN(A295) + 1 )</f>
        <v>1.06</v>
      </c>
      <c r="C296" s="127">
        <f>INDEX(Calc!$K:$K, (ROW(B295)-1)*5 + COLUMN(B295) + 1 )</f>
        <v>0.91</v>
      </c>
      <c r="D296" s="136">
        <f>INDEX(Calc!$K:$K, (ROW(C295)-1)*5 + COLUMN(C295) + 1 )</f>
        <v>0.73</v>
      </c>
      <c r="E296" s="137">
        <f>INDEX(Calc!$K:$K, (ROW(D295)-1)*5 + COLUMN(D295) + 1 )</f>
        <v>0.67</v>
      </c>
      <c r="F296" s="138">
        <f>INDEX(Calc!$K:$K, (ROW(E295)-1)*5 + COLUMN(E295) + 1 )</f>
        <v>0.56999999999999995</v>
      </c>
      <c r="G296" s="133">
        <f>Закуп!O296</f>
        <v>1.88</v>
      </c>
      <c r="H296" s="133" t="str">
        <f>Закуп!Q296</f>
        <v>1-2 л</v>
      </c>
      <c r="I296" s="133" t="str">
        <f>Закуп!X296</f>
        <v>200-299 мм</v>
      </c>
      <c r="J296" s="133" t="str">
        <f>Закуп!Y296</f>
        <v>10-99 мм</v>
      </c>
      <c r="K296" s="133" t="str">
        <f>Закуп!Z296</f>
        <v>10-99 мм</v>
      </c>
      <c r="L296" s="133" t="str">
        <f>Закуп!AA296</f>
        <v>Самосборные</v>
      </c>
      <c r="M296" s="133" t="str">
        <f>Закуп!V296</f>
        <v>Длинные</v>
      </c>
      <c r="N296" s="133" t="str">
        <f>Закуп!W296</f>
        <v/>
      </c>
      <c r="O296" s="139" t="str">
        <f>IF(OR(Закуп!L296="",Закуп!L296=0),"",Закуп!L296)</f>
        <v/>
      </c>
      <c r="P296" s="133" t="str">
        <f>Закуп!K296</f>
        <v>K1040</v>
      </c>
      <c r="Q296" s="217" t="str">
        <f>IF(Закуп!D296="","",IF(LEFT(Закуп!D296,1)="0","0",Закуп!D296))</f>
        <v>К</v>
      </c>
      <c r="R296" s="155">
        <f>Закуп!C296</f>
        <v>296</v>
      </c>
    </row>
    <row r="297" spans="1:18" x14ac:dyDescent="0.3">
      <c r="A297" s="131" t="str">
        <f>Закуп!E297</f>
        <v>125х125х350</v>
      </c>
      <c r="B297" s="127">
        <f>INDEX(Calc!$K:$K, (ROW(A296)-1)*5 + COLUMN(A296) + 1 )</f>
        <v>1.33</v>
      </c>
      <c r="C297" s="127">
        <f>INDEX(Calc!$K:$K, (ROW(B296)-1)*5 + COLUMN(B296) + 1 )</f>
        <v>1.1599999999999999</v>
      </c>
      <c r="D297" s="136">
        <f>INDEX(Calc!$K:$K, (ROW(C296)-1)*5 + COLUMN(C296) + 1 )</f>
        <v>0.98</v>
      </c>
      <c r="E297" s="137">
        <f>INDEX(Calc!$K:$K, (ROW(D296)-1)*5 + COLUMN(D296) + 1 )</f>
        <v>0.92</v>
      </c>
      <c r="F297" s="138">
        <f>INDEX(Calc!$K:$K, (ROW(E296)-1)*5 + COLUMN(E296) + 1 )</f>
        <v>0.86</v>
      </c>
      <c r="G297" s="133">
        <f>Закуп!O297</f>
        <v>5.47</v>
      </c>
      <c r="H297" s="133" t="str">
        <f>Закуп!Q297</f>
        <v>5-10 л</v>
      </c>
      <c r="I297" s="133" t="str">
        <f>Закуп!X297</f>
        <v>300-399 мм</v>
      </c>
      <c r="J297" s="133" t="str">
        <f>Закуп!Y297</f>
        <v>100-199 мм</v>
      </c>
      <c r="K297" s="133" t="str">
        <f>Закуп!Z297</f>
        <v>100-199 мм</v>
      </c>
      <c r="L297" s="133" t="str">
        <f>Закуп!AA297</f>
        <v>Четырехклапанные</v>
      </c>
      <c r="M297" s="133" t="str">
        <f>Закуп!V297</f>
        <v>Длинные</v>
      </c>
      <c r="N297" s="133" t="str">
        <f>Закуп!W297</f>
        <v/>
      </c>
      <c r="O297" s="139" t="str">
        <f>IF(OR(Закуп!L297="",Закуп!L297=0),"",Закуп!L297)</f>
        <v/>
      </c>
      <c r="P297" s="133" t="str">
        <f>Закуп!K297</f>
        <v>K260</v>
      </c>
      <c r="Q297" s="217" t="str">
        <f>IF(Закуп!D297="","",IF(LEFT(Закуп!D297,1)="0","0",Закуп!D297))</f>
        <v>У</v>
      </c>
      <c r="R297" s="155">
        <f>Закуп!C297</f>
        <v>297</v>
      </c>
    </row>
    <row r="298" spans="1:18" x14ac:dyDescent="0.3">
      <c r="A298" s="131" t="str">
        <f>Закуп!E298</f>
        <v>125х125х400</v>
      </c>
      <c r="B298" s="127">
        <f>INDEX(Calc!$K:$K, (ROW(A297)-1)*5 + COLUMN(A297) + 1 )</f>
        <v>1.45</v>
      </c>
      <c r="C298" s="127">
        <f>INDEX(Calc!$K:$K, (ROW(B297)-1)*5 + COLUMN(B297) + 1 )</f>
        <v>1.26</v>
      </c>
      <c r="D298" s="136">
        <f>INDEX(Calc!$K:$K, (ROW(C297)-1)*5 + COLUMN(C297) + 1 )</f>
        <v>1.07</v>
      </c>
      <c r="E298" s="137">
        <f>INDEX(Calc!$K:$K, (ROW(D297)-1)*5 + COLUMN(D297) + 1 )</f>
        <v>1.01</v>
      </c>
      <c r="F298" s="138">
        <f>INDEX(Calc!$K:$K, (ROW(E297)-1)*5 + COLUMN(E297) + 1 )</f>
        <v>0.94</v>
      </c>
      <c r="G298" s="133">
        <f>Закуп!O298</f>
        <v>6.25</v>
      </c>
      <c r="H298" s="133" t="str">
        <f>Закуп!Q298</f>
        <v>5-10 л</v>
      </c>
      <c r="I298" s="133" t="str">
        <f>Закуп!X298</f>
        <v>400-499 мм</v>
      </c>
      <c r="J298" s="133" t="str">
        <f>Закуп!Y298</f>
        <v>100-199 мм</v>
      </c>
      <c r="K298" s="133" t="str">
        <f>Закуп!Z298</f>
        <v>100-199 мм</v>
      </c>
      <c r="L298" s="133" t="str">
        <f>Закуп!AA298</f>
        <v>Четырехклапанные</v>
      </c>
      <c r="M298" s="133" t="str">
        <f>Закуп!V298</f>
        <v>Длинные</v>
      </c>
      <c r="N298" s="133" t="str">
        <f>Закуп!W298</f>
        <v/>
      </c>
      <c r="O298" s="139" t="str">
        <f>IF(OR(Закуп!L298="",Закуп!L298=0),"",Закуп!L298)</f>
        <v/>
      </c>
      <c r="P298" s="133" t="str">
        <f>Закуп!K298</f>
        <v>K261</v>
      </c>
      <c r="Q298" s="217" t="str">
        <f>IF(Закуп!D298="","",IF(LEFT(Закуп!D298,1)="0","0",Закуп!D298))</f>
        <v>У</v>
      </c>
      <c r="R298" s="155">
        <f>Закуп!C298</f>
        <v>298</v>
      </c>
    </row>
    <row r="299" spans="1:18" x14ac:dyDescent="0.3">
      <c r="A299" s="131" t="str">
        <f>Закуп!E299</f>
        <v>160х160х106</v>
      </c>
      <c r="B299" s="127">
        <f>INDEX(Calc!$K:$K, (ROW(A298)-1)*5 + COLUMN(A298) + 1 )</f>
        <v>1.2</v>
      </c>
      <c r="C299" s="127">
        <f>INDEX(Calc!$K:$K, (ROW(B298)-1)*5 + COLUMN(B298) + 1 )</f>
        <v>1.05</v>
      </c>
      <c r="D299" s="136">
        <f>INDEX(Calc!$K:$K, (ROW(C298)-1)*5 + COLUMN(C298) + 1 )</f>
        <v>0.95</v>
      </c>
      <c r="E299" s="137">
        <f>INDEX(Calc!$K:$K, (ROW(D298)-1)*5 + COLUMN(D298) + 1 )</f>
        <v>0.85</v>
      </c>
      <c r="F299" s="138">
        <f>INDEX(Calc!$K:$K, (ROW(E298)-1)*5 + COLUMN(E298) + 1 )</f>
        <v>0.75</v>
      </c>
      <c r="G299" s="133">
        <f>Закуп!O299</f>
        <v>2.71</v>
      </c>
      <c r="H299" s="133" t="str">
        <f>Закуп!Q299</f>
        <v>2-3 л</v>
      </c>
      <c r="I299" s="133" t="str">
        <f>Закуп!X299</f>
        <v>100-199 мм</v>
      </c>
      <c r="J299" s="133" t="str">
        <f>Закуп!Y299</f>
        <v>100-199 мм</v>
      </c>
      <c r="K299" s="133" t="str">
        <f>Закуп!Z299</f>
        <v>100-199 мм</v>
      </c>
      <c r="L299" s="133" t="str">
        <f>Закуп!AA299</f>
        <v>Самосборные</v>
      </c>
      <c r="M299" s="133" t="str">
        <f>Закуп!V299</f>
        <v/>
      </c>
      <c r="N299" s="133" t="str">
        <f>Закуп!W299</f>
        <v/>
      </c>
      <c r="O299" s="139" t="str">
        <f>IF(OR(Закуп!L299="",Закуп!L299=0),"",Закуп!L299)</f>
        <v/>
      </c>
      <c r="P299" s="133" t="str">
        <f>Закуп!K299</f>
        <v>K500</v>
      </c>
      <c r="Q299" s="217" t="str">
        <f>IF(Закуп!D299="","",IF(LEFT(Закуп!D299,1)="0","0",Закуп!D299))</f>
        <v>БМ</v>
      </c>
      <c r="R299" s="155">
        <f>Закуп!C299</f>
        <v>299</v>
      </c>
    </row>
    <row r="300" spans="1:18" x14ac:dyDescent="0.3">
      <c r="A300" s="131" t="str">
        <f>Закуп!E300</f>
        <v>240х230х120</v>
      </c>
      <c r="B300" s="127">
        <f>INDEX(Calc!$K:$K, (ROW(A299)-1)*5 + COLUMN(A299) + 1 )</f>
        <v>1.7</v>
      </c>
      <c r="C300" s="127">
        <f>INDEX(Calc!$K:$K, (ROW(B299)-1)*5 + COLUMN(B299) + 1 )</f>
        <v>1.55</v>
      </c>
      <c r="D300" s="136">
        <f>INDEX(Calc!$K:$K, (ROW(C299)-1)*5 + COLUMN(C299) + 1 )</f>
        <v>1.4</v>
      </c>
      <c r="E300" s="137">
        <f>INDEX(Calc!$K:$K, (ROW(D299)-1)*5 + COLUMN(D299) + 1 )</f>
        <v>1.3</v>
      </c>
      <c r="F300" s="138">
        <f>INDEX(Calc!$K:$K, (ROW(E299)-1)*5 + COLUMN(E299) + 1 )</f>
        <v>1.2</v>
      </c>
      <c r="G300" s="133">
        <f>Закуп!O300</f>
        <v>6.62</v>
      </c>
      <c r="H300" s="133" t="str">
        <f>Закуп!Q300</f>
        <v>5-10 л</v>
      </c>
      <c r="I300" s="133" t="str">
        <f>Закуп!X300</f>
        <v>200-299 мм</v>
      </c>
      <c r="J300" s="133" t="str">
        <f>Закуп!Y300</f>
        <v>200-299 мм</v>
      </c>
      <c r="K300" s="133" t="str">
        <f>Закуп!Z300</f>
        <v>100-199 мм</v>
      </c>
      <c r="L300" s="133" t="str">
        <f>Закуп!AA300</f>
        <v>Самосборные</v>
      </c>
      <c r="M300" s="133" t="str">
        <f>Закуп!V300</f>
        <v/>
      </c>
      <c r="N300" s="133" t="str">
        <f>Закуп!W300</f>
        <v/>
      </c>
      <c r="O300" s="139" t="str">
        <f>IF(OR(Закуп!L300="",Закуп!L300=0),"",Закуп!L300)</f>
        <v/>
      </c>
      <c r="P300" s="133" t="str">
        <f>Закуп!K300</f>
        <v>K501</v>
      </c>
      <c r="Q300" s="217" t="str">
        <f>IF(Закуп!D300="","",IF(LEFT(Закуп!D300,1)="0","0",Закуп!D300))</f>
        <v>БМ</v>
      </c>
      <c r="R300" s="155">
        <f>Закуп!C300</f>
        <v>300</v>
      </c>
    </row>
    <row r="301" spans="1:18" x14ac:dyDescent="0.3">
      <c r="A301" s="131" t="str">
        <f>Закуп!E301</f>
        <v>250х225х95</v>
      </c>
      <c r="B301" s="127">
        <f>INDEX(Calc!$K:$K, (ROW(A300)-1)*5 + COLUMN(A300) + 1 )</f>
        <v>1.8</v>
      </c>
      <c r="C301" s="127">
        <f>INDEX(Calc!$K:$K, (ROW(B300)-1)*5 + COLUMN(B300) + 1 )</f>
        <v>1.65</v>
      </c>
      <c r="D301" s="136">
        <f>INDEX(Calc!$K:$K, (ROW(C300)-1)*5 + COLUMN(C300) + 1 )</f>
        <v>1.5</v>
      </c>
      <c r="E301" s="137">
        <f>INDEX(Calc!$K:$K, (ROW(D300)-1)*5 + COLUMN(D300) + 1 )</f>
        <v>1.4</v>
      </c>
      <c r="F301" s="138">
        <f>INDEX(Calc!$K:$K, (ROW(E300)-1)*5 + COLUMN(E300) + 1 )</f>
        <v>1.3</v>
      </c>
      <c r="G301" s="133">
        <f>Закуп!O301</f>
        <v>5.34</v>
      </c>
      <c r="H301" s="133" t="str">
        <f>Закуп!Q301</f>
        <v>5-10 л</v>
      </c>
      <c r="I301" s="133" t="str">
        <f>Закуп!X301</f>
        <v>200-299 мм</v>
      </c>
      <c r="J301" s="133" t="str">
        <f>Закуп!Y301</f>
        <v>200-299 мм</v>
      </c>
      <c r="K301" s="133" t="str">
        <f>Закуп!Z301</f>
        <v>10-99 мм</v>
      </c>
      <c r="L301" s="133" t="str">
        <f>Закуп!AA301</f>
        <v>Самосборные</v>
      </c>
      <c r="M301" s="133" t="str">
        <f>Закуп!V301</f>
        <v/>
      </c>
      <c r="N301" s="133" t="str">
        <f>Закуп!W301</f>
        <v>Плоские</v>
      </c>
      <c r="O301" s="139" t="str">
        <f>IF(OR(Закуп!L301="",Закуп!L301=0),"",Закуп!L301)</f>
        <v/>
      </c>
      <c r="P301" s="133" t="str">
        <f>Закуп!K301</f>
        <v>K502</v>
      </c>
      <c r="Q301" s="217" t="str">
        <f>IF(Закуп!D301="","",IF(LEFT(Закуп!D301,1)="0","0",Закуп!D301))</f>
        <v>БМ</v>
      </c>
      <c r="R301" s="155">
        <f>Закуп!C301</f>
        <v>301</v>
      </c>
    </row>
    <row r="302" spans="1:18" x14ac:dyDescent="0.3">
      <c r="A302" s="131" t="str">
        <f>Закуп!E302</f>
        <v>225х175х135</v>
      </c>
      <c r="B302" s="127">
        <f>INDEX(Calc!$K:$K, (ROW(A301)-1)*5 + COLUMN(A301) + 1 )</f>
        <v>1.45</v>
      </c>
      <c r="C302" s="127">
        <f>INDEX(Calc!$K:$K, (ROW(B301)-1)*5 + COLUMN(B301) + 1 )</f>
        <v>1.3</v>
      </c>
      <c r="D302" s="136">
        <f>INDEX(Calc!$K:$K, (ROW(C301)-1)*5 + COLUMN(C301) + 1 )</f>
        <v>1.1499999999999999</v>
      </c>
      <c r="E302" s="137">
        <f>INDEX(Calc!$K:$K, (ROW(D301)-1)*5 + COLUMN(D301) + 1 )</f>
        <v>1.05</v>
      </c>
      <c r="F302" s="138">
        <f>INDEX(Calc!$K:$K, (ROW(E301)-1)*5 + COLUMN(E301) + 1 )</f>
        <v>0.95</v>
      </c>
      <c r="G302" s="133">
        <f>Закуп!O302</f>
        <v>5.32</v>
      </c>
      <c r="H302" s="133" t="str">
        <f>Закуп!Q302</f>
        <v>5-10 л</v>
      </c>
      <c r="I302" s="133" t="str">
        <f>Закуп!X302</f>
        <v>200-299 мм</v>
      </c>
      <c r="J302" s="133" t="str">
        <f>Закуп!Y302</f>
        <v>100-199 мм</v>
      </c>
      <c r="K302" s="133" t="str">
        <f>Закуп!Z302</f>
        <v>100-199 мм</v>
      </c>
      <c r="L302" s="133" t="str">
        <f>Закуп!AA302</f>
        <v>Самосборные</v>
      </c>
      <c r="M302" s="133" t="str">
        <f>Закуп!V302</f>
        <v/>
      </c>
      <c r="N302" s="133" t="str">
        <f>Закуп!W302</f>
        <v/>
      </c>
      <c r="O302" s="139" t="str">
        <f>IF(OR(Закуп!L302="",Закуп!L302=0),"",Закуп!L302)</f>
        <v/>
      </c>
      <c r="P302" s="133" t="str">
        <f>Закуп!K302</f>
        <v>K503</v>
      </c>
      <c r="Q302" s="217" t="str">
        <f>IF(Закуп!D302="","",IF(LEFT(Закуп!D302,1)="0","0",Закуп!D302))</f>
        <v>БМ</v>
      </c>
      <c r="R302" s="155">
        <f>Закуп!C302</f>
        <v>302</v>
      </c>
    </row>
    <row r="303" spans="1:18" x14ac:dyDescent="0.3">
      <c r="A303" s="131" t="str">
        <f>Закуп!E303</f>
        <v>265х90х55</v>
      </c>
      <c r="B303" s="127">
        <f>INDEX(Calc!$K:$K, (ROW(A302)-1)*5 + COLUMN(A302) + 1 )</f>
        <v>1.06</v>
      </c>
      <c r="C303" s="127">
        <f>INDEX(Calc!$K:$K, (ROW(B302)-1)*5 + COLUMN(B302) + 1 )</f>
        <v>0.92</v>
      </c>
      <c r="D303" s="136">
        <f>INDEX(Calc!$K:$K, (ROW(C302)-1)*5 + COLUMN(C302) + 1 )</f>
        <v>0.85</v>
      </c>
      <c r="E303" s="137">
        <f>INDEX(Calc!$K:$K, (ROW(D302)-1)*5 + COLUMN(D302) + 1 )</f>
        <v>0.77</v>
      </c>
      <c r="F303" s="138">
        <f>INDEX(Calc!$K:$K, (ROW(E302)-1)*5 + COLUMN(E302) + 1 )</f>
        <v>0.72</v>
      </c>
      <c r="G303" s="133">
        <f>Закуп!O303</f>
        <v>1.31</v>
      </c>
      <c r="H303" s="133" t="str">
        <f>Закуп!Q303</f>
        <v>1-2 л</v>
      </c>
      <c r="I303" s="133" t="str">
        <f>Закуп!X303</f>
        <v>200-299 мм</v>
      </c>
      <c r="J303" s="133" t="str">
        <f>Закуп!Y303</f>
        <v>10-99 мм</v>
      </c>
      <c r="K303" s="133" t="str">
        <f>Закуп!Z303</f>
        <v>10-99 мм</v>
      </c>
      <c r="L303" s="133" t="str">
        <f>Закуп!AA303</f>
        <v>Самосборные</v>
      </c>
      <c r="M303" s="133" t="str">
        <f>Закуп!V303</f>
        <v>Длинные</v>
      </c>
      <c r="N303" s="133" t="str">
        <f>Закуп!W303</f>
        <v/>
      </c>
      <c r="O303" s="139" t="str">
        <f>IF(OR(Закуп!L303="",Закуп!L303=0),"",Закуп!L303)</f>
        <v/>
      </c>
      <c r="P303" s="133" t="str">
        <f>Закуп!K303</f>
        <v>K504</v>
      </c>
      <c r="Q303" s="217" t="str">
        <f>IF(Закуп!D303="","",IF(LEFT(Закуп!D303,1)="0","0",Закуп!D303))</f>
        <v>БМ</v>
      </c>
      <c r="R303" s="155">
        <f>Закуп!C303</f>
        <v>303</v>
      </c>
    </row>
    <row r="304" spans="1:18" x14ac:dyDescent="0.3">
      <c r="A304" s="131" t="str">
        <f>Закуп!E304</f>
        <v>150х105х70</v>
      </c>
      <c r="B304" s="127">
        <f>INDEX(Calc!$K:$K, (ROW(A303)-1)*5 + COLUMN(A303) + 1 )</f>
        <v>0.98</v>
      </c>
      <c r="C304" s="127">
        <f>INDEX(Calc!$K:$K, (ROW(B303)-1)*5 + COLUMN(B303) + 1 )</f>
        <v>0.83</v>
      </c>
      <c r="D304" s="136">
        <f>INDEX(Calc!$K:$K, (ROW(C303)-1)*5 + COLUMN(C303) + 1 )</f>
        <v>0.68</v>
      </c>
      <c r="E304" s="137">
        <f>INDEX(Calc!$K:$K, (ROW(D303)-1)*5 + COLUMN(D303) + 1 )</f>
        <v>0.57999999999999996</v>
      </c>
      <c r="F304" s="138">
        <f>INDEX(Calc!$K:$K, (ROW(E303)-1)*5 + COLUMN(E303) + 1 )</f>
        <v>0.48</v>
      </c>
      <c r="G304" s="133">
        <f>Закуп!O304</f>
        <v>1.1000000000000001</v>
      </c>
      <c r="H304" s="133" t="str">
        <f>Закуп!Q304</f>
        <v>1-2 л</v>
      </c>
      <c r="I304" s="133" t="str">
        <f>Закуп!X304</f>
        <v>100-199 мм</v>
      </c>
      <c r="J304" s="133" t="str">
        <f>Закуп!Y304</f>
        <v>100-199 мм</v>
      </c>
      <c r="K304" s="133" t="str">
        <f>Закуп!Z304</f>
        <v>10-99 мм</v>
      </c>
      <c r="L304" s="133" t="str">
        <f>Закуп!AA304</f>
        <v>Самосборные</v>
      </c>
      <c r="M304" s="133" t="str">
        <f>Закуп!V304</f>
        <v/>
      </c>
      <c r="N304" s="133" t="str">
        <f>Закуп!W304</f>
        <v/>
      </c>
      <c r="O304" s="139" t="str">
        <f>IF(OR(Закуп!L304="",Закуп!L304=0),"",Закуп!L304)</f>
        <v/>
      </c>
      <c r="P304" s="133" t="str">
        <f>Закуп!K304</f>
        <v>K505</v>
      </c>
      <c r="Q304" s="217" t="str">
        <f>IF(Закуп!D304="","",IF(LEFT(Закуп!D304,1)="0","0",Закуп!D304))</f>
        <v>БМ</v>
      </c>
      <c r="R304" s="155">
        <f>Закуп!C304</f>
        <v>304</v>
      </c>
    </row>
    <row r="305" spans="1:18" x14ac:dyDescent="0.3">
      <c r="A305" s="131" t="str">
        <f>Закуп!E305</f>
        <v>180х150х17</v>
      </c>
      <c r="B305" s="127">
        <f>INDEX(Calc!$K:$K, (ROW(A304)-1)*5 + COLUMN(A304) + 1 )</f>
        <v>0.98</v>
      </c>
      <c r="C305" s="127">
        <f>INDEX(Calc!$K:$K, (ROW(B304)-1)*5 + COLUMN(B304) + 1 )</f>
        <v>0.83</v>
      </c>
      <c r="D305" s="136">
        <f>INDEX(Calc!$K:$K, (ROW(C304)-1)*5 + COLUMN(C304) + 1 )</f>
        <v>0.68</v>
      </c>
      <c r="E305" s="137">
        <f>INDEX(Calc!$K:$K, (ROW(D304)-1)*5 + COLUMN(D304) + 1 )</f>
        <v>0.57999999999999996</v>
      </c>
      <c r="F305" s="138">
        <f>INDEX(Calc!$K:$K, (ROW(E304)-1)*5 + COLUMN(E304) + 1 )</f>
        <v>0.48</v>
      </c>
      <c r="G305" s="133">
        <f>Закуп!O305</f>
        <v>0.46</v>
      </c>
      <c r="H305" s="133" t="str">
        <f>Закуп!Q305</f>
        <v>&lt;1 л</v>
      </c>
      <c r="I305" s="133" t="str">
        <f>Закуп!X305</f>
        <v>100-199 мм</v>
      </c>
      <c r="J305" s="133" t="str">
        <f>Закуп!Y305</f>
        <v>100-199 мм</v>
      </c>
      <c r="K305" s="133" t="str">
        <f>Закуп!Z305</f>
        <v>10-99 мм</v>
      </c>
      <c r="L305" s="133" t="str">
        <f>Закуп!AA305</f>
        <v>Самосборные</v>
      </c>
      <c r="M305" s="133" t="str">
        <f>Закуп!V305</f>
        <v/>
      </c>
      <c r="N305" s="133" t="str">
        <f>Закуп!W305</f>
        <v>Плоские</v>
      </c>
      <c r="O305" s="139" t="str">
        <f>IF(OR(Закуп!L305="",Закуп!L305=0),"",Закуп!L305)</f>
        <v/>
      </c>
      <c r="P305" s="133" t="str">
        <f>Закуп!K305</f>
        <v>K506</v>
      </c>
      <c r="Q305" s="217" t="str">
        <f>IF(Закуп!D305="","",IF(LEFT(Закуп!D305,1)="0","0",Закуп!D305))</f>
        <v>БМ</v>
      </c>
      <c r="R305" s="155">
        <f>Закуп!C305</f>
        <v>305</v>
      </c>
    </row>
    <row r="306" spans="1:18" x14ac:dyDescent="0.3">
      <c r="A306" s="131" t="str">
        <f>Закуп!E306</f>
        <v>90х90х160</v>
      </c>
      <c r="B306" s="127">
        <f>INDEX(Calc!$K:$K, (ROW(A305)-1)*5 + COLUMN(A305) + 1 )</f>
        <v>0.98</v>
      </c>
      <c r="C306" s="127">
        <f>INDEX(Calc!$K:$K, (ROW(B305)-1)*5 + COLUMN(B305) + 1 )</f>
        <v>0.83</v>
      </c>
      <c r="D306" s="136">
        <f>INDEX(Calc!$K:$K, (ROW(C305)-1)*5 + COLUMN(C305) + 1 )</f>
        <v>0.68</v>
      </c>
      <c r="E306" s="137">
        <f>INDEX(Calc!$K:$K, (ROW(D305)-1)*5 + COLUMN(D305) + 1 )</f>
        <v>0.57999999999999996</v>
      </c>
      <c r="F306" s="138">
        <f>INDEX(Calc!$K:$K, (ROW(E305)-1)*5 + COLUMN(E305) + 1 )</f>
        <v>0.48</v>
      </c>
      <c r="G306" s="133">
        <f>Закуп!O306</f>
        <v>1.3</v>
      </c>
      <c r="H306" s="133" t="str">
        <f>Закуп!Q306</f>
        <v>1-2 л</v>
      </c>
      <c r="I306" s="133" t="str">
        <f>Закуп!X306</f>
        <v>100-199 мм</v>
      </c>
      <c r="J306" s="133" t="str">
        <f>Закуп!Y306</f>
        <v>10-99 мм</v>
      </c>
      <c r="K306" s="133" t="str">
        <f>Закуп!Z306</f>
        <v>10-99 мм</v>
      </c>
      <c r="L306" s="133" t="str">
        <f>Закуп!AA306</f>
        <v>Самосборные</v>
      </c>
      <c r="M306" s="133" t="str">
        <f>Закуп!V306</f>
        <v/>
      </c>
      <c r="N306" s="133" t="str">
        <f>Закуп!W306</f>
        <v/>
      </c>
      <c r="O306" s="139" t="str">
        <f>IF(OR(Закуп!L306="",Закуп!L306=0),"",Закуп!L306)</f>
        <v/>
      </c>
      <c r="P306" s="133" t="str">
        <f>Закуп!K306</f>
        <v>K507</v>
      </c>
      <c r="Q306" s="217" t="str">
        <f>IF(Закуп!D306="","",IF(LEFT(Закуп!D306,1)="0","0",Закуп!D306))</f>
        <v>БМ</v>
      </c>
      <c r="R306" s="155">
        <f>Закуп!C306</f>
        <v>306</v>
      </c>
    </row>
    <row r="307" spans="1:18" x14ac:dyDescent="0.3">
      <c r="A307" s="131" t="str">
        <f>Закуп!E307</f>
        <v>150х150х100</v>
      </c>
      <c r="B307" s="127">
        <f>INDEX(Calc!$K:$K, (ROW(A306)-1)*5 + COLUMN(A306) + 1 )</f>
        <v>1.1499999999999999</v>
      </c>
      <c r="C307" s="127">
        <f>INDEX(Calc!$K:$K, (ROW(B306)-1)*5 + COLUMN(B306) + 1 )</f>
        <v>1</v>
      </c>
      <c r="D307" s="136">
        <f>INDEX(Calc!$K:$K, (ROW(C306)-1)*5 + COLUMN(C306) + 1 )</f>
        <v>0.85</v>
      </c>
      <c r="E307" s="137">
        <f>INDEX(Calc!$K:$K, (ROW(D306)-1)*5 + COLUMN(D306) + 1 )</f>
        <v>0.75</v>
      </c>
      <c r="F307" s="138">
        <f>INDEX(Calc!$K:$K, (ROW(E306)-1)*5 + COLUMN(E306) + 1 )</f>
        <v>0.65</v>
      </c>
      <c r="G307" s="133">
        <f>Закуп!O307</f>
        <v>2.25</v>
      </c>
      <c r="H307" s="133" t="str">
        <f>Закуп!Q307</f>
        <v>2-3 л</v>
      </c>
      <c r="I307" s="133" t="str">
        <f>Закуп!X307</f>
        <v>100-199 мм</v>
      </c>
      <c r="J307" s="133" t="str">
        <f>Закуп!Y307</f>
        <v>100-199 мм</v>
      </c>
      <c r="K307" s="133" t="str">
        <f>Закуп!Z307</f>
        <v>100-199 мм</v>
      </c>
      <c r="L307" s="133" t="str">
        <f>Закуп!AA307</f>
        <v>Самосборные</v>
      </c>
      <c r="M307" s="133" t="str">
        <f>Закуп!V307</f>
        <v/>
      </c>
      <c r="N307" s="133" t="str">
        <f>Закуп!W307</f>
        <v/>
      </c>
      <c r="O307" s="139" t="str">
        <f>IF(OR(Закуп!L307="",Закуп!L307=0),"",Закуп!L307)</f>
        <v/>
      </c>
      <c r="P307" s="133" t="str">
        <f>Закуп!K307</f>
        <v>K508</v>
      </c>
      <c r="Q307" s="217" t="str">
        <f>IF(Закуп!D307="","",IF(LEFT(Закуп!D307,1)="0","0",Закуп!D307))</f>
        <v>БМ</v>
      </c>
      <c r="R307" s="155">
        <f>Закуп!C307</f>
        <v>307</v>
      </c>
    </row>
    <row r="308" spans="1:18" x14ac:dyDescent="0.3">
      <c r="A308" s="131" t="str">
        <f>Закуп!E308</f>
        <v>120х120х120</v>
      </c>
      <c r="B308" s="127">
        <f>INDEX(Calc!$K:$K, (ROW(A307)-1)*5 + COLUMN(A307) + 1 )</f>
        <v>1.1000000000000001</v>
      </c>
      <c r="C308" s="127">
        <f>INDEX(Calc!$K:$K, (ROW(B307)-1)*5 + COLUMN(B307) + 1 )</f>
        <v>1</v>
      </c>
      <c r="D308" s="136">
        <f>INDEX(Calc!$K:$K, (ROW(C307)-1)*5 + COLUMN(C307) + 1 )</f>
        <v>0.9</v>
      </c>
      <c r="E308" s="137">
        <f>INDEX(Calc!$K:$K, (ROW(D307)-1)*5 + COLUMN(D307) + 1 )</f>
        <v>0.8</v>
      </c>
      <c r="F308" s="138">
        <f>INDEX(Calc!$K:$K, (ROW(E307)-1)*5 + COLUMN(E307) + 1 )</f>
        <v>0.7</v>
      </c>
      <c r="G308" s="133">
        <f>Закуп!O308</f>
        <v>1.73</v>
      </c>
      <c r="H308" s="133" t="str">
        <f>Закуп!Q308</f>
        <v>1-2 л</v>
      </c>
      <c r="I308" s="133" t="str">
        <f>Закуп!X308</f>
        <v>100-199 мм</v>
      </c>
      <c r="J308" s="133" t="str">
        <f>Закуп!Y308</f>
        <v>100-199 мм</v>
      </c>
      <c r="K308" s="133" t="str">
        <f>Закуп!Z308</f>
        <v>100-199 мм</v>
      </c>
      <c r="L308" s="133" t="str">
        <f>Закуп!AA308</f>
        <v>Самосборные</v>
      </c>
      <c r="M308" s="133" t="str">
        <f>Закуп!V308</f>
        <v/>
      </c>
      <c r="N308" s="133" t="str">
        <f>Закуп!W308</f>
        <v/>
      </c>
      <c r="O308" s="139" t="str">
        <f>IF(OR(Закуп!L308="",Закуп!L308=0),"",Закуп!L308)</f>
        <v/>
      </c>
      <c r="P308" s="133" t="str">
        <f>Закуп!K308</f>
        <v>K509</v>
      </c>
      <c r="Q308" s="217" t="str">
        <f>IF(Закуп!D308="","",IF(LEFT(Закуп!D308,1)="0","0",Закуп!D308))</f>
        <v>БМ</v>
      </c>
      <c r="R308" s="155">
        <f>Закуп!C308</f>
        <v>308</v>
      </c>
    </row>
    <row r="309" spans="1:18" x14ac:dyDescent="0.3">
      <c r="A309" s="131" t="str">
        <f>Закуп!E309</f>
        <v>240х230х25</v>
      </c>
      <c r="B309" s="127">
        <f>INDEX(Calc!$K:$K, (ROW(A308)-1)*5 + COLUMN(A308) + 1 )</f>
        <v>1.1499999999999999</v>
      </c>
      <c r="C309" s="127">
        <f>INDEX(Calc!$K:$K, (ROW(B308)-1)*5 + COLUMN(B308) + 1 )</f>
        <v>1</v>
      </c>
      <c r="D309" s="136">
        <f>INDEX(Calc!$K:$K, (ROW(C308)-1)*5 + COLUMN(C308) + 1 )</f>
        <v>0.9</v>
      </c>
      <c r="E309" s="137">
        <f>INDEX(Calc!$K:$K, (ROW(D308)-1)*5 + COLUMN(D308) + 1 )</f>
        <v>0.8</v>
      </c>
      <c r="F309" s="138">
        <f>INDEX(Calc!$K:$K, (ROW(E308)-1)*5 + COLUMN(E308) + 1 )</f>
        <v>0.7</v>
      </c>
      <c r="G309" s="133">
        <f>Закуп!O309</f>
        <v>1.38</v>
      </c>
      <c r="H309" s="133" t="str">
        <f>Закуп!Q309</f>
        <v>1-2 л</v>
      </c>
      <c r="I309" s="133" t="str">
        <f>Закуп!X309</f>
        <v>200-299 мм</v>
      </c>
      <c r="J309" s="133" t="str">
        <f>Закуп!Y309</f>
        <v>200-299 мм</v>
      </c>
      <c r="K309" s="133" t="str">
        <f>Закуп!Z309</f>
        <v>10-99 мм</v>
      </c>
      <c r="L309" s="133" t="str">
        <f>Закуп!AA309</f>
        <v>Самосборные</v>
      </c>
      <c r="M309" s="133" t="str">
        <f>Закуп!V309</f>
        <v/>
      </c>
      <c r="N309" s="133" t="str">
        <f>Закуп!W309</f>
        <v>Плоские</v>
      </c>
      <c r="O309" s="139" t="str">
        <f>IF(OR(Закуп!L309="",Закуп!L309=0),"",Закуп!L309)</f>
        <v/>
      </c>
      <c r="P309" s="133" t="str">
        <f>Закуп!K309</f>
        <v>K510</v>
      </c>
      <c r="Q309" s="217" t="str">
        <f>IF(Закуп!D309="","",IF(LEFT(Закуп!D309,1)="0","0",Закуп!D309))</f>
        <v>БМ</v>
      </c>
      <c r="R309" s="155">
        <f>Закуп!C309</f>
        <v>309</v>
      </c>
    </row>
    <row r="310" spans="1:18" x14ac:dyDescent="0.3">
      <c r="A310" s="131" t="str">
        <f>Закуп!E310</f>
        <v>40х40х150</v>
      </c>
      <c r="B310" s="127">
        <f>INDEX(Calc!$K:$K, (ROW(A309)-1)*5 + COLUMN(A309) + 1 )</f>
        <v>0.95</v>
      </c>
      <c r="C310" s="127">
        <f>INDEX(Calc!$K:$K, (ROW(B309)-1)*5 + COLUMN(B309) + 1 )</f>
        <v>0.85</v>
      </c>
      <c r="D310" s="136">
        <f>INDEX(Calc!$K:$K, (ROW(C309)-1)*5 + COLUMN(C309) + 1 )</f>
        <v>0.7</v>
      </c>
      <c r="E310" s="137">
        <f>INDEX(Calc!$K:$K, (ROW(D309)-1)*5 + COLUMN(D309) + 1 )</f>
        <v>0.55000000000000004</v>
      </c>
      <c r="F310" s="138">
        <f>INDEX(Calc!$K:$K, (ROW(E309)-1)*5 + COLUMN(E309) + 1 )</f>
        <v>0.45</v>
      </c>
      <c r="G310" s="133">
        <f>Закуп!O310</f>
        <v>0.24</v>
      </c>
      <c r="H310" s="133" t="str">
        <f>Закуп!Q310</f>
        <v>&lt;1 л</v>
      </c>
      <c r="I310" s="133" t="str">
        <f>Закуп!X310</f>
        <v>100-199 мм</v>
      </c>
      <c r="J310" s="133" t="str">
        <f>Закуп!Y310</f>
        <v>10-99 мм</v>
      </c>
      <c r="K310" s="133" t="str">
        <f>Закуп!Z310</f>
        <v>10-99 мм</v>
      </c>
      <c r="L310" s="133" t="str">
        <f>Закуп!AA310</f>
        <v>Самосборные</v>
      </c>
      <c r="M310" s="133" t="str">
        <f>Закуп!V310</f>
        <v>Длинные</v>
      </c>
      <c r="N310" s="133" t="str">
        <f>Закуп!W310</f>
        <v/>
      </c>
      <c r="O310" s="139" t="str">
        <f>IF(OR(Закуп!L310="",Закуп!L310=0),"",Закуп!L310)</f>
        <v/>
      </c>
      <c r="P310" s="133" t="str">
        <f>Закуп!K310</f>
        <v>K262</v>
      </c>
      <c r="Q310" s="217" t="str">
        <f>IF(Закуп!D310="","",IF(LEFT(Закуп!D310,1)="0","0",Закуп!D310))</f>
        <v>У</v>
      </c>
      <c r="R310" s="155">
        <f>Закуп!C310</f>
        <v>310</v>
      </c>
    </row>
    <row r="311" spans="1:18" x14ac:dyDescent="0.3">
      <c r="A311" s="131" t="str">
        <f>Закуп!E311</f>
        <v>230х140х130</v>
      </c>
      <c r="B311" s="127">
        <f>INDEX(Calc!$K:$K, (ROW(A310)-1)*5 + COLUMN(A310) + 1 )</f>
        <v>1.05</v>
      </c>
      <c r="C311" s="127">
        <f>INDEX(Calc!$K:$K, (ROW(B310)-1)*5 + COLUMN(B310) + 1 )</f>
        <v>0.92</v>
      </c>
      <c r="D311" s="136">
        <f>INDEX(Calc!$K:$K, (ROW(C310)-1)*5 + COLUMN(C310) + 1 )</f>
        <v>0.82</v>
      </c>
      <c r="E311" s="137">
        <f>INDEX(Calc!$K:$K, (ROW(D310)-1)*5 + COLUMN(D310) + 1 )</f>
        <v>0.72</v>
      </c>
      <c r="F311" s="138">
        <f>INDEX(Calc!$K:$K, (ROW(E310)-1)*5 + COLUMN(E310) + 1 )</f>
        <v>0.62</v>
      </c>
      <c r="G311" s="133">
        <f>Закуп!O311</f>
        <v>4.1900000000000004</v>
      </c>
      <c r="H311" s="133" t="str">
        <f>Закуп!Q311</f>
        <v>3-5 л</v>
      </c>
      <c r="I311" s="133" t="str">
        <f>Закуп!X311</f>
        <v>200-299 мм</v>
      </c>
      <c r="J311" s="133" t="str">
        <f>Закуп!Y311</f>
        <v>100-199 мм</v>
      </c>
      <c r="K311" s="133" t="str">
        <f>Закуп!Z311</f>
        <v>100-199 мм</v>
      </c>
      <c r="L311" s="133" t="str">
        <f>Закуп!AA311</f>
        <v>Четырехклапанные</v>
      </c>
      <c r="M311" s="133" t="str">
        <f>Закуп!V311</f>
        <v/>
      </c>
      <c r="N311" s="133" t="str">
        <f>Закуп!W311</f>
        <v/>
      </c>
      <c r="O311" s="139" t="str">
        <f>IF(OR(Закуп!L311="",Закуп!L311=0),"",Закуп!L311)</f>
        <v/>
      </c>
      <c r="P311" s="133" t="str">
        <f>Закуп!K311</f>
        <v>K263</v>
      </c>
      <c r="Q311" s="217" t="str">
        <f>IF(Закуп!D311="","",IF(LEFT(Закуп!D311,1)="0","0",Закуп!D311))</f>
        <v>У</v>
      </c>
      <c r="R311" s="155">
        <f>Закуп!C311</f>
        <v>311</v>
      </c>
    </row>
    <row r="312" spans="1:18" x14ac:dyDescent="0.3">
      <c r="A312" s="131" t="str">
        <f>Закуп!E312</f>
        <v>320х240х100</v>
      </c>
      <c r="B312" s="127">
        <f>INDEX(Calc!$K:$K, (ROW(A311)-1)*5 + COLUMN(A311) + 1 )</f>
        <v>1.68</v>
      </c>
      <c r="C312" s="127">
        <f>INDEX(Calc!$K:$K, (ROW(B311)-1)*5 + COLUMN(B311) + 1 )</f>
        <v>1.42</v>
      </c>
      <c r="D312" s="136">
        <f>INDEX(Calc!$K:$K, (ROW(C311)-1)*5 + COLUMN(C311) + 1 )</f>
        <v>1.37</v>
      </c>
      <c r="E312" s="137">
        <f>INDEX(Calc!$K:$K, (ROW(D311)-1)*5 + COLUMN(D311) + 1 )</f>
        <v>1.28</v>
      </c>
      <c r="F312" s="138">
        <f>INDEX(Calc!$K:$K, (ROW(E311)-1)*5 + COLUMN(E311) + 1 )</f>
        <v>1.2</v>
      </c>
      <c r="G312" s="133">
        <f>Закуп!O312</f>
        <v>7.68</v>
      </c>
      <c r="H312" s="133" t="str">
        <f>Закуп!Q312</f>
        <v>5-10 л</v>
      </c>
      <c r="I312" s="133" t="str">
        <f>Закуп!X312</f>
        <v>300-399 мм</v>
      </c>
      <c r="J312" s="133" t="str">
        <f>Закуп!Y312</f>
        <v>200-299 мм</v>
      </c>
      <c r="K312" s="133" t="str">
        <f>Закуп!Z312</f>
        <v>100-199 мм</v>
      </c>
      <c r="L312" s="133" t="str">
        <f>Закуп!AA312</f>
        <v>Четырехклапанные</v>
      </c>
      <c r="M312" s="133" t="str">
        <f>Закуп!V312</f>
        <v/>
      </c>
      <c r="N312" s="133" t="str">
        <f>Закуп!W312</f>
        <v>Плоские</v>
      </c>
      <c r="O312" s="139" t="str">
        <f>IF(OR(Закуп!L312="",Закуп!L312=0),"",Закуп!L312)</f>
        <v>Sale</v>
      </c>
      <c r="P312" s="133" t="str">
        <f>Закуп!K312</f>
        <v>K511</v>
      </c>
      <c r="Q312" s="217" t="str">
        <f>IF(Закуп!D312="","",IF(LEFT(Закуп!D312,1)="0","0",Закуп!D312))</f>
        <v>0</v>
      </c>
      <c r="R312" s="155">
        <f>Закуп!C312</f>
        <v>312</v>
      </c>
    </row>
    <row r="313" spans="1:18" x14ac:dyDescent="0.3">
      <c r="A313" s="131" t="str">
        <f>Закуп!E313</f>
        <v>530х390х390</v>
      </c>
      <c r="B313" s="127">
        <f>INDEX(Calc!$K:$K, (ROW(A312)-1)*5 + COLUMN(A312) + 1 )</f>
        <v>2.0499999999999998</v>
      </c>
      <c r="C313" s="127">
        <f>INDEX(Calc!$K:$K, (ROW(B312)-1)*5 + COLUMN(B312) + 1 )</f>
        <v>2.0499999999999998</v>
      </c>
      <c r="D313" s="136">
        <f>INDEX(Calc!$K:$K, (ROW(C312)-1)*5 + COLUMN(C312) + 1 )</f>
        <v>2.0499999999999998</v>
      </c>
      <c r="E313" s="137">
        <f>INDEX(Calc!$K:$K, (ROW(D312)-1)*5 + COLUMN(D312) + 1 )</f>
        <v>2.0499999999999998</v>
      </c>
      <c r="F313" s="138">
        <f>INDEX(Calc!$K:$K, (ROW(E312)-1)*5 + COLUMN(E312) + 1 )</f>
        <v>2.0499999999999998</v>
      </c>
      <c r="G313" s="133">
        <f>Закуп!O313</f>
        <v>80.61</v>
      </c>
      <c r="H313" s="133" t="str">
        <f>Закуп!Q313</f>
        <v>50-100 л</v>
      </c>
      <c r="I313" s="133" t="str">
        <f>Закуп!X313</f>
        <v>500-599 мм</v>
      </c>
      <c r="J313" s="133" t="str">
        <f>Закуп!Y313</f>
        <v>300-399 мм</v>
      </c>
      <c r="K313" s="133" t="str">
        <f>Закуп!Z313</f>
        <v>300-399 мм</v>
      </c>
      <c r="L313" s="133" t="str">
        <f>Закуп!AA313</f>
        <v>Четырехклапанные</v>
      </c>
      <c r="M313" s="133" t="str">
        <f>Закуп!V313</f>
        <v/>
      </c>
      <c r="N313" s="133" t="str">
        <f>Закуп!W313</f>
        <v/>
      </c>
      <c r="O313" s="139" t="str">
        <f>IF(OR(Закуп!L313="",Закуп!L313=0),"",Закуп!L313)</f>
        <v/>
      </c>
      <c r="P313" s="133" t="str">
        <f>Закуп!K313</f>
        <v>K512</v>
      </c>
      <c r="Q313" s="217" t="str">
        <f>IF(Закуп!D313="","",IF(LEFT(Закуп!D313,1)="0","0",Закуп!D313))</f>
        <v>0</v>
      </c>
      <c r="R313" s="155">
        <f>Закуп!C313</f>
        <v>313</v>
      </c>
    </row>
    <row r="314" spans="1:18" x14ac:dyDescent="0.3">
      <c r="A314" s="131" t="str">
        <f>Закуп!E314</f>
        <v>250х150х140</v>
      </c>
      <c r="B314" s="127">
        <f>INDEX(Calc!$K:$K, (ROW(A313)-1)*5 + COLUMN(A313) + 1 )</f>
        <v>0.5</v>
      </c>
      <c r="C314" s="127">
        <f>INDEX(Calc!$K:$K, (ROW(B313)-1)*5 + COLUMN(B313) + 1 )</f>
        <v>0.5</v>
      </c>
      <c r="D314" s="136">
        <f>INDEX(Calc!$K:$K, (ROW(C313)-1)*5 + COLUMN(C313) + 1 )</f>
        <v>0.5</v>
      </c>
      <c r="E314" s="137">
        <f>INDEX(Calc!$K:$K, (ROW(D313)-1)*5 + COLUMN(D313) + 1 )</f>
        <v>0.5</v>
      </c>
      <c r="F314" s="138">
        <f>INDEX(Calc!$K:$K, (ROW(E313)-1)*5 + COLUMN(E313) + 1 )</f>
        <v>0.5</v>
      </c>
      <c r="G314" s="133">
        <f>Закуп!O314</f>
        <v>5.25</v>
      </c>
      <c r="H314" s="133" t="str">
        <f>Закуп!Q314</f>
        <v>5-10 л</v>
      </c>
      <c r="I314" s="133" t="str">
        <f>Закуп!X314</f>
        <v>200-299 мм</v>
      </c>
      <c r="J314" s="133" t="str">
        <f>Закуп!Y314</f>
        <v>100-199 мм</v>
      </c>
      <c r="K314" s="133" t="str">
        <f>Закуп!Z314</f>
        <v>100-199 мм</v>
      </c>
      <c r="L314" s="133" t="str">
        <f>Закуп!AA314</f>
        <v>Четырехклапанные</v>
      </c>
      <c r="M314" s="133" t="str">
        <f>Закуп!V314</f>
        <v/>
      </c>
      <c r="N314" s="133" t="str">
        <f>Закуп!W314</f>
        <v/>
      </c>
      <c r="O314" s="139" t="str">
        <f>IF(OR(Закуп!L314="",Закуп!L314=0),"",Закуп!L314)</f>
        <v>Sale</v>
      </c>
      <c r="P314" s="133" t="str">
        <f>Закуп!K314</f>
        <v>K513</v>
      </c>
      <c r="Q314" s="217" t="str">
        <f>IF(Закуп!D314="","",IF(LEFT(Закуп!D314,1)="0","0",Закуп!D314))</f>
        <v>0</v>
      </c>
      <c r="R314" s="155">
        <f>Закуп!C314</f>
        <v>314</v>
      </c>
    </row>
    <row r="315" spans="1:18" x14ac:dyDescent="0.3">
      <c r="A315" s="131" t="str">
        <f>Закуп!E315</f>
        <v>260х170х170</v>
      </c>
      <c r="B315" s="127">
        <f>INDEX(Calc!$K:$K, (ROW(A314)-1)*5 + COLUMN(A314) + 1 )</f>
        <v>1.1000000000000001</v>
      </c>
      <c r="C315" s="127">
        <f>INDEX(Calc!$K:$K, (ROW(B314)-1)*5 + COLUMN(B314) + 1 )</f>
        <v>1</v>
      </c>
      <c r="D315" s="136">
        <f>INDEX(Calc!$K:$K, (ROW(C314)-1)*5 + COLUMN(C314) + 1 )</f>
        <v>0.9</v>
      </c>
      <c r="E315" s="137">
        <f>INDEX(Calc!$K:$K, (ROW(D314)-1)*5 + COLUMN(D314) + 1 )</f>
        <v>0.8</v>
      </c>
      <c r="F315" s="138">
        <f>INDEX(Calc!$K:$K, (ROW(E314)-1)*5 + COLUMN(E314) + 1 )</f>
        <v>0.7</v>
      </c>
      <c r="G315" s="133">
        <f>Закуп!O315</f>
        <v>7.51</v>
      </c>
      <c r="H315" s="133" t="str">
        <f>Закуп!Q315</f>
        <v>5-10 л</v>
      </c>
      <c r="I315" s="133" t="str">
        <f>Закуп!X315</f>
        <v>200-299 мм</v>
      </c>
      <c r="J315" s="133" t="str">
        <f>Закуп!Y315</f>
        <v>100-199 мм</v>
      </c>
      <c r="K315" s="133" t="str">
        <f>Закуп!Z315</f>
        <v>100-199 мм</v>
      </c>
      <c r="L315" s="133" t="str">
        <f>Закуп!AA315</f>
        <v>Четырехклапанные</v>
      </c>
      <c r="M315" s="133" t="str">
        <f>Закуп!V315</f>
        <v/>
      </c>
      <c r="N315" s="133" t="str">
        <f>Закуп!W315</f>
        <v/>
      </c>
      <c r="O315" s="139" t="str">
        <f>IF(OR(Закуп!L315="",Закуп!L315=0),"",Закуп!L315)</f>
        <v/>
      </c>
      <c r="P315" s="133" t="str">
        <f>Закуп!K315</f>
        <v>K514</v>
      </c>
      <c r="Q315" s="217" t="str">
        <f>IF(Закуп!D315="","",IF(LEFT(Закуп!D315,1)="0","0",Закуп!D315))</f>
        <v>БМ</v>
      </c>
      <c r="R315" s="155">
        <f>Закуп!C315</f>
        <v>315</v>
      </c>
    </row>
    <row r="316" spans="1:18" x14ac:dyDescent="0.3">
      <c r="A316" s="131" t="str">
        <f>Закуп!E316</f>
        <v xml:space="preserve">147х127х257 </v>
      </c>
      <c r="B316" s="127">
        <f>INDEX(Calc!$K:$K, (ROW(A315)-1)*5 + COLUMN(A315) + 1 )</f>
        <v>1.4</v>
      </c>
      <c r="C316" s="127">
        <f>INDEX(Calc!$K:$K, (ROW(B315)-1)*5 + COLUMN(B315) + 1 )</f>
        <v>1.35</v>
      </c>
      <c r="D316" s="136">
        <f>INDEX(Calc!$K:$K, (ROW(C315)-1)*5 + COLUMN(C315) + 1 )</f>
        <v>1.3</v>
      </c>
      <c r="E316" s="137">
        <f>INDEX(Calc!$K:$K, (ROW(D315)-1)*5 + COLUMN(D315) + 1 )</f>
        <v>1.25</v>
      </c>
      <c r="F316" s="138">
        <f>INDEX(Calc!$K:$K, (ROW(E315)-1)*5 + COLUMN(E315) + 1 )</f>
        <v>1.1000000000000001</v>
      </c>
      <c r="G316" s="133">
        <f>Закуп!O316</f>
        <v>4.8</v>
      </c>
      <c r="H316" s="133" t="str">
        <f>Закуп!Q316</f>
        <v>3-5 л</v>
      </c>
      <c r="I316" s="133" t="str">
        <f>Закуп!X316</f>
        <v>200-299 мм</v>
      </c>
      <c r="J316" s="133" t="str">
        <f>Закуп!Y316</f>
        <v>100-199 мм</v>
      </c>
      <c r="K316" s="133" t="str">
        <f>Закуп!Z316</f>
        <v>100-199 мм</v>
      </c>
      <c r="L316" s="133" t="str">
        <f>Закуп!AA316</f>
        <v>Четырехклапанные</v>
      </c>
      <c r="M316" s="133" t="str">
        <f>Закуп!V316</f>
        <v/>
      </c>
      <c r="N316" s="133" t="str">
        <f>Закуп!W316</f>
        <v/>
      </c>
      <c r="O316" s="139" t="str">
        <f>IF(OR(Закуп!L316="",Закуп!L316=0),"",Закуп!L316)</f>
        <v/>
      </c>
      <c r="P316" s="133" t="str">
        <f>Закуп!K316</f>
        <v>K264</v>
      </c>
      <c r="Q316" s="217" t="str">
        <f>IF(Закуп!D316="","",IF(LEFT(Закуп!D316,1)="0","0",Закуп!D316))</f>
        <v>У</v>
      </c>
      <c r="R316" s="155">
        <f>Закуп!C316</f>
        <v>316</v>
      </c>
    </row>
    <row r="317" spans="1:18" x14ac:dyDescent="0.3">
      <c r="A317" s="131" t="str">
        <f>Закуп!E317</f>
        <v xml:space="preserve">207х157х347 </v>
      </c>
      <c r="B317" s="127">
        <f>INDEX(Calc!$K:$K, (ROW(A316)-1)*5 + COLUMN(A316) + 1 )</f>
        <v>1.7</v>
      </c>
      <c r="C317" s="127">
        <f>INDEX(Calc!$K:$K, (ROW(B316)-1)*5 + COLUMN(B316) + 1 )</f>
        <v>1.62</v>
      </c>
      <c r="D317" s="136">
        <f>INDEX(Calc!$K:$K, (ROW(C316)-1)*5 + COLUMN(C316) + 1 )</f>
        <v>1.55</v>
      </c>
      <c r="E317" s="137">
        <f>INDEX(Calc!$K:$K, (ROW(D316)-1)*5 + COLUMN(D316) + 1 )</f>
        <v>1.49</v>
      </c>
      <c r="F317" s="138">
        <f>INDEX(Calc!$K:$K, (ROW(E316)-1)*5 + COLUMN(E316) + 1 )</f>
        <v>1.32</v>
      </c>
      <c r="G317" s="133">
        <f>Закуп!O317</f>
        <v>11.28</v>
      </c>
      <c r="H317" s="133" t="str">
        <f>Закуп!Q317</f>
        <v>10-20 л</v>
      </c>
      <c r="I317" s="133" t="str">
        <f>Закуп!X317</f>
        <v>300-399 мм</v>
      </c>
      <c r="J317" s="133" t="str">
        <f>Закуп!Y317</f>
        <v>200-299 мм</v>
      </c>
      <c r="K317" s="133" t="str">
        <f>Закуп!Z317</f>
        <v>100-199 мм</v>
      </c>
      <c r="L317" s="133" t="str">
        <f>Закуп!AA317</f>
        <v>Четырехклапанные</v>
      </c>
      <c r="M317" s="133" t="str">
        <f>Закуп!V317</f>
        <v/>
      </c>
      <c r="N317" s="133" t="str">
        <f>Закуп!W317</f>
        <v/>
      </c>
      <c r="O317" s="139" t="str">
        <f>IF(OR(Закуп!L317="",Закуп!L317=0),"",Закуп!L317)</f>
        <v/>
      </c>
      <c r="P317" s="133" t="str">
        <f>Закуп!K317</f>
        <v>K265</v>
      </c>
      <c r="Q317" s="217" t="str">
        <f>IF(Закуп!D317="","",IF(LEFT(Закуп!D317,1)="0","0",Закуп!D317))</f>
        <v>У</v>
      </c>
      <c r="R317" s="155">
        <f>Закуп!C317</f>
        <v>317</v>
      </c>
    </row>
    <row r="318" spans="1:18" x14ac:dyDescent="0.3">
      <c r="A318" s="131" t="str">
        <f>Закуп!E318</f>
        <v xml:space="preserve">327х157х347 </v>
      </c>
      <c r="B318" s="127">
        <f>INDEX(Calc!$K:$K, (ROW(A317)-1)*5 + COLUMN(A317) + 1 )</f>
        <v>1.85</v>
      </c>
      <c r="C318" s="127">
        <f>INDEX(Calc!$K:$K, (ROW(B317)-1)*5 + COLUMN(B317) + 1 )</f>
        <v>1.77</v>
      </c>
      <c r="D318" s="136">
        <f>INDEX(Calc!$K:$K, (ROW(C317)-1)*5 + COLUMN(C317) + 1 )</f>
        <v>1.69</v>
      </c>
      <c r="E318" s="137">
        <f>INDEX(Calc!$K:$K, (ROW(D317)-1)*5 + COLUMN(D317) + 1 )</f>
        <v>1.61</v>
      </c>
      <c r="F318" s="138">
        <f>INDEX(Calc!$K:$K, (ROW(E317)-1)*5 + COLUMN(E317) + 1 )</f>
        <v>1.53</v>
      </c>
      <c r="G318" s="133">
        <f>Закуп!O318</f>
        <v>17.809999999999999</v>
      </c>
      <c r="H318" s="133" t="str">
        <f>Закуп!Q318</f>
        <v>10-20 л</v>
      </c>
      <c r="I318" s="133" t="str">
        <f>Закуп!X318</f>
        <v>300-399 мм</v>
      </c>
      <c r="J318" s="133" t="str">
        <f>Закуп!Y318</f>
        <v>300-399 мм</v>
      </c>
      <c r="K318" s="133" t="str">
        <f>Закуп!Z318</f>
        <v>100-199 мм</v>
      </c>
      <c r="L318" s="133" t="str">
        <f>Закуп!AA318</f>
        <v>Четырехклапанные</v>
      </c>
      <c r="M318" s="133" t="str">
        <f>Закуп!V318</f>
        <v/>
      </c>
      <c r="N318" s="133" t="str">
        <f>Закуп!W318</f>
        <v>Плоские</v>
      </c>
      <c r="O318" s="139" t="str">
        <f>IF(OR(Закуп!L318="",Закуп!L318=0),"",Закуп!L318)</f>
        <v/>
      </c>
      <c r="P318" s="133" t="str">
        <f>Закуп!K318</f>
        <v>K266</v>
      </c>
      <c r="Q318" s="217" t="str">
        <f>IF(Закуп!D318="","",IF(LEFT(Закуп!D318,1)="0","0",Закуп!D318))</f>
        <v>У</v>
      </c>
      <c r="R318" s="155">
        <f>Закуп!C318</f>
        <v>318</v>
      </c>
    </row>
    <row r="319" spans="1:18" x14ac:dyDescent="0.3">
      <c r="A319" s="131" t="str">
        <f>Закуп!E319</f>
        <v xml:space="preserve">127х67х257 </v>
      </c>
      <c r="B319" s="127">
        <f>INDEX(Calc!$K:$K, (ROW(A318)-1)*5 + COLUMN(A318) + 1 )</f>
        <v>1.4</v>
      </c>
      <c r="C319" s="127">
        <f>INDEX(Calc!$K:$K, (ROW(B318)-1)*5 + COLUMN(B318) + 1 )</f>
        <v>1.33</v>
      </c>
      <c r="D319" s="136">
        <f>INDEX(Calc!$K:$K, (ROW(C318)-1)*5 + COLUMN(C318) + 1 )</f>
        <v>1.25</v>
      </c>
      <c r="E319" s="137">
        <f>INDEX(Calc!$K:$K, (ROW(D318)-1)*5 + COLUMN(D318) + 1 )</f>
        <v>1.1499999999999999</v>
      </c>
      <c r="F319" s="138">
        <f>INDEX(Calc!$K:$K, (ROW(E318)-1)*5 + COLUMN(E318) + 1 )</f>
        <v>1</v>
      </c>
      <c r="G319" s="133">
        <f>Закуп!O319</f>
        <v>2.19</v>
      </c>
      <c r="H319" s="133" t="str">
        <f>Закуп!Q319</f>
        <v>2-3 л</v>
      </c>
      <c r="I319" s="133" t="str">
        <f>Закуп!X319</f>
        <v>200-299 мм</v>
      </c>
      <c r="J319" s="133" t="str">
        <f>Закуп!Y319</f>
        <v>100-199 мм</v>
      </c>
      <c r="K319" s="133" t="str">
        <f>Закуп!Z319</f>
        <v>10-99 мм</v>
      </c>
      <c r="L319" s="133" t="str">
        <f>Закуп!AA319</f>
        <v>Четырехклапанные</v>
      </c>
      <c r="M319" s="133" t="str">
        <f>Закуп!V319</f>
        <v>Длинные</v>
      </c>
      <c r="N319" s="133" t="str">
        <f>Закуп!W319</f>
        <v/>
      </c>
      <c r="O319" s="139" t="str">
        <f>IF(OR(Закуп!L319="",Закуп!L319=0),"",Закуп!L319)</f>
        <v/>
      </c>
      <c r="P319" s="133" t="str">
        <f>Закуп!K319</f>
        <v>K267</v>
      </c>
      <c r="Q319" s="217" t="str">
        <f>IF(Закуп!D319="","",IF(LEFT(Закуп!D319,1)="0","0",Закуп!D319))</f>
        <v>У</v>
      </c>
      <c r="R319" s="155">
        <f>Закуп!C319</f>
        <v>319</v>
      </c>
    </row>
    <row r="320" spans="1:18" x14ac:dyDescent="0.3">
      <c r="A320" s="131" t="str">
        <f>Закуп!E320</f>
        <v xml:space="preserve">227х127х257 </v>
      </c>
      <c r="B320" s="127">
        <f>INDEX(Calc!$K:$K, (ROW(A319)-1)*5 + COLUMN(A319) + 1 )</f>
        <v>1.6</v>
      </c>
      <c r="C320" s="127">
        <f>INDEX(Calc!$K:$K, (ROW(B319)-1)*5 + COLUMN(B319) + 1 )</f>
        <v>1.53</v>
      </c>
      <c r="D320" s="136">
        <f>INDEX(Calc!$K:$K, (ROW(C319)-1)*5 + COLUMN(C319) + 1 )</f>
        <v>1.45</v>
      </c>
      <c r="E320" s="137">
        <f>INDEX(Calc!$K:$K, (ROW(D319)-1)*5 + COLUMN(D319) + 1 )</f>
        <v>1.39</v>
      </c>
      <c r="F320" s="138">
        <f>INDEX(Calc!$K:$K, (ROW(E319)-1)*5 + COLUMN(E319) + 1 )</f>
        <v>1.3</v>
      </c>
      <c r="G320" s="133">
        <f>Закуп!O320</f>
        <v>7.41</v>
      </c>
      <c r="H320" s="133" t="str">
        <f>Закуп!Q320</f>
        <v>5-10 л</v>
      </c>
      <c r="I320" s="133" t="str">
        <f>Закуп!X320</f>
        <v>200-299 мм</v>
      </c>
      <c r="J320" s="133" t="str">
        <f>Закуп!Y320</f>
        <v>200-299 мм</v>
      </c>
      <c r="K320" s="133" t="str">
        <f>Закуп!Z320</f>
        <v>100-199 мм</v>
      </c>
      <c r="L320" s="133" t="str">
        <f>Закуп!AA320</f>
        <v>Четырехклапанные</v>
      </c>
      <c r="M320" s="133" t="str">
        <f>Закуп!V320</f>
        <v/>
      </c>
      <c r="N320" s="133" t="str">
        <f>Закуп!W320</f>
        <v/>
      </c>
      <c r="O320" s="139" t="str">
        <f>IF(OR(Закуп!L320="",Закуп!L320=0),"",Закуп!L320)</f>
        <v/>
      </c>
      <c r="P320" s="133" t="str">
        <f>Закуп!K320</f>
        <v>K268</v>
      </c>
      <c r="Q320" s="217" t="str">
        <f>IF(Закуп!D320="","",IF(LEFT(Закуп!D320,1)="0","0",Закуп!D320))</f>
        <v>У</v>
      </c>
      <c r="R320" s="155">
        <f>Закуп!C320</f>
        <v>320</v>
      </c>
    </row>
    <row r="321" spans="1:18" x14ac:dyDescent="0.3">
      <c r="A321" s="131" t="str">
        <f>Закуп!E321</f>
        <v>365х245х145</v>
      </c>
      <c r="B321" s="127">
        <f>INDEX(Calc!$K:$K, (ROW(A320)-1)*5 + COLUMN(A320) + 1 )</f>
        <v>1.1000000000000001</v>
      </c>
      <c r="C321" s="127">
        <f>INDEX(Calc!$K:$K, (ROW(B320)-1)*5 + COLUMN(B320) + 1 )</f>
        <v>1.1000000000000001</v>
      </c>
      <c r="D321" s="136">
        <f>INDEX(Calc!$K:$K, (ROW(C320)-1)*5 + COLUMN(C320) + 1 )</f>
        <v>1.1000000000000001</v>
      </c>
      <c r="E321" s="137">
        <f>INDEX(Calc!$K:$K, (ROW(D320)-1)*5 + COLUMN(D320) + 1 )</f>
        <v>1.1000000000000001</v>
      </c>
      <c r="F321" s="138">
        <f>INDEX(Calc!$K:$K, (ROW(E320)-1)*5 + COLUMN(E320) + 1 )</f>
        <v>1.1000000000000001</v>
      </c>
      <c r="G321" s="133">
        <f>Закуп!O321</f>
        <v>12.97</v>
      </c>
      <c r="H321" s="133" t="str">
        <f>Закуп!Q321</f>
        <v>10-20 л</v>
      </c>
      <c r="I321" s="133" t="str">
        <f>Закуп!X321</f>
        <v>300-399 мм</v>
      </c>
      <c r="J321" s="133" t="str">
        <f>Закуп!Y321</f>
        <v>200-299 мм</v>
      </c>
      <c r="K321" s="133" t="str">
        <f>Закуп!Z321</f>
        <v>100-199 мм</v>
      </c>
      <c r="L321" s="133" t="str">
        <f>Закуп!AA321</f>
        <v>Четырехклапанные</v>
      </c>
      <c r="M321" s="133" t="str">
        <f>Закуп!V321</f>
        <v/>
      </c>
      <c r="N321" s="133" t="str">
        <f>Закуп!W321</f>
        <v/>
      </c>
      <c r="O321" s="139" t="str">
        <f>IF(OR(Закуп!L321="",Закуп!L321=0),"",Закуп!L321)</f>
        <v>Sale</v>
      </c>
      <c r="P321" s="133" t="str">
        <f>Закуп!K321</f>
        <v>K1041</v>
      </c>
      <c r="Q321" s="217" t="str">
        <f>IF(Закуп!D321="","",IF(LEFT(Закуп!D321,1)="0","0",Закуп!D321))</f>
        <v>К</v>
      </c>
      <c r="R321" s="155">
        <f>Закуп!C321</f>
        <v>321</v>
      </c>
    </row>
    <row r="322" spans="1:18" x14ac:dyDescent="0.3">
      <c r="A322" s="131" t="str">
        <f>Закуп!E322</f>
        <v>245х80х200</v>
      </c>
      <c r="B322" s="127">
        <f>INDEX(Calc!$K:$K, (ROW(A321)-1)*5 + COLUMN(A321) + 1 )</f>
        <v>0.38</v>
      </c>
      <c r="C322" s="127">
        <f>INDEX(Calc!$K:$K, (ROW(B321)-1)*5 + COLUMN(B321) + 1 )</f>
        <v>0.38</v>
      </c>
      <c r="D322" s="136">
        <f>INDEX(Calc!$K:$K, (ROW(C321)-1)*5 + COLUMN(C321) + 1 )</f>
        <v>0.38</v>
      </c>
      <c r="E322" s="137">
        <f>INDEX(Calc!$K:$K, (ROW(D321)-1)*5 + COLUMN(D321) + 1 )</f>
        <v>0.38</v>
      </c>
      <c r="F322" s="138">
        <f>INDEX(Calc!$K:$K, (ROW(E321)-1)*5 + COLUMN(E321) + 1 )</f>
        <v>0.38</v>
      </c>
      <c r="G322" s="133">
        <f>Закуп!O322</f>
        <v>3.92</v>
      </c>
      <c r="H322" s="133" t="str">
        <f>Закуп!Q322</f>
        <v>3-5 л</v>
      </c>
      <c r="I322" s="133" t="str">
        <f>Закуп!X322</f>
        <v>200-299 мм</v>
      </c>
      <c r="J322" s="133" t="str">
        <f>Закуп!Y322</f>
        <v>200-299 мм</v>
      </c>
      <c r="K322" s="133" t="str">
        <f>Закуп!Z322</f>
        <v>10-99 мм</v>
      </c>
      <c r="L322" s="133" t="str">
        <f>Закуп!AA322</f>
        <v>Четырехклапанные</v>
      </c>
      <c r="M322" s="133" t="str">
        <f>Закуп!V322</f>
        <v/>
      </c>
      <c r="N322" s="133" t="str">
        <f>Закуп!W322</f>
        <v>Плоские</v>
      </c>
      <c r="O322" s="139" t="str">
        <f>IF(OR(Закуп!L322="",Закуп!L322=0),"",Закуп!L322)</f>
        <v>Sale</v>
      </c>
      <c r="P322" s="133" t="str">
        <f>Закуп!K322</f>
        <v>K515</v>
      </c>
      <c r="Q322" s="217" t="str">
        <f>IF(Закуп!D322="","",IF(LEFT(Закуп!D322,1)="0","0",Закуп!D322))</f>
        <v>БМ</v>
      </c>
      <c r="R322" s="155">
        <f>Закуп!C322</f>
        <v>322</v>
      </c>
    </row>
    <row r="323" spans="1:18" x14ac:dyDescent="0.3">
      <c r="A323" s="131" t="str">
        <f>Закуп!E323</f>
        <v>245х200х80</v>
      </c>
      <c r="B323" s="127">
        <f>INDEX(Calc!$K:$K, (ROW(A322)-1)*5 + COLUMN(A322) + 1 )</f>
        <v>0.5</v>
      </c>
      <c r="C323" s="127">
        <f>INDEX(Calc!$K:$K, (ROW(B322)-1)*5 + COLUMN(B322) + 1 )</f>
        <v>0.5</v>
      </c>
      <c r="D323" s="136">
        <f>INDEX(Calc!$K:$K, (ROW(C322)-1)*5 + COLUMN(C322) + 1 )</f>
        <v>0.5</v>
      </c>
      <c r="E323" s="137">
        <f>INDEX(Calc!$K:$K, (ROW(D322)-1)*5 + COLUMN(D322) + 1 )</f>
        <v>0.5</v>
      </c>
      <c r="F323" s="138">
        <f>INDEX(Calc!$K:$K, (ROW(E322)-1)*5 + COLUMN(E322) + 1 )</f>
        <v>0.5</v>
      </c>
      <c r="G323" s="133">
        <f>Закуп!O323</f>
        <v>3.92</v>
      </c>
      <c r="H323" s="133" t="str">
        <f>Закуп!Q323</f>
        <v>3-5 л</v>
      </c>
      <c r="I323" s="133" t="str">
        <f>Закуп!X323</f>
        <v>200-299 мм</v>
      </c>
      <c r="J323" s="133" t="str">
        <f>Закуп!Y323</f>
        <v>200-299 мм</v>
      </c>
      <c r="K323" s="133" t="str">
        <f>Закуп!Z323</f>
        <v>10-99 мм</v>
      </c>
      <c r="L323" s="133" t="str">
        <f>Закуп!AA323</f>
        <v>Четырехклапанные</v>
      </c>
      <c r="M323" s="133" t="str">
        <f>Закуп!V323</f>
        <v/>
      </c>
      <c r="N323" s="133" t="str">
        <f>Закуп!W323</f>
        <v>Плоские</v>
      </c>
      <c r="O323" s="139" t="str">
        <f>IF(OR(Закуп!L323="",Закуп!L323=0),"",Закуп!L323)</f>
        <v>Sale</v>
      </c>
      <c r="P323" s="133" t="str">
        <f>Закуп!K323</f>
        <v>K516</v>
      </c>
      <c r="Q323" s="217" t="str">
        <f>IF(Закуп!D323="","",IF(LEFT(Закуп!D323,1)="0","0",Закуп!D323))</f>
        <v>БМ</v>
      </c>
      <c r="R323" s="155">
        <f>Закуп!C323</f>
        <v>323</v>
      </c>
    </row>
    <row r="324" spans="1:18" x14ac:dyDescent="0.3">
      <c r="A324" s="131" t="str">
        <f>Закуп!E324</f>
        <v>287х207х347</v>
      </c>
      <c r="B324" s="127">
        <f>INDEX(Calc!$K:$K, (ROW(A323)-1)*5 + COLUMN(A323) + 1 )</f>
        <v>2</v>
      </c>
      <c r="C324" s="127">
        <f>INDEX(Calc!$K:$K, (ROW(B323)-1)*5 + COLUMN(B323) + 1 )</f>
        <v>1.85</v>
      </c>
      <c r="D324" s="136">
        <f>INDEX(Calc!$K:$K, (ROW(C323)-1)*5 + COLUMN(C323) + 1 )</f>
        <v>1.7</v>
      </c>
      <c r="E324" s="137">
        <f>INDEX(Calc!$K:$K, (ROW(D323)-1)*5 + COLUMN(D323) + 1 )</f>
        <v>1.55</v>
      </c>
      <c r="F324" s="138">
        <f>INDEX(Calc!$K:$K, (ROW(E323)-1)*5 + COLUMN(E323) + 1 )</f>
        <v>1.4</v>
      </c>
      <c r="G324" s="133">
        <f>Закуп!O324</f>
        <v>20.61</v>
      </c>
      <c r="H324" s="133" t="str">
        <f>Закуп!Q324</f>
        <v>20-50 л</v>
      </c>
      <c r="I324" s="133" t="str">
        <f>Закуп!X324</f>
        <v>300-399 мм</v>
      </c>
      <c r="J324" s="133" t="str">
        <f>Закуп!Y324</f>
        <v>200-299 мм</v>
      </c>
      <c r="K324" s="133" t="str">
        <f>Закуп!Z324</f>
        <v>200-299 мм</v>
      </c>
      <c r="L324" s="133" t="str">
        <f>Закуп!AA324</f>
        <v>Четырехклапанные</v>
      </c>
      <c r="M324" s="133" t="str">
        <f>Закуп!V324</f>
        <v/>
      </c>
      <c r="N324" s="133" t="str">
        <f>Закуп!W324</f>
        <v/>
      </c>
      <c r="O324" s="139" t="str">
        <f>IF(OR(Закуп!L324="",Закуп!L324=0),"",Закуп!L324)</f>
        <v/>
      </c>
      <c r="P324" s="133" t="str">
        <f>Закуп!K324</f>
        <v>K269</v>
      </c>
      <c r="Q324" s="217" t="str">
        <f>IF(Закуп!D324="","",IF(LEFT(Закуп!D324,1)="0","0",Закуп!D324))</f>
        <v>У</v>
      </c>
      <c r="R324" s="155">
        <f>Закуп!C324</f>
        <v>324</v>
      </c>
    </row>
    <row r="325" spans="1:18" x14ac:dyDescent="0.3">
      <c r="A325" s="131" t="str">
        <f>Закуп!E325</f>
        <v>365х155х192</v>
      </c>
      <c r="B325" s="127">
        <f>INDEX(Calc!$K:$K, (ROW(A324)-1)*5 + COLUMN(A324) + 1 )</f>
        <v>1.5</v>
      </c>
      <c r="C325" s="127">
        <f>INDEX(Calc!$K:$K, (ROW(B324)-1)*5 + COLUMN(B324) + 1 )</f>
        <v>1.4</v>
      </c>
      <c r="D325" s="136">
        <f>INDEX(Calc!$K:$K, (ROW(C324)-1)*5 + COLUMN(C324) + 1 )</f>
        <v>1.3</v>
      </c>
      <c r="E325" s="137">
        <f>INDEX(Calc!$K:$K, (ROW(D324)-1)*5 + COLUMN(D324) + 1 )</f>
        <v>1.1499999999999999</v>
      </c>
      <c r="F325" s="138">
        <f>INDEX(Calc!$K:$K, (ROW(E324)-1)*5 + COLUMN(E324) + 1 )</f>
        <v>1</v>
      </c>
      <c r="G325" s="133">
        <f>Закуп!O325</f>
        <v>10.86</v>
      </c>
      <c r="H325" s="133" t="str">
        <f>Закуп!Q325</f>
        <v>10-20 л</v>
      </c>
      <c r="I325" s="133" t="str">
        <f>Закуп!X325</f>
        <v>300-399 мм</v>
      </c>
      <c r="J325" s="133" t="str">
        <f>Закуп!Y325</f>
        <v>100-199 мм</v>
      </c>
      <c r="K325" s="133" t="str">
        <f>Закуп!Z325</f>
        <v>100-199 мм</v>
      </c>
      <c r="L325" s="133" t="str">
        <f>Закуп!AA325</f>
        <v>Четырехклапанные</v>
      </c>
      <c r="M325" s="133" t="str">
        <f>Закуп!V325</f>
        <v/>
      </c>
      <c r="N325" s="133" t="str">
        <f>Закуп!W325</f>
        <v/>
      </c>
      <c r="O325" s="139" t="str">
        <f>IF(OR(Закуп!L325="",Закуп!L325=0),"",Закуп!L325)</f>
        <v/>
      </c>
      <c r="P325" s="133" t="str">
        <f>Закуп!K325</f>
        <v>K517</v>
      </c>
      <c r="Q325" s="217" t="str">
        <f>IF(Закуп!D325="","",IF(LEFT(Закуп!D325,1)="0","0",Закуп!D325))</f>
        <v>БМ</v>
      </c>
      <c r="R325" s="155">
        <f>Закуп!C325</f>
        <v>325</v>
      </c>
    </row>
    <row r="326" spans="1:18" x14ac:dyDescent="0.3">
      <c r="A326" s="131" t="str">
        <f>Закуп!E326</f>
        <v>500х100х40</v>
      </c>
      <c r="B326" s="127">
        <f>INDEX(Calc!$K:$K, (ROW(A325)-1)*5 + COLUMN(A325) + 1 )</f>
        <v>1.4</v>
      </c>
      <c r="C326" s="127">
        <f>INDEX(Calc!$K:$K, (ROW(B325)-1)*5 + COLUMN(B325) + 1 )</f>
        <v>1.3</v>
      </c>
      <c r="D326" s="136">
        <f>INDEX(Calc!$K:$K, (ROW(C325)-1)*5 + COLUMN(C325) + 1 )</f>
        <v>1.1499999999999999</v>
      </c>
      <c r="E326" s="137">
        <f>INDEX(Calc!$K:$K, (ROW(D325)-1)*5 + COLUMN(D325) + 1 )</f>
        <v>1</v>
      </c>
      <c r="F326" s="138">
        <f>INDEX(Calc!$K:$K, (ROW(E325)-1)*5 + COLUMN(E325) + 1 )</f>
        <v>0.9</v>
      </c>
      <c r="G326" s="133">
        <f>Закуп!O326</f>
        <v>2</v>
      </c>
      <c r="H326" s="133" t="str">
        <f>Закуп!Q326</f>
        <v>2-3 л</v>
      </c>
      <c r="I326" s="133" t="str">
        <f>Закуп!X326</f>
        <v>500-599 мм</v>
      </c>
      <c r="J326" s="133" t="str">
        <f>Закуп!Y326</f>
        <v>100-199 мм</v>
      </c>
      <c r="K326" s="133" t="str">
        <f>Закуп!Z326</f>
        <v>10-99 мм</v>
      </c>
      <c r="L326" s="133" t="str">
        <f>Закуп!AA326</f>
        <v>Самосборные</v>
      </c>
      <c r="M326" s="133" t="str">
        <f>Закуп!V326</f>
        <v>Длинные</v>
      </c>
      <c r="N326" s="133" t="str">
        <f>Закуп!W326</f>
        <v>Плоские</v>
      </c>
      <c r="O326" s="139" t="str">
        <f>IF(OR(Закуп!L326="",Закуп!L326=0),"",Закуп!L326)</f>
        <v/>
      </c>
      <c r="P326" s="133" t="str">
        <f>Закуп!K326</f>
        <v>K518</v>
      </c>
      <c r="Q326" s="217" t="str">
        <f>IF(Закуп!D326="","",IF(LEFT(Закуп!D326,1)="0","0",Закуп!D326))</f>
        <v>БМ</v>
      </c>
      <c r="R326" s="155">
        <f>Закуп!C326</f>
        <v>326</v>
      </c>
    </row>
    <row r="327" spans="1:18" x14ac:dyDescent="0.3">
      <c r="A327" s="131" t="str">
        <f>Закуп!E327</f>
        <v>150х150х170</v>
      </c>
      <c r="B327" s="127">
        <f>INDEX(Calc!$K:$K, (ROW(A326)-1)*5 + COLUMN(A326) + 1 )</f>
        <v>1.4</v>
      </c>
      <c r="C327" s="127">
        <f>INDEX(Calc!$K:$K, (ROW(B326)-1)*5 + COLUMN(B326) + 1 )</f>
        <v>1.3</v>
      </c>
      <c r="D327" s="136">
        <f>INDEX(Calc!$K:$K, (ROW(C326)-1)*5 + COLUMN(C326) + 1 )</f>
        <v>1.2</v>
      </c>
      <c r="E327" s="137">
        <f>INDEX(Calc!$K:$K, (ROW(D326)-1)*5 + COLUMN(D326) + 1 )</f>
        <v>1.1000000000000001</v>
      </c>
      <c r="F327" s="138">
        <f>INDEX(Calc!$K:$K, (ROW(E326)-1)*5 + COLUMN(E326) + 1 )</f>
        <v>1</v>
      </c>
      <c r="G327" s="133">
        <f>Закуп!O327</f>
        <v>3.83</v>
      </c>
      <c r="H327" s="133" t="str">
        <f>Закуп!Q327</f>
        <v>3-5 л</v>
      </c>
      <c r="I327" s="133" t="str">
        <f>Закуп!X327</f>
        <v>100-199 мм</v>
      </c>
      <c r="J327" s="133" t="str">
        <f>Закуп!Y327</f>
        <v>100-199 мм</v>
      </c>
      <c r="K327" s="133" t="str">
        <f>Закуп!Z327</f>
        <v>100-199 мм</v>
      </c>
      <c r="L327" s="133" t="str">
        <f>Закуп!AA327</f>
        <v>Четырехклапанные</v>
      </c>
      <c r="M327" s="133" t="str">
        <f>Закуп!V327</f>
        <v/>
      </c>
      <c r="N327" s="133" t="str">
        <f>Закуп!W327</f>
        <v/>
      </c>
      <c r="O327" s="139" t="str">
        <f>IF(OR(Закуп!L327="",Закуп!L327=0),"",Закуп!L327)</f>
        <v/>
      </c>
      <c r="P327" s="133" t="str">
        <f>Закуп!K327</f>
        <v>K270</v>
      </c>
      <c r="Q327" s="217" t="str">
        <f>IF(Закуп!D327="","",IF(LEFT(Закуп!D327,1)="0","0",Закуп!D327))</f>
        <v>У</v>
      </c>
      <c r="R327" s="155">
        <f>Закуп!C327</f>
        <v>327</v>
      </c>
    </row>
    <row r="328" spans="1:18" x14ac:dyDescent="0.3">
      <c r="A328" s="131" t="str">
        <f>Закуп!E328</f>
        <v>125х125х250</v>
      </c>
      <c r="B328" s="127">
        <f>INDEX(Calc!$K:$K, (ROW(A327)-1)*5 + COLUMN(A327) + 1 )</f>
        <v>1.36</v>
      </c>
      <c r="C328" s="127">
        <f>INDEX(Calc!$K:$K, (ROW(B327)-1)*5 + COLUMN(B327) + 1 )</f>
        <v>1.2</v>
      </c>
      <c r="D328" s="136">
        <f>INDEX(Calc!$K:$K, (ROW(C327)-1)*5 + COLUMN(C327) + 1 )</f>
        <v>1.04</v>
      </c>
      <c r="E328" s="137">
        <f>INDEX(Calc!$K:$K, (ROW(D327)-1)*5 + COLUMN(D327) + 1 )</f>
        <v>0.96</v>
      </c>
      <c r="F328" s="138">
        <f>INDEX(Calc!$K:$K, (ROW(E327)-1)*5 + COLUMN(E327) + 1 )</f>
        <v>0.8</v>
      </c>
      <c r="G328" s="133">
        <f>Закуп!O328</f>
        <v>3.91</v>
      </c>
      <c r="H328" s="133" t="str">
        <f>Закуп!Q328</f>
        <v>3-5 л</v>
      </c>
      <c r="I328" s="133" t="str">
        <f>Закуп!X328</f>
        <v>200-299 мм</v>
      </c>
      <c r="J328" s="133" t="str">
        <f>Закуп!Y328</f>
        <v>100-199 мм</v>
      </c>
      <c r="K328" s="133" t="str">
        <f>Закуп!Z328</f>
        <v>100-199 мм</v>
      </c>
      <c r="L328" s="133" t="str">
        <f>Закуп!AA328</f>
        <v>Четырехклапанные</v>
      </c>
      <c r="M328" s="133" t="str">
        <f>Закуп!V328</f>
        <v>Длинные</v>
      </c>
      <c r="N328" s="133" t="str">
        <f>Закуп!W328</f>
        <v/>
      </c>
      <c r="O328" s="139" t="str">
        <f>IF(OR(Закуп!L328="",Закуп!L328=0),"",Закуп!L328)</f>
        <v/>
      </c>
      <c r="P328" s="133" t="str">
        <f>Закуп!K328</f>
        <v>K271</v>
      </c>
      <c r="Q328" s="217" t="str">
        <f>IF(Закуп!D328="","",IF(LEFT(Закуп!D328,1)="0","0",Закуп!D328))</f>
        <v>У</v>
      </c>
      <c r="R328" s="155">
        <f>Закуп!C328</f>
        <v>328</v>
      </c>
    </row>
    <row r="329" spans="1:18" x14ac:dyDescent="0.3">
      <c r="A329" s="131" t="str">
        <f>Закуп!E329</f>
        <v>270х225х140</v>
      </c>
      <c r="B329" s="127">
        <f>INDEX(Calc!$K:$K, (ROW(A328)-1)*5 + COLUMN(A328) + 1 )</f>
        <v>2.25</v>
      </c>
      <c r="C329" s="127">
        <f>INDEX(Calc!$K:$K, (ROW(B328)-1)*5 + COLUMN(B328) + 1 )</f>
        <v>2.15</v>
      </c>
      <c r="D329" s="136">
        <f>INDEX(Calc!$K:$K, (ROW(C328)-1)*5 + COLUMN(C328) + 1 )</f>
        <v>2.0499999999999998</v>
      </c>
      <c r="E329" s="137">
        <f>INDEX(Calc!$K:$K, (ROW(D328)-1)*5 + COLUMN(D328) + 1 )</f>
        <v>1.95</v>
      </c>
      <c r="F329" s="138">
        <f>INDEX(Calc!$K:$K, (ROW(E328)-1)*5 + COLUMN(E328) + 1 )</f>
        <v>1.85</v>
      </c>
      <c r="G329" s="133">
        <f>Закуп!O329</f>
        <v>8.51</v>
      </c>
      <c r="H329" s="133" t="str">
        <f>Закуп!Q329</f>
        <v>5-10 л</v>
      </c>
      <c r="I329" s="133" t="str">
        <f>Закуп!X329</f>
        <v>200-299 мм</v>
      </c>
      <c r="J329" s="133" t="str">
        <f>Закуп!Y329</f>
        <v>200-299 мм</v>
      </c>
      <c r="K329" s="133" t="str">
        <f>Закуп!Z329</f>
        <v>100-199 мм</v>
      </c>
      <c r="L329" s="133" t="str">
        <f>Закуп!AA329</f>
        <v>Самосборные</v>
      </c>
      <c r="M329" s="133" t="str">
        <f>Закуп!V329</f>
        <v/>
      </c>
      <c r="N329" s="133" t="str">
        <f>Закуп!W329</f>
        <v/>
      </c>
      <c r="O329" s="139" t="str">
        <f>IF(OR(Закуп!L329="",Закуп!L329=0),"",Закуп!L329)</f>
        <v/>
      </c>
      <c r="P329" s="133" t="str">
        <f>Закуп!K329</f>
        <v>K519</v>
      </c>
      <c r="Q329" s="217" t="str">
        <f>IF(Закуп!D329="","",IF(LEFT(Закуп!D329,1)="0","0",Закуп!D329))</f>
        <v>БМ</v>
      </c>
      <c r="R329" s="155">
        <f>Закуп!C329</f>
        <v>329</v>
      </c>
    </row>
    <row r="330" spans="1:18" x14ac:dyDescent="0.3">
      <c r="A330" s="131" t="str">
        <f>Закуп!E330</f>
        <v>245х140х180</v>
      </c>
      <c r="B330" s="127">
        <f>INDEX(Calc!$K:$K, (ROW(A329)-1)*5 + COLUMN(A329) + 1 )</f>
        <v>1.4</v>
      </c>
      <c r="C330" s="127">
        <f>INDEX(Calc!$K:$K, (ROW(B329)-1)*5 + COLUMN(B329) + 1 )</f>
        <v>1.3</v>
      </c>
      <c r="D330" s="136">
        <f>INDEX(Calc!$K:$K, (ROW(C329)-1)*5 + COLUMN(C329) + 1 )</f>
        <v>1.2</v>
      </c>
      <c r="E330" s="137">
        <f>INDEX(Calc!$K:$K, (ROW(D329)-1)*5 + COLUMN(D329) + 1 )</f>
        <v>1.1000000000000001</v>
      </c>
      <c r="F330" s="138">
        <f>INDEX(Calc!$K:$K, (ROW(E329)-1)*5 + COLUMN(E329) + 1 )</f>
        <v>1</v>
      </c>
      <c r="G330" s="133">
        <f>Закуп!O330</f>
        <v>6.17</v>
      </c>
      <c r="H330" s="133" t="str">
        <f>Закуп!Q330</f>
        <v>5-10 л</v>
      </c>
      <c r="I330" s="133" t="str">
        <f>Закуп!X330</f>
        <v>200-299 мм</v>
      </c>
      <c r="J330" s="133" t="str">
        <f>Закуп!Y330</f>
        <v>100-199 мм</v>
      </c>
      <c r="K330" s="133" t="str">
        <f>Закуп!Z330</f>
        <v>100-199 мм</v>
      </c>
      <c r="L330" s="133" t="str">
        <f>Закуп!AA330</f>
        <v>Четырехклапанные</v>
      </c>
      <c r="M330" s="133" t="str">
        <f>Закуп!V330</f>
        <v/>
      </c>
      <c r="N330" s="133" t="str">
        <f>Закуп!W330</f>
        <v/>
      </c>
      <c r="O330" s="139" t="str">
        <f>IF(OR(Закуп!L330="",Закуп!L330=0),"",Закуп!L330)</f>
        <v/>
      </c>
      <c r="P330" s="133" t="str">
        <f>Закуп!K330</f>
        <v>K520</v>
      </c>
      <c r="Q330" s="217" t="str">
        <f>IF(Закуп!D330="","",IF(LEFT(Закуп!D330,1)="0","0",Закуп!D330))</f>
        <v>БМ</v>
      </c>
      <c r="R330" s="155">
        <f>Закуп!C330</f>
        <v>330</v>
      </c>
    </row>
    <row r="331" spans="1:18" x14ac:dyDescent="0.3">
      <c r="A331" s="131" t="str">
        <f>Закуп!E331</f>
        <v>240х80х200</v>
      </c>
      <c r="B331" s="127">
        <f>INDEX(Calc!$K:$K, (ROW(A330)-1)*5 + COLUMN(A330) + 1 )</f>
        <v>1.06</v>
      </c>
      <c r="C331" s="127">
        <f>INDEX(Calc!$K:$K, (ROW(B330)-1)*5 + COLUMN(B330) + 1 )</f>
        <v>0.89</v>
      </c>
      <c r="D331" s="136">
        <f>INDEX(Calc!$K:$K, (ROW(C330)-1)*5 + COLUMN(C330) + 1 )</f>
        <v>0.86</v>
      </c>
      <c r="E331" s="137">
        <f>INDEX(Calc!$K:$K, (ROW(D330)-1)*5 + COLUMN(D330) + 1 )</f>
        <v>0.81</v>
      </c>
      <c r="F331" s="138">
        <f>INDEX(Calc!$K:$K, (ROW(E330)-1)*5 + COLUMN(E330) + 1 )</f>
        <v>0.76</v>
      </c>
      <c r="G331" s="133">
        <f>Закуп!O331</f>
        <v>3.84</v>
      </c>
      <c r="H331" s="133" t="str">
        <f>Закуп!Q331</f>
        <v>3-5 л</v>
      </c>
      <c r="I331" s="133" t="str">
        <f>Закуп!X331</f>
        <v>200-299 мм</v>
      </c>
      <c r="J331" s="133" t="str">
        <f>Закуп!Y331</f>
        <v>200-299 мм</v>
      </c>
      <c r="K331" s="133" t="str">
        <f>Закуп!Z331</f>
        <v>10-99 мм</v>
      </c>
      <c r="L331" s="133" t="str">
        <f>Закуп!AA331</f>
        <v>Четырехклапанные</v>
      </c>
      <c r="M331" s="133" t="str">
        <f>Закуп!V331</f>
        <v/>
      </c>
      <c r="N331" s="133" t="str">
        <f>Закуп!W331</f>
        <v>Плоские</v>
      </c>
      <c r="O331" s="139" t="str">
        <f>IF(OR(Закуп!L331="",Закуп!L331=0),"",Закуп!L331)</f>
        <v/>
      </c>
      <c r="P331" s="133" t="str">
        <f>Закуп!K331</f>
        <v>K521</v>
      </c>
      <c r="Q331" s="217" t="str">
        <f>IF(Закуп!D331="","",IF(LEFT(Закуп!D331,1)="0","0",Закуп!D331))</f>
        <v>БМ</v>
      </c>
      <c r="R331" s="155">
        <f>Закуп!C331</f>
        <v>331</v>
      </c>
    </row>
    <row r="332" spans="1:18" x14ac:dyDescent="0.3">
      <c r="A332" s="131" t="str">
        <f>Закуп!E332</f>
        <v>240х200х80</v>
      </c>
      <c r="B332" s="127">
        <f>INDEX(Calc!$K:$K, (ROW(A331)-1)*5 + COLUMN(A331) + 1 )</f>
        <v>1.39</v>
      </c>
      <c r="C332" s="127">
        <f>INDEX(Calc!$K:$K, (ROW(B331)-1)*5 + COLUMN(B331) + 1 )</f>
        <v>1.17</v>
      </c>
      <c r="D332" s="136">
        <f>INDEX(Calc!$K:$K, (ROW(C331)-1)*5 + COLUMN(C331) + 1 )</f>
        <v>1.1299999999999999</v>
      </c>
      <c r="E332" s="137">
        <f>INDEX(Calc!$K:$K, (ROW(D331)-1)*5 + COLUMN(D331) + 1 )</f>
        <v>1.05</v>
      </c>
      <c r="F332" s="138">
        <f>INDEX(Calc!$K:$K, (ROW(E331)-1)*5 + COLUMN(E331) + 1 )</f>
        <v>0.99</v>
      </c>
      <c r="G332" s="133">
        <f>Закуп!O332</f>
        <v>3.84</v>
      </c>
      <c r="H332" s="133" t="str">
        <f>Закуп!Q332</f>
        <v>3-5 л</v>
      </c>
      <c r="I332" s="133" t="str">
        <f>Закуп!X332</f>
        <v>200-299 мм</v>
      </c>
      <c r="J332" s="133" t="str">
        <f>Закуп!Y332</f>
        <v>200-299 мм</v>
      </c>
      <c r="K332" s="133" t="str">
        <f>Закуп!Z332</f>
        <v>10-99 мм</v>
      </c>
      <c r="L332" s="133" t="str">
        <f>Закуп!AA332</f>
        <v>Четырехклапанные</v>
      </c>
      <c r="M332" s="133" t="str">
        <f>Закуп!V332</f>
        <v/>
      </c>
      <c r="N332" s="133" t="str">
        <f>Закуп!W332</f>
        <v>Плоские</v>
      </c>
      <c r="O332" s="139" t="str">
        <f>IF(OR(Закуп!L332="",Закуп!L332=0),"",Закуп!L332)</f>
        <v/>
      </c>
      <c r="P332" s="133" t="str">
        <f>Закуп!K332</f>
        <v>K522</v>
      </c>
      <c r="Q332" s="217" t="str">
        <f>IF(Закуп!D332="","",IF(LEFT(Закуп!D332,1)="0","0",Закуп!D332))</f>
        <v>БМ</v>
      </c>
      <c r="R332" s="155">
        <f>Закуп!C332</f>
        <v>332</v>
      </c>
    </row>
    <row r="333" spans="1:18" x14ac:dyDescent="0.3">
      <c r="A333" s="131" t="str">
        <f>Закуп!E333</f>
        <v>245х80х240</v>
      </c>
      <c r="B333" s="127">
        <f>INDEX(Calc!$K:$K, (ROW(A332)-1)*5 + COLUMN(A332) + 1 )</f>
        <v>1.3</v>
      </c>
      <c r="C333" s="127">
        <f>INDEX(Calc!$K:$K, (ROW(B332)-1)*5 + COLUMN(B332) + 1 )</f>
        <v>1.1200000000000001</v>
      </c>
      <c r="D333" s="136">
        <f>INDEX(Calc!$K:$K, (ROW(C332)-1)*5 + COLUMN(C332) + 1 )</f>
        <v>1.01</v>
      </c>
      <c r="E333" s="137">
        <f>INDEX(Calc!$K:$K, (ROW(D332)-1)*5 + COLUMN(D332) + 1 )</f>
        <v>0.92</v>
      </c>
      <c r="F333" s="138">
        <f>INDEX(Calc!$K:$K, (ROW(E332)-1)*5 + COLUMN(E332) + 1 )</f>
        <v>0.9</v>
      </c>
      <c r="G333" s="133">
        <f>Закуп!O333</f>
        <v>4.7</v>
      </c>
      <c r="H333" s="133" t="str">
        <f>Закуп!Q333</f>
        <v>3-5 л</v>
      </c>
      <c r="I333" s="133" t="str">
        <f>Закуп!X333</f>
        <v>200-299 мм</v>
      </c>
      <c r="J333" s="133" t="str">
        <f>Закуп!Y333</f>
        <v>200-299 мм</v>
      </c>
      <c r="K333" s="133" t="str">
        <f>Закуп!Z333</f>
        <v>10-99 мм</v>
      </c>
      <c r="L333" s="133" t="str">
        <f>Закуп!AA333</f>
        <v>Четырехклапанные</v>
      </c>
      <c r="M333" s="133" t="str">
        <f>Закуп!V333</f>
        <v/>
      </c>
      <c r="N333" s="133" t="str">
        <f>Закуп!W333</f>
        <v>Плоские</v>
      </c>
      <c r="O333" s="139" t="str">
        <f>IF(OR(Закуп!L333="",Закуп!L333=0),"",Закуп!L333)</f>
        <v/>
      </c>
      <c r="P333" s="133" t="str">
        <f>Закуп!K333</f>
        <v>K523</v>
      </c>
      <c r="Q333" s="217" t="str">
        <f>IF(Закуп!D333="","",IF(LEFT(Закуп!D333,1)="0","0",Закуп!D333))</f>
        <v>БМ</v>
      </c>
      <c r="R333" s="155">
        <f>Закуп!C333</f>
        <v>333</v>
      </c>
    </row>
    <row r="334" spans="1:18" x14ac:dyDescent="0.3">
      <c r="A334" s="177" t="str">
        <f>Закуп!E334</f>
        <v>350х160х85</v>
      </c>
      <c r="B334" s="178">
        <f>INDEX(Calc!$K:$K, (ROW(A333)-1)*5 + COLUMN(A333) + 1 )</f>
        <v>1.64</v>
      </c>
      <c r="C334" s="178">
        <f>INDEX(Calc!$K:$K, (ROW(B333)-1)*5 + COLUMN(B333) + 1 )</f>
        <v>1.45</v>
      </c>
      <c r="D334" s="179">
        <f>INDEX(Calc!$K:$K, (ROW(C333)-1)*5 + COLUMN(C333) + 1 )</f>
        <v>1.25</v>
      </c>
      <c r="E334" s="180">
        <f>INDEX(Calc!$K:$K, (ROW(D333)-1)*5 + COLUMN(D333) + 1 )</f>
        <v>1.1599999999999999</v>
      </c>
      <c r="F334" s="181">
        <f>INDEX(Calc!$K:$K, (ROW(E333)-1)*5 + COLUMN(E333) + 1 )</f>
        <v>0.96</v>
      </c>
      <c r="G334" s="182">
        <f>Закуп!O334</f>
        <v>4.76</v>
      </c>
      <c r="H334" s="182" t="str">
        <f>Закуп!Q334</f>
        <v>3-5 л</v>
      </c>
      <c r="I334" s="182" t="str">
        <f>Закуп!X334</f>
        <v>300-399 мм</v>
      </c>
      <c r="J334" s="182" t="str">
        <f>Закуп!Y334</f>
        <v>100-199 мм</v>
      </c>
      <c r="K334" s="182" t="str">
        <f>Закуп!Z334</f>
        <v>10-99 мм</v>
      </c>
      <c r="L334" s="182" t="str">
        <f>Закуп!AA334</f>
        <v>Четырехклапанные</v>
      </c>
      <c r="M334" s="182" t="str">
        <f>Закуп!V334</f>
        <v>Длинные</v>
      </c>
      <c r="N334" s="182" t="str">
        <f>Закуп!W334</f>
        <v/>
      </c>
      <c r="O334" s="183" t="str">
        <f>IF(OR(Закуп!L334="",Закуп!L334=0),"",Закуп!L334)</f>
        <v/>
      </c>
      <c r="P334" s="182" t="str">
        <f>Закуп!K334</f>
        <v>K272</v>
      </c>
      <c r="Q334" s="217" t="str">
        <f>IF(Закуп!D334="","",IF(LEFT(Закуп!D334,1)="0","0",Закуп!D334))</f>
        <v>У</v>
      </c>
      <c r="R334" s="184">
        <f>Закуп!C334</f>
        <v>334</v>
      </c>
    </row>
    <row r="335" spans="1:18" x14ac:dyDescent="0.3">
      <c r="A335" s="177" t="str">
        <f>Закуп!E335</f>
        <v>560х360х390</v>
      </c>
      <c r="B335" s="178">
        <f>INDEX(Calc!$K:$K, (ROW(A334)-1)*5 + COLUMN(A334) + 1 )</f>
        <v>2.6</v>
      </c>
      <c r="C335" s="178">
        <f>INDEX(Calc!$K:$K, (ROW(B334)-1)*5 + COLUMN(B334) + 1 )</f>
        <v>2.6</v>
      </c>
      <c r="D335" s="179">
        <f>INDEX(Calc!$K:$K, (ROW(C334)-1)*5 + COLUMN(C334) + 1 )</f>
        <v>2.6</v>
      </c>
      <c r="E335" s="180">
        <f>INDEX(Calc!$K:$K, (ROW(D334)-1)*5 + COLUMN(D334) + 1 )</f>
        <v>2.6</v>
      </c>
      <c r="F335" s="181">
        <f>INDEX(Calc!$K:$K, (ROW(E334)-1)*5 + COLUMN(E334) + 1 )</f>
        <v>2.6</v>
      </c>
      <c r="G335" s="182">
        <f>Закуп!O335</f>
        <v>78.62</v>
      </c>
      <c r="H335" s="182" t="str">
        <f>Закуп!Q335</f>
        <v>50-100 л</v>
      </c>
      <c r="I335" s="182" t="str">
        <f>Закуп!X335</f>
        <v>500-599 мм</v>
      </c>
      <c r="J335" s="182" t="str">
        <f>Закуп!Y335</f>
        <v>300-399 мм</v>
      </c>
      <c r="K335" s="182" t="str">
        <f>Закуп!Z335</f>
        <v>300-399 мм</v>
      </c>
      <c r="L335" s="182" t="str">
        <f>Закуп!AA335</f>
        <v>Четырехклапанные</v>
      </c>
      <c r="M335" s="182" t="str">
        <f>Закуп!V335</f>
        <v/>
      </c>
      <c r="N335" s="182" t="str">
        <f>Закуп!W335</f>
        <v/>
      </c>
      <c r="O335" s="183" t="str">
        <f>IF(OR(Закуп!L335="",Закуп!L335=0),"",Закуп!L335)</f>
        <v>Sale</v>
      </c>
      <c r="P335" s="182" t="str">
        <f>Закуп!K335</f>
        <v>K524</v>
      </c>
      <c r="Q335" s="217" t="str">
        <f>IF(Закуп!D335="","",IF(LEFT(Закуп!D335,1)="0","0",Закуп!D335))</f>
        <v>БМ</v>
      </c>
      <c r="R335" s="184">
        <f>Закуп!C335</f>
        <v>335</v>
      </c>
    </row>
    <row r="336" spans="1:18" x14ac:dyDescent="0.3">
      <c r="A336" s="177" t="str">
        <f>Закуп!E336</f>
        <v>165х120х86</v>
      </c>
      <c r="B336" s="178">
        <f>INDEX(Calc!$K:$K, (ROW(A335)-1)*5 + COLUMN(A335) + 1 )</f>
        <v>1.1499999999999999</v>
      </c>
      <c r="C336" s="178">
        <f>INDEX(Calc!$K:$K, (ROW(B335)-1)*5 + COLUMN(B335) + 1 )</f>
        <v>1.05</v>
      </c>
      <c r="D336" s="179">
        <f>INDEX(Calc!$K:$K, (ROW(C335)-1)*5 + COLUMN(C335) + 1 )</f>
        <v>0.95</v>
      </c>
      <c r="E336" s="180">
        <f>INDEX(Calc!$K:$K, (ROW(D335)-1)*5 + COLUMN(D335) + 1 )</f>
        <v>0.85</v>
      </c>
      <c r="F336" s="181">
        <f>INDEX(Calc!$K:$K, (ROW(E335)-1)*5 + COLUMN(E335) + 1 )</f>
        <v>0.75</v>
      </c>
      <c r="G336" s="182">
        <f>Закуп!O336</f>
        <v>1.7</v>
      </c>
      <c r="H336" s="182" t="str">
        <f>Закуп!Q336</f>
        <v>1-2 л</v>
      </c>
      <c r="I336" s="182" t="str">
        <f>Закуп!X336</f>
        <v>100-199 мм</v>
      </c>
      <c r="J336" s="182" t="str">
        <f>Закуп!Y336</f>
        <v>100-199 мм</v>
      </c>
      <c r="K336" s="182" t="str">
        <f>Закуп!Z336</f>
        <v>10-99 мм</v>
      </c>
      <c r="L336" s="182" t="str">
        <f>Закуп!AA336</f>
        <v>Самосборные</v>
      </c>
      <c r="M336" s="182" t="str">
        <f>Закуп!V336</f>
        <v/>
      </c>
      <c r="N336" s="182" t="str">
        <f>Закуп!W336</f>
        <v/>
      </c>
      <c r="O336" s="183" t="str">
        <f>IF(OR(Закуп!L336="",Закуп!L336=0),"",Закуп!L336)</f>
        <v/>
      </c>
      <c r="P336" s="182" t="str">
        <f>Закуп!K336</f>
        <v>K273</v>
      </c>
      <c r="Q336" s="217" t="str">
        <f>IF(Закуп!D336="","",IF(LEFT(Закуп!D336,1)="0","0",Закуп!D336))</f>
        <v>К</v>
      </c>
      <c r="R336" s="184">
        <f>Закуп!C336</f>
        <v>336</v>
      </c>
    </row>
    <row r="337" spans="1:18" x14ac:dyDescent="0.3">
      <c r="A337" s="177" t="str">
        <f>Закуп!E337</f>
        <v>170х70х180</v>
      </c>
      <c r="B337" s="178">
        <f>INDEX(Calc!$K:$K, (ROW(A336)-1)*5 + COLUMN(A336) + 1 )</f>
        <v>1</v>
      </c>
      <c r="C337" s="178">
        <f>INDEX(Calc!$K:$K, (ROW(B336)-1)*5 + COLUMN(B336) + 1 )</f>
        <v>0.9</v>
      </c>
      <c r="D337" s="179">
        <f>INDEX(Calc!$K:$K, (ROW(C336)-1)*5 + COLUMN(C336) + 1 )</f>
        <v>0.8</v>
      </c>
      <c r="E337" s="180">
        <f>INDEX(Calc!$K:$K, (ROW(D336)-1)*5 + COLUMN(D336) + 1 )</f>
        <v>0.7</v>
      </c>
      <c r="F337" s="181">
        <f>INDEX(Calc!$K:$K, (ROW(E336)-1)*5 + COLUMN(E336) + 1 )</f>
        <v>0.6</v>
      </c>
      <c r="G337" s="182">
        <f>Закуп!O337</f>
        <v>2.14</v>
      </c>
      <c r="H337" s="182" t="str">
        <f>Закуп!Q337</f>
        <v>2-3 л</v>
      </c>
      <c r="I337" s="182" t="str">
        <f>Закуп!X337</f>
        <v>100-199 мм</v>
      </c>
      <c r="J337" s="182" t="str">
        <f>Закуп!Y337</f>
        <v>100-199 мм</v>
      </c>
      <c r="K337" s="182" t="str">
        <f>Закуп!Z337</f>
        <v>10-99 мм</v>
      </c>
      <c r="L337" s="182" t="str">
        <f>Закуп!AA337</f>
        <v>Четырехклапанные</v>
      </c>
      <c r="M337" s="182" t="str">
        <f>Закуп!V337</f>
        <v/>
      </c>
      <c r="N337" s="182" t="str">
        <f>Закуп!W337</f>
        <v>Плоские</v>
      </c>
      <c r="O337" s="183" t="str">
        <f>IF(OR(Закуп!L337="",Закуп!L337=0),"",Закуп!L337)</f>
        <v/>
      </c>
      <c r="P337" s="182" t="str">
        <f>Закуп!K337</f>
        <v>K274</v>
      </c>
      <c r="Q337" s="217" t="str">
        <f>IF(Закуп!D337="","",IF(LEFT(Закуп!D337,1)="0","0",Закуп!D337))</f>
        <v>У</v>
      </c>
      <c r="R337" s="184">
        <f>Закуп!C337</f>
        <v>337</v>
      </c>
    </row>
    <row r="338" spans="1:18" x14ac:dyDescent="0.3">
      <c r="A338" s="177" t="str">
        <f>Закуп!E338</f>
        <v>210х80х230</v>
      </c>
      <c r="B338" s="178">
        <f>INDEX(Calc!$K:$K, (ROW(A337)-1)*5 + COLUMN(A337) + 1 )</f>
        <v>1.1000000000000001</v>
      </c>
      <c r="C338" s="178">
        <f>INDEX(Calc!$K:$K, (ROW(B337)-1)*5 + COLUMN(B337) + 1 )</f>
        <v>1</v>
      </c>
      <c r="D338" s="179">
        <f>INDEX(Calc!$K:$K, (ROW(C337)-1)*5 + COLUMN(C337) + 1 )</f>
        <v>0.9</v>
      </c>
      <c r="E338" s="180">
        <f>INDEX(Calc!$K:$K, (ROW(D337)-1)*5 + COLUMN(D337) + 1 )</f>
        <v>0.8</v>
      </c>
      <c r="F338" s="181">
        <f>INDEX(Calc!$K:$K, (ROW(E337)-1)*5 + COLUMN(E337) + 1 )</f>
        <v>0.7</v>
      </c>
      <c r="G338" s="182">
        <f>Закуп!O338</f>
        <v>3.86</v>
      </c>
      <c r="H338" s="182" t="str">
        <f>Закуп!Q338</f>
        <v>3-5 л</v>
      </c>
      <c r="I338" s="182" t="str">
        <f>Закуп!X338</f>
        <v>200-299 мм</v>
      </c>
      <c r="J338" s="182" t="str">
        <f>Закуп!Y338</f>
        <v>200-299 мм</v>
      </c>
      <c r="K338" s="182" t="str">
        <f>Закуп!Z338</f>
        <v>10-99 мм</v>
      </c>
      <c r="L338" s="182" t="str">
        <f>Закуп!AA338</f>
        <v>Четырехклапанные</v>
      </c>
      <c r="M338" s="182" t="str">
        <f>Закуп!V338</f>
        <v/>
      </c>
      <c r="N338" s="182" t="str">
        <f>Закуп!W338</f>
        <v>Плоские</v>
      </c>
      <c r="O338" s="183" t="str">
        <f>IF(OR(Закуп!L338="",Закуп!L338=0),"",Закуп!L338)</f>
        <v/>
      </c>
      <c r="P338" s="182" t="str">
        <f>Закуп!K338</f>
        <v>K275</v>
      </c>
      <c r="Q338" s="217" t="str">
        <f>IF(Закуп!D338="","",IF(LEFT(Закуп!D338,1)="0","0",Закуп!D338))</f>
        <v>У</v>
      </c>
      <c r="R338" s="184">
        <f>Закуп!C338</f>
        <v>338</v>
      </c>
    </row>
    <row r="339" spans="1:18" x14ac:dyDescent="0.3">
      <c r="A339" s="177" t="str">
        <f>Закуп!E339</f>
        <v>160х120х85</v>
      </c>
      <c r="B339" s="178">
        <f>INDEX(Calc!$K:$K, (ROW(A338)-1)*5 + COLUMN(A338) + 1 )</f>
        <v>1.17</v>
      </c>
      <c r="C339" s="178">
        <f>INDEX(Calc!$K:$K, (ROW(B338)-1)*5 + COLUMN(B338) + 1 )</f>
        <v>1.07</v>
      </c>
      <c r="D339" s="179">
        <f>INDEX(Calc!$K:$K, (ROW(C338)-1)*5 + COLUMN(C338) + 1 )</f>
        <v>0.97</v>
      </c>
      <c r="E339" s="180">
        <f>INDEX(Calc!$K:$K, (ROW(D338)-1)*5 + COLUMN(D338) + 1 )</f>
        <v>0.87</v>
      </c>
      <c r="F339" s="181">
        <f>INDEX(Calc!$K:$K, (ROW(E338)-1)*5 + COLUMN(E338) + 1 )</f>
        <v>0.77</v>
      </c>
      <c r="G339" s="182">
        <f>Закуп!O339</f>
        <v>1.63</v>
      </c>
      <c r="H339" s="182" t="str">
        <f>Закуп!Q339</f>
        <v>1-2 л</v>
      </c>
      <c r="I339" s="182" t="str">
        <f>Закуп!X339</f>
        <v>100-199 мм</v>
      </c>
      <c r="J339" s="182" t="str">
        <f>Закуп!Y339</f>
        <v>100-199 мм</v>
      </c>
      <c r="K339" s="182" t="str">
        <f>Закуп!Z339</f>
        <v>10-99 мм</v>
      </c>
      <c r="L339" s="182" t="str">
        <f>Закуп!AA339</f>
        <v>Самосборные</v>
      </c>
      <c r="M339" s="182" t="str">
        <f>Закуп!V339</f>
        <v/>
      </c>
      <c r="N339" s="182" t="str">
        <f>Закуп!W339</f>
        <v/>
      </c>
      <c r="O339" s="183" t="str">
        <f>IF(OR(Закуп!L339="",Закуп!L339=0),"",Закуп!L339)</f>
        <v/>
      </c>
      <c r="P339" s="182" t="str">
        <f>Закуп!K339</f>
        <v>K276</v>
      </c>
      <c r="Q339" s="217" t="str">
        <f>IF(Закуп!D339="","",IF(LEFT(Закуп!D339,1)="0","0",Закуп!D339))</f>
        <v>У</v>
      </c>
      <c r="R339" s="184">
        <f>Закуп!C339</f>
        <v>339</v>
      </c>
    </row>
    <row r="340" spans="1:18" x14ac:dyDescent="0.3">
      <c r="A340" s="177" t="str">
        <f>Закуп!E340</f>
        <v>370х225х95</v>
      </c>
      <c r="B340" s="178">
        <f>INDEX(Calc!$K:$K, (ROW(A339)-1)*5 + COLUMN(A339) + 1 )</f>
        <v>1.75</v>
      </c>
      <c r="C340" s="178">
        <f>INDEX(Calc!$K:$K, (ROW(B339)-1)*5 + COLUMN(B339) + 1 )</f>
        <v>1.58</v>
      </c>
      <c r="D340" s="179">
        <f>INDEX(Calc!$K:$K, (ROW(C339)-1)*5 + COLUMN(C339) + 1 )</f>
        <v>1.43</v>
      </c>
      <c r="E340" s="180">
        <f>INDEX(Calc!$K:$K, (ROW(D339)-1)*5 + COLUMN(D339) + 1 )</f>
        <v>1.32</v>
      </c>
      <c r="F340" s="181">
        <f>INDEX(Calc!$K:$K, (ROW(E339)-1)*5 + COLUMN(E339) + 1 )</f>
        <v>1.1499999999999999</v>
      </c>
      <c r="G340" s="182">
        <f>Закуп!O340</f>
        <v>7.91</v>
      </c>
      <c r="H340" s="182" t="str">
        <f>Закуп!Q340</f>
        <v>5-10 л</v>
      </c>
      <c r="I340" s="182" t="str">
        <f>Закуп!X340</f>
        <v>300-399 мм</v>
      </c>
      <c r="J340" s="182" t="str">
        <f>Закуп!Y340</f>
        <v>200-299 мм</v>
      </c>
      <c r="K340" s="182" t="str">
        <f>Закуп!Z340</f>
        <v>10-99 мм</v>
      </c>
      <c r="L340" s="182" t="str">
        <f>Закуп!AA340</f>
        <v>Четырехклапанные</v>
      </c>
      <c r="M340" s="182" t="str">
        <f>Закуп!V340</f>
        <v/>
      </c>
      <c r="N340" s="182" t="str">
        <f>Закуп!W340</f>
        <v>Плоские</v>
      </c>
      <c r="O340" s="183" t="str">
        <f>IF(OR(Закуп!L340="",Закуп!L340=0),"",Закуп!L340)</f>
        <v/>
      </c>
      <c r="P340" s="182" t="str">
        <f>Закуп!K340</f>
        <v>K277</v>
      </c>
      <c r="Q340" s="217" t="str">
        <f>IF(Закуп!D340="","",IF(LEFT(Закуп!D340,1)="0","0",Закуп!D340))</f>
        <v>У</v>
      </c>
      <c r="R340" s="184">
        <f>Закуп!C340</f>
        <v>340</v>
      </c>
    </row>
    <row r="341" spans="1:18" x14ac:dyDescent="0.3">
      <c r="A341" s="177" t="str">
        <f>Закуп!E341</f>
        <v>370х275х95</v>
      </c>
      <c r="B341" s="178">
        <f>INDEX(Calc!$K:$K, (ROW(A340)-1)*5 + COLUMN(A340) + 1 )</f>
        <v>2.02</v>
      </c>
      <c r="C341" s="178">
        <f>INDEX(Calc!$K:$K, (ROW(B340)-1)*5 + COLUMN(B340) + 1 )</f>
        <v>1.7</v>
      </c>
      <c r="D341" s="179">
        <f>INDEX(Calc!$K:$K, (ROW(C340)-1)*5 + COLUMN(C340) + 1 )</f>
        <v>1.65</v>
      </c>
      <c r="E341" s="180">
        <f>INDEX(Calc!$K:$K, (ROW(D340)-1)*5 + COLUMN(D340) + 1 )</f>
        <v>1.54</v>
      </c>
      <c r="F341" s="181">
        <f>INDEX(Calc!$K:$K, (ROW(E340)-1)*5 + COLUMN(E340) + 1 )</f>
        <v>1.45</v>
      </c>
      <c r="G341" s="182">
        <f>Закуп!O341</f>
        <v>9.67</v>
      </c>
      <c r="H341" s="182" t="str">
        <f>Закуп!Q341</f>
        <v>5-10 л</v>
      </c>
      <c r="I341" s="182" t="str">
        <f>Закуп!X341</f>
        <v>300-399 мм</v>
      </c>
      <c r="J341" s="182" t="str">
        <f>Закуп!Y341</f>
        <v>200-299 мм</v>
      </c>
      <c r="K341" s="182" t="str">
        <f>Закуп!Z341</f>
        <v>10-99 мм</v>
      </c>
      <c r="L341" s="182" t="str">
        <f>Закуп!AA341</f>
        <v>Четырехклапанные</v>
      </c>
      <c r="M341" s="182" t="str">
        <f>Закуп!V341</f>
        <v/>
      </c>
      <c r="N341" s="182" t="str">
        <f>Закуп!W341</f>
        <v>Плоские</v>
      </c>
      <c r="O341" s="183" t="str">
        <f>IF(OR(Закуп!L341="",Закуп!L341=0),"",Закуп!L341)</f>
        <v/>
      </c>
      <c r="P341" s="182" t="str">
        <f>Закуп!K341</f>
        <v>K278</v>
      </c>
      <c r="Q341" s="217" t="str">
        <f>IF(Закуп!D341="","",IF(LEFT(Закуп!D341,1)="0","0",Закуп!D341))</f>
        <v>У</v>
      </c>
      <c r="R341" s="184">
        <f>Закуп!C341</f>
        <v>341</v>
      </c>
    </row>
    <row r="342" spans="1:18" x14ac:dyDescent="0.3">
      <c r="A342" s="177">
        <f>Закуп!E342</f>
        <v>0</v>
      </c>
      <c r="B342" s="178">
        <f>INDEX(Calc!$K:$K, (ROW(A341)-1)*5 + COLUMN(A341) + 1 )</f>
        <v>0</v>
      </c>
      <c r="C342" s="178">
        <f>INDEX(Calc!$K:$K, (ROW(B341)-1)*5 + COLUMN(B341) + 1 )</f>
        <v>0</v>
      </c>
      <c r="D342" s="179">
        <f>INDEX(Calc!$K:$K, (ROW(C341)-1)*5 + COLUMN(C341) + 1 )</f>
        <v>0</v>
      </c>
      <c r="E342" s="180">
        <f>INDEX(Calc!$K:$K, (ROW(D341)-1)*5 + COLUMN(D341) + 1 )</f>
        <v>0</v>
      </c>
      <c r="F342" s="181">
        <f>INDEX(Calc!$K:$K, (ROW(E341)-1)*5 + COLUMN(E341) + 1 )</f>
        <v>0</v>
      </c>
      <c r="G342" s="182">
        <f>Закуп!O342</f>
        <v>0</v>
      </c>
      <c r="H342" s="182">
        <f>Закуп!Q342</f>
        <v>0</v>
      </c>
      <c r="I342" s="182">
        <f>Закуп!X342</f>
        <v>0</v>
      </c>
      <c r="J342" s="182">
        <f>Закуп!Y342</f>
        <v>0</v>
      </c>
      <c r="K342" s="182">
        <f>Закуп!Z342</f>
        <v>0</v>
      </c>
      <c r="L342" s="182" t="str">
        <f>Закуп!AA342</f>
        <v/>
      </c>
      <c r="M342" s="182">
        <f>Закуп!V342</f>
        <v>0</v>
      </c>
      <c r="N342" s="182">
        <f>Закуп!W342</f>
        <v>0</v>
      </c>
      <c r="O342" s="183" t="str">
        <f>IF(OR(Закуп!L342="",Закуп!L342=0),"",Закуп!L342)</f>
        <v/>
      </c>
      <c r="P342" s="182">
        <f>Закуп!K342</f>
        <v>0</v>
      </c>
      <c r="Q342" s="217" t="str">
        <f>IF(Закуп!D342="","",IF(LEFT(Закуп!D342,1)="0","0",Закуп!D342))</f>
        <v/>
      </c>
      <c r="R342" s="184">
        <f>Закуп!C342</f>
        <v>342</v>
      </c>
    </row>
    <row r="343" spans="1:18" x14ac:dyDescent="0.3">
      <c r="A343" s="177">
        <f>Закуп!E343</f>
        <v>0</v>
      </c>
      <c r="B343" s="178">
        <f>INDEX(Calc!$K:$K, (ROW(A342)-1)*5 + COLUMN(A342) + 1 )</f>
        <v>0</v>
      </c>
      <c r="C343" s="178">
        <f>INDEX(Calc!$K:$K, (ROW(B342)-1)*5 + COLUMN(B342) + 1 )</f>
        <v>0</v>
      </c>
      <c r="D343" s="179">
        <f>INDEX(Calc!$K:$K, (ROW(C342)-1)*5 + COLUMN(C342) + 1 )</f>
        <v>0</v>
      </c>
      <c r="E343" s="180">
        <f>INDEX(Calc!$K:$K, (ROW(D342)-1)*5 + COLUMN(D342) + 1 )</f>
        <v>0</v>
      </c>
      <c r="F343" s="181">
        <f>INDEX(Calc!$K:$K, (ROW(E342)-1)*5 + COLUMN(E342) + 1 )</f>
        <v>0</v>
      </c>
      <c r="G343" s="182">
        <f>Закуп!O343</f>
        <v>0</v>
      </c>
      <c r="H343" s="182">
        <f>Закуп!Q343</f>
        <v>0</v>
      </c>
      <c r="I343" s="182">
        <f>Закуп!X343</f>
        <v>0</v>
      </c>
      <c r="J343" s="182">
        <f>Закуп!Y343</f>
        <v>0</v>
      </c>
      <c r="K343" s="182">
        <f>Закуп!Z343</f>
        <v>0</v>
      </c>
      <c r="L343" s="182" t="str">
        <f>Закуп!AA343</f>
        <v/>
      </c>
      <c r="M343" s="182">
        <f>Закуп!V343</f>
        <v>0</v>
      </c>
      <c r="N343" s="182">
        <f>Закуп!W343</f>
        <v>0</v>
      </c>
      <c r="O343" s="183" t="str">
        <f>IF(OR(Закуп!L343="",Закуп!L343=0),"",Закуп!L343)</f>
        <v/>
      </c>
      <c r="P343" s="182">
        <f>Закуп!K343</f>
        <v>0</v>
      </c>
      <c r="Q343" s="217" t="str">
        <f>IF(Закуп!D343="","",IF(LEFT(Закуп!D343,1)="0","0",Закуп!D343))</f>
        <v/>
      </c>
      <c r="R343" s="184">
        <f>Закуп!C343</f>
        <v>343</v>
      </c>
    </row>
    <row r="344" spans="1:18" x14ac:dyDescent="0.3">
      <c r="A344" s="177">
        <f>Закуп!E344</f>
        <v>0</v>
      </c>
      <c r="B344" s="178">
        <f>INDEX(Calc!$K:$K, (ROW(A343)-1)*5 + COLUMN(A343) + 1 )</f>
        <v>0</v>
      </c>
      <c r="C344" s="178">
        <f>INDEX(Calc!$K:$K, (ROW(B343)-1)*5 + COLUMN(B343) + 1 )</f>
        <v>0</v>
      </c>
      <c r="D344" s="179">
        <f>INDEX(Calc!$K:$K, (ROW(C343)-1)*5 + COLUMN(C343) + 1 )</f>
        <v>0</v>
      </c>
      <c r="E344" s="180">
        <f>INDEX(Calc!$K:$K, (ROW(D343)-1)*5 + COLUMN(D343) + 1 )</f>
        <v>0</v>
      </c>
      <c r="F344" s="181">
        <f>INDEX(Calc!$K:$K, (ROW(E343)-1)*5 + COLUMN(E343) + 1 )</f>
        <v>0</v>
      </c>
      <c r="G344" s="182">
        <f>Закуп!O344</f>
        <v>0</v>
      </c>
      <c r="H344" s="182">
        <f>Закуп!Q344</f>
        <v>0</v>
      </c>
      <c r="I344" s="182">
        <f>Закуп!X344</f>
        <v>0</v>
      </c>
      <c r="J344" s="182">
        <f>Закуп!Y344</f>
        <v>0</v>
      </c>
      <c r="K344" s="182">
        <f>Закуп!Z344</f>
        <v>0</v>
      </c>
      <c r="L344" s="182" t="str">
        <f>Закуп!AA344</f>
        <v/>
      </c>
      <c r="M344" s="182">
        <f>Закуп!V344</f>
        <v>0</v>
      </c>
      <c r="N344" s="182">
        <f>Закуп!W344</f>
        <v>0</v>
      </c>
      <c r="O344" s="183" t="str">
        <f>IF(OR(Закуп!L344="",Закуп!L344=0),"",Закуп!L344)</f>
        <v/>
      </c>
      <c r="P344" s="182">
        <f>Закуп!K344</f>
        <v>0</v>
      </c>
      <c r="Q344" s="217" t="str">
        <f>IF(Закуп!D344="","",IF(LEFT(Закуп!D344,1)="0","0",Закуп!D344))</f>
        <v/>
      </c>
      <c r="R344" s="184">
        <f>Закуп!C344</f>
        <v>344</v>
      </c>
    </row>
    <row r="345" spans="1:18" x14ac:dyDescent="0.3">
      <c r="A345" s="177">
        <f>Закуп!E345</f>
        <v>0</v>
      </c>
      <c r="B345" s="178">
        <f>INDEX(Calc!$K:$K, (ROW(A344)-1)*5 + COLUMN(A344) + 1 )</f>
        <v>0</v>
      </c>
      <c r="C345" s="178">
        <f>INDEX(Calc!$K:$K, (ROW(B344)-1)*5 + COLUMN(B344) + 1 )</f>
        <v>0</v>
      </c>
      <c r="D345" s="179">
        <f>INDEX(Calc!$K:$K, (ROW(C344)-1)*5 + COLUMN(C344) + 1 )</f>
        <v>0</v>
      </c>
      <c r="E345" s="180">
        <f>INDEX(Calc!$K:$K, (ROW(D344)-1)*5 + COLUMN(D344) + 1 )</f>
        <v>0</v>
      </c>
      <c r="F345" s="181">
        <f>INDEX(Calc!$K:$K, (ROW(E344)-1)*5 + COLUMN(E344) + 1 )</f>
        <v>0</v>
      </c>
      <c r="G345" s="182">
        <f>Закуп!O345</f>
        <v>0</v>
      </c>
      <c r="H345" s="182">
        <f>Закуп!Q345</f>
        <v>0</v>
      </c>
      <c r="I345" s="182">
        <f>Закуп!X345</f>
        <v>0</v>
      </c>
      <c r="J345" s="182">
        <f>Закуп!Y345</f>
        <v>0</v>
      </c>
      <c r="K345" s="182">
        <f>Закуп!Z345</f>
        <v>0</v>
      </c>
      <c r="L345" s="182" t="str">
        <f>Закуп!AA345</f>
        <v/>
      </c>
      <c r="M345" s="182">
        <f>Закуп!V345</f>
        <v>0</v>
      </c>
      <c r="N345" s="182">
        <f>Закуп!W345</f>
        <v>0</v>
      </c>
      <c r="O345" s="183" t="str">
        <f>IF(OR(Закуп!L345="",Закуп!L345=0),"",Закуп!L345)</f>
        <v/>
      </c>
      <c r="P345" s="182">
        <f>Закуп!K345</f>
        <v>0</v>
      </c>
      <c r="Q345" s="217" t="str">
        <f>IF(Закуп!D345="","",IF(LEFT(Закуп!D345,1)="0","0",Закуп!D345))</f>
        <v/>
      </c>
      <c r="R345" s="184">
        <f>Закуп!C345</f>
        <v>345</v>
      </c>
    </row>
    <row r="346" spans="1:18" x14ac:dyDescent="0.3">
      <c r="A346" s="177">
        <f>Закуп!E346</f>
        <v>0</v>
      </c>
      <c r="B346" s="178">
        <f>INDEX(Calc!$K:$K, (ROW(A345)-1)*5 + COLUMN(A345) + 1 )</f>
        <v>0</v>
      </c>
      <c r="C346" s="178">
        <f>INDEX(Calc!$K:$K, (ROW(B345)-1)*5 + COLUMN(B345) + 1 )</f>
        <v>0</v>
      </c>
      <c r="D346" s="179">
        <f>INDEX(Calc!$K:$K, (ROW(C345)-1)*5 + COLUMN(C345) + 1 )</f>
        <v>0</v>
      </c>
      <c r="E346" s="180">
        <f>INDEX(Calc!$K:$K, (ROW(D345)-1)*5 + COLUMN(D345) + 1 )</f>
        <v>0</v>
      </c>
      <c r="F346" s="181">
        <f>INDEX(Calc!$K:$K, (ROW(E345)-1)*5 + COLUMN(E345) + 1 )</f>
        <v>0</v>
      </c>
      <c r="G346" s="182">
        <f>Закуп!O346</f>
        <v>0</v>
      </c>
      <c r="H346" s="182">
        <f>Закуп!Q346</f>
        <v>0</v>
      </c>
      <c r="I346" s="182">
        <f>Закуп!X346</f>
        <v>0</v>
      </c>
      <c r="J346" s="182">
        <f>Закуп!Y346</f>
        <v>0</v>
      </c>
      <c r="K346" s="182">
        <f>Закуп!Z346</f>
        <v>0</v>
      </c>
      <c r="L346" s="182" t="str">
        <f>Закуп!AA346</f>
        <v/>
      </c>
      <c r="M346" s="182">
        <f>Закуп!V346</f>
        <v>0</v>
      </c>
      <c r="N346" s="182">
        <f>Закуп!W346</f>
        <v>0</v>
      </c>
      <c r="O346" s="183" t="str">
        <f>IF(OR(Закуп!L346="",Закуп!L346=0),"",Закуп!L346)</f>
        <v/>
      </c>
      <c r="P346" s="182">
        <f>Закуп!K346</f>
        <v>0</v>
      </c>
      <c r="Q346" s="217" t="str">
        <f>IF(Закуп!D346="","",IF(LEFT(Закуп!D346,1)="0","0",Закуп!D346))</f>
        <v/>
      </c>
      <c r="R346" s="184">
        <f>Закуп!C346</f>
        <v>346</v>
      </c>
    </row>
    <row r="347" spans="1:18" x14ac:dyDescent="0.3">
      <c r="A347" s="177">
        <f>Закуп!E347</f>
        <v>0</v>
      </c>
      <c r="B347" s="178">
        <f>INDEX(Calc!$K:$K, (ROW(A346)-1)*5 + COLUMN(A346) + 1 )</f>
        <v>0</v>
      </c>
      <c r="C347" s="178">
        <f>INDEX(Calc!$K:$K, (ROW(B346)-1)*5 + COLUMN(B346) + 1 )</f>
        <v>0</v>
      </c>
      <c r="D347" s="179">
        <f>INDEX(Calc!$K:$K, (ROW(C346)-1)*5 + COLUMN(C346) + 1 )</f>
        <v>0</v>
      </c>
      <c r="E347" s="180">
        <f>INDEX(Calc!$K:$K, (ROW(D346)-1)*5 + COLUMN(D346) + 1 )</f>
        <v>0</v>
      </c>
      <c r="F347" s="181">
        <f>INDEX(Calc!$K:$K, (ROW(E346)-1)*5 + COLUMN(E346) + 1 )</f>
        <v>0</v>
      </c>
      <c r="G347" s="182">
        <f>Закуп!O347</f>
        <v>0</v>
      </c>
      <c r="H347" s="182">
        <f>Закуп!Q347</f>
        <v>0</v>
      </c>
      <c r="I347" s="182">
        <f>Закуп!X347</f>
        <v>0</v>
      </c>
      <c r="J347" s="182">
        <f>Закуп!Y347</f>
        <v>0</v>
      </c>
      <c r="K347" s="182">
        <f>Закуп!Z347</f>
        <v>0</v>
      </c>
      <c r="L347" s="182" t="str">
        <f>Закуп!AA347</f>
        <v/>
      </c>
      <c r="M347" s="182">
        <f>Закуп!V347</f>
        <v>0</v>
      </c>
      <c r="N347" s="182">
        <f>Закуп!W347</f>
        <v>0</v>
      </c>
      <c r="O347" s="183" t="str">
        <f>IF(OR(Закуп!L347="",Закуп!L347=0),"",Закуп!L347)</f>
        <v/>
      </c>
      <c r="P347" s="182">
        <f>Закуп!K347</f>
        <v>0</v>
      </c>
      <c r="Q347" s="217" t="str">
        <f>IF(Закуп!D347="","",IF(LEFT(Закуп!D347,1)="0","0",Закуп!D347))</f>
        <v/>
      </c>
      <c r="R347" s="184">
        <f>Закуп!C347</f>
        <v>0</v>
      </c>
    </row>
    <row r="348" spans="1:18" x14ac:dyDescent="0.3">
      <c r="A348" s="177" t="str">
        <f>Закуп!E348</f>
        <v>end только стирать</v>
      </c>
      <c r="B348" s="178">
        <f>INDEX(Calc!$K:$K, (ROW(A347)-1)*5 + COLUMN(A347) + 1 )</f>
        <v>0</v>
      </c>
      <c r="C348" s="178">
        <f>INDEX(Calc!$K:$K, (ROW(B347)-1)*5 + COLUMN(B347) + 1 )</f>
        <v>0</v>
      </c>
      <c r="D348" s="179">
        <f>INDEX(Calc!$K:$K, (ROW(C347)-1)*5 + COLUMN(C347) + 1 )</f>
        <v>0</v>
      </c>
      <c r="E348" s="180">
        <f>INDEX(Calc!$K:$K, (ROW(D347)-1)*5 + COLUMN(D347) + 1 )</f>
        <v>0</v>
      </c>
      <c r="F348" s="181">
        <f>INDEX(Calc!$K:$K, (ROW(E347)-1)*5 + COLUMN(E347) + 1 )</f>
        <v>0</v>
      </c>
      <c r="G348" s="182">
        <f>Закуп!O348</f>
        <v>0</v>
      </c>
      <c r="H348" s="182">
        <f>Закуп!Q348</f>
        <v>0</v>
      </c>
      <c r="I348" s="182">
        <f>Закуп!X348</f>
        <v>0</v>
      </c>
      <c r="J348" s="182">
        <f>Закуп!Y348</f>
        <v>0</v>
      </c>
      <c r="K348" s="182">
        <f>Закуп!Z348</f>
        <v>0</v>
      </c>
      <c r="L348" s="182">
        <f>Закуп!AA348</f>
        <v>0</v>
      </c>
      <c r="M348" s="182">
        <f>Закуп!V348</f>
        <v>0</v>
      </c>
      <c r="N348" s="182">
        <f>Закуп!W348</f>
        <v>0</v>
      </c>
      <c r="O348" s="183" t="str">
        <f>IF(OR(Закуп!L348="",Закуп!L348=0),"",Закуп!L348)</f>
        <v/>
      </c>
      <c r="P348" s="182">
        <f>Закуп!K348</f>
        <v>0</v>
      </c>
      <c r="Q348" s="217" t="str">
        <f>IF(Закуп!D348="","",IF(LEFT(Закуп!D348,1)="0","0",Закуп!D348))</f>
        <v/>
      </c>
      <c r="R348" s="184">
        <f>Закуп!C348</f>
        <v>0</v>
      </c>
    </row>
    <row r="349" spans="1:18" x14ac:dyDescent="0.3">
      <c r="A349" s="185">
        <f>Закуп!E349</f>
        <v>0</v>
      </c>
      <c r="B349" s="186">
        <f>INDEX(Calc!$K:$K, (ROW(A348)-1)*5 + COLUMN(A348) + 1 )</f>
        <v>0</v>
      </c>
      <c r="C349" s="186">
        <f>INDEX(Calc!$K:$K, (ROW(B348)-1)*5 + COLUMN(B348) + 1 )</f>
        <v>0</v>
      </c>
      <c r="D349" s="187">
        <f>INDEX(Calc!$K:$K, (ROW(C348)-1)*5 + COLUMN(C348) + 1 )</f>
        <v>0</v>
      </c>
      <c r="E349" s="188">
        <f>INDEX(Calc!$K:$K, (ROW(D348)-1)*5 + COLUMN(D348) + 1 )</f>
        <v>0</v>
      </c>
      <c r="F349" s="189">
        <f>INDEX(Calc!$K:$K, (ROW(E348)-1)*5 + COLUMN(E348) + 1 )</f>
        <v>0</v>
      </c>
      <c r="G349" s="190">
        <f>Закуп!O349</f>
        <v>0</v>
      </c>
      <c r="H349" s="190">
        <f>Закуп!Q349</f>
        <v>0</v>
      </c>
      <c r="I349" s="190">
        <f>Закуп!X349</f>
        <v>0</v>
      </c>
      <c r="J349" s="190">
        <f>Закуп!Y349</f>
        <v>0</v>
      </c>
      <c r="K349" s="190">
        <f>Закуп!Z349</f>
        <v>0</v>
      </c>
      <c r="L349" s="190">
        <f>Закуп!AA349</f>
        <v>0</v>
      </c>
      <c r="M349" s="190">
        <f>Закуп!V349</f>
        <v>0</v>
      </c>
      <c r="N349" s="190">
        <f>Закуп!W349</f>
        <v>0</v>
      </c>
      <c r="O349" s="191" t="str">
        <f>IF(OR(Закуп!L349="",Закуп!L349=0),"",Закуп!L349)</f>
        <v/>
      </c>
      <c r="P349" s="190">
        <f>Закуп!K349</f>
        <v>0</v>
      </c>
      <c r="Q349" s="218">
        <f>Закуп!D349</f>
        <v>0</v>
      </c>
      <c r="R349" s="192">
        <f>Закуп!C349</f>
        <v>0</v>
      </c>
    </row>
    <row r="350" spans="1:18" x14ac:dyDescent="0.4">
      <c r="A350"/>
      <c r="B350"/>
      <c r="C350"/>
      <c r="D350"/>
      <c r="E350"/>
      <c r="F350"/>
      <c r="G350"/>
      <c r="H350"/>
      <c r="I350"/>
      <c r="J350"/>
      <c r="K350"/>
      <c r="L350"/>
      <c r="M350"/>
      <c r="N350"/>
      <c r="O350"/>
      <c r="P350"/>
    </row>
    <row r="351" spans="1:18" x14ac:dyDescent="0.4">
      <c r="A351"/>
      <c r="B351"/>
      <c r="C351"/>
      <c r="D351"/>
      <c r="E351"/>
      <c r="F351"/>
      <c r="G351"/>
      <c r="H351"/>
      <c r="I351"/>
      <c r="J351"/>
      <c r="K351"/>
      <c r="L351"/>
      <c r="M351"/>
      <c r="N351"/>
      <c r="O351"/>
      <c r="P351"/>
    </row>
    <row r="352" spans="1:18" x14ac:dyDescent="0.4">
      <c r="A352"/>
      <c r="B352"/>
      <c r="C352"/>
      <c r="D352"/>
      <c r="E352"/>
      <c r="F352"/>
      <c r="G352"/>
      <c r="H352"/>
      <c r="I352"/>
      <c r="J352"/>
      <c r="K352"/>
      <c r="L352"/>
      <c r="M352"/>
      <c r="N352"/>
      <c r="O352"/>
      <c r="P352"/>
    </row>
    <row r="353" spans="1:16" x14ac:dyDescent="0.4">
      <c r="A353"/>
      <c r="B353"/>
      <c r="C353"/>
      <c r="D353"/>
      <c r="E353"/>
      <c r="F353"/>
      <c r="G353"/>
      <c r="H353"/>
      <c r="I353"/>
      <c r="J353"/>
      <c r="K353"/>
      <c r="L353"/>
      <c r="M353"/>
      <c r="N353"/>
      <c r="O353"/>
      <c r="P353"/>
    </row>
    <row r="354" spans="1:16" x14ac:dyDescent="0.4">
      <c r="A354"/>
      <c r="B354"/>
      <c r="C354"/>
      <c r="D354"/>
      <c r="E354"/>
      <c r="F354"/>
      <c r="G354"/>
      <c r="H354"/>
      <c r="I354"/>
      <c r="J354"/>
      <c r="K354"/>
      <c r="L354"/>
      <c r="M354"/>
      <c r="N354"/>
      <c r="O354"/>
      <c r="P354"/>
    </row>
    <row r="355" spans="1:16" x14ac:dyDescent="0.4">
      <c r="A355"/>
      <c r="B355"/>
      <c r="C355"/>
      <c r="D355"/>
      <c r="E355"/>
      <c r="F355"/>
      <c r="G355"/>
      <c r="H355"/>
      <c r="I355"/>
      <c r="J355"/>
      <c r="K355"/>
      <c r="L355"/>
      <c r="M355"/>
      <c r="N355"/>
      <c r="O355"/>
      <c r="P355"/>
    </row>
    <row r="356" spans="1:16" x14ac:dyDescent="0.4">
      <c r="A356"/>
      <c r="B356"/>
      <c r="C356"/>
      <c r="D356"/>
      <c r="E356"/>
      <c r="F356"/>
      <c r="G356"/>
      <c r="H356"/>
      <c r="I356"/>
      <c r="J356"/>
      <c r="K356"/>
      <c r="L356"/>
      <c r="M356"/>
      <c r="N356"/>
      <c r="O356"/>
      <c r="P356"/>
    </row>
    <row r="357" spans="1:16" x14ac:dyDescent="0.4">
      <c r="A357"/>
      <c r="B357"/>
      <c r="C357"/>
      <c r="D357"/>
      <c r="E357"/>
      <c r="F357"/>
      <c r="G357"/>
      <c r="H357"/>
      <c r="I357"/>
      <c r="J357"/>
      <c r="K357"/>
      <c r="L357"/>
      <c r="M357"/>
      <c r="N357"/>
      <c r="O357"/>
      <c r="P357"/>
    </row>
    <row r="358" spans="1:16" x14ac:dyDescent="0.4">
      <c r="A358"/>
      <c r="B358"/>
      <c r="C358"/>
      <c r="D358"/>
      <c r="E358"/>
      <c r="F358"/>
      <c r="G358"/>
      <c r="H358"/>
      <c r="I358"/>
      <c r="J358"/>
      <c r="K358"/>
      <c r="L358"/>
      <c r="M358"/>
      <c r="N358"/>
      <c r="O358"/>
      <c r="P358"/>
    </row>
    <row r="359" spans="1:16" x14ac:dyDescent="0.4">
      <c r="A359"/>
      <c r="B359"/>
      <c r="C359"/>
      <c r="D359"/>
      <c r="E359"/>
      <c r="F359"/>
      <c r="G359"/>
      <c r="H359"/>
      <c r="I359"/>
      <c r="J359"/>
      <c r="K359"/>
      <c r="L359"/>
      <c r="M359"/>
      <c r="N359"/>
      <c r="O359"/>
      <c r="P359"/>
    </row>
    <row r="360" spans="1:16" x14ac:dyDescent="0.4">
      <c r="A360"/>
      <c r="B360"/>
      <c r="C360"/>
      <c r="D360"/>
      <c r="E360"/>
      <c r="F360"/>
      <c r="G360"/>
      <c r="H360"/>
      <c r="I360"/>
      <c r="J360"/>
      <c r="K360"/>
      <c r="L360"/>
      <c r="M360"/>
      <c r="N360"/>
      <c r="O360"/>
      <c r="P360"/>
    </row>
    <row r="361" spans="1:16" x14ac:dyDescent="0.4">
      <c r="A361"/>
      <c r="B361"/>
      <c r="C361"/>
      <c r="D361"/>
      <c r="E361"/>
      <c r="F361"/>
      <c r="G361"/>
      <c r="H361"/>
      <c r="I361"/>
      <c r="J361"/>
      <c r="K361"/>
      <c r="L361"/>
      <c r="M361"/>
      <c r="N361"/>
      <c r="O361"/>
      <c r="P361"/>
    </row>
    <row r="362" spans="1:16" x14ac:dyDescent="0.4">
      <c r="A362"/>
      <c r="B362"/>
      <c r="C362"/>
      <c r="D362"/>
      <c r="E362"/>
      <c r="F362"/>
      <c r="G362"/>
      <c r="H362"/>
      <c r="I362"/>
      <c r="J362"/>
      <c r="K362"/>
      <c r="L362"/>
      <c r="M362"/>
      <c r="N362"/>
      <c r="O362"/>
      <c r="P362"/>
    </row>
    <row r="363" spans="1:16" x14ac:dyDescent="0.4">
      <c r="A363"/>
      <c r="B363"/>
      <c r="C363"/>
      <c r="D363"/>
      <c r="E363"/>
      <c r="F363"/>
      <c r="G363"/>
      <c r="H363"/>
      <c r="I363"/>
      <c r="J363"/>
      <c r="K363"/>
      <c r="L363"/>
      <c r="M363"/>
      <c r="N363"/>
      <c r="O363"/>
      <c r="P363"/>
    </row>
    <row r="364" spans="1:16" x14ac:dyDescent="0.4">
      <c r="A364"/>
      <c r="B364"/>
      <c r="C364"/>
      <c r="D364"/>
      <c r="E364"/>
      <c r="F364"/>
      <c r="G364"/>
      <c r="H364"/>
      <c r="I364"/>
      <c r="J364"/>
      <c r="K364"/>
      <c r="L364"/>
      <c r="M364"/>
      <c r="N364"/>
      <c r="O364"/>
      <c r="P364"/>
    </row>
    <row r="365" spans="1:16" x14ac:dyDescent="0.4">
      <c r="A365"/>
      <c r="B365"/>
      <c r="C365"/>
      <c r="D365"/>
      <c r="E365"/>
      <c r="F365"/>
      <c r="G365"/>
      <c r="H365"/>
      <c r="I365"/>
      <c r="J365"/>
      <c r="K365"/>
      <c r="L365"/>
      <c r="M365"/>
      <c r="N365"/>
      <c r="O365"/>
      <c r="P365"/>
    </row>
    <row r="366" spans="1:16" x14ac:dyDescent="0.4">
      <c r="A366"/>
      <c r="B366"/>
      <c r="C366"/>
      <c r="D366"/>
      <c r="E366"/>
      <c r="F366"/>
      <c r="G366"/>
      <c r="H366"/>
      <c r="I366"/>
      <c r="J366"/>
      <c r="K366"/>
      <c r="L366"/>
      <c r="M366"/>
      <c r="N366"/>
      <c r="O366"/>
      <c r="P366"/>
    </row>
    <row r="367" spans="1:16" x14ac:dyDescent="0.4">
      <c r="A367"/>
      <c r="B367"/>
      <c r="C367"/>
      <c r="D367"/>
      <c r="E367"/>
      <c r="F367"/>
      <c r="G367"/>
      <c r="H367"/>
      <c r="I367"/>
      <c r="J367"/>
      <c r="K367"/>
      <c r="L367"/>
      <c r="M367"/>
      <c r="N367"/>
      <c r="O367"/>
      <c r="P367"/>
    </row>
    <row r="368" spans="1:16" x14ac:dyDescent="0.4">
      <c r="A368"/>
      <c r="B368"/>
      <c r="C368"/>
      <c r="D368"/>
      <c r="E368"/>
      <c r="F368"/>
      <c r="G368"/>
      <c r="H368"/>
      <c r="I368"/>
      <c r="J368"/>
      <c r="K368"/>
      <c r="L368"/>
      <c r="M368"/>
      <c r="N368"/>
      <c r="O368"/>
      <c r="P368"/>
    </row>
    <row r="369" spans="1:16" x14ac:dyDescent="0.4">
      <c r="A369"/>
      <c r="B369"/>
      <c r="C369"/>
      <c r="D369"/>
      <c r="E369"/>
      <c r="F369"/>
      <c r="G369"/>
      <c r="H369"/>
      <c r="I369"/>
      <c r="J369"/>
      <c r="K369"/>
      <c r="L369"/>
      <c r="M369"/>
      <c r="N369"/>
      <c r="O369"/>
      <c r="P369"/>
    </row>
    <row r="370" spans="1:16" x14ac:dyDescent="0.4">
      <c r="A370"/>
      <c r="B370"/>
      <c r="C370"/>
      <c r="D370"/>
      <c r="E370"/>
      <c r="F370"/>
      <c r="G370"/>
      <c r="H370"/>
      <c r="I370"/>
      <c r="J370"/>
      <c r="K370"/>
      <c r="L370"/>
      <c r="M370"/>
      <c r="N370"/>
      <c r="O370"/>
      <c r="P370"/>
    </row>
    <row r="371" spans="1:16" x14ac:dyDescent="0.4">
      <c r="A371"/>
      <c r="B371"/>
      <c r="C371"/>
      <c r="D371"/>
      <c r="E371"/>
      <c r="F371"/>
      <c r="G371"/>
      <c r="H371"/>
      <c r="I371"/>
      <c r="J371"/>
      <c r="K371"/>
      <c r="L371"/>
      <c r="M371"/>
      <c r="N371"/>
      <c r="O371"/>
      <c r="P371"/>
    </row>
    <row r="372" spans="1:16" x14ac:dyDescent="0.4">
      <c r="A372"/>
      <c r="B372"/>
      <c r="C372"/>
      <c r="D372"/>
      <c r="E372"/>
      <c r="F372"/>
      <c r="G372"/>
      <c r="H372"/>
      <c r="I372"/>
      <c r="J372"/>
      <c r="K372"/>
      <c r="L372"/>
      <c r="M372"/>
      <c r="N372"/>
      <c r="O372"/>
      <c r="P372"/>
    </row>
    <row r="373" spans="1:16" x14ac:dyDescent="0.4">
      <c r="A373"/>
      <c r="B373"/>
      <c r="C373"/>
      <c r="D373"/>
      <c r="E373"/>
      <c r="F373"/>
      <c r="G373"/>
      <c r="H373"/>
      <c r="I373"/>
      <c r="J373"/>
      <c r="K373"/>
      <c r="L373"/>
      <c r="M373"/>
      <c r="N373"/>
      <c r="O373"/>
      <c r="P373"/>
    </row>
    <row r="374" spans="1:16" x14ac:dyDescent="0.4">
      <c r="A374"/>
      <c r="B374"/>
      <c r="C374"/>
      <c r="D374"/>
      <c r="E374"/>
      <c r="F374"/>
      <c r="G374"/>
      <c r="H374"/>
      <c r="I374"/>
      <c r="J374"/>
      <c r="K374"/>
      <c r="L374"/>
      <c r="M374"/>
      <c r="N374"/>
      <c r="O374"/>
      <c r="P374"/>
    </row>
    <row r="375" spans="1:16" x14ac:dyDescent="0.4">
      <c r="A375"/>
      <c r="B375"/>
      <c r="C375"/>
      <c r="D375"/>
      <c r="E375"/>
      <c r="F375"/>
      <c r="G375"/>
      <c r="H375"/>
      <c r="I375"/>
      <c r="J375"/>
      <c r="K375"/>
      <c r="L375"/>
      <c r="M375"/>
      <c r="N375"/>
      <c r="O375"/>
      <c r="P375"/>
    </row>
    <row r="376" spans="1:16" x14ac:dyDescent="0.4">
      <c r="A376"/>
      <c r="B376"/>
      <c r="C376"/>
      <c r="D376"/>
      <c r="E376"/>
      <c r="F376"/>
      <c r="G376"/>
      <c r="H376"/>
      <c r="I376"/>
      <c r="J376"/>
      <c r="K376"/>
      <c r="L376"/>
      <c r="M376"/>
      <c r="N376"/>
      <c r="O376"/>
      <c r="P376"/>
    </row>
    <row r="377" spans="1:16" x14ac:dyDescent="0.4">
      <c r="A377"/>
      <c r="B377"/>
      <c r="C377"/>
      <c r="D377"/>
      <c r="E377"/>
      <c r="F377"/>
      <c r="G377"/>
      <c r="H377"/>
      <c r="I377"/>
      <c r="J377"/>
      <c r="K377"/>
      <c r="L377"/>
      <c r="M377"/>
      <c r="N377"/>
      <c r="O377"/>
      <c r="P377"/>
    </row>
    <row r="378" spans="1:16" x14ac:dyDescent="0.4">
      <c r="A378"/>
      <c r="B378"/>
      <c r="C378"/>
      <c r="D378"/>
      <c r="E378"/>
      <c r="F378"/>
      <c r="G378"/>
      <c r="H378"/>
      <c r="I378"/>
      <c r="J378"/>
      <c r="K378"/>
      <c r="L378"/>
      <c r="M378"/>
      <c r="N378"/>
      <c r="O378"/>
      <c r="P378"/>
    </row>
    <row r="379" spans="1:16" x14ac:dyDescent="0.4">
      <c r="A379"/>
      <c r="B379"/>
      <c r="C379"/>
      <c r="D379"/>
      <c r="E379"/>
      <c r="F379"/>
      <c r="G379"/>
      <c r="H379"/>
      <c r="I379"/>
      <c r="J379"/>
      <c r="K379"/>
      <c r="L379"/>
      <c r="M379"/>
      <c r="N379"/>
      <c r="O379"/>
      <c r="P379"/>
    </row>
    <row r="380" spans="1:16" x14ac:dyDescent="0.4">
      <c r="A380"/>
      <c r="B380"/>
      <c r="C380"/>
      <c r="D380"/>
      <c r="E380"/>
      <c r="F380"/>
      <c r="G380"/>
      <c r="H380"/>
      <c r="I380"/>
      <c r="J380"/>
      <c r="K380"/>
      <c r="L380"/>
      <c r="M380"/>
      <c r="N380"/>
      <c r="O380"/>
      <c r="P380"/>
    </row>
    <row r="381" spans="1:16" x14ac:dyDescent="0.4">
      <c r="A381"/>
      <c r="B381"/>
      <c r="C381"/>
      <c r="D381"/>
      <c r="E381"/>
      <c r="F381"/>
      <c r="G381"/>
      <c r="H381"/>
      <c r="I381"/>
      <c r="J381"/>
      <c r="K381"/>
      <c r="L381"/>
      <c r="M381"/>
      <c r="N381"/>
      <c r="O381"/>
      <c r="P381"/>
    </row>
    <row r="382" spans="1:16" x14ac:dyDescent="0.4">
      <c r="A382"/>
      <c r="B382"/>
      <c r="C382"/>
      <c r="D382"/>
      <c r="E382"/>
      <c r="F382"/>
      <c r="G382"/>
      <c r="H382"/>
      <c r="I382"/>
      <c r="J382"/>
      <c r="K382"/>
      <c r="L382"/>
      <c r="M382"/>
      <c r="N382"/>
      <c r="O382"/>
      <c r="P382"/>
    </row>
    <row r="383" spans="1:16" x14ac:dyDescent="0.4">
      <c r="A383"/>
      <c r="B383"/>
      <c r="C383"/>
      <c r="D383"/>
      <c r="E383"/>
      <c r="F383"/>
      <c r="G383"/>
      <c r="H383"/>
      <c r="I383"/>
      <c r="J383"/>
      <c r="K383"/>
      <c r="L383"/>
      <c r="M383"/>
      <c r="N383"/>
      <c r="O383"/>
      <c r="P383"/>
    </row>
    <row r="384" spans="1:16" x14ac:dyDescent="0.4">
      <c r="A384"/>
      <c r="B384"/>
      <c r="C384"/>
      <c r="D384"/>
      <c r="E384"/>
      <c r="F384"/>
      <c r="G384"/>
      <c r="H384"/>
      <c r="I384"/>
      <c r="J384"/>
      <c r="K384"/>
      <c r="L384"/>
      <c r="M384"/>
      <c r="N384"/>
      <c r="O384"/>
      <c r="P384"/>
    </row>
    <row r="385" spans="1:16" x14ac:dyDescent="0.4">
      <c r="A385"/>
      <c r="B385"/>
      <c r="C385"/>
      <c r="D385"/>
      <c r="E385"/>
      <c r="F385"/>
      <c r="G385"/>
      <c r="H385"/>
      <c r="I385"/>
      <c r="J385"/>
      <c r="K385"/>
      <c r="L385"/>
      <c r="M385"/>
      <c r="N385"/>
      <c r="O385"/>
      <c r="P385"/>
    </row>
    <row r="386" spans="1:16" x14ac:dyDescent="0.4">
      <c r="A386"/>
      <c r="B386"/>
      <c r="C386"/>
      <c r="D386"/>
      <c r="E386"/>
      <c r="F386"/>
      <c r="G386"/>
      <c r="H386"/>
      <c r="I386"/>
      <c r="J386"/>
      <c r="K386"/>
      <c r="L386"/>
      <c r="M386"/>
      <c r="N386"/>
      <c r="O386"/>
      <c r="P386"/>
    </row>
    <row r="387" spans="1:16" x14ac:dyDescent="0.4">
      <c r="A387"/>
      <c r="B387"/>
      <c r="C387"/>
      <c r="D387"/>
      <c r="E387"/>
      <c r="F387"/>
      <c r="G387"/>
      <c r="H387"/>
      <c r="I387"/>
      <c r="J387"/>
      <c r="K387"/>
      <c r="L387"/>
      <c r="M387"/>
      <c r="N387"/>
      <c r="O387"/>
      <c r="P387"/>
    </row>
    <row r="388" spans="1:16" x14ac:dyDescent="0.4">
      <c r="A388"/>
      <c r="B388"/>
      <c r="C388"/>
      <c r="D388"/>
      <c r="E388"/>
      <c r="F388"/>
      <c r="G388"/>
      <c r="H388"/>
      <c r="I388"/>
      <c r="J388"/>
      <c r="K388"/>
      <c r="L388"/>
      <c r="M388"/>
      <c r="N388"/>
      <c r="O388"/>
      <c r="P388"/>
    </row>
    <row r="389" spans="1:16" x14ac:dyDescent="0.4">
      <c r="A389"/>
      <c r="B389"/>
      <c r="C389"/>
      <c r="D389"/>
      <c r="E389"/>
      <c r="F389"/>
      <c r="G389"/>
      <c r="H389"/>
      <c r="I389"/>
      <c r="J389"/>
      <c r="K389"/>
      <c r="L389"/>
      <c r="M389"/>
      <c r="N389"/>
      <c r="O389"/>
      <c r="P389"/>
    </row>
    <row r="390" spans="1:16" x14ac:dyDescent="0.4">
      <c r="A390"/>
      <c r="B390"/>
      <c r="C390"/>
      <c r="D390"/>
      <c r="E390"/>
      <c r="F390"/>
      <c r="G390"/>
      <c r="H390"/>
      <c r="I390"/>
      <c r="J390"/>
      <c r="K390"/>
      <c r="L390"/>
      <c r="M390"/>
      <c r="N390"/>
      <c r="O390"/>
      <c r="P390"/>
    </row>
    <row r="391" spans="1:16" x14ac:dyDescent="0.4">
      <c r="A391"/>
      <c r="B391"/>
      <c r="C391"/>
      <c r="D391"/>
      <c r="E391"/>
      <c r="F391"/>
      <c r="G391"/>
      <c r="H391"/>
      <c r="I391"/>
      <c r="J391"/>
      <c r="K391"/>
      <c r="L391"/>
      <c r="M391"/>
      <c r="N391"/>
      <c r="O391"/>
      <c r="P391"/>
    </row>
    <row r="392" spans="1:16" x14ac:dyDescent="0.4">
      <c r="A392"/>
      <c r="B392"/>
      <c r="C392"/>
      <c r="D392"/>
      <c r="E392"/>
      <c r="F392"/>
      <c r="G392"/>
      <c r="H392"/>
      <c r="I392"/>
      <c r="J392"/>
      <c r="K392"/>
      <c r="L392"/>
      <c r="M392"/>
      <c r="N392"/>
      <c r="O392"/>
      <c r="P392"/>
    </row>
    <row r="393" spans="1:16" x14ac:dyDescent="0.4">
      <c r="A393"/>
      <c r="B393"/>
      <c r="C393"/>
      <c r="D393"/>
      <c r="E393"/>
      <c r="F393"/>
      <c r="G393"/>
      <c r="H393"/>
      <c r="I393"/>
      <c r="J393"/>
      <c r="K393"/>
      <c r="L393"/>
      <c r="M393"/>
      <c r="N393"/>
      <c r="O393"/>
      <c r="P393"/>
    </row>
    <row r="394" spans="1:16" x14ac:dyDescent="0.4">
      <c r="A394"/>
      <c r="B394"/>
      <c r="C394"/>
      <c r="D394"/>
      <c r="E394"/>
      <c r="F394"/>
      <c r="G394"/>
      <c r="H394"/>
      <c r="I394"/>
      <c r="J394"/>
      <c r="K394"/>
      <c r="L394"/>
      <c r="M394"/>
      <c r="N394"/>
      <c r="O394"/>
      <c r="P394"/>
    </row>
    <row r="395" spans="1:16" x14ac:dyDescent="0.4">
      <c r="A395"/>
      <c r="B395"/>
      <c r="C395"/>
      <c r="D395"/>
      <c r="E395"/>
      <c r="F395"/>
      <c r="G395"/>
      <c r="H395"/>
      <c r="I395"/>
      <c r="J395"/>
      <c r="K395"/>
      <c r="L395"/>
      <c r="M395"/>
      <c r="N395"/>
      <c r="O395"/>
      <c r="P395"/>
    </row>
    <row r="396" spans="1:16" x14ac:dyDescent="0.4">
      <c r="A396"/>
      <c r="B396"/>
      <c r="C396"/>
      <c r="D396"/>
      <c r="E396"/>
      <c r="F396"/>
      <c r="G396"/>
      <c r="H396"/>
      <c r="I396"/>
      <c r="J396"/>
      <c r="K396"/>
      <c r="L396"/>
      <c r="M396"/>
      <c r="N396"/>
      <c r="O396"/>
      <c r="P396"/>
    </row>
    <row r="397" spans="1:16" x14ac:dyDescent="0.4">
      <c r="A397"/>
      <c r="B397"/>
      <c r="C397"/>
      <c r="D397"/>
      <c r="E397"/>
      <c r="F397"/>
      <c r="G397"/>
      <c r="H397"/>
      <c r="I397"/>
      <c r="J397"/>
      <c r="K397"/>
      <c r="L397"/>
      <c r="M397"/>
      <c r="N397"/>
      <c r="O397"/>
      <c r="P397"/>
    </row>
    <row r="398" spans="1:16" x14ac:dyDescent="0.4">
      <c r="A398"/>
      <c r="B398"/>
      <c r="C398"/>
      <c r="D398"/>
      <c r="E398"/>
      <c r="F398"/>
      <c r="G398"/>
      <c r="H398"/>
      <c r="I398"/>
      <c r="J398"/>
      <c r="K398"/>
      <c r="L398"/>
      <c r="M398"/>
      <c r="N398"/>
      <c r="O398"/>
      <c r="P398"/>
    </row>
    <row r="399" spans="1:16" x14ac:dyDescent="0.4">
      <c r="A399"/>
      <c r="B399"/>
      <c r="C399"/>
      <c r="D399"/>
      <c r="E399"/>
      <c r="F399"/>
      <c r="G399"/>
      <c r="H399"/>
      <c r="I399"/>
      <c r="J399"/>
      <c r="K399"/>
      <c r="L399"/>
      <c r="M399"/>
      <c r="N399"/>
      <c r="O399"/>
      <c r="P399"/>
    </row>
    <row r="400" spans="1:16" x14ac:dyDescent="0.4">
      <c r="A400"/>
      <c r="B400"/>
      <c r="C400"/>
      <c r="D400"/>
      <c r="E400"/>
      <c r="F400"/>
      <c r="G400"/>
      <c r="H400"/>
      <c r="I400"/>
      <c r="J400"/>
      <c r="K400"/>
      <c r="L400"/>
      <c r="M400"/>
      <c r="N400"/>
      <c r="O400"/>
      <c r="P400"/>
    </row>
  </sheetData>
  <autoFilter ref="A1:R349" xr:uid="{D1BED639-CDC6-4039-BF2B-73929977BC63}"/>
  <phoneticPr fontId="6" type="noConversion"/>
  <pageMargins left="0.7" right="0.7" top="0.75" bottom="0.75" header="0.3" footer="0.3"/>
  <pageSetup paperSize="9" orientation="portrait" verticalDpi="0" r:id="rId1"/>
  <ignoredErrors>
    <ignoredError sqref="G312:N323 G238:N250"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64156-3D68-43B7-B277-E417814320F6}">
  <dimension ref="A1:A57"/>
  <sheetViews>
    <sheetView workbookViewId="0">
      <selection activeCell="G27" sqref="G27"/>
    </sheetView>
  </sheetViews>
  <sheetFormatPr defaultRowHeight="14.6" x14ac:dyDescent="0.4"/>
  <sheetData>
    <row r="1" spans="1:1" x14ac:dyDescent="0.4">
      <c r="A1" t="s">
        <v>803</v>
      </c>
    </row>
    <row r="2" spans="1:1" x14ac:dyDescent="0.4">
      <c r="A2" t="s">
        <v>804</v>
      </c>
    </row>
    <row r="4" spans="1:1" x14ac:dyDescent="0.4">
      <c r="A4" t="s">
        <v>805</v>
      </c>
    </row>
    <row r="5" spans="1:1" x14ac:dyDescent="0.4">
      <c r="A5" t="s">
        <v>806</v>
      </c>
    </row>
    <row r="6" spans="1:1" x14ac:dyDescent="0.4">
      <c r="A6" t="s">
        <v>807</v>
      </c>
    </row>
    <row r="7" spans="1:1" x14ac:dyDescent="0.4">
      <c r="A7" t="s">
        <v>808</v>
      </c>
    </row>
    <row r="8" spans="1:1" x14ac:dyDescent="0.4">
      <c r="A8" t="s">
        <v>809</v>
      </c>
    </row>
    <row r="9" spans="1:1" x14ac:dyDescent="0.4">
      <c r="A9" t="s">
        <v>810</v>
      </c>
    </row>
    <row r="10" spans="1:1" x14ac:dyDescent="0.4">
      <c r="A10" t="s">
        <v>811</v>
      </c>
    </row>
    <row r="11" spans="1:1" x14ac:dyDescent="0.4">
      <c r="A11" t="s">
        <v>812</v>
      </c>
    </row>
    <row r="12" spans="1:1" x14ac:dyDescent="0.4">
      <c r="A12" t="s">
        <v>813</v>
      </c>
    </row>
    <row r="13" spans="1:1" x14ac:dyDescent="0.4">
      <c r="A13" t="s">
        <v>814</v>
      </c>
    </row>
    <row r="14" spans="1:1" x14ac:dyDescent="0.4">
      <c r="A14" t="s">
        <v>94</v>
      </c>
    </row>
    <row r="15" spans="1:1" x14ac:dyDescent="0.4">
      <c r="A15" t="s">
        <v>815</v>
      </c>
    </row>
    <row r="16" spans="1:1" x14ac:dyDescent="0.4">
      <c r="A16" t="s">
        <v>816</v>
      </c>
    </row>
    <row r="17" spans="1:1" x14ac:dyDescent="0.4">
      <c r="A17" t="s">
        <v>817</v>
      </c>
    </row>
    <row r="18" spans="1:1" x14ac:dyDescent="0.4">
      <c r="A18" t="s">
        <v>818</v>
      </c>
    </row>
    <row r="19" spans="1:1" x14ac:dyDescent="0.4">
      <c r="A19" t="s">
        <v>819</v>
      </c>
    </row>
    <row r="20" spans="1:1" x14ac:dyDescent="0.4">
      <c r="A20" t="s">
        <v>820</v>
      </c>
    </row>
    <row r="21" spans="1:1" x14ac:dyDescent="0.4">
      <c r="A21" t="s">
        <v>821</v>
      </c>
    </row>
    <row r="22" spans="1:1" x14ac:dyDescent="0.4">
      <c r="A22" t="s">
        <v>822</v>
      </c>
    </row>
    <row r="23" spans="1:1" x14ac:dyDescent="0.4">
      <c r="A23" t="s">
        <v>823</v>
      </c>
    </row>
    <row r="24" spans="1:1" x14ac:dyDescent="0.4">
      <c r="A24" t="s">
        <v>824</v>
      </c>
    </row>
    <row r="25" spans="1:1" x14ac:dyDescent="0.4">
      <c r="A25" t="s">
        <v>825</v>
      </c>
    </row>
    <row r="26" spans="1:1" x14ac:dyDescent="0.4">
      <c r="A26" t="s">
        <v>826</v>
      </c>
    </row>
    <row r="27" spans="1:1" x14ac:dyDescent="0.4">
      <c r="A27" t="s">
        <v>827</v>
      </c>
    </row>
    <row r="28" spans="1:1" x14ac:dyDescent="0.4">
      <c r="A28" t="s">
        <v>828</v>
      </c>
    </row>
    <row r="29" spans="1:1" x14ac:dyDescent="0.4">
      <c r="A29" t="s">
        <v>829</v>
      </c>
    </row>
    <row r="30" spans="1:1" x14ac:dyDescent="0.4">
      <c r="A30" t="s">
        <v>830</v>
      </c>
    </row>
    <row r="31" spans="1:1" x14ac:dyDescent="0.4">
      <c r="A31" t="s">
        <v>831</v>
      </c>
    </row>
    <row r="32" spans="1:1" x14ac:dyDescent="0.4">
      <c r="A32" t="s">
        <v>832</v>
      </c>
    </row>
    <row r="33" spans="1:1" x14ac:dyDescent="0.4">
      <c r="A33" t="s">
        <v>833</v>
      </c>
    </row>
    <row r="34" spans="1:1" x14ac:dyDescent="0.4">
      <c r="A34" t="s">
        <v>834</v>
      </c>
    </row>
    <row r="35" spans="1:1" x14ac:dyDescent="0.4">
      <c r="A35" t="s">
        <v>835</v>
      </c>
    </row>
    <row r="36" spans="1:1" x14ac:dyDescent="0.4">
      <c r="A36" t="s">
        <v>836</v>
      </c>
    </row>
    <row r="37" spans="1:1" x14ac:dyDescent="0.4">
      <c r="A37" t="s">
        <v>837</v>
      </c>
    </row>
    <row r="38" spans="1:1" x14ac:dyDescent="0.4">
      <c r="A38" t="s">
        <v>838</v>
      </c>
    </row>
    <row r="39" spans="1:1" x14ac:dyDescent="0.4">
      <c r="A39" t="s">
        <v>839</v>
      </c>
    </row>
    <row r="40" spans="1:1" x14ac:dyDescent="0.4">
      <c r="A40" t="s">
        <v>840</v>
      </c>
    </row>
    <row r="41" spans="1:1" x14ac:dyDescent="0.4">
      <c r="A41" t="s">
        <v>841</v>
      </c>
    </row>
    <row r="42" spans="1:1" x14ac:dyDescent="0.4">
      <c r="A42" t="s">
        <v>842</v>
      </c>
    </row>
    <row r="43" spans="1:1" x14ac:dyDescent="0.4">
      <c r="A43" t="s">
        <v>843</v>
      </c>
    </row>
    <row r="44" spans="1:1" x14ac:dyDescent="0.4">
      <c r="A44" t="s">
        <v>844</v>
      </c>
    </row>
    <row r="45" spans="1:1" x14ac:dyDescent="0.4">
      <c r="A45" t="s">
        <v>845</v>
      </c>
    </row>
    <row r="46" spans="1:1" x14ac:dyDescent="0.4">
      <c r="A46" t="s">
        <v>846</v>
      </c>
    </row>
    <row r="47" spans="1:1" x14ac:dyDescent="0.4">
      <c r="A47" t="s">
        <v>847</v>
      </c>
    </row>
    <row r="48" spans="1:1" x14ac:dyDescent="0.4">
      <c r="A48" t="s">
        <v>848</v>
      </c>
    </row>
    <row r="49" spans="1:1" x14ac:dyDescent="0.4">
      <c r="A49" t="s">
        <v>849</v>
      </c>
    </row>
    <row r="50" spans="1:1" x14ac:dyDescent="0.4">
      <c r="A50" t="s">
        <v>850</v>
      </c>
    </row>
    <row r="51" spans="1:1" x14ac:dyDescent="0.4">
      <c r="A51" t="s">
        <v>851</v>
      </c>
    </row>
    <row r="52" spans="1:1" x14ac:dyDescent="0.4">
      <c r="A52" t="s">
        <v>852</v>
      </c>
    </row>
    <row r="53" spans="1:1" x14ac:dyDescent="0.4">
      <c r="A53" t="s">
        <v>853</v>
      </c>
    </row>
    <row r="54" spans="1:1" x14ac:dyDescent="0.4">
      <c r="A54" t="s">
        <v>854</v>
      </c>
    </row>
    <row r="55" spans="1:1" x14ac:dyDescent="0.4">
      <c r="A55" t="s">
        <v>855</v>
      </c>
    </row>
    <row r="56" spans="1:1" x14ac:dyDescent="0.4">
      <c r="A56" t="s">
        <v>856</v>
      </c>
    </row>
    <row r="57" spans="1:1" x14ac:dyDescent="0.4">
      <c r="A57" t="s">
        <v>857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E8EB7-F4E5-47F4-9037-06C81D6CB2C5}">
  <sheetPr>
    <tabColor rgb="FF0070C0"/>
  </sheetPr>
  <dimension ref="A1:R8"/>
  <sheetViews>
    <sheetView workbookViewId="0">
      <selection activeCell="E11" sqref="E11"/>
    </sheetView>
  </sheetViews>
  <sheetFormatPr defaultRowHeight="14.6" x14ac:dyDescent="0.4"/>
  <cols>
    <col min="2" max="2" width="9.84375" style="55" bestFit="1" customWidth="1"/>
    <col min="18" max="18" width="11.53515625" bestFit="1" customWidth="1"/>
  </cols>
  <sheetData>
    <row r="1" spans="1:18" s="57" customFormat="1" x14ac:dyDescent="0.4">
      <c r="A1" s="57" t="s">
        <v>115</v>
      </c>
      <c r="B1" s="57" t="s">
        <v>60</v>
      </c>
      <c r="C1" s="57" t="s">
        <v>116</v>
      </c>
      <c r="E1" s="57" t="s">
        <v>60</v>
      </c>
      <c r="F1" s="57" t="s">
        <v>6</v>
      </c>
      <c r="G1" s="57" t="s">
        <v>7</v>
      </c>
      <c r="H1" s="57" t="s">
        <v>8</v>
      </c>
      <c r="J1" s="57" t="s">
        <v>60</v>
      </c>
      <c r="K1" s="57" t="s">
        <v>6</v>
      </c>
      <c r="L1" s="57" t="s">
        <v>7</v>
      </c>
      <c r="M1" s="57" t="s">
        <v>8</v>
      </c>
      <c r="P1" s="57" t="s">
        <v>6</v>
      </c>
      <c r="Q1" s="57" t="s">
        <v>7</v>
      </c>
      <c r="R1" s="57" t="s">
        <v>8</v>
      </c>
    </row>
    <row r="2" spans="1:18" x14ac:dyDescent="0.4">
      <c r="B2" s="56" t="s">
        <v>768</v>
      </c>
      <c r="K2" t="s">
        <v>645</v>
      </c>
    </row>
    <row r="3" spans="1:18" x14ac:dyDescent="0.4">
      <c r="B3" s="56" t="s">
        <v>912</v>
      </c>
      <c r="K3" t="s">
        <v>645</v>
      </c>
    </row>
    <row r="4" spans="1:18" x14ac:dyDescent="0.4">
      <c r="B4" s="56" t="s">
        <v>913</v>
      </c>
      <c r="K4" t="s">
        <v>645</v>
      </c>
    </row>
    <row r="5" spans="1:18" x14ac:dyDescent="0.4">
      <c r="B5" s="56" t="s">
        <v>914</v>
      </c>
      <c r="K5" t="s">
        <v>645</v>
      </c>
    </row>
    <row r="6" spans="1:18" x14ac:dyDescent="0.4">
      <c r="B6" s="56" t="s">
        <v>915</v>
      </c>
      <c r="K6" t="s">
        <v>645</v>
      </c>
    </row>
    <row r="7" spans="1:18" x14ac:dyDescent="0.4">
      <c r="B7" s="56" t="s">
        <v>916</v>
      </c>
      <c r="K7" t="s">
        <v>645</v>
      </c>
    </row>
    <row r="8" spans="1:18" x14ac:dyDescent="0.4">
      <c r="B8" s="55" t="s">
        <v>917</v>
      </c>
      <c r="C8" t="s">
        <v>644</v>
      </c>
      <c r="E8" t="s">
        <v>646</v>
      </c>
      <c r="F8" t="s">
        <v>21</v>
      </c>
    </row>
  </sheetData>
  <pageMargins left="0.7" right="0.7" top="0.75" bottom="0.75" header="0.3" footer="0.3"/>
  <pageSetup paperSize="9" orientation="portrait" r:id="rId1"/>
  <ignoredErrors>
    <ignoredError sqref="E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8909A-648A-42FE-9312-EB5DD52675F1}">
  <sheetPr>
    <tabColor theme="5" tint="0.39997558519241921"/>
  </sheetPr>
  <dimension ref="A1:D17"/>
  <sheetViews>
    <sheetView zoomScale="175" zoomScaleNormal="175" workbookViewId="0">
      <selection activeCell="G14" sqref="G14"/>
    </sheetView>
  </sheetViews>
  <sheetFormatPr defaultRowHeight="14.6" x14ac:dyDescent="0.4"/>
  <cols>
    <col min="1" max="1" width="9.3046875" bestFit="1" customWidth="1"/>
    <col min="2" max="2" width="14.4609375" bestFit="1" customWidth="1"/>
  </cols>
  <sheetData>
    <row r="1" spans="1:4" x14ac:dyDescent="0.4">
      <c r="A1" s="22" t="s">
        <v>802</v>
      </c>
      <c r="B1" s="22" t="s">
        <v>801</v>
      </c>
    </row>
    <row r="2" spans="1:4" x14ac:dyDescent="0.4">
      <c r="A2" s="60" t="s">
        <v>784</v>
      </c>
      <c r="B2" s="60" t="s">
        <v>785</v>
      </c>
      <c r="C2" t="s">
        <v>784</v>
      </c>
    </row>
    <row r="3" spans="1:4" x14ac:dyDescent="0.4">
      <c r="A3" s="60" t="s">
        <v>160</v>
      </c>
      <c r="B3" s="60" t="s">
        <v>786</v>
      </c>
      <c r="C3" t="s">
        <v>888</v>
      </c>
    </row>
    <row r="4" spans="1:4" x14ac:dyDescent="0.4">
      <c r="A4" s="60" t="s">
        <v>118</v>
      </c>
      <c r="B4" s="60" t="s">
        <v>787</v>
      </c>
      <c r="C4" t="s">
        <v>887</v>
      </c>
    </row>
    <row r="5" spans="1:4" x14ac:dyDescent="0.4">
      <c r="A5" s="60" t="s">
        <v>169</v>
      </c>
      <c r="B5" s="60" t="s">
        <v>788</v>
      </c>
      <c r="C5" t="s">
        <v>886</v>
      </c>
    </row>
    <row r="6" spans="1:4" x14ac:dyDescent="0.4">
      <c r="A6" s="60" t="s">
        <v>121</v>
      </c>
      <c r="B6" s="60" t="s">
        <v>789</v>
      </c>
      <c r="C6" t="s">
        <v>885</v>
      </c>
    </row>
    <row r="7" spans="1:4" x14ac:dyDescent="0.4">
      <c r="A7" s="60" t="s">
        <v>132</v>
      </c>
      <c r="B7" s="60" t="s">
        <v>790</v>
      </c>
      <c r="C7" t="s">
        <v>884</v>
      </c>
    </row>
    <row r="8" spans="1:4" x14ac:dyDescent="0.4">
      <c r="A8" s="60" t="s">
        <v>129</v>
      </c>
      <c r="B8" s="60" t="s">
        <v>791</v>
      </c>
      <c r="C8" t="s">
        <v>883</v>
      </c>
    </row>
    <row r="9" spans="1:4" x14ac:dyDescent="0.4">
      <c r="A9" s="60" t="s">
        <v>124</v>
      </c>
      <c r="B9" s="60" t="s">
        <v>792</v>
      </c>
      <c r="C9" s="106" t="s">
        <v>891</v>
      </c>
    </row>
    <row r="10" spans="1:4" x14ac:dyDescent="0.4">
      <c r="A10" s="60" t="s">
        <v>127</v>
      </c>
      <c r="B10" s="60" t="s">
        <v>793</v>
      </c>
      <c r="C10" t="s">
        <v>890</v>
      </c>
    </row>
    <row r="11" spans="1:4" x14ac:dyDescent="0.4">
      <c r="B11" s="60" t="s">
        <v>794</v>
      </c>
      <c r="C11" t="s">
        <v>889</v>
      </c>
    </row>
    <row r="12" spans="1:4" x14ac:dyDescent="0.4">
      <c r="B12" s="60" t="s">
        <v>795</v>
      </c>
      <c r="C12" t="s">
        <v>892</v>
      </c>
      <c r="D12" t="s">
        <v>895</v>
      </c>
    </row>
    <row r="13" spans="1:4" x14ac:dyDescent="0.4">
      <c r="B13" s="60" t="s">
        <v>796</v>
      </c>
      <c r="C13" t="s">
        <v>894</v>
      </c>
      <c r="D13" t="s">
        <v>895</v>
      </c>
    </row>
    <row r="14" spans="1:4" x14ac:dyDescent="0.4">
      <c r="B14" s="60" t="s">
        <v>797</v>
      </c>
      <c r="C14" t="s">
        <v>893</v>
      </c>
    </row>
    <row r="15" spans="1:4" x14ac:dyDescent="0.4">
      <c r="B15" s="60" t="s">
        <v>798</v>
      </c>
    </row>
    <row r="16" spans="1:4" x14ac:dyDescent="0.4">
      <c r="B16" s="60" t="s">
        <v>799</v>
      </c>
    </row>
    <row r="17" spans="2:2" x14ac:dyDescent="0.4">
      <c r="B17" s="60" t="s">
        <v>800</v>
      </c>
    </row>
  </sheetData>
  <pageMargins left="0.7" right="0.7" top="0.75" bottom="0.75" header="0.3" footer="0.3"/>
  <pageSetup paperSize="9" orientation="portrait" r:id="rId1"/>
  <ignoredErrors>
    <ignoredError sqref="C9" twoDigitTextYear="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5F11-36D6-480A-B36B-9040C00B7410}">
  <sheetPr>
    <tabColor theme="4" tint="-0.499984740745262"/>
  </sheetPr>
  <dimension ref="A1:H33"/>
  <sheetViews>
    <sheetView workbookViewId="0">
      <selection activeCell="M26" sqref="M26"/>
    </sheetView>
  </sheetViews>
  <sheetFormatPr defaultRowHeight="14.6" x14ac:dyDescent="0.4"/>
  <cols>
    <col min="1" max="1" width="24.69140625" bestFit="1" customWidth="1"/>
    <col min="2" max="2" width="8.84375" style="46"/>
    <col min="3" max="3" width="15.07421875" bestFit="1" customWidth="1"/>
    <col min="4" max="4" width="7.84375" bestFit="1" customWidth="1"/>
    <col min="5" max="5" width="8.3046875" customWidth="1"/>
    <col min="6" max="7" width="8.84375" style="42"/>
  </cols>
  <sheetData>
    <row r="1" spans="1:8" ht="15.9" x14ac:dyDescent="0.4">
      <c r="A1" s="23" t="s">
        <v>60</v>
      </c>
      <c r="B1" s="43" t="s">
        <v>61</v>
      </c>
      <c r="C1" s="24" t="s">
        <v>6</v>
      </c>
      <c r="D1" s="25" t="s">
        <v>62</v>
      </c>
      <c r="E1" s="26" t="s">
        <v>4</v>
      </c>
      <c r="F1" s="41"/>
      <c r="G1" s="41"/>
      <c r="H1" t="s">
        <v>6</v>
      </c>
    </row>
    <row r="2" spans="1:8" x14ac:dyDescent="0.4">
      <c r="A2" s="28" t="s">
        <v>63</v>
      </c>
      <c r="B2" s="44">
        <v>10.6722</v>
      </c>
      <c r="C2" s="29" t="s">
        <v>64</v>
      </c>
      <c r="D2" s="30"/>
      <c r="E2" s="40" t="str">
        <f>CONCATENATE(F2,G2)</f>
        <v>Kr1</v>
      </c>
      <c r="F2" s="41" t="s">
        <v>65</v>
      </c>
      <c r="G2" s="41">
        <v>1</v>
      </c>
      <c r="H2" s="214" t="s">
        <v>966</v>
      </c>
    </row>
    <row r="3" spans="1:8" x14ac:dyDescent="0.4">
      <c r="A3" s="28" t="s">
        <v>66</v>
      </c>
      <c r="B3" s="44">
        <v>6.5488500000000016</v>
      </c>
      <c r="C3" s="29" t="s">
        <v>67</v>
      </c>
      <c r="D3" s="30"/>
      <c r="E3" s="40" t="str">
        <f t="shared" ref="E3:E33" si="0">CONCATENATE(F3,G3)</f>
        <v>Kr2</v>
      </c>
      <c r="F3" s="41" t="s">
        <v>65</v>
      </c>
      <c r="G3" s="41">
        <v>2</v>
      </c>
      <c r="H3" s="214" t="s">
        <v>966</v>
      </c>
    </row>
    <row r="4" spans="1:8" x14ac:dyDescent="0.4">
      <c r="A4" s="28" t="s">
        <v>68</v>
      </c>
      <c r="B4" s="44">
        <v>5.4573750000000008</v>
      </c>
      <c r="C4" s="29" t="s">
        <v>69</v>
      </c>
      <c r="D4" s="30"/>
      <c r="E4" s="40" t="str">
        <f t="shared" si="0"/>
        <v>Kr3</v>
      </c>
      <c r="F4" s="41" t="s">
        <v>65</v>
      </c>
      <c r="G4" s="41">
        <v>3</v>
      </c>
      <c r="H4" s="214" t="s">
        <v>966</v>
      </c>
    </row>
    <row r="5" spans="1:8" x14ac:dyDescent="0.4">
      <c r="A5" s="32" t="s">
        <v>70</v>
      </c>
      <c r="B5" s="44">
        <v>5.4573750000000008</v>
      </c>
      <c r="C5" s="29" t="s">
        <v>71</v>
      </c>
      <c r="D5" s="30"/>
      <c r="E5" s="40" t="str">
        <f t="shared" si="0"/>
        <v>Kr4</v>
      </c>
      <c r="F5" s="41" t="s">
        <v>65</v>
      </c>
      <c r="G5" s="41">
        <v>4</v>
      </c>
      <c r="H5" s="214" t="s">
        <v>966</v>
      </c>
    </row>
    <row r="6" spans="1:8" x14ac:dyDescent="0.4">
      <c r="A6" s="32" t="s">
        <v>72</v>
      </c>
      <c r="B6" s="44">
        <v>8.8530750000000005</v>
      </c>
      <c r="C6" s="33" t="s">
        <v>64</v>
      </c>
      <c r="D6" s="30"/>
      <c r="E6" s="40" t="str">
        <f t="shared" si="0"/>
        <v>Kr5</v>
      </c>
      <c r="F6" s="41" t="s">
        <v>65</v>
      </c>
      <c r="G6" s="41">
        <v>5</v>
      </c>
      <c r="H6" s="214" t="s">
        <v>966</v>
      </c>
    </row>
    <row r="7" spans="1:8" x14ac:dyDescent="0.4">
      <c r="A7" s="32" t="s">
        <v>73</v>
      </c>
      <c r="B7" s="44"/>
      <c r="C7" s="33" t="s">
        <v>67</v>
      </c>
      <c r="D7" s="30"/>
      <c r="E7" s="40" t="str">
        <f t="shared" si="0"/>
        <v>Kr6</v>
      </c>
      <c r="F7" s="41" t="s">
        <v>65</v>
      </c>
      <c r="G7" s="41">
        <v>6</v>
      </c>
      <c r="H7" s="214" t="s">
        <v>966</v>
      </c>
    </row>
    <row r="8" spans="1:8" x14ac:dyDescent="0.4">
      <c r="A8" s="32" t="s">
        <v>74</v>
      </c>
      <c r="B8" s="44"/>
      <c r="C8" s="33" t="s">
        <v>69</v>
      </c>
      <c r="D8" s="30"/>
      <c r="E8" s="40" t="str">
        <f t="shared" si="0"/>
        <v>Kr7</v>
      </c>
      <c r="F8" s="41" t="s">
        <v>65</v>
      </c>
      <c r="G8" s="41">
        <v>7</v>
      </c>
      <c r="H8" s="214" t="s">
        <v>966</v>
      </c>
    </row>
    <row r="9" spans="1:8" x14ac:dyDescent="0.4">
      <c r="A9" s="32" t="s">
        <v>75</v>
      </c>
      <c r="B9" s="44">
        <v>2.3042250000000002</v>
      </c>
      <c r="C9" s="33" t="s">
        <v>71</v>
      </c>
      <c r="D9" s="30"/>
      <c r="E9" s="40" t="str">
        <f t="shared" si="0"/>
        <v>Kr8</v>
      </c>
      <c r="F9" s="41" t="s">
        <v>65</v>
      </c>
      <c r="G9" s="41">
        <v>8</v>
      </c>
      <c r="H9" s="214" t="s">
        <v>966</v>
      </c>
    </row>
    <row r="10" spans="1:8" x14ac:dyDescent="0.4">
      <c r="A10" s="32" t="s">
        <v>76</v>
      </c>
      <c r="B10" s="44">
        <v>1.642725</v>
      </c>
      <c r="C10" s="34"/>
      <c r="D10" s="30"/>
      <c r="E10" s="40" t="str">
        <f t="shared" si="0"/>
        <v>Kr9</v>
      </c>
      <c r="F10" s="41" t="s">
        <v>65</v>
      </c>
      <c r="G10" s="41">
        <v>9</v>
      </c>
      <c r="H10" s="214" t="s">
        <v>966</v>
      </c>
    </row>
    <row r="11" spans="1:8" x14ac:dyDescent="0.4">
      <c r="A11" s="32" t="s">
        <v>77</v>
      </c>
      <c r="B11" s="44">
        <v>30.318750000000001</v>
      </c>
      <c r="C11" s="34" t="s">
        <v>78</v>
      </c>
      <c r="D11" s="30"/>
      <c r="E11" s="40" t="str">
        <f t="shared" si="0"/>
        <v>Kr10</v>
      </c>
      <c r="F11" s="41" t="s">
        <v>65</v>
      </c>
      <c r="G11" s="41">
        <v>10</v>
      </c>
      <c r="H11" s="214" t="s">
        <v>966</v>
      </c>
    </row>
    <row r="12" spans="1:8" x14ac:dyDescent="0.4">
      <c r="A12" s="32" t="s">
        <v>79</v>
      </c>
      <c r="B12" s="44">
        <v>0.73867500000000019</v>
      </c>
      <c r="C12" s="34" t="s">
        <v>80</v>
      </c>
      <c r="D12" s="30"/>
      <c r="E12" s="40" t="str">
        <f t="shared" si="0"/>
        <v>Kr11</v>
      </c>
      <c r="F12" s="41" t="s">
        <v>65</v>
      </c>
      <c r="G12" s="41">
        <v>11</v>
      </c>
      <c r="H12" s="214" t="s">
        <v>966</v>
      </c>
    </row>
    <row r="13" spans="1:8" x14ac:dyDescent="0.4">
      <c r="A13" s="32" t="s">
        <v>81</v>
      </c>
      <c r="B13" s="44">
        <v>0.67252500000000004</v>
      </c>
      <c r="C13" s="34" t="s">
        <v>82</v>
      </c>
      <c r="D13" s="30"/>
      <c r="E13" s="40" t="str">
        <f t="shared" si="0"/>
        <v>Kr12</v>
      </c>
      <c r="F13" s="41" t="s">
        <v>65</v>
      </c>
      <c r="G13" s="41">
        <v>12</v>
      </c>
      <c r="H13" s="214" t="s">
        <v>966</v>
      </c>
    </row>
    <row r="14" spans="1:8" x14ac:dyDescent="0.4">
      <c r="A14" s="32" t="s">
        <v>83</v>
      </c>
      <c r="B14" s="44">
        <v>0.60637500000000011</v>
      </c>
      <c r="C14" s="34" t="s">
        <v>82</v>
      </c>
      <c r="D14" s="30"/>
      <c r="E14" s="40" t="str">
        <f t="shared" si="0"/>
        <v>Kr13</v>
      </c>
      <c r="F14" s="41" t="s">
        <v>65</v>
      </c>
      <c r="G14" s="41">
        <v>13</v>
      </c>
      <c r="H14" s="214" t="s">
        <v>966</v>
      </c>
    </row>
    <row r="15" spans="1:8" x14ac:dyDescent="0.4">
      <c r="A15" s="35" t="s">
        <v>84</v>
      </c>
      <c r="B15" s="44">
        <v>0.67252500000000004</v>
      </c>
      <c r="C15" s="36" t="s">
        <v>85</v>
      </c>
      <c r="D15" s="30"/>
      <c r="E15" s="27" t="str">
        <f t="shared" si="0"/>
        <v>Kr14</v>
      </c>
      <c r="F15" s="41" t="s">
        <v>65</v>
      </c>
      <c r="G15" s="41">
        <v>14</v>
      </c>
      <c r="H15" s="214" t="s">
        <v>966</v>
      </c>
    </row>
    <row r="16" spans="1:8" x14ac:dyDescent="0.4">
      <c r="A16" s="32" t="s">
        <v>86</v>
      </c>
      <c r="B16" s="44">
        <v>0.84892500000000015</v>
      </c>
      <c r="C16" s="34" t="s">
        <v>87</v>
      </c>
      <c r="D16" s="30"/>
      <c r="E16" s="40" t="str">
        <f t="shared" si="0"/>
        <v>Kr15</v>
      </c>
      <c r="F16" s="41" t="s">
        <v>65</v>
      </c>
      <c r="G16" s="41">
        <v>15</v>
      </c>
      <c r="H16" s="214" t="s">
        <v>966</v>
      </c>
    </row>
    <row r="17" spans="1:8" x14ac:dyDescent="0.4">
      <c r="A17" s="35" t="s">
        <v>88</v>
      </c>
      <c r="B17" s="44">
        <v>2.1829500000000004</v>
      </c>
      <c r="C17" s="36" t="s">
        <v>89</v>
      </c>
      <c r="D17" s="30"/>
      <c r="E17" s="27" t="str">
        <f t="shared" si="0"/>
        <v>Kr16</v>
      </c>
      <c r="F17" s="41" t="s">
        <v>65</v>
      </c>
      <c r="G17" s="41">
        <v>16</v>
      </c>
      <c r="H17" s="214" t="s">
        <v>966</v>
      </c>
    </row>
    <row r="18" spans="1:8" x14ac:dyDescent="0.4">
      <c r="A18" s="35" t="s">
        <v>90</v>
      </c>
      <c r="B18" s="44">
        <v>2.4255000000000004</v>
      </c>
      <c r="C18" s="36" t="s">
        <v>91</v>
      </c>
      <c r="D18" s="30"/>
      <c r="E18" s="27" t="str">
        <f t="shared" si="0"/>
        <v>Kr17</v>
      </c>
      <c r="F18" s="41" t="s">
        <v>65</v>
      </c>
      <c r="G18" s="41">
        <v>17</v>
      </c>
      <c r="H18" s="214" t="s">
        <v>966</v>
      </c>
    </row>
    <row r="19" spans="1:8" x14ac:dyDescent="0.4">
      <c r="A19" s="35" t="s">
        <v>92</v>
      </c>
      <c r="B19" s="44">
        <v>0.49612500000000004</v>
      </c>
      <c r="C19" s="36" t="s">
        <v>93</v>
      </c>
      <c r="D19" s="30"/>
      <c r="E19" s="27" t="str">
        <f t="shared" si="0"/>
        <v>Kr18</v>
      </c>
      <c r="F19" s="41" t="s">
        <v>65</v>
      </c>
      <c r="G19" s="41">
        <v>18</v>
      </c>
      <c r="H19" s="214" t="s">
        <v>966</v>
      </c>
    </row>
    <row r="20" spans="1:8" x14ac:dyDescent="0.4">
      <c r="A20" s="32" t="s">
        <v>94</v>
      </c>
      <c r="B20" s="44">
        <v>0.48510000000000003</v>
      </c>
      <c r="C20" s="34" t="s">
        <v>95</v>
      </c>
      <c r="D20" s="30"/>
      <c r="E20" s="40" t="str">
        <f t="shared" si="0"/>
        <v>Kr19</v>
      </c>
      <c r="F20" s="41" t="s">
        <v>65</v>
      </c>
      <c r="G20" s="41">
        <v>19</v>
      </c>
      <c r="H20" s="214" t="s">
        <v>966</v>
      </c>
    </row>
    <row r="21" spans="1:8" x14ac:dyDescent="0.4">
      <c r="A21" s="32" t="s">
        <v>96</v>
      </c>
      <c r="B21" s="44">
        <v>1.0032750000000001</v>
      </c>
      <c r="C21" s="34" t="s">
        <v>97</v>
      </c>
      <c r="D21" s="31">
        <v>0.08</v>
      </c>
      <c r="E21" s="40" t="str">
        <f t="shared" si="0"/>
        <v>Kr20</v>
      </c>
      <c r="F21" s="41" t="s">
        <v>65</v>
      </c>
      <c r="G21" s="41">
        <v>20</v>
      </c>
      <c r="H21" s="214" t="s">
        <v>966</v>
      </c>
    </row>
    <row r="22" spans="1:8" x14ac:dyDescent="0.4">
      <c r="A22" s="35" t="s">
        <v>98</v>
      </c>
      <c r="B22" s="44">
        <v>1.378125</v>
      </c>
      <c r="C22" s="36" t="s">
        <v>99</v>
      </c>
      <c r="D22" s="31">
        <v>0.1</v>
      </c>
      <c r="E22" s="27" t="str">
        <f t="shared" si="0"/>
        <v>Kr21</v>
      </c>
      <c r="F22" s="41" t="s">
        <v>65</v>
      </c>
      <c r="G22" s="41">
        <v>21</v>
      </c>
      <c r="H22" s="214" t="s">
        <v>966</v>
      </c>
    </row>
    <row r="23" spans="1:8" x14ac:dyDescent="0.4">
      <c r="A23" s="35" t="s">
        <v>100</v>
      </c>
      <c r="B23" s="44">
        <v>2.2491000000000003</v>
      </c>
      <c r="C23" s="36" t="s">
        <v>101</v>
      </c>
      <c r="D23" s="31"/>
      <c r="E23" s="27" t="str">
        <f t="shared" si="0"/>
        <v>Kr22</v>
      </c>
      <c r="F23" s="41" t="s">
        <v>65</v>
      </c>
      <c r="G23" s="41">
        <v>22</v>
      </c>
      <c r="H23" s="214" t="s">
        <v>966</v>
      </c>
    </row>
    <row r="24" spans="1:8" ht="29.15" x14ac:dyDescent="0.4">
      <c r="A24" s="32" t="s">
        <v>102</v>
      </c>
      <c r="B24" s="44"/>
      <c r="C24" s="34" t="s">
        <v>103</v>
      </c>
      <c r="D24" s="31"/>
      <c r="E24" s="40" t="str">
        <f t="shared" si="0"/>
        <v>Kr23</v>
      </c>
      <c r="F24" s="41" t="s">
        <v>65</v>
      </c>
      <c r="G24" s="41">
        <v>23</v>
      </c>
      <c r="H24" s="214" t="s">
        <v>966</v>
      </c>
    </row>
    <row r="25" spans="1:8" x14ac:dyDescent="0.4">
      <c r="A25" s="32" t="s">
        <v>104</v>
      </c>
      <c r="B25" s="45"/>
      <c r="C25" s="37" t="s">
        <v>105</v>
      </c>
      <c r="D25" s="31"/>
      <c r="E25" s="27" t="str">
        <f t="shared" si="0"/>
        <v>Kr24</v>
      </c>
      <c r="F25" s="41" t="s">
        <v>65</v>
      </c>
      <c r="G25" s="41">
        <v>24</v>
      </c>
      <c r="H25" s="214" t="s">
        <v>966</v>
      </c>
    </row>
    <row r="26" spans="1:8" x14ac:dyDescent="0.4">
      <c r="A26" s="38" t="s">
        <v>106</v>
      </c>
      <c r="B26" s="44"/>
      <c r="C26" s="37" t="s">
        <v>105</v>
      </c>
      <c r="D26" s="31"/>
      <c r="E26" s="27" t="str">
        <f t="shared" si="0"/>
        <v>Kr25</v>
      </c>
      <c r="F26" s="41" t="s">
        <v>65</v>
      </c>
      <c r="G26" s="41">
        <v>25</v>
      </c>
      <c r="H26" s="214" t="s">
        <v>966</v>
      </c>
    </row>
    <row r="27" spans="1:8" x14ac:dyDescent="0.4">
      <c r="A27" s="26" t="s">
        <v>107</v>
      </c>
      <c r="B27" s="44"/>
      <c r="C27" s="37" t="s">
        <v>105</v>
      </c>
      <c r="D27" s="31"/>
      <c r="E27" s="27" t="str">
        <f t="shared" si="0"/>
        <v>Kr26</v>
      </c>
      <c r="F27" s="41" t="s">
        <v>65</v>
      </c>
      <c r="G27" s="41">
        <v>26</v>
      </c>
      <c r="H27" s="214" t="s">
        <v>966</v>
      </c>
    </row>
    <row r="28" spans="1:8" x14ac:dyDescent="0.4">
      <c r="A28" t="s">
        <v>108</v>
      </c>
      <c r="B28" s="44"/>
      <c r="C28" s="37" t="s">
        <v>105</v>
      </c>
      <c r="D28" s="31"/>
      <c r="E28" s="27" t="str">
        <f t="shared" si="0"/>
        <v>Kr27</v>
      </c>
      <c r="F28" s="41" t="s">
        <v>65</v>
      </c>
      <c r="G28" s="41">
        <v>27</v>
      </c>
      <c r="H28" s="214" t="s">
        <v>966</v>
      </c>
    </row>
    <row r="29" spans="1:8" x14ac:dyDescent="0.4">
      <c r="B29" s="44">
        <v>26</v>
      </c>
      <c r="C29" s="39" t="s">
        <v>109</v>
      </c>
      <c r="D29" s="31"/>
      <c r="E29" s="27" t="str">
        <f t="shared" si="0"/>
        <v>Kr28</v>
      </c>
      <c r="F29" s="41" t="s">
        <v>65</v>
      </c>
      <c r="G29" s="41">
        <v>28</v>
      </c>
      <c r="H29" s="214" t="s">
        <v>966</v>
      </c>
    </row>
    <row r="30" spans="1:8" x14ac:dyDescent="0.4">
      <c r="B30" s="44">
        <v>3</v>
      </c>
      <c r="C30" s="34" t="s">
        <v>110</v>
      </c>
      <c r="D30" s="31"/>
      <c r="E30" s="27" t="str">
        <f t="shared" si="0"/>
        <v>Kr29</v>
      </c>
      <c r="F30" s="41" t="s">
        <v>65</v>
      </c>
      <c r="G30" s="41">
        <v>29</v>
      </c>
      <c r="H30" s="214" t="s">
        <v>966</v>
      </c>
    </row>
    <row r="31" spans="1:8" ht="29.15" x14ac:dyDescent="0.4">
      <c r="B31" s="44">
        <v>5.5</v>
      </c>
      <c r="C31" s="34" t="s">
        <v>111</v>
      </c>
      <c r="D31" s="31"/>
      <c r="E31" s="27" t="str">
        <f t="shared" si="0"/>
        <v>Kr29</v>
      </c>
      <c r="F31" s="41" t="s">
        <v>65</v>
      </c>
      <c r="G31" s="41">
        <v>29</v>
      </c>
      <c r="H31" s="214" t="s">
        <v>966</v>
      </c>
    </row>
    <row r="32" spans="1:8" x14ac:dyDescent="0.4">
      <c r="B32" s="44"/>
      <c r="C32" s="34" t="s">
        <v>112</v>
      </c>
      <c r="D32" s="31"/>
      <c r="E32" s="27" t="str">
        <f t="shared" si="0"/>
        <v>Kr29</v>
      </c>
      <c r="F32" s="41" t="s">
        <v>65</v>
      </c>
      <c r="G32" s="41">
        <v>29</v>
      </c>
      <c r="H32" s="214" t="s">
        <v>966</v>
      </c>
    </row>
    <row r="33" spans="1:8" ht="21.45" x14ac:dyDescent="0.4">
      <c r="A33" s="26" t="s">
        <v>113</v>
      </c>
      <c r="B33" s="44"/>
      <c r="C33" s="37" t="s">
        <v>114</v>
      </c>
      <c r="D33" s="31"/>
      <c r="E33" s="27" t="str">
        <f t="shared" si="0"/>
        <v>Kr32</v>
      </c>
      <c r="F33" s="41" t="s">
        <v>65</v>
      </c>
      <c r="G33" s="41">
        <v>32</v>
      </c>
      <c r="H33" s="214" t="s">
        <v>966</v>
      </c>
    </row>
  </sheetData>
  <conditionalFormatting sqref="A1:A33">
    <cfRule type="duplicateValues" dxfId="0" priority="1"/>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Закуп</vt:lpstr>
      <vt:lpstr>Calc</vt:lpstr>
      <vt:lpstr>Массив</vt:lpstr>
      <vt:lpstr>Опт</vt:lpstr>
      <vt:lpstr>нет в наличии</vt:lpstr>
      <vt:lpstr>Листы гк</vt:lpstr>
      <vt:lpstr>Диапазоны</vt:lpstr>
      <vt:lpstr>Kr173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dc:creator>
  <cp:lastModifiedBy>mr</cp:lastModifiedBy>
  <dcterms:created xsi:type="dcterms:W3CDTF">2015-06-05T18:19:34Z</dcterms:created>
  <dcterms:modified xsi:type="dcterms:W3CDTF">2026-10-27T13:04:44Z</dcterms:modified>
</cp:coreProperties>
</file>